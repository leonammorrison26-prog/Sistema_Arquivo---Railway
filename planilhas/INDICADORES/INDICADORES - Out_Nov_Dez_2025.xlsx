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revisions/userNames.xml" ContentType="application/vnd.openxmlformats-officedocument.spreadsheetml.userNam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revisions/revisionHeaders.xml" ContentType="application/vnd.openxmlformats-officedocument.spreadsheetml.revisionHeaders+xml"/>
  <Override PartName="/xl/revisions/revisionLog12.xml" ContentType="application/vnd.openxmlformats-officedocument.spreadsheetml.revisionLog+xml"/>
  <Override PartName="/xl/revisions/revisionLog42.xml" ContentType="application/vnd.openxmlformats-officedocument.spreadsheetml.revisionLog+xml"/>
  <Override PartName="/xl/revisions/revisionLog72.xml" ContentType="application/vnd.openxmlformats-officedocument.spreadsheetml.revisionLog+xml"/>
  <Override PartName="/xl/revisions/revisionLog67.xml" ContentType="application/vnd.openxmlformats-officedocument.spreadsheetml.revisionLog+xml"/>
  <Override PartName="/xl/revisions/revisionLog82.xml" ContentType="application/vnd.openxmlformats-officedocument.spreadsheetml.revisionLog+xml"/>
  <Override PartName="/xl/revisions/revisionLog87.xml" ContentType="application/vnd.openxmlformats-officedocument.spreadsheetml.revisionLog+xml"/>
  <Override PartName="/xl/revisions/revisionLog103.xml" ContentType="application/vnd.openxmlformats-officedocument.spreadsheetml.revisionLog+xml"/>
  <Override PartName="/xl/revisions/revisionLog108.xml" ContentType="application/vnd.openxmlformats-officedocument.spreadsheetml.revisionLog+xml"/>
  <Override PartName="/xl/revisions/revisionLog129.xml" ContentType="application/vnd.openxmlformats-officedocument.spreadsheetml.revisionLog+xml"/>
  <Override PartName="/xl/revisions/revisionLog124.xml" ContentType="application/vnd.openxmlformats-officedocument.spreadsheetml.revisionLog+xml"/>
  <Override PartName="/xl/revisions/revisionLog20.xml" ContentType="application/vnd.openxmlformats-officedocument.spreadsheetml.revisionLog+xml"/>
  <Override PartName="/xl/revisions/revisionLog53.xml" ContentType="application/vnd.openxmlformats-officedocument.spreadsheetml.revisionLog+xml"/>
  <Override PartName="/xl/revisions/revisionLog32.xml" ContentType="application/vnd.openxmlformats-officedocument.spreadsheetml.revisionLog+xml"/>
  <Override PartName="/xl/revisions/revisionLog10.xml" ContentType="application/vnd.openxmlformats-officedocument.spreadsheetml.revisionLog+xml"/>
  <Override PartName="/xl/revisions/revisionLog48.xml" ContentType="application/vnd.openxmlformats-officedocument.spreadsheetml.revisionLog+xml"/>
  <Override PartName="/xl/revisions/revisionLog15.xml" ContentType="application/vnd.openxmlformats-officedocument.spreadsheetml.revisionLog+xml"/>
  <Override PartName="/xl/revisions/revisionLog5.xml" ContentType="application/vnd.openxmlformats-officedocument.spreadsheetml.revisionLog+xml"/>
  <Override PartName="/xl/revisions/revisionLog27.xml" ContentType="application/vnd.openxmlformats-officedocument.spreadsheetml.revisionLog+xml"/>
  <Override PartName="/xl/revisions/revisionLog77.xml" ContentType="application/vnd.openxmlformats-officedocument.spreadsheetml.revisionLog+xml"/>
  <Override PartName="/xl/revisions/revisionLog93.xml" ContentType="application/vnd.openxmlformats-officedocument.spreadsheetml.revisionLog+xml"/>
  <Override PartName="/xl/revisions/revisionLog98.xml" ContentType="application/vnd.openxmlformats-officedocument.spreadsheetml.revisionLog+xml"/>
  <Override PartName="/xl/revisions/revisionLog119.xml" ContentType="application/vnd.openxmlformats-officedocument.spreadsheetml.revisionLog+xml"/>
  <Override PartName="/xl/revisions/revisionLog114.xml" ContentType="application/vnd.openxmlformats-officedocument.spreadsheetml.revisionLog+xml"/>
  <Override PartName="/xl/revisions/revisionLog130.xml" ContentType="application/vnd.openxmlformats-officedocument.spreadsheetml.revisionLog+xml"/>
  <Override PartName="/xl/revisions/revisionLog135.xml" ContentType="application/vnd.openxmlformats-officedocument.spreadsheetml.revisionLog+xml"/>
  <Override PartName="/xl/revisions/revisionLog13.xml" ContentType="application/vnd.openxmlformats-officedocument.spreadsheetml.revisionLog+xml"/>
  <Override PartName="/xl/revisions/revisionLog23.xml" ContentType="application/vnd.openxmlformats-officedocument.spreadsheetml.revisionLog+xml"/>
  <Override PartName="/xl/revisions/revisionLog43.xml" ContentType="application/vnd.openxmlformats-officedocument.spreadsheetml.revisionLog+xml"/>
  <Override PartName="/xl/revisions/revisionLog38.xml" ContentType="application/vnd.openxmlformats-officedocument.spreadsheetml.revisionLog+xml"/>
  <Override PartName="/xl/revisions/revisionLog59.xml" ContentType="application/vnd.openxmlformats-officedocument.spreadsheetml.revisionLog+xml"/>
  <Override PartName="/xl/revisions/revisionLog68.xml" ContentType="application/vnd.openxmlformats-officedocument.spreadsheetml.revisionLog+xml"/>
  <Override PartName="/xl/revisions/revisionLog83.xml" ContentType="application/vnd.openxmlformats-officedocument.spreadsheetml.revisionLog+xml"/>
  <Override PartName="/xl/revisions/revisionLog88.xml" ContentType="application/vnd.openxmlformats-officedocument.spreadsheetml.revisionLog+xml"/>
  <Override PartName="/xl/revisions/revisionLog109.xml" ContentType="application/vnd.openxmlformats-officedocument.spreadsheetml.revisionLog+xml"/>
  <Override PartName="/xl/revisions/revisionLog104.xml" ContentType="application/vnd.openxmlformats-officedocument.spreadsheetml.revisionLog+xml"/>
  <Override PartName="/xl/revisions/revisionLog120.xml" ContentType="application/vnd.openxmlformats-officedocument.spreadsheetml.revisionLog+xml"/>
  <Override PartName="/xl/revisions/revisionLog125.xml" ContentType="application/vnd.openxmlformats-officedocument.spreadsheetml.revisionLog+xml"/>
  <Override PartName="/xl/revisions/revisionLog54.xml" ContentType="application/vnd.openxmlformats-officedocument.spreadsheetml.revisionLog+xml"/>
  <Override PartName="/xl/revisions/revisionLog33.xml" ContentType="application/vnd.openxmlformats-officedocument.spreadsheetml.revisionLog+xml"/>
  <Override PartName="/xl/revisions/revisionLog28.xml" ContentType="application/vnd.openxmlformats-officedocument.spreadsheetml.revisionLog+xml"/>
  <Override PartName="/xl/revisions/revisionLog49.xml" ContentType="application/vnd.openxmlformats-officedocument.spreadsheetml.revisionLog+xml"/>
  <Override PartName="/xl/revisions/revisionLog16.xml" ContentType="application/vnd.openxmlformats-officedocument.spreadsheetml.revisionLog+xml"/>
  <Override PartName="/xl/revisions/revisionLog21.xml" ContentType="application/vnd.openxmlformats-officedocument.spreadsheetml.revisionLog+xml"/>
  <Override PartName="/xl/revisions/revisionLog6.xml" ContentType="application/vnd.openxmlformats-officedocument.spreadsheetml.revisionLog+xml"/>
  <Override PartName="/xl/revisions/revisionLog24.xml" ContentType="application/vnd.openxmlformats-officedocument.spreadsheetml.revisionLog+xml"/>
  <Override PartName="/xl/revisions/revisionLog73.xml" ContentType="application/vnd.openxmlformats-officedocument.spreadsheetml.revisionLog+xml"/>
  <Override PartName="/xl/revisions/revisionLog78.xml" ContentType="application/vnd.openxmlformats-officedocument.spreadsheetml.revisionLog+xml"/>
  <Override PartName="/xl/revisions/revisionLog99.xml" ContentType="application/vnd.openxmlformats-officedocument.spreadsheetml.revisionLog+xml"/>
  <Override PartName="/xl/revisions/revisionLog94.xml" ContentType="application/vnd.openxmlformats-officedocument.spreadsheetml.revisionLog+xml"/>
  <Override PartName="/xl/revisions/revisionLog110.xml" ContentType="application/vnd.openxmlformats-officedocument.spreadsheetml.revisionLog+xml"/>
  <Override PartName="/xl/revisions/revisionLog115.xml" ContentType="application/vnd.openxmlformats-officedocument.spreadsheetml.revisionLog+xml"/>
  <Override PartName="/xl/revisions/revisionLog136.xml" ContentType="application/vnd.openxmlformats-officedocument.spreadsheetml.revisionLog+xml"/>
  <Override PartName="/xl/revisions/revisionLog44.xml" ContentType="application/vnd.openxmlformats-officedocument.spreadsheetml.revisionLog+xml"/>
  <Override PartName="/xl/revisions/revisionLog131.xml" ContentType="application/vnd.openxmlformats-officedocument.spreadsheetml.revisionLog+xml"/>
  <Override PartName="/xl/revisions/revisionLog69.xml" ContentType="application/vnd.openxmlformats-officedocument.spreadsheetml.revisionLog+xml"/>
  <Override PartName="/xl/revisions/revisionLog39.xml" ContentType="application/vnd.openxmlformats-officedocument.spreadsheetml.revisionLog+xml"/>
  <Override PartName="/xl/revisions/revisionLog60.xml" ContentType="application/vnd.openxmlformats-officedocument.spreadsheetml.revisionLog+xml"/>
  <Override PartName="/xl/revisions/revisionLog62.xml" ContentType="application/vnd.openxmlformats-officedocument.spreadsheetml.revisionLog+xml"/>
  <Override PartName="/xl/revisions/revisionLog1.xml" ContentType="application/vnd.openxmlformats-officedocument.spreadsheetml.revisionLog+xml"/>
  <Override PartName="/xl/revisions/revisionLog89.xml" ContentType="application/vnd.openxmlformats-officedocument.spreadsheetml.revisionLog+xml"/>
  <Override PartName="/xl/revisions/revisionLog84.xml" ContentType="application/vnd.openxmlformats-officedocument.spreadsheetml.revisionLog+xml"/>
  <Override PartName="/xl/revisions/revisionLog100.xml" ContentType="application/vnd.openxmlformats-officedocument.spreadsheetml.revisionLog+xml"/>
  <Override PartName="/xl/revisions/revisionLog105.xml" ContentType="application/vnd.openxmlformats-officedocument.spreadsheetml.revisionLog+xml"/>
  <Override PartName="/xl/revisions/revisionLog126.xml" ContentType="application/vnd.openxmlformats-officedocument.spreadsheetml.revisionLog+xml"/>
  <Override PartName="/xl/revisions/revisionLog34.xml" ContentType="application/vnd.openxmlformats-officedocument.spreadsheetml.revisionLog+xml"/>
  <Override PartName="/xl/revisions/revisionLog121.xml" ContentType="application/vnd.openxmlformats-officedocument.spreadsheetml.revisionLog+xml"/>
  <Override PartName="/xl/revisions/revisionLog22.xml" ContentType="application/vnd.openxmlformats-officedocument.spreadsheetml.revisionLog+xml"/>
  <Override PartName="/xl/revisions/revisionLog29.xml" ContentType="application/vnd.openxmlformats-officedocument.spreadsheetml.revisionLog+xml"/>
  <Override PartName="/xl/revisions/revisionLog50.xml" ContentType="application/vnd.openxmlformats-officedocument.spreadsheetml.revisionLog+xml"/>
  <Override PartName="/xl/revisions/revisionLog55.xml" ContentType="application/vnd.openxmlformats-officedocument.spreadsheetml.revisionLog+xml"/>
  <Override PartName="/xl/revisions/revisionLog17.xml" ContentType="application/vnd.openxmlformats-officedocument.spreadsheetml.revisionLog+xml"/>
  <Override PartName="/xl/revisions/revisionLog7.xml" ContentType="application/vnd.openxmlformats-officedocument.spreadsheetml.revisionLog+xml"/>
  <Override PartName="/xl/revisions/revisionLog79.xml" ContentType="application/vnd.openxmlformats-officedocument.spreadsheetml.revisionLog+xml"/>
  <Override PartName="/xl/revisions/revisionLog2.xml" ContentType="application/vnd.openxmlformats-officedocument.spreadsheetml.revisionLog+xml"/>
  <Override PartName="/xl/revisions/revisionLog74.xml" ContentType="application/vnd.openxmlformats-officedocument.spreadsheetml.revisionLog+xml"/>
  <Override PartName="/xl/revisions/revisionLog90.xml" ContentType="application/vnd.openxmlformats-officedocument.spreadsheetml.revisionLog+xml"/>
  <Override PartName="/xl/revisions/revisionLog95.xml" ContentType="application/vnd.openxmlformats-officedocument.spreadsheetml.revisionLog+xml"/>
  <Override PartName="/xl/revisions/revisionLog116.xml" ContentType="application/vnd.openxmlformats-officedocument.spreadsheetml.revisionLog+xml"/>
  <Override PartName="/xl/revisions/revisionLog111.xml" ContentType="application/vnd.openxmlformats-officedocument.spreadsheetml.revisionLog+xml"/>
  <Override PartName="/xl/revisions/revisionLog132.xml" ContentType="application/vnd.openxmlformats-officedocument.spreadsheetml.revisionLog+xml"/>
  <Override PartName="/xl/revisions/revisionLog63.xml" ContentType="application/vnd.openxmlformats-officedocument.spreadsheetml.revisionLog+xml"/>
  <Override PartName="/xl/revisions/revisionLog61.xml" ContentType="application/vnd.openxmlformats-officedocument.spreadsheetml.revisionLog+xml"/>
  <Override PartName="/xl/revisions/revisionLog40.xml" ContentType="application/vnd.openxmlformats-officedocument.spreadsheetml.revisionLog+xml"/>
  <Override PartName="/xl/revisions/revisionLog45.xml" ContentType="application/vnd.openxmlformats-officedocument.spreadsheetml.revisionLog+xml"/>
  <Override PartName="/xl/revisions/revisionLog65.xml" ContentType="application/vnd.openxmlformats-officedocument.spreadsheetml.revisionLog+xml"/>
  <Override PartName="/xl/revisions/revisionLog70.xml" ContentType="application/vnd.openxmlformats-officedocument.spreadsheetml.revisionLog+xml"/>
  <Override PartName="/xl/revisions/revisionLog85.xml" ContentType="application/vnd.openxmlformats-officedocument.spreadsheetml.revisionLog+xml"/>
  <Override PartName="/xl/revisions/revisionLog106.xml" ContentType="application/vnd.openxmlformats-officedocument.spreadsheetml.revisionLog+xml"/>
  <Override PartName="/xl/revisions/revisionLog127.xml" ContentType="application/vnd.openxmlformats-officedocument.spreadsheetml.revisionLog+xml"/>
  <Override PartName="/xl/revisions/revisionLog80.xml" ContentType="application/vnd.openxmlformats-officedocument.spreadsheetml.revisionLog+xml"/>
  <Override PartName="/xl/revisions/revisionLog101.xml" ContentType="application/vnd.openxmlformats-officedocument.spreadsheetml.revisionLog+xml"/>
  <Override PartName="/xl/revisions/revisionLog122.xml" ContentType="application/vnd.openxmlformats-officedocument.spreadsheetml.revisionLog+xml"/>
  <Override PartName="/xl/revisions/revisionLog56.xml" ContentType="application/vnd.openxmlformats-officedocument.spreadsheetml.revisionLog+xml"/>
  <Override PartName="/xl/revisions/revisionLog51.xml" ContentType="application/vnd.openxmlformats-officedocument.spreadsheetml.revisionLog+xml"/>
  <Override PartName="/xl/revisions/revisionLog30.xml" ContentType="application/vnd.openxmlformats-officedocument.spreadsheetml.revisionLog+xml"/>
  <Override PartName="/xl/revisions/revisionLog35.xml" ContentType="application/vnd.openxmlformats-officedocument.spreadsheetml.revisionLog+xml"/>
  <Override PartName="/xl/revisions/revisionLog64.xml" ContentType="application/vnd.openxmlformats-officedocument.spreadsheetml.revisionLog+xml"/>
  <Override PartName="/xl/revisions/revisionLog18.xml" ContentType="application/vnd.openxmlformats-officedocument.spreadsheetml.revisionLog+xml"/>
  <Override PartName="/xl/revisions/revisionLog3.xml" ContentType="application/vnd.openxmlformats-officedocument.spreadsheetml.revisionLog+xml"/>
  <Override PartName="/xl/revisions/revisionLog8.xml" ContentType="application/vnd.openxmlformats-officedocument.spreadsheetml.revisionLog+xml"/>
  <Override PartName="/xl/revisions/revisionLog75.xml" ContentType="application/vnd.openxmlformats-officedocument.spreadsheetml.revisionLog+xml"/>
  <Override PartName="/xl/revisions/revisionLog96.xml" ContentType="application/vnd.openxmlformats-officedocument.spreadsheetml.revisionLog+xml"/>
  <Override PartName="/xl/revisions/revisionLog117.xml" ContentType="application/vnd.openxmlformats-officedocument.spreadsheetml.revisionLog+xml"/>
  <Override PartName="/xl/revisions/revisionLog25.xml" ContentType="application/vnd.openxmlformats-officedocument.spreadsheetml.revisionLog+xml"/>
  <Override PartName="/xl/revisions/revisionLog91.xml" ContentType="application/vnd.openxmlformats-officedocument.spreadsheetml.revisionLog+xml"/>
  <Override PartName="/xl/revisions/revisionLog112.xml" ContentType="application/vnd.openxmlformats-officedocument.spreadsheetml.revisionLog+xml"/>
  <Override PartName="/xl/revisions/revisionLog133.xml" ContentType="application/vnd.openxmlformats-officedocument.spreadsheetml.revisionLog+xml"/>
  <Override PartName="/xl/revisions/revisionLog46.xml" ContentType="application/vnd.openxmlformats-officedocument.spreadsheetml.revisionLog+xml"/>
  <Override PartName="/xl/revisions/revisionLog41.xml" ContentType="application/vnd.openxmlformats-officedocument.spreadsheetml.revisionLog+xml"/>
  <Override PartName="/xl/revisions/revisionLog57.xml" ContentType="application/vnd.openxmlformats-officedocument.spreadsheetml.revisionLog+xml"/>
  <Override PartName="/xl/revisions/revisionLog11.xml" ContentType="application/vnd.openxmlformats-officedocument.spreadsheetml.revisionLog+xml"/>
  <Override PartName="/xl/revisions/revisionLog66.xml" ContentType="application/vnd.openxmlformats-officedocument.spreadsheetml.revisionLog+xml"/>
  <Override PartName="/xl/revisions/revisionLog71.xml" ContentType="application/vnd.openxmlformats-officedocument.spreadsheetml.revisionLog+xml"/>
  <Override PartName="/xl/revisions/revisionLog86.xml" ContentType="application/vnd.openxmlformats-officedocument.spreadsheetml.revisionLog+xml"/>
  <Override PartName="/xl/revisions/revisionLog81.xml" ContentType="application/vnd.openxmlformats-officedocument.spreadsheetml.revisionLog+xml"/>
  <Override PartName="/xl/revisions/revisionLog102.xml" ContentType="application/vnd.openxmlformats-officedocument.spreadsheetml.revisionLog+xml"/>
  <Override PartName="/xl/revisions/revisionLog107.xml" ContentType="application/vnd.openxmlformats-officedocument.spreadsheetml.revisionLog+xml"/>
  <Override PartName="/xl/revisions/revisionLog123.xml" ContentType="application/vnd.openxmlformats-officedocument.spreadsheetml.revisionLog+xml"/>
  <Override PartName="/xl/revisions/revisionLog128.xml" ContentType="application/vnd.openxmlformats-officedocument.spreadsheetml.revisionLog+xml"/>
  <Override PartName="/xl/revisions/revisionLog36.xml" ContentType="application/vnd.openxmlformats-officedocument.spreadsheetml.revisionLog+xml"/>
  <Override PartName="/xl/revisions/revisionLog31.xml" ContentType="application/vnd.openxmlformats-officedocument.spreadsheetml.revisionLog+xml"/>
  <Override PartName="/xl/revisions/revisionLog47.xml" ContentType="application/vnd.openxmlformats-officedocument.spreadsheetml.revisionLog+xml"/>
  <Override PartName="/xl/revisions/revisionLog52.xml" ContentType="application/vnd.openxmlformats-officedocument.spreadsheetml.revisionLog+xml"/>
  <Override PartName="/xl/revisions/revisionLog14.xml" ContentType="application/vnd.openxmlformats-officedocument.spreadsheetml.revisionLog+xml"/>
  <Override PartName="/xl/revisions/revisionLog19.xml" ContentType="application/vnd.openxmlformats-officedocument.spreadsheetml.revisionLog+xml"/>
  <Override PartName="/xl/revisions/revisionLog9.xml" ContentType="application/vnd.openxmlformats-officedocument.spreadsheetml.revisionLog+xml"/>
  <Override PartName="/xl/revisions/revisionLog76.xml" ContentType="application/vnd.openxmlformats-officedocument.spreadsheetml.revisionLog+xml"/>
  <Override PartName="/xl/revisions/revisionLog4.xml" ContentType="application/vnd.openxmlformats-officedocument.spreadsheetml.revisionLog+xml"/>
  <Override PartName="/xl/revisions/revisionLog26.xml" ContentType="application/vnd.openxmlformats-officedocument.spreadsheetml.revisionLog+xml"/>
  <Override PartName="/xl/revisions/revisionLog92.xml" ContentType="application/vnd.openxmlformats-officedocument.spreadsheetml.revisionLog+xml"/>
  <Override PartName="/xl/revisions/revisionLog97.xml" ContentType="application/vnd.openxmlformats-officedocument.spreadsheetml.revisionLog+xml"/>
  <Override PartName="/xl/revisions/revisionLog113.xml" ContentType="application/vnd.openxmlformats-officedocument.spreadsheetml.revisionLog+xml"/>
  <Override PartName="/xl/revisions/revisionLog118.xml" ContentType="application/vnd.openxmlformats-officedocument.spreadsheetml.revisionLog+xml"/>
  <Override PartName="/xl/revisions/revisionLog134.xml" ContentType="application/vnd.openxmlformats-officedocument.spreadsheetml.revisionLog+xml"/>
  <Override PartName="/xl/revisions/revisionLog37.xml" ContentType="application/vnd.openxmlformats-officedocument.spreadsheetml.revisionLog+xml"/>
  <Override PartName="/xl/revisions/revisionLog58.xml" ContentType="application/vnd.openxmlformats-officedocument.spreadsheetml.revisionLo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\\Mds.net\mds\SE\SAA\CGLA\CDA\DIARQ\Atividade Semanal - Equipe\z INDICADORES - POR DIA\Indicadores Ano 2025\"/>
    </mc:Choice>
  </mc:AlternateContent>
  <xr:revisionPtr revIDLastSave="0" documentId="13_ncr:81_{EAFBF98F-2FB8-4EB4-BB08-33DCED57DE05}" xr6:coauthVersionLast="47" xr6:coauthVersionMax="47" xr10:uidLastSave="{00000000-0000-0000-0000-000000000000}"/>
  <bookViews>
    <workbookView xWindow="-120" yWindow="-120" windowWidth="24240" windowHeight="13140" tabRatio="667" firstSheet="3" activeTab="7" xr2:uid="{00000000-000D-0000-FFFF-FFFF00000000}"/>
  </bookViews>
  <sheets>
    <sheet name="GLOSSÁRIO" sheetId="12" r:id="rId1"/>
    <sheet name="Patrícia" sheetId="1" r:id="rId2"/>
    <sheet name="Marcelo" sheetId="2" r:id="rId3"/>
    <sheet name="TOTAL" sheetId="3" r:id="rId4"/>
    <sheet name="Diego" sheetId="4" r:id="rId5"/>
    <sheet name="Aelton" sheetId="5" r:id="rId6"/>
    <sheet name="Leonam" sheetId="6" r:id="rId7"/>
    <sheet name="Danilo" sheetId="7" r:id="rId8"/>
    <sheet name="Marcos" sheetId="8" r:id="rId9"/>
    <sheet name="Alessandro" sheetId="10" r:id="rId10"/>
    <sheet name="Carlos" sheetId="9" r:id="rId11"/>
    <sheet name="Planilha1" sheetId="11" r:id="rId12"/>
  </sheets>
  <definedNames>
    <definedName name="_xlnm._FilterDatabase" localSheetId="5" hidden="1">Aelton!$A$1:$A$19</definedName>
    <definedName name="_xlnm._FilterDatabase" localSheetId="9" hidden="1">Alessandro!$A$1:$A$19</definedName>
    <definedName name="_xlnm._FilterDatabase" localSheetId="10" hidden="1">Carlos!$A$1:$A$19</definedName>
    <definedName name="_xlnm._FilterDatabase" localSheetId="7" hidden="1">Danilo!$A$1:$A$19</definedName>
    <definedName name="_xlnm._FilterDatabase" localSheetId="4" hidden="1">Diego!$A$1:$A$20</definedName>
    <definedName name="_xlnm._FilterDatabase" localSheetId="6" hidden="1">Leonam!$A$1:$BD$19</definedName>
    <definedName name="_xlnm._FilterDatabase" localSheetId="2" hidden="1">Marcelo!$A$1:$A$18</definedName>
    <definedName name="_xlnm._FilterDatabase" localSheetId="8" hidden="1">Marcos!$A$1:$A$19</definedName>
    <definedName name="_xlnm._FilterDatabase" localSheetId="1" hidden="1">Patrícia!$A$1:$A$18</definedName>
    <definedName name="_xlnm._FilterDatabase" localSheetId="3" hidden="1">TOTAL!$A$1:$A$19</definedName>
    <definedName name="_xleta.N" hidden="1">#NAME?</definedName>
    <definedName name="Z_0B55FC46_3C4C_40FA_8D19_F188F3837C28_.wvu.FilterData" localSheetId="8" hidden="1">Marcos!$A$1:$A$19</definedName>
    <definedName name="Z_1510BE18_73CC_483F_9E2C_433AE8548BC0_.wvu.FilterData" localSheetId="10" hidden="1">Carlos!$A$1:$A$19</definedName>
    <definedName name="Z_1510BE18_73CC_483F_9E2C_433AE8548BC0_.wvu.FilterData" localSheetId="4" hidden="1">Diego!$A$1:$A$19</definedName>
    <definedName name="Z_1510BE18_73CC_483F_9E2C_433AE8548BC0_.wvu.FilterData" localSheetId="6" hidden="1">Leonam!$A$1:$BD$19</definedName>
    <definedName name="Z_1510BE18_73CC_483F_9E2C_433AE8548BC0_.wvu.FilterData" localSheetId="8" hidden="1">Marcos!$A$1:$A$19</definedName>
    <definedName name="Z_18A482E0_C8B6_4AA1_9E04_15FA7C9CD5E3_.wvu.FilterData" localSheetId="5" hidden="1">Aelton!$A$1:$A$19</definedName>
    <definedName name="Z_18A482E0_C8B6_4AA1_9E04_15FA7C9CD5E3_.wvu.FilterData" localSheetId="9" hidden="1">Alessandro!$A$1:$A$19</definedName>
    <definedName name="Z_18A482E0_C8B6_4AA1_9E04_15FA7C9CD5E3_.wvu.FilterData" localSheetId="10" hidden="1">Carlos!$A$1:$A$19</definedName>
    <definedName name="Z_18A482E0_C8B6_4AA1_9E04_15FA7C9CD5E3_.wvu.FilterData" localSheetId="7" hidden="1">Danilo!$A$1:$A$19</definedName>
    <definedName name="Z_18A482E0_C8B6_4AA1_9E04_15FA7C9CD5E3_.wvu.FilterData" localSheetId="4" hidden="1">Diego!$A$1:$A$19</definedName>
    <definedName name="Z_18A482E0_C8B6_4AA1_9E04_15FA7C9CD5E3_.wvu.FilterData" localSheetId="6" hidden="1">Leonam!$A$1:$BD$19</definedName>
    <definedName name="Z_18A482E0_C8B6_4AA1_9E04_15FA7C9CD5E3_.wvu.FilterData" localSheetId="2" hidden="1">Marcelo!$A$1:$A$18</definedName>
    <definedName name="Z_18A482E0_C8B6_4AA1_9E04_15FA7C9CD5E3_.wvu.FilterData" localSheetId="8" hidden="1">Marcos!$A$1:$A$19</definedName>
    <definedName name="Z_18A482E0_C8B6_4AA1_9E04_15FA7C9CD5E3_.wvu.FilterData" localSheetId="1" hidden="1">Patrícia!$A$1:$A$18</definedName>
    <definedName name="Z_18A482E0_C8B6_4AA1_9E04_15FA7C9CD5E3_.wvu.FilterData" localSheetId="3" hidden="1">TOTAL!$A$1:$A$19</definedName>
    <definedName name="Z_1B7E66BC_FAD9_49CD_A44C_EC1BA1D78012_.wvu.FilterData" localSheetId="4" hidden="1">Diego!$A$1:$A$20</definedName>
    <definedName name="Z_1B7E66BC_FAD9_49CD_A44C_EC1BA1D78012_.wvu.FilterData" localSheetId="8" hidden="1">Marcos!$A$1:$A$19</definedName>
    <definedName name="Z_1BDA250B_2920_4BD7_A433_977E2DD900C8_.wvu.FilterData" localSheetId="7" hidden="1">Danilo!$A$1:$A$32</definedName>
    <definedName name="Z_1BDA250B_2920_4BD7_A433_977E2DD900C8_.wvu.FilterData" localSheetId="8" hidden="1">Marcos!$A$1:$A$19</definedName>
    <definedName name="Z_20CB6D8F_C24D_4D4B_A424_AF380F620455_.wvu.FilterData" localSheetId="5" hidden="1">Aelton!$A$1:$A$19</definedName>
    <definedName name="Z_20CB6D8F_C24D_4D4B_A424_AF380F620455_.wvu.FilterData" localSheetId="9" hidden="1">Alessandro!$A$1:$A$19</definedName>
    <definedName name="Z_20CB6D8F_C24D_4D4B_A424_AF380F620455_.wvu.FilterData" localSheetId="10" hidden="1">Carlos!$A$1:$A$19</definedName>
    <definedName name="Z_20CB6D8F_C24D_4D4B_A424_AF380F620455_.wvu.FilterData" localSheetId="7" hidden="1">Danilo!$A$1:$A$19</definedName>
    <definedName name="Z_20CB6D8F_C24D_4D4B_A424_AF380F620455_.wvu.FilterData" localSheetId="4" hidden="1">Diego!$A$1:$A$20</definedName>
    <definedName name="Z_20CB6D8F_C24D_4D4B_A424_AF380F620455_.wvu.FilterData" localSheetId="6" hidden="1">Leonam!$A$1:$BD$19</definedName>
    <definedName name="Z_20CB6D8F_C24D_4D4B_A424_AF380F620455_.wvu.FilterData" localSheetId="2" hidden="1">Marcelo!$A$1:$A$18</definedName>
    <definedName name="Z_20CB6D8F_C24D_4D4B_A424_AF380F620455_.wvu.FilterData" localSheetId="8" hidden="1">Marcos!$A$1:$A$19</definedName>
    <definedName name="Z_20CB6D8F_C24D_4D4B_A424_AF380F620455_.wvu.FilterData" localSheetId="1" hidden="1">Patrícia!$A$1:$A$18</definedName>
    <definedName name="Z_20CB6D8F_C24D_4D4B_A424_AF380F620455_.wvu.FilterData" localSheetId="3" hidden="1">TOTAL!$A$1:$A$19</definedName>
    <definedName name="Z_26904941_D7A6_4400_A4D4_FC1C61AD552D_.wvu.FilterData" localSheetId="6" hidden="1">Leonam!$A$1:$BD$19</definedName>
    <definedName name="Z_27D1146D_2AA0_4FD6_A294_24C99A5284B4_.wvu.FilterData" localSheetId="9" hidden="1">Alessandro!$A$1:$A$19</definedName>
    <definedName name="Z_292194A3_4172_400D_B49A_B6ABE831DBEB_.wvu.FilterData" localSheetId="5" hidden="1">Aelton!$A$1:$A$19</definedName>
    <definedName name="Z_292194A3_4172_400D_B49A_B6ABE831DBEB_.wvu.FilterData" localSheetId="4" hidden="1">Diego!$A$1:$A$20</definedName>
    <definedName name="Z_292194A3_4172_400D_B49A_B6ABE831DBEB_.wvu.FilterData" localSheetId="6" hidden="1">Leonam!$A$1:$BD$19</definedName>
    <definedName name="Z_292194A3_4172_400D_B49A_B6ABE831DBEB_.wvu.FilterData" localSheetId="8" hidden="1">Marcos!$A$1:$A$19</definedName>
    <definedName name="Z_29ECD1DE_9036_4576_AB88_5BDD65D2BD2E_.wvu.FilterData" localSheetId="6" hidden="1">Leonam!$A$1:$BD$19</definedName>
    <definedName name="Z_303FA4A8_3B77_41B3_90B1_0B6BBA338E37_.wvu.FilterData" localSheetId="5" hidden="1">Aelton!$A$1:$A$19</definedName>
    <definedName name="Z_3CC06121_2B9B_48D6_95F1_5B29B3ACEAC3_.wvu.FilterData" localSheetId="6" hidden="1">Leonam!$A$1:$BD$19</definedName>
    <definedName name="Z_3D987F8E_A6EA_454D_9537_6BFC5053CB00_.wvu.FilterData" localSheetId="5" hidden="1">Aelton!$A$1:$A$19</definedName>
    <definedName name="Z_3D987F8E_A6EA_454D_9537_6BFC5053CB00_.wvu.FilterData" localSheetId="9" hidden="1">Alessandro!$A$1:$A$19</definedName>
    <definedName name="Z_3D987F8E_A6EA_454D_9537_6BFC5053CB00_.wvu.FilterData" localSheetId="10" hidden="1">Carlos!$A$1:$A$19</definedName>
    <definedName name="Z_3D987F8E_A6EA_454D_9537_6BFC5053CB00_.wvu.FilterData" localSheetId="7" hidden="1">Danilo!$A$1:$A$19</definedName>
    <definedName name="Z_3D987F8E_A6EA_454D_9537_6BFC5053CB00_.wvu.FilterData" localSheetId="4" hidden="1">Diego!$A$1:$A$20</definedName>
    <definedName name="Z_3D987F8E_A6EA_454D_9537_6BFC5053CB00_.wvu.FilterData" localSheetId="6" hidden="1">Leonam!$A$1:$BD$19</definedName>
    <definedName name="Z_3D987F8E_A6EA_454D_9537_6BFC5053CB00_.wvu.FilterData" localSheetId="2" hidden="1">Marcelo!$A$1:$A$18</definedName>
    <definedName name="Z_3D987F8E_A6EA_454D_9537_6BFC5053CB00_.wvu.FilterData" localSheetId="8" hidden="1">Marcos!$A$1:$A$19</definedName>
    <definedName name="Z_3D987F8E_A6EA_454D_9537_6BFC5053CB00_.wvu.FilterData" localSheetId="1" hidden="1">Patrícia!$A$1:$A$18</definedName>
    <definedName name="Z_3D987F8E_A6EA_454D_9537_6BFC5053CB00_.wvu.FilterData" localSheetId="3" hidden="1">TOTAL!$A$1:$A$19</definedName>
    <definedName name="Z_4079B0E0_0C38_4415_85D0_9ADAAD8545C0_.wvu.FilterData" localSheetId="7" hidden="1">Danilo!$A$1:$A$32</definedName>
    <definedName name="Z_4079B0E0_0C38_4415_85D0_9ADAAD8545C0_.wvu.FilterData" localSheetId="4" hidden="1">Diego!$A$1:$A$19</definedName>
    <definedName name="Z_4079B0E0_0C38_4415_85D0_9ADAAD8545C0_.wvu.FilterData" localSheetId="3" hidden="1">TOTAL!$A$1:$A$19</definedName>
    <definedName name="Z_4C2581D1_FB98_41CF_B2FE_518BD27D9442_.wvu.FilterData" localSheetId="5" hidden="1">Aelton!$A$1:$A$19</definedName>
    <definedName name="Z_4C2581D1_FB98_41CF_B2FE_518BD27D9442_.wvu.FilterData" localSheetId="6" hidden="1">Leonam!$A$1:$BD$19</definedName>
    <definedName name="Z_4C2581D1_FB98_41CF_B2FE_518BD27D9442_.wvu.FilterData" localSheetId="8" hidden="1">Marcos!$A$1:$A$19</definedName>
    <definedName name="Z_4E060732_83F8_4DF4_BA69_E86233C09DEB_.wvu.FilterData" localSheetId="4" hidden="1">Diego!$A$1:$A$19</definedName>
    <definedName name="Z_527DBFB3_F830_471C_A755_D892B2B1A236_.wvu.FilterData" localSheetId="8" hidden="1">Marcos!$A$1:$A$19</definedName>
    <definedName name="Z_5D13117B_1A22_428E_846B_EF3C77E3CE3F_.wvu.FilterData" localSheetId="5" hidden="1">Aelton!$A$1:$A$19</definedName>
    <definedName name="Z_5D13117B_1A22_428E_846B_EF3C77E3CE3F_.wvu.FilterData" localSheetId="6" hidden="1">Leonam!$A$1:$BD$19</definedName>
    <definedName name="Z_6192735B_895E_467E_8A7A_A96CA401E8FC_.wvu.FilterData" localSheetId="5" hidden="1">Aelton!$A$1:$A$19</definedName>
    <definedName name="Z_6192735B_895E_467E_8A7A_A96CA401E8FC_.wvu.FilterData" localSheetId="4" hidden="1">Diego!$A$1:$A$19</definedName>
    <definedName name="Z_6192735B_895E_467E_8A7A_A96CA401E8FC_.wvu.FilterData" localSheetId="8" hidden="1">Marcos!$A$1:$A$19</definedName>
    <definedName name="Z_61D1DCE3_0F76_42AD_BA8D_EA23AEA54BEF_.wvu.FilterData" localSheetId="8" hidden="1">Marcos!$A$1:$A$19</definedName>
    <definedName name="Z_63529BB9_7B0C_4CFB_832A_9827D1497A2D_.wvu.FilterData" localSheetId="9" hidden="1">Alessandro!$A$1:$A$19</definedName>
    <definedName name="Z_63529BB9_7B0C_4CFB_832A_9827D1497A2D_.wvu.FilterData" localSheetId="7" hidden="1">Danilo!$A$1:$A$32</definedName>
    <definedName name="Z_65C2FB55_1D25_4E58_BA73_A7FADBD630D1_.wvu.FilterData" localSheetId="5" hidden="1">Aelton!$A$1:$A$19</definedName>
    <definedName name="Z_65C2FB55_1D25_4E58_BA73_A7FADBD630D1_.wvu.FilterData" localSheetId="7" hidden="1">Danilo!$A$1:$A$19</definedName>
    <definedName name="Z_65C2FB55_1D25_4E58_BA73_A7FADBD630D1_.wvu.FilterData" localSheetId="6" hidden="1">Leonam!$A$1:$BD$19</definedName>
    <definedName name="Z_6B6B262E_F738_43C3_94B9_04FDA955C398_.wvu.FilterData" localSheetId="5" hidden="1">Aelton!$A$1:$A$19</definedName>
    <definedName name="Z_7127A2CF_8838_43D3_998B_5F5427E8950C_.wvu.FilterData" localSheetId="4" hidden="1">Diego!$A$1:$A$19</definedName>
    <definedName name="Z_738B9F68_9A21_4046_A982_E676530BDBAD_.wvu.FilterData" localSheetId="6" hidden="1">Leonam!$A$1:$BD$19</definedName>
    <definedName name="Z_746A910F_57F7_4BB6_BAEE_91398E13A270_.wvu.FilterData" localSheetId="4" hidden="1">Diego!$A$1:$A$19</definedName>
    <definedName name="Z_82015759_A7A4_4B45_A07B_67FCECB10C26_.wvu.FilterData" localSheetId="7" hidden="1">Danilo!$A$1:$A$32</definedName>
    <definedName name="Z_82015759_A7A4_4B45_A07B_67FCECB10C26_.wvu.FilterData" localSheetId="8" hidden="1">Marcos!$A$1:$A$19</definedName>
    <definedName name="Z_86039CF8_B158_4D70_9A6F_A10C29CBD68A_.wvu.FilterData" localSheetId="5" hidden="1">Aelton!$A$1:$A$19</definedName>
    <definedName name="Z_86039CF8_B158_4D70_9A6F_A10C29CBD68A_.wvu.FilterData" localSheetId="9" hidden="1">Alessandro!$A$1:$A$19</definedName>
    <definedName name="Z_86039CF8_B158_4D70_9A6F_A10C29CBD68A_.wvu.FilterData" localSheetId="10" hidden="1">Carlos!$A$1:$A$19</definedName>
    <definedName name="Z_86039CF8_B158_4D70_9A6F_A10C29CBD68A_.wvu.FilterData" localSheetId="7" hidden="1">Danilo!$A$1:$A$19</definedName>
    <definedName name="Z_86039CF8_B158_4D70_9A6F_A10C29CBD68A_.wvu.FilterData" localSheetId="4" hidden="1">Diego!$A$1:$A$20</definedName>
    <definedName name="Z_86039CF8_B158_4D70_9A6F_A10C29CBD68A_.wvu.FilterData" localSheetId="6" hidden="1">Leonam!$A$1:$BD$19</definedName>
    <definedName name="Z_86039CF8_B158_4D70_9A6F_A10C29CBD68A_.wvu.FilterData" localSheetId="2" hidden="1">Marcelo!$A$1:$A$18</definedName>
    <definedName name="Z_86039CF8_B158_4D70_9A6F_A10C29CBD68A_.wvu.FilterData" localSheetId="8" hidden="1">Marcos!$A$1:$A$19</definedName>
    <definedName name="Z_86039CF8_B158_4D70_9A6F_A10C29CBD68A_.wvu.FilterData" localSheetId="1" hidden="1">Patrícia!$A$1:$A$18</definedName>
    <definedName name="Z_86039CF8_B158_4D70_9A6F_A10C29CBD68A_.wvu.FilterData" localSheetId="3" hidden="1">TOTAL!$A$1:$A$19</definedName>
    <definedName name="Z_8AAB51A6_A0E3_4A5A_83CE_A375636D0BFE_.wvu.FilterData" localSheetId="5" hidden="1">Aelton!$A$1:$A$19</definedName>
    <definedName name="Z_8B8567AE_2A03_4707_8762_CDE0AA44BA28_.wvu.FilterData" localSheetId="5" hidden="1">Aelton!$A$1:$A$19</definedName>
    <definedName name="Z_8B8567AE_2A03_4707_8762_CDE0AA44BA28_.wvu.FilterData" localSheetId="4" hidden="1">Diego!$A$1:$A$19</definedName>
    <definedName name="Z_8B8567AE_2A03_4707_8762_CDE0AA44BA28_.wvu.FilterData" localSheetId="8" hidden="1">Marcos!$A$1:$A$19</definedName>
    <definedName name="Z_931E1DCD_AE31_4DFC_AEE0_716590C2FB18_.wvu.FilterData" localSheetId="3" hidden="1">TOTAL!$A$1:$A$19</definedName>
    <definedName name="Z_983ADA86_E669_487C_9992_26F9F57FF6A8_.wvu.FilterData" localSheetId="4" hidden="1">Diego!$A$1:$A$19</definedName>
    <definedName name="Z_99535A48_02C6_4675_AEF4_0A1912F5F9DA_.wvu.FilterData" localSheetId="8" hidden="1">Marcos!$A$1:$A$19</definedName>
    <definedName name="Z_9B623083_AA7B_440B_95EA_C33E1AB3D963_.wvu.FilterData" localSheetId="5" hidden="1">Aelton!$A$1:$A$19</definedName>
    <definedName name="Z_9B623083_AA7B_440B_95EA_C33E1AB3D963_.wvu.FilterData" localSheetId="9" hidden="1">Alessandro!$A$1:$A$19</definedName>
    <definedName name="Z_9B623083_AA7B_440B_95EA_C33E1AB3D963_.wvu.FilterData" localSheetId="10" hidden="1">Carlos!$A$1:$A$19</definedName>
    <definedName name="Z_9B623083_AA7B_440B_95EA_C33E1AB3D963_.wvu.FilterData" localSheetId="7" hidden="1">Danilo!$A$1:$A$19</definedName>
    <definedName name="Z_9B623083_AA7B_440B_95EA_C33E1AB3D963_.wvu.FilterData" localSheetId="4" hidden="1">Diego!$A$1:$A$20</definedName>
    <definedName name="Z_9B623083_AA7B_440B_95EA_C33E1AB3D963_.wvu.FilterData" localSheetId="6" hidden="1">Leonam!$A$1:$BD$19</definedName>
    <definedName name="Z_9B623083_AA7B_440B_95EA_C33E1AB3D963_.wvu.FilterData" localSheetId="2" hidden="1">Marcelo!$A$1:$A$18</definedName>
    <definedName name="Z_9B623083_AA7B_440B_95EA_C33E1AB3D963_.wvu.FilterData" localSheetId="8" hidden="1">Marcos!$A$1:$A$19</definedName>
    <definedName name="Z_9B623083_AA7B_440B_95EA_C33E1AB3D963_.wvu.FilterData" localSheetId="1" hidden="1">Patrícia!$A$1:$A$18</definedName>
    <definedName name="Z_9B623083_AA7B_440B_95EA_C33E1AB3D963_.wvu.FilterData" localSheetId="3" hidden="1">TOTAL!$A$1:$A$19</definedName>
    <definedName name="Z_9CFB1E26_96EA_4532_B160_606DC8600ED9_.wvu.FilterData" localSheetId="6" hidden="1">Leonam!$A$1:$BD$19</definedName>
    <definedName name="Z_9FB24CC8_6AED_4B47_A357_E4CCF7F8A2F3_.wvu.FilterData" localSheetId="8" hidden="1">Marcos!$A$1:$A$19</definedName>
    <definedName name="Z_AC7F9C71_E302_402F_9EA6_96E0FA3774E7_.wvu.FilterData" localSheetId="6" hidden="1">Leonam!$A$1:$BD$19</definedName>
    <definedName name="Z_B3CDE377_BA5D_4E06_91D9_3A48E1959BA5_.wvu.FilterData" localSheetId="5" hidden="1">Aelton!$A$1:$A$19</definedName>
    <definedName name="Z_B3CDE377_BA5D_4E06_91D9_3A48E1959BA5_.wvu.FilterData" localSheetId="9" hidden="1">Alessandro!$A$1:$A$19</definedName>
    <definedName name="Z_B3CDE377_BA5D_4E06_91D9_3A48E1959BA5_.wvu.FilterData" localSheetId="10" hidden="1">Carlos!$A$1:$A$19</definedName>
    <definedName name="Z_B3CDE377_BA5D_4E06_91D9_3A48E1959BA5_.wvu.FilterData" localSheetId="7" hidden="1">Danilo!$A$1:$A$19</definedName>
    <definedName name="Z_B3CDE377_BA5D_4E06_91D9_3A48E1959BA5_.wvu.FilterData" localSheetId="4" hidden="1">Diego!$A$1:$A$20</definedName>
    <definedName name="Z_B3CDE377_BA5D_4E06_91D9_3A48E1959BA5_.wvu.FilterData" localSheetId="6" hidden="1">Leonam!$A$1:$BD$19</definedName>
    <definedName name="Z_B3CDE377_BA5D_4E06_91D9_3A48E1959BA5_.wvu.FilterData" localSheetId="2" hidden="1">Marcelo!$A$1:$A$18</definedName>
    <definedName name="Z_B3CDE377_BA5D_4E06_91D9_3A48E1959BA5_.wvu.FilterData" localSheetId="8" hidden="1">Marcos!$A$1:$A$19</definedName>
    <definedName name="Z_B3CDE377_BA5D_4E06_91D9_3A48E1959BA5_.wvu.FilterData" localSheetId="1" hidden="1">Patrícia!$A$1:$A$18</definedName>
    <definedName name="Z_B3CDE377_BA5D_4E06_91D9_3A48E1959BA5_.wvu.FilterData" localSheetId="3" hidden="1">TOTAL!$A$1:$A$19</definedName>
    <definedName name="Z_C1ADD972_3048_4C11_83EA_7D7DA864B713_.wvu.FilterData" localSheetId="5" hidden="1">Aelton!$A$1:$A$19</definedName>
    <definedName name="Z_C1ADD972_3048_4C11_83EA_7D7DA864B713_.wvu.FilterData" localSheetId="4" hidden="1">Diego!$A$1:$A$19</definedName>
    <definedName name="Z_C1ADD972_3048_4C11_83EA_7D7DA864B713_.wvu.FilterData" localSheetId="6" hidden="1">Leonam!$A$1:$BD$19</definedName>
    <definedName name="Z_C1ADD972_3048_4C11_83EA_7D7DA864B713_.wvu.FilterData" localSheetId="8" hidden="1">Marcos!$A$1:$A$19</definedName>
    <definedName name="Z_C9005B68_77F0_401C_8512_BE258B93D9F2_.wvu.FilterData" localSheetId="4" hidden="1">Diego!$A$1:$A$19</definedName>
    <definedName name="Z_CE4DE222_11C2_412F_9CD7_EACF481F4CE0_.wvu.FilterData" localSheetId="8" hidden="1">Marcos!$A$1:$A$19</definedName>
    <definedName name="Z_D053F25B_24B7_4DEA_9B1C_24248F2011C5_.wvu.FilterData" localSheetId="5" hidden="1">Aelton!$A$1:$A$19</definedName>
    <definedName name="Z_D52625D1_E6F2_417B_8A99_DF0FDA1E26C0_.wvu.FilterData" localSheetId="5" hidden="1">Aelton!$A$1:$A$19</definedName>
    <definedName name="Z_D52625D1_E6F2_417B_8A99_DF0FDA1E26C0_.wvu.FilterData" localSheetId="6" hidden="1">Leonam!$A$1:$BD$19</definedName>
    <definedName name="Z_D52625D1_E6F2_417B_8A99_DF0FDA1E26C0_.wvu.FilterData" localSheetId="3" hidden="1">TOTAL!$A$1:$A$19</definedName>
    <definedName name="Z_DC414A74_72F4_4549_81B1_CAD9C736E1BE_.wvu.FilterData" localSheetId="9" hidden="1">Alessandro!$A$1:$A$19</definedName>
    <definedName name="Z_DC414A74_72F4_4549_81B1_CAD9C736E1BE_.wvu.FilterData" localSheetId="4" hidden="1">Diego!$A$1:$A$19</definedName>
    <definedName name="Z_DC414A74_72F4_4549_81B1_CAD9C736E1BE_.wvu.FilterData" localSheetId="6" hidden="1">Leonam!$A$1:$BD$19</definedName>
    <definedName name="Z_DCD72475_1C1F_4880_804D_5C91B696BA46_.wvu.FilterData" localSheetId="4" hidden="1">Diego!$A$1:$A$20</definedName>
    <definedName name="Z_E0978B37_608F_4A77_B1C8_D080ABC76CC9_.wvu.FilterData" localSheetId="5" hidden="1">Aelton!$A$1:$A$19</definedName>
    <definedName name="Z_E0978B37_608F_4A77_B1C8_D080ABC76CC9_.wvu.FilterData" localSheetId="7" hidden="1">Danilo!$A$1:$A$32</definedName>
    <definedName name="Z_E0978B37_608F_4A77_B1C8_D080ABC76CC9_.wvu.FilterData" localSheetId="4" hidden="1">Diego!$A$1:$A$19</definedName>
    <definedName name="Z_E0978B37_608F_4A77_B1C8_D080ABC76CC9_.wvu.FilterData" localSheetId="6" hidden="1">Leonam!$A$1:$BD$19</definedName>
    <definedName name="Z_E2C6012C_29C5_476E_8662_2FBB90014003_.wvu.FilterData" localSheetId="10" hidden="1">Carlos!$A$1:$A$19</definedName>
    <definedName name="Z_E2C6012C_29C5_476E_8662_2FBB90014003_.wvu.FilterData" localSheetId="7" hidden="1">Danilo!$A$1:$A$32</definedName>
    <definedName name="Z_E2C6012C_29C5_476E_8662_2FBB90014003_.wvu.FilterData" localSheetId="6" hidden="1">Leonam!$A$1:$BD$19</definedName>
    <definedName name="Z_E2C6012C_29C5_476E_8662_2FBB90014003_.wvu.FilterData" localSheetId="8" hidden="1">Marcos!$A$1:$A$19</definedName>
    <definedName name="Z_E3841903_5B68_44FD_8F09_58E03D1025C5_.wvu.FilterData" localSheetId="5" hidden="1">Aelton!$A$1:$A$19</definedName>
    <definedName name="Z_E3841903_5B68_44FD_8F09_58E03D1025C5_.wvu.FilterData" localSheetId="9" hidden="1">Alessandro!$A$1:$A$19</definedName>
    <definedName name="Z_E3841903_5B68_44FD_8F09_58E03D1025C5_.wvu.FilterData" localSheetId="10" hidden="1">Carlos!$A$1:$A$19</definedName>
    <definedName name="Z_E3841903_5B68_44FD_8F09_58E03D1025C5_.wvu.FilterData" localSheetId="7" hidden="1">Danilo!$A$1:$A$19</definedName>
    <definedName name="Z_E3841903_5B68_44FD_8F09_58E03D1025C5_.wvu.FilterData" localSheetId="4" hidden="1">Diego!$A$1:$A$20</definedName>
    <definedName name="Z_E3841903_5B68_44FD_8F09_58E03D1025C5_.wvu.FilterData" localSheetId="6" hidden="1">Leonam!$A$1:$BD$19</definedName>
    <definedName name="Z_E3841903_5B68_44FD_8F09_58E03D1025C5_.wvu.FilterData" localSheetId="2" hidden="1">Marcelo!$A$1:$A$18</definedName>
    <definedName name="Z_E3841903_5B68_44FD_8F09_58E03D1025C5_.wvu.FilterData" localSheetId="8" hidden="1">Marcos!$A$1:$A$19</definedName>
    <definedName name="Z_E3841903_5B68_44FD_8F09_58E03D1025C5_.wvu.FilterData" localSheetId="1" hidden="1">Patrícia!$A$1:$A$18</definedName>
    <definedName name="Z_E3841903_5B68_44FD_8F09_58E03D1025C5_.wvu.FilterData" localSheetId="3" hidden="1">TOTAL!$A$1:$A$19</definedName>
    <definedName name="Z_E3BDEF0F_8CAB_47D6_8677_524136F6334A_.wvu.FilterData" localSheetId="5" hidden="1">Aelton!$A$1:$A$19</definedName>
    <definedName name="Z_E3BDEF0F_8CAB_47D6_8677_524136F6334A_.wvu.FilterData" localSheetId="8" hidden="1">Marcos!$A$1:$A$19</definedName>
    <definedName name="Z_E6127A77_B885_468A_92FC_C823B559D5F2_.wvu.FilterData" localSheetId="7" hidden="1">Danilo!$A$1:$A$19</definedName>
    <definedName name="Z_E6127A77_B885_468A_92FC_C823B559D5F2_.wvu.FilterData" localSheetId="4" hidden="1">Diego!$A$1:$A$20</definedName>
    <definedName name="Z_E6127A77_B885_468A_92FC_C823B559D5F2_.wvu.FilterData" localSheetId="6" hidden="1">Leonam!$A$1:$BD$19</definedName>
    <definedName name="Z_E6127A77_B885_468A_92FC_C823B559D5F2_.wvu.FilterData" localSheetId="8" hidden="1">Marcos!$A$1:$A$19</definedName>
    <definedName name="Z_F2A70F1D_FC6F_4CDB_909A_694615A9BAA7_.wvu.FilterData" localSheetId="6" hidden="1">Leonam!$A$1:$BD$19</definedName>
    <definedName name="Z_F746DF90_E320_4742_9A38_81866CC9E10D_.wvu.FilterData" localSheetId="4" hidden="1">Diego!$A$1:$A$19</definedName>
  </definedNames>
  <calcPr calcId="191029"/>
  <customWorkbookViews>
    <customWorkbookView name="Leonam Morrison Monteiro de Oliveira - Modo de exibição pessoal" guid="{9B623083-AA7B-440B-95EA-C33E1AB3D963}" autoUpdate="1" mergeInterval="15" personalView="1" maximized="1" xWindow="-8" yWindow="-8" windowWidth="1616" windowHeight="876" activeSheetId="6"/>
    <customWorkbookView name="Diego Santos de Abreu - Modo de exibição pessoal" guid="{20CB6D8F-C24D-4D4B-A424-AF380F620455}" mergeInterval="0" personalView="1" maximized="1" xWindow="-8" yWindow="-8" windowWidth="1616" windowHeight="876" tabRatio="667" activeSheetId="7"/>
    <customWorkbookView name="Danilo Rafael Basilio da Silva - Modo de exibição pessoal" guid="{B3CDE377-BA5D-4E06-91D9-3A48E1959BA5}" mergeInterval="0" personalView="1" maximized="1" xWindow="-8" yWindow="-8" windowWidth="1616" windowHeight="876" activeSheetId="7"/>
    <customWorkbookView name="Marcelo Lucio Saboia Fonseca - Modo de exibição pessoal" guid="{18A482E0-C8B6-4AA1-9E04-15FA7C9CD5E3}" mergeInterval="0" personalView="1" maximized="1" xWindow="1672" yWindow="-8" windowWidth="1696" windowHeight="1018" activeSheetId="9"/>
    <customWorkbookView name="Carlos da Silva Dias - Modo de exibição pessoal" guid="{C69767F5-CD39-44C1-AD4B-CE19DC8285A6}" mergeInterval="0" personalView="1" maximized="1" xWindow="-8" yWindow="-8" windowWidth="1616" windowHeight="876" activeSheetId="9"/>
    <customWorkbookView name="Patrícia Ferreira Costa Alves - Modo de exibição pessoal" guid="{552DFCCD-1786-4D75-8B10-27DD730384DD}" mergeInterval="0" personalView="1" xWindow="2175" yWindow="114" windowWidth="1440" windowHeight="759" activeSheetId="1"/>
    <customWorkbookView name="Marcos Neves de Almeida - Modo de exibição pessoal" guid="{E3841903-5B68-44FD-8F09-58E03D1025C5}" mergeInterval="0" personalView="1" maximized="1" xWindow="-8" yWindow="-8" windowWidth="1616" windowHeight="876" activeSheetId="8"/>
    <customWorkbookView name="Aelton de Jesus Nunes - Modo de exibição pessoal" guid="{86039CF8-B158-4D70-9A6F-A10C29CBD68A}" mergeInterval="0" personalView="1" maximized="1" xWindow="-8" yWindow="-8" windowWidth="1616" windowHeight="876" activeSheetId="5"/>
    <customWorkbookView name="Alessandro Borges de Araújo - Modo de exibição pessoal" guid="{3D987F8E-A6EA-454D-9537-6BFC5053CB00}" mergeInterval="0" personalView="1" maximized="1" xWindow="1912" yWindow="-8" windowWidth="1616" windowHeight="876" activeSheetId="3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2" i="6" l="1"/>
  <c r="AF17" i="6" l="1"/>
  <c r="AF3" i="6"/>
  <c r="AF4" i="6"/>
  <c r="AF5" i="6"/>
  <c r="AF6" i="6"/>
  <c r="AF7" i="6"/>
  <c r="AF8" i="6"/>
  <c r="AF9" i="6"/>
  <c r="AF10" i="6"/>
  <c r="AF11" i="6"/>
  <c r="AF12" i="6"/>
  <c r="AF13" i="6"/>
  <c r="AF14" i="6"/>
  <c r="AF15" i="6"/>
  <c r="AF16" i="6"/>
  <c r="AF2" i="6"/>
  <c r="AF17" i="5"/>
  <c r="AF9" i="5"/>
  <c r="AF10" i="5"/>
  <c r="AF11" i="5"/>
  <c r="AF12" i="5"/>
  <c r="AF13" i="5"/>
  <c r="AF14" i="5"/>
  <c r="AF15" i="5"/>
  <c r="AF16" i="5"/>
  <c r="AF8" i="5"/>
  <c r="AF7" i="5"/>
  <c r="AF6" i="5"/>
  <c r="AF5" i="5"/>
  <c r="AF4" i="5"/>
  <c r="AF3" i="5"/>
  <c r="AF2" i="5"/>
  <c r="Z17" i="4"/>
  <c r="CB17" i="9"/>
  <c r="BV17" i="9"/>
  <c r="BP17" i="9"/>
  <c r="BJ17" i="9"/>
  <c r="BD17" i="9"/>
  <c r="AX17" i="9"/>
  <c r="AR17" i="9"/>
  <c r="AL17" i="9"/>
  <c r="AF17" i="9"/>
  <c r="Z17" i="9"/>
  <c r="T17" i="9"/>
  <c r="N17" i="9"/>
  <c r="H17" i="9"/>
  <c r="CB17" i="8"/>
  <c r="BV17" i="8"/>
  <c r="BP17" i="8"/>
  <c r="BJ17" i="8"/>
  <c r="BD17" i="8"/>
  <c r="AX17" i="8"/>
  <c r="AR17" i="8"/>
  <c r="AL17" i="8"/>
  <c r="AF17" i="8"/>
  <c r="Z17" i="8"/>
  <c r="T17" i="8"/>
  <c r="N17" i="8"/>
  <c r="H17" i="8"/>
  <c r="N16" i="8"/>
  <c r="N15" i="8"/>
  <c r="CB17" i="7"/>
  <c r="BV17" i="7"/>
  <c r="BP17" i="7"/>
  <c r="BJ17" i="7"/>
  <c r="BD17" i="7"/>
  <c r="AX17" i="7"/>
  <c r="AR17" i="7"/>
  <c r="AL17" i="7"/>
  <c r="AF17" i="7"/>
  <c r="Z17" i="7"/>
  <c r="T17" i="7"/>
  <c r="N17" i="7"/>
  <c r="H17" i="7"/>
  <c r="N16" i="6"/>
  <c r="CB17" i="6"/>
  <c r="BV17" i="6"/>
  <c r="BP17" i="6"/>
  <c r="BJ17" i="6"/>
  <c r="BD17" i="6"/>
  <c r="AX17" i="6"/>
  <c r="AR17" i="6"/>
  <c r="AL17" i="6"/>
  <c r="Z17" i="6"/>
  <c r="T17" i="6"/>
  <c r="N17" i="6"/>
  <c r="H17" i="6"/>
  <c r="CB17" i="5"/>
  <c r="BV17" i="5"/>
  <c r="BP17" i="5"/>
  <c r="BJ17" i="5"/>
  <c r="BD17" i="5"/>
  <c r="AX17" i="5"/>
  <c r="AR17" i="5"/>
  <c r="AL17" i="5"/>
  <c r="Z17" i="5"/>
  <c r="T17" i="5"/>
  <c r="N17" i="5"/>
  <c r="H17" i="5"/>
  <c r="H16" i="4"/>
  <c r="CB17" i="10"/>
  <c r="BV17" i="10"/>
  <c r="BP17" i="10"/>
  <c r="BJ17" i="10"/>
  <c r="BD17" i="10"/>
  <c r="AX17" i="10"/>
  <c r="AR17" i="10"/>
  <c r="AL17" i="10"/>
  <c r="AF17" i="10"/>
  <c r="Z17" i="10"/>
  <c r="T17" i="10"/>
  <c r="N17" i="10"/>
  <c r="H17" i="10"/>
  <c r="CB17" i="4"/>
  <c r="BV17" i="4"/>
  <c r="BP17" i="4"/>
  <c r="BJ17" i="4"/>
  <c r="BD17" i="4"/>
  <c r="AX17" i="4"/>
  <c r="AR17" i="4"/>
  <c r="AL17" i="4"/>
  <c r="AF17" i="4"/>
  <c r="T17" i="4"/>
  <c r="N17" i="4"/>
  <c r="H17" i="4"/>
  <c r="CB16" i="8"/>
  <c r="BV16" i="8"/>
  <c r="BP16" i="8"/>
  <c r="BJ16" i="8"/>
  <c r="BD16" i="8"/>
  <c r="AX16" i="8"/>
  <c r="AR16" i="8"/>
  <c r="AL16" i="8"/>
  <c r="AF16" i="8"/>
  <c r="Z16" i="8"/>
  <c r="CB15" i="8"/>
  <c r="BV15" i="8"/>
  <c r="BP15" i="8"/>
  <c r="BJ15" i="8"/>
  <c r="BD15" i="8"/>
  <c r="AX15" i="8"/>
  <c r="AR15" i="8"/>
  <c r="AL15" i="8"/>
  <c r="AF15" i="8"/>
  <c r="Z15" i="8"/>
  <c r="CB14" i="8"/>
  <c r="BV14" i="8"/>
  <c r="BP14" i="8"/>
  <c r="BJ14" i="8"/>
  <c r="BD14" i="8"/>
  <c r="AX14" i="8"/>
  <c r="AR14" i="8"/>
  <c r="AL14" i="8"/>
  <c r="AF14" i="8"/>
  <c r="Z14" i="8"/>
  <c r="CB13" i="8"/>
  <c r="BV13" i="8"/>
  <c r="BP13" i="8"/>
  <c r="BJ13" i="8"/>
  <c r="BD13" i="8"/>
  <c r="AX13" i="8"/>
  <c r="AR13" i="8"/>
  <c r="AL13" i="8"/>
  <c r="AF13" i="8"/>
  <c r="Z13" i="8"/>
  <c r="CB12" i="8"/>
  <c r="BV12" i="8"/>
  <c r="BP12" i="8"/>
  <c r="BJ12" i="8"/>
  <c r="BD12" i="8"/>
  <c r="AX12" i="8"/>
  <c r="AR12" i="8"/>
  <c r="AL12" i="8"/>
  <c r="AF12" i="8"/>
  <c r="Z12" i="8"/>
  <c r="CB11" i="8"/>
  <c r="BV11" i="8"/>
  <c r="BP11" i="8"/>
  <c r="BJ11" i="8"/>
  <c r="BD11" i="8"/>
  <c r="AX11" i="8"/>
  <c r="AR11" i="8"/>
  <c r="AL11" i="8"/>
  <c r="AF11" i="8"/>
  <c r="Z11" i="8"/>
  <c r="CB10" i="8"/>
  <c r="BV10" i="8"/>
  <c r="BP10" i="8"/>
  <c r="BJ10" i="8"/>
  <c r="BD10" i="8"/>
  <c r="AX10" i="8"/>
  <c r="AR10" i="8"/>
  <c r="AL10" i="8"/>
  <c r="AF10" i="8"/>
  <c r="Z10" i="8"/>
  <c r="CB9" i="8"/>
  <c r="BV9" i="8"/>
  <c r="BP9" i="8"/>
  <c r="BJ9" i="8"/>
  <c r="BD9" i="8"/>
  <c r="AX9" i="8"/>
  <c r="AR9" i="8"/>
  <c r="AL9" i="8"/>
  <c r="AF9" i="8"/>
  <c r="Z9" i="8"/>
  <c r="CB8" i="8"/>
  <c r="BV8" i="8"/>
  <c r="BP8" i="8"/>
  <c r="BJ8" i="8"/>
  <c r="BD8" i="8"/>
  <c r="AX8" i="8"/>
  <c r="AR8" i="8"/>
  <c r="AL8" i="8"/>
  <c r="AF8" i="8"/>
  <c r="Z8" i="8"/>
  <c r="CB7" i="8"/>
  <c r="BV7" i="8"/>
  <c r="BP7" i="8"/>
  <c r="BJ7" i="8"/>
  <c r="BD7" i="8"/>
  <c r="AX7" i="8"/>
  <c r="AR7" i="8"/>
  <c r="AL7" i="8"/>
  <c r="AF7" i="8"/>
  <c r="Z7" i="8"/>
  <c r="CB6" i="8"/>
  <c r="BV6" i="8"/>
  <c r="BP6" i="8"/>
  <c r="BJ6" i="8"/>
  <c r="BD6" i="8"/>
  <c r="AX6" i="8"/>
  <c r="AR6" i="8"/>
  <c r="AL6" i="8"/>
  <c r="AF6" i="8"/>
  <c r="Z6" i="8"/>
  <c r="CB5" i="8"/>
  <c r="BV5" i="8"/>
  <c r="BP5" i="8"/>
  <c r="BJ5" i="8"/>
  <c r="BD5" i="8"/>
  <c r="AX5" i="8"/>
  <c r="AR5" i="8"/>
  <c r="AL5" i="8"/>
  <c r="AF5" i="8"/>
  <c r="Z5" i="8"/>
  <c r="CB4" i="8"/>
  <c r="BV4" i="8"/>
  <c r="BP4" i="8"/>
  <c r="BJ4" i="8"/>
  <c r="BD4" i="8"/>
  <c r="AX4" i="8"/>
  <c r="AR4" i="8"/>
  <c r="AL4" i="8"/>
  <c r="AF4" i="8"/>
  <c r="Z4" i="8"/>
  <c r="CB3" i="8"/>
  <c r="BV3" i="8"/>
  <c r="BP3" i="8"/>
  <c r="BJ3" i="8"/>
  <c r="BD3" i="8"/>
  <c r="AX3" i="8"/>
  <c r="AR3" i="8"/>
  <c r="AL3" i="8"/>
  <c r="AF3" i="8"/>
  <c r="Z3" i="8"/>
  <c r="CB2" i="8"/>
  <c r="BV2" i="8"/>
  <c r="BP2" i="8"/>
  <c r="BJ2" i="8"/>
  <c r="BD2" i="8"/>
  <c r="AX2" i="8"/>
  <c r="AR2" i="8"/>
  <c r="AL2" i="8"/>
  <c r="AF2" i="8"/>
  <c r="Z2" i="8"/>
  <c r="CB16" i="7"/>
  <c r="BV16" i="7"/>
  <c r="BP16" i="7"/>
  <c r="BJ16" i="7"/>
  <c r="BD16" i="7"/>
  <c r="AX16" i="7"/>
  <c r="AR16" i="7"/>
  <c r="AL16" i="7"/>
  <c r="AF16" i="7"/>
  <c r="Z16" i="7"/>
  <c r="CB15" i="7"/>
  <c r="BV15" i="7"/>
  <c r="BP15" i="7"/>
  <c r="BJ15" i="7"/>
  <c r="BD15" i="7"/>
  <c r="AX15" i="7"/>
  <c r="AR15" i="7"/>
  <c r="AL15" i="7"/>
  <c r="AF15" i="7"/>
  <c r="Z15" i="7"/>
  <c r="CB14" i="7"/>
  <c r="BV14" i="7"/>
  <c r="BP14" i="7"/>
  <c r="BJ14" i="7"/>
  <c r="BD14" i="7"/>
  <c r="AX14" i="7"/>
  <c r="AR14" i="7"/>
  <c r="AL14" i="7"/>
  <c r="AF14" i="7"/>
  <c r="Z14" i="7"/>
  <c r="CB13" i="7"/>
  <c r="BV13" i="7"/>
  <c r="BP13" i="7"/>
  <c r="BJ13" i="7"/>
  <c r="BD13" i="7"/>
  <c r="AX13" i="7"/>
  <c r="AR13" i="7"/>
  <c r="AL13" i="7"/>
  <c r="AF13" i="7"/>
  <c r="Z13" i="7"/>
  <c r="CB12" i="7"/>
  <c r="BV12" i="7"/>
  <c r="BP12" i="7"/>
  <c r="BJ12" i="7"/>
  <c r="BD12" i="7"/>
  <c r="AX12" i="7"/>
  <c r="AR12" i="7"/>
  <c r="AL12" i="7"/>
  <c r="AF12" i="7"/>
  <c r="Z12" i="7"/>
  <c r="CB11" i="7"/>
  <c r="BV11" i="7"/>
  <c r="BP11" i="7"/>
  <c r="BJ11" i="7"/>
  <c r="BD11" i="7"/>
  <c r="AX11" i="7"/>
  <c r="AR11" i="7"/>
  <c r="AL11" i="7"/>
  <c r="AF11" i="7"/>
  <c r="Z11" i="7"/>
  <c r="CB10" i="7"/>
  <c r="BV10" i="7"/>
  <c r="BP10" i="7"/>
  <c r="BJ10" i="7"/>
  <c r="BD10" i="7"/>
  <c r="AX10" i="7"/>
  <c r="AR10" i="7"/>
  <c r="AL10" i="7"/>
  <c r="AF10" i="7"/>
  <c r="Z10" i="7"/>
  <c r="CB9" i="7"/>
  <c r="BV9" i="7"/>
  <c r="BP9" i="7"/>
  <c r="BJ9" i="7"/>
  <c r="BD9" i="7"/>
  <c r="AX9" i="7"/>
  <c r="AR9" i="7"/>
  <c r="AL9" i="7"/>
  <c r="AF9" i="7"/>
  <c r="Z9" i="7"/>
  <c r="CB8" i="7"/>
  <c r="BV8" i="7"/>
  <c r="BP8" i="7"/>
  <c r="BJ8" i="7"/>
  <c r="BD8" i="7"/>
  <c r="AX8" i="7"/>
  <c r="AR8" i="7"/>
  <c r="AL8" i="7"/>
  <c r="AF8" i="7"/>
  <c r="Z8" i="7"/>
  <c r="CB7" i="7"/>
  <c r="BV7" i="7"/>
  <c r="BP7" i="7"/>
  <c r="BJ7" i="7"/>
  <c r="BD7" i="7"/>
  <c r="AX7" i="7"/>
  <c r="AR7" i="7"/>
  <c r="AL7" i="7"/>
  <c r="AF7" i="7"/>
  <c r="Z7" i="7"/>
  <c r="CB6" i="7"/>
  <c r="BV6" i="7"/>
  <c r="BP6" i="7"/>
  <c r="BJ6" i="7"/>
  <c r="BD6" i="7"/>
  <c r="AX6" i="7"/>
  <c r="AR6" i="7"/>
  <c r="AL6" i="7"/>
  <c r="AF6" i="7"/>
  <c r="Z6" i="7"/>
  <c r="CB5" i="7"/>
  <c r="BV5" i="7"/>
  <c r="BP5" i="7"/>
  <c r="BJ5" i="7"/>
  <c r="BD5" i="7"/>
  <c r="AX5" i="7"/>
  <c r="AR5" i="7"/>
  <c r="AL5" i="7"/>
  <c r="AF5" i="7"/>
  <c r="Z5" i="7"/>
  <c r="CB4" i="7"/>
  <c r="BV4" i="7"/>
  <c r="BP4" i="7"/>
  <c r="BJ4" i="7"/>
  <c r="BD4" i="7"/>
  <c r="AX4" i="7"/>
  <c r="AR4" i="7"/>
  <c r="AL4" i="7"/>
  <c r="AF4" i="7"/>
  <c r="Z4" i="7"/>
  <c r="CB3" i="7"/>
  <c r="BV3" i="7"/>
  <c r="BP3" i="7"/>
  <c r="BJ3" i="7"/>
  <c r="BD3" i="7"/>
  <c r="AX3" i="7"/>
  <c r="AR3" i="7"/>
  <c r="AL3" i="7"/>
  <c r="AF3" i="7"/>
  <c r="Z3" i="7"/>
  <c r="CB2" i="7"/>
  <c r="BV2" i="7"/>
  <c r="BP2" i="7"/>
  <c r="BJ2" i="7"/>
  <c r="BD2" i="7"/>
  <c r="AX2" i="7"/>
  <c r="AR2" i="7"/>
  <c r="AL2" i="7"/>
  <c r="AF2" i="7"/>
  <c r="Z2" i="7"/>
  <c r="Z2" i="6"/>
  <c r="CB16" i="6"/>
  <c r="BV16" i="6"/>
  <c r="BP16" i="6"/>
  <c r="BJ16" i="6"/>
  <c r="BD16" i="6"/>
  <c r="AX16" i="6"/>
  <c r="AR16" i="6"/>
  <c r="AL16" i="6"/>
  <c r="Z16" i="6"/>
  <c r="CB15" i="6"/>
  <c r="BV15" i="6"/>
  <c r="BP15" i="6"/>
  <c r="BJ15" i="6"/>
  <c r="BD15" i="6"/>
  <c r="AX15" i="6"/>
  <c r="AR15" i="6"/>
  <c r="AL15" i="6"/>
  <c r="Z15" i="6"/>
  <c r="CB14" i="6"/>
  <c r="BV14" i="6"/>
  <c r="BP14" i="6"/>
  <c r="BJ14" i="6"/>
  <c r="BD14" i="6"/>
  <c r="AX14" i="6"/>
  <c r="AR14" i="6"/>
  <c r="AL14" i="6"/>
  <c r="Z14" i="6"/>
  <c r="CB13" i="6"/>
  <c r="BV13" i="6"/>
  <c r="BP13" i="6"/>
  <c r="BJ13" i="6"/>
  <c r="BD13" i="6"/>
  <c r="AX13" i="6"/>
  <c r="AR13" i="6"/>
  <c r="AL13" i="6"/>
  <c r="Z13" i="6"/>
  <c r="CB12" i="6"/>
  <c r="BV12" i="6"/>
  <c r="BP12" i="6"/>
  <c r="BJ12" i="6"/>
  <c r="BD12" i="6"/>
  <c r="AX12" i="6"/>
  <c r="AR12" i="6"/>
  <c r="AL12" i="6"/>
  <c r="Z12" i="6"/>
  <c r="CB11" i="6"/>
  <c r="BV11" i="6"/>
  <c r="BP11" i="6"/>
  <c r="BJ11" i="6"/>
  <c r="BD11" i="6"/>
  <c r="AX11" i="6"/>
  <c r="AR11" i="6"/>
  <c r="AL11" i="6"/>
  <c r="Z11" i="6"/>
  <c r="CB10" i="6"/>
  <c r="BV10" i="6"/>
  <c r="BP10" i="6"/>
  <c r="BJ10" i="6"/>
  <c r="BD10" i="6"/>
  <c r="AX10" i="6"/>
  <c r="AR10" i="6"/>
  <c r="AL10" i="6"/>
  <c r="Z10" i="6"/>
  <c r="CB9" i="6"/>
  <c r="BV9" i="6"/>
  <c r="BP9" i="6"/>
  <c r="BJ9" i="6"/>
  <c r="BD9" i="6"/>
  <c r="AX9" i="6"/>
  <c r="AR9" i="6"/>
  <c r="AL9" i="6"/>
  <c r="Z9" i="6"/>
  <c r="CB8" i="6"/>
  <c r="BV8" i="6"/>
  <c r="BP8" i="6"/>
  <c r="BJ8" i="6"/>
  <c r="BD8" i="6"/>
  <c r="AX8" i="6"/>
  <c r="AR8" i="6"/>
  <c r="AL8" i="6"/>
  <c r="Z8" i="6"/>
  <c r="CB7" i="6"/>
  <c r="BV7" i="6"/>
  <c r="BP7" i="6"/>
  <c r="BJ7" i="6"/>
  <c r="BD7" i="6"/>
  <c r="AX7" i="6"/>
  <c r="AR7" i="6"/>
  <c r="AL7" i="6"/>
  <c r="Z7" i="6"/>
  <c r="CB6" i="6"/>
  <c r="BV6" i="6"/>
  <c r="BP6" i="6"/>
  <c r="BJ6" i="6"/>
  <c r="BD6" i="6"/>
  <c r="AX6" i="6"/>
  <c r="AR6" i="6"/>
  <c r="AL6" i="6"/>
  <c r="Z6" i="6"/>
  <c r="CB5" i="6"/>
  <c r="BV5" i="6"/>
  <c r="BP5" i="6"/>
  <c r="BJ5" i="6"/>
  <c r="BD5" i="6"/>
  <c r="AX5" i="6"/>
  <c r="AR5" i="6"/>
  <c r="AL5" i="6"/>
  <c r="Z5" i="6"/>
  <c r="CB4" i="6"/>
  <c r="BV4" i="6"/>
  <c r="BP4" i="6"/>
  <c r="BJ4" i="6"/>
  <c r="BD4" i="6"/>
  <c r="AX4" i="6"/>
  <c r="AR4" i="6"/>
  <c r="AL4" i="6"/>
  <c r="Z4" i="6"/>
  <c r="CB3" i="6"/>
  <c r="BV3" i="6"/>
  <c r="BP3" i="6"/>
  <c r="BJ3" i="6"/>
  <c r="BD3" i="6"/>
  <c r="AX3" i="6"/>
  <c r="AR3" i="6"/>
  <c r="AL3" i="6"/>
  <c r="Z3" i="6"/>
  <c r="CB2" i="6"/>
  <c r="BV2" i="6"/>
  <c r="BP2" i="6"/>
  <c r="BJ2" i="6"/>
  <c r="BD2" i="6"/>
  <c r="AX2" i="6"/>
  <c r="AR2" i="6"/>
  <c r="CB16" i="5"/>
  <c r="BV16" i="5"/>
  <c r="BP16" i="5"/>
  <c r="BJ16" i="5"/>
  <c r="BD16" i="5"/>
  <c r="AX16" i="5"/>
  <c r="AR16" i="5"/>
  <c r="AL16" i="5"/>
  <c r="Z16" i="5"/>
  <c r="CB15" i="5"/>
  <c r="BV15" i="5"/>
  <c r="BP15" i="5"/>
  <c r="BJ15" i="5"/>
  <c r="BD15" i="5"/>
  <c r="AX15" i="5"/>
  <c r="AR15" i="5"/>
  <c r="AL15" i="5"/>
  <c r="Z15" i="5"/>
  <c r="CB14" i="5"/>
  <c r="BV14" i="5"/>
  <c r="BP14" i="5"/>
  <c r="BJ14" i="5"/>
  <c r="BD14" i="5"/>
  <c r="AX14" i="5"/>
  <c r="AR14" i="5"/>
  <c r="AL14" i="5"/>
  <c r="Z14" i="5"/>
  <c r="CB13" i="5"/>
  <c r="BV13" i="5"/>
  <c r="BP13" i="5"/>
  <c r="BJ13" i="5"/>
  <c r="BD13" i="5"/>
  <c r="AX13" i="5"/>
  <c r="AR13" i="5"/>
  <c r="AL13" i="5"/>
  <c r="Z13" i="5"/>
  <c r="CB12" i="5"/>
  <c r="BV12" i="5"/>
  <c r="BP12" i="5"/>
  <c r="BJ12" i="5"/>
  <c r="BD12" i="5"/>
  <c r="AX12" i="5"/>
  <c r="AR12" i="5"/>
  <c r="AL12" i="5"/>
  <c r="Z12" i="5"/>
  <c r="CB11" i="5"/>
  <c r="BV11" i="5"/>
  <c r="BP11" i="5"/>
  <c r="BJ11" i="5"/>
  <c r="BD11" i="5"/>
  <c r="AX11" i="5"/>
  <c r="AR11" i="5"/>
  <c r="AL11" i="5"/>
  <c r="Z11" i="5"/>
  <c r="CB10" i="5"/>
  <c r="BV10" i="5"/>
  <c r="BP10" i="5"/>
  <c r="BJ10" i="5"/>
  <c r="BD10" i="5"/>
  <c r="AX10" i="5"/>
  <c r="AR10" i="5"/>
  <c r="AL10" i="5"/>
  <c r="Z10" i="5"/>
  <c r="CB9" i="5"/>
  <c r="BV9" i="5"/>
  <c r="BP9" i="5"/>
  <c r="BJ9" i="5"/>
  <c r="BD9" i="5"/>
  <c r="AX9" i="5"/>
  <c r="AR9" i="5"/>
  <c r="AL9" i="5"/>
  <c r="Z9" i="5"/>
  <c r="CB8" i="5"/>
  <c r="BV8" i="5"/>
  <c r="BP8" i="5"/>
  <c r="BJ8" i="5"/>
  <c r="BD8" i="5"/>
  <c r="AX8" i="5"/>
  <c r="AR8" i="5"/>
  <c r="AL8" i="5"/>
  <c r="Z8" i="5"/>
  <c r="CB7" i="5"/>
  <c r="BV7" i="5"/>
  <c r="BP7" i="5"/>
  <c r="BJ7" i="5"/>
  <c r="BD7" i="5"/>
  <c r="AX7" i="5"/>
  <c r="AR7" i="5"/>
  <c r="AL7" i="5"/>
  <c r="Z7" i="5"/>
  <c r="CB6" i="5"/>
  <c r="BV6" i="5"/>
  <c r="BP6" i="5"/>
  <c r="BJ6" i="5"/>
  <c r="BD6" i="5"/>
  <c r="AX6" i="5"/>
  <c r="AR6" i="5"/>
  <c r="AL6" i="5"/>
  <c r="Z6" i="5"/>
  <c r="CB5" i="5"/>
  <c r="BV5" i="5"/>
  <c r="BP5" i="5"/>
  <c r="BJ5" i="5"/>
  <c r="BD5" i="5"/>
  <c r="AX5" i="5"/>
  <c r="AR5" i="5"/>
  <c r="AL5" i="5"/>
  <c r="Z5" i="5"/>
  <c r="CB4" i="5"/>
  <c r="BV4" i="5"/>
  <c r="BP4" i="5"/>
  <c r="BJ4" i="5"/>
  <c r="BD4" i="5"/>
  <c r="AX4" i="5"/>
  <c r="AR4" i="5"/>
  <c r="AL4" i="5"/>
  <c r="Z4" i="5"/>
  <c r="CB3" i="5"/>
  <c r="BV3" i="5"/>
  <c r="BP3" i="5"/>
  <c r="BJ3" i="5"/>
  <c r="BD3" i="5"/>
  <c r="AX3" i="5"/>
  <c r="AR3" i="5"/>
  <c r="AL3" i="5"/>
  <c r="Z3" i="5"/>
  <c r="CB2" i="5"/>
  <c r="BV2" i="5"/>
  <c r="BP2" i="5"/>
  <c r="BJ2" i="5"/>
  <c r="BD2" i="5"/>
  <c r="AX2" i="5"/>
  <c r="AR2" i="5"/>
  <c r="AL2" i="5"/>
  <c r="Z2" i="5"/>
  <c r="CB16" i="4"/>
  <c r="CB15" i="4"/>
  <c r="CB14" i="4"/>
  <c r="CB13" i="4"/>
  <c r="CB12" i="4"/>
  <c r="CB11" i="4"/>
  <c r="CB10" i="4"/>
  <c r="CB9" i="4"/>
  <c r="CB8" i="4"/>
  <c r="CB7" i="4"/>
  <c r="CB6" i="4"/>
  <c r="CB5" i="4"/>
  <c r="CB4" i="4"/>
  <c r="CB3" i="4"/>
  <c r="CB2" i="4"/>
  <c r="BV16" i="4"/>
  <c r="BV15" i="4"/>
  <c r="BV14" i="4"/>
  <c r="BV13" i="4"/>
  <c r="BV12" i="4"/>
  <c r="BV11" i="4"/>
  <c r="BV10" i="4"/>
  <c r="BV9" i="4"/>
  <c r="BV8" i="4"/>
  <c r="BV7" i="4"/>
  <c r="BV6" i="4"/>
  <c r="BV5" i="4"/>
  <c r="BV4" i="4"/>
  <c r="BV3" i="4"/>
  <c r="BV2" i="4"/>
  <c r="BP16" i="4"/>
  <c r="BP15" i="4"/>
  <c r="BP14" i="4"/>
  <c r="BP13" i="4"/>
  <c r="BP12" i="4"/>
  <c r="BP11" i="4"/>
  <c r="BP10" i="4"/>
  <c r="BP9" i="4"/>
  <c r="BP8" i="4"/>
  <c r="BP7" i="4"/>
  <c r="BP6" i="4"/>
  <c r="BP5" i="4"/>
  <c r="BP4" i="4"/>
  <c r="BP3" i="4"/>
  <c r="BP2" i="4"/>
  <c r="BJ16" i="4"/>
  <c r="BJ15" i="4"/>
  <c r="BJ14" i="4"/>
  <c r="BJ13" i="4"/>
  <c r="BJ12" i="4"/>
  <c r="BJ11" i="4"/>
  <c r="BJ10" i="4"/>
  <c r="BJ9" i="4"/>
  <c r="BJ8" i="4"/>
  <c r="BJ7" i="4"/>
  <c r="BJ6" i="4"/>
  <c r="BJ5" i="4"/>
  <c r="BJ4" i="4"/>
  <c r="BJ3" i="4"/>
  <c r="BJ2" i="4"/>
  <c r="BD16" i="4"/>
  <c r="BD15" i="4"/>
  <c r="BD14" i="4"/>
  <c r="BD13" i="4"/>
  <c r="BD12" i="4"/>
  <c r="BD11" i="4"/>
  <c r="BD10" i="4"/>
  <c r="BD9" i="4"/>
  <c r="BD8" i="4"/>
  <c r="BD7" i="4"/>
  <c r="BD6" i="4"/>
  <c r="BD5" i="4"/>
  <c r="BD4" i="4"/>
  <c r="BD3" i="4"/>
  <c r="BD2" i="4"/>
  <c r="AX16" i="4"/>
  <c r="AX15" i="4"/>
  <c r="AX14" i="4"/>
  <c r="AX13" i="4"/>
  <c r="AX12" i="4"/>
  <c r="AX11" i="4"/>
  <c r="AX10" i="4"/>
  <c r="AX9" i="4"/>
  <c r="AX8" i="4"/>
  <c r="AX7" i="4"/>
  <c r="AX6" i="4"/>
  <c r="AX5" i="4"/>
  <c r="AX4" i="4"/>
  <c r="AX3" i="4"/>
  <c r="AX2" i="4"/>
  <c r="AR16" i="4"/>
  <c r="AR15" i="4"/>
  <c r="AR14" i="4"/>
  <c r="AR13" i="4"/>
  <c r="AR12" i="4"/>
  <c r="AR11" i="4"/>
  <c r="AR10" i="4"/>
  <c r="AR9" i="4"/>
  <c r="AR8" i="4"/>
  <c r="AR7" i="4"/>
  <c r="AR6" i="4"/>
  <c r="AR5" i="4"/>
  <c r="AR4" i="4"/>
  <c r="AR3" i="4"/>
  <c r="AR2" i="4"/>
  <c r="CB3" i="10"/>
  <c r="AR7" i="10"/>
  <c r="C17" i="3" l="1"/>
  <c r="K17" i="3"/>
  <c r="L17" i="3"/>
  <c r="J17" i="3"/>
  <c r="D17" i="3"/>
  <c r="I17" i="3"/>
  <c r="M17" i="3"/>
  <c r="E17" i="3"/>
  <c r="F17" i="3"/>
  <c r="N17" i="3"/>
  <c r="O17" i="3"/>
  <c r="H17" i="3"/>
  <c r="G17" i="3"/>
  <c r="N2" i="6"/>
  <c r="H2" i="8"/>
  <c r="CB16" i="9" l="1"/>
  <c r="BV16" i="9"/>
  <c r="BP16" i="9"/>
  <c r="BJ16" i="9"/>
  <c r="BD16" i="9"/>
  <c r="AX16" i="9"/>
  <c r="AR16" i="9"/>
  <c r="AL16" i="9"/>
  <c r="AF16" i="9"/>
  <c r="Z16" i="9"/>
  <c r="T16" i="9"/>
  <c r="N16" i="9"/>
  <c r="H16" i="9"/>
  <c r="CB15" i="9"/>
  <c r="BV15" i="9"/>
  <c r="BP15" i="9"/>
  <c r="BJ15" i="9"/>
  <c r="BD15" i="9"/>
  <c r="AX15" i="9"/>
  <c r="AR15" i="9"/>
  <c r="AL15" i="9"/>
  <c r="AF15" i="9"/>
  <c r="Z15" i="9"/>
  <c r="T15" i="9"/>
  <c r="N15" i="9"/>
  <c r="H15" i="9"/>
  <c r="CB14" i="9"/>
  <c r="BV14" i="9"/>
  <c r="BP14" i="9"/>
  <c r="BJ14" i="9"/>
  <c r="BD14" i="9"/>
  <c r="AX14" i="9"/>
  <c r="AR14" i="9"/>
  <c r="AL14" i="9"/>
  <c r="AF14" i="9"/>
  <c r="Z14" i="9"/>
  <c r="T14" i="9"/>
  <c r="N14" i="9"/>
  <c r="H14" i="9"/>
  <c r="CB13" i="9"/>
  <c r="BV13" i="9"/>
  <c r="BP13" i="9"/>
  <c r="BJ13" i="9"/>
  <c r="BD13" i="9"/>
  <c r="AX13" i="9"/>
  <c r="AR13" i="9"/>
  <c r="AL13" i="9"/>
  <c r="AF13" i="9"/>
  <c r="Z13" i="9"/>
  <c r="T13" i="9"/>
  <c r="N13" i="9"/>
  <c r="H13" i="9"/>
  <c r="CB12" i="9"/>
  <c r="BV12" i="9"/>
  <c r="BP12" i="9"/>
  <c r="BJ12" i="9"/>
  <c r="BD12" i="9"/>
  <c r="AX12" i="9"/>
  <c r="AR12" i="9"/>
  <c r="AL12" i="9"/>
  <c r="AF12" i="9"/>
  <c r="Z12" i="9"/>
  <c r="T12" i="9"/>
  <c r="N12" i="9"/>
  <c r="H12" i="9"/>
  <c r="CB11" i="9"/>
  <c r="BV11" i="9"/>
  <c r="BP11" i="9"/>
  <c r="BJ11" i="9"/>
  <c r="BD11" i="9"/>
  <c r="AX11" i="9"/>
  <c r="AR11" i="9"/>
  <c r="AL11" i="9"/>
  <c r="AF11" i="9"/>
  <c r="Z11" i="9"/>
  <c r="T11" i="9"/>
  <c r="N11" i="9"/>
  <c r="H11" i="9"/>
  <c r="CB10" i="9"/>
  <c r="BV10" i="9"/>
  <c r="BP10" i="9"/>
  <c r="BJ10" i="9"/>
  <c r="BD10" i="9"/>
  <c r="AX10" i="9"/>
  <c r="AR10" i="9"/>
  <c r="AL10" i="9"/>
  <c r="AF10" i="9"/>
  <c r="Z10" i="9"/>
  <c r="T10" i="9"/>
  <c r="N10" i="9"/>
  <c r="H10" i="9"/>
  <c r="CB9" i="9"/>
  <c r="BV9" i="9"/>
  <c r="BP9" i="9"/>
  <c r="BJ9" i="9"/>
  <c r="BD9" i="9"/>
  <c r="AX9" i="9"/>
  <c r="AR9" i="9"/>
  <c r="AL9" i="9"/>
  <c r="AF9" i="9"/>
  <c r="Z9" i="9"/>
  <c r="T9" i="9"/>
  <c r="N9" i="9"/>
  <c r="H9" i="9"/>
  <c r="CB8" i="9"/>
  <c r="BV8" i="9"/>
  <c r="BP8" i="9"/>
  <c r="BJ8" i="9"/>
  <c r="BD8" i="9"/>
  <c r="AX8" i="9"/>
  <c r="AR8" i="9"/>
  <c r="AL8" i="9"/>
  <c r="AF8" i="9"/>
  <c r="Z8" i="9"/>
  <c r="T8" i="9"/>
  <c r="N8" i="9"/>
  <c r="H8" i="9"/>
  <c r="CB7" i="9"/>
  <c r="BV7" i="9"/>
  <c r="BP7" i="9"/>
  <c r="BJ7" i="9"/>
  <c r="BD7" i="9"/>
  <c r="AX7" i="9"/>
  <c r="AR7" i="9"/>
  <c r="AL7" i="9"/>
  <c r="AF7" i="9"/>
  <c r="Z7" i="9"/>
  <c r="T7" i="9"/>
  <c r="N7" i="9"/>
  <c r="H7" i="9"/>
  <c r="CB6" i="9"/>
  <c r="BV6" i="9"/>
  <c r="BP6" i="9"/>
  <c r="BJ6" i="9"/>
  <c r="BD6" i="9"/>
  <c r="AX6" i="9"/>
  <c r="AR6" i="9"/>
  <c r="AL6" i="9"/>
  <c r="AF6" i="9"/>
  <c r="Z6" i="9"/>
  <c r="T6" i="9"/>
  <c r="N6" i="9"/>
  <c r="H6" i="9"/>
  <c r="CB5" i="9"/>
  <c r="BV5" i="9"/>
  <c r="BP5" i="9"/>
  <c r="BJ5" i="9"/>
  <c r="BD5" i="9"/>
  <c r="AX5" i="9"/>
  <c r="AR5" i="9"/>
  <c r="AL5" i="9"/>
  <c r="AF5" i="9"/>
  <c r="Z5" i="9"/>
  <c r="T5" i="9"/>
  <c r="N5" i="9"/>
  <c r="H5" i="9"/>
  <c r="CB4" i="9"/>
  <c r="BV4" i="9"/>
  <c r="BP4" i="9"/>
  <c r="BJ4" i="9"/>
  <c r="BD4" i="9"/>
  <c r="AX4" i="9"/>
  <c r="AR4" i="9"/>
  <c r="AL4" i="9"/>
  <c r="AF4" i="9"/>
  <c r="Z4" i="9"/>
  <c r="T4" i="9"/>
  <c r="N4" i="9"/>
  <c r="H4" i="9"/>
  <c r="CB3" i="9"/>
  <c r="O3" i="3" s="1"/>
  <c r="BV3" i="9"/>
  <c r="BP3" i="9"/>
  <c r="BJ3" i="9"/>
  <c r="BD3" i="9"/>
  <c r="AX3" i="9"/>
  <c r="AR3" i="9"/>
  <c r="AL3" i="9"/>
  <c r="AF3" i="9"/>
  <c r="Z3" i="9"/>
  <c r="T3" i="9"/>
  <c r="N3" i="9"/>
  <c r="H3" i="9"/>
  <c r="CB2" i="9"/>
  <c r="BV2" i="9"/>
  <c r="BP2" i="9"/>
  <c r="BJ2" i="9"/>
  <c r="BD2" i="9"/>
  <c r="AX2" i="9"/>
  <c r="AR2" i="9"/>
  <c r="AL2" i="9"/>
  <c r="AF2" i="9"/>
  <c r="Z2" i="9"/>
  <c r="T2" i="9"/>
  <c r="N2" i="9"/>
  <c r="H2" i="9"/>
  <c r="CB16" i="10"/>
  <c r="BV16" i="10"/>
  <c r="BP16" i="10"/>
  <c r="BJ16" i="10"/>
  <c r="BD16" i="10"/>
  <c r="AX16" i="10"/>
  <c r="AR16" i="10"/>
  <c r="AL16" i="10"/>
  <c r="AF16" i="10"/>
  <c r="Z16" i="10"/>
  <c r="T16" i="10"/>
  <c r="N16" i="10"/>
  <c r="H16" i="10"/>
  <c r="CB15" i="10"/>
  <c r="O15" i="3" s="1"/>
  <c r="BV15" i="10"/>
  <c r="BP15" i="10"/>
  <c r="BJ15" i="10"/>
  <c r="BD15" i="10"/>
  <c r="AX15" i="10"/>
  <c r="AR15" i="10"/>
  <c r="AL15" i="10"/>
  <c r="AF15" i="10"/>
  <c r="Z15" i="10"/>
  <c r="T15" i="10"/>
  <c r="N15" i="10"/>
  <c r="H15" i="10"/>
  <c r="CB14" i="10"/>
  <c r="BV14" i="10"/>
  <c r="BP14" i="10"/>
  <c r="BJ14" i="10"/>
  <c r="BD14" i="10"/>
  <c r="AX14" i="10"/>
  <c r="AR14" i="10"/>
  <c r="AL14" i="10"/>
  <c r="AF14" i="10"/>
  <c r="Z14" i="10"/>
  <c r="T14" i="10"/>
  <c r="N14" i="10"/>
  <c r="H14" i="10"/>
  <c r="CB13" i="10"/>
  <c r="BV13" i="10"/>
  <c r="BP13" i="10"/>
  <c r="BJ13" i="10"/>
  <c r="BD13" i="10"/>
  <c r="AX13" i="10"/>
  <c r="AR13" i="10"/>
  <c r="AL13" i="10"/>
  <c r="AF13" i="10"/>
  <c r="Z13" i="10"/>
  <c r="T13" i="10"/>
  <c r="N13" i="10"/>
  <c r="H13" i="10"/>
  <c r="CB12" i="10"/>
  <c r="BV12" i="10"/>
  <c r="BP12" i="10"/>
  <c r="BJ12" i="10"/>
  <c r="BD12" i="10"/>
  <c r="AX12" i="10"/>
  <c r="AR12" i="10"/>
  <c r="AL12" i="10"/>
  <c r="AF12" i="10"/>
  <c r="Z12" i="10"/>
  <c r="T12" i="10"/>
  <c r="N12" i="10"/>
  <c r="H12" i="10"/>
  <c r="CB11" i="10"/>
  <c r="O11" i="3" s="1"/>
  <c r="BV11" i="10"/>
  <c r="BP11" i="10"/>
  <c r="BJ11" i="10"/>
  <c r="BD11" i="10"/>
  <c r="AX11" i="10"/>
  <c r="AR11" i="10"/>
  <c r="AL11" i="10"/>
  <c r="AF11" i="10"/>
  <c r="Z11" i="10"/>
  <c r="T11" i="10"/>
  <c r="N11" i="10"/>
  <c r="H11" i="10"/>
  <c r="CB10" i="10"/>
  <c r="BV10" i="10"/>
  <c r="BP10" i="10"/>
  <c r="BJ10" i="10"/>
  <c r="BD10" i="10"/>
  <c r="AX10" i="10"/>
  <c r="AR10" i="10"/>
  <c r="AL10" i="10"/>
  <c r="AF10" i="10"/>
  <c r="Z10" i="10"/>
  <c r="T10" i="10"/>
  <c r="N10" i="10"/>
  <c r="H10" i="10"/>
  <c r="CB9" i="10"/>
  <c r="BV9" i="10"/>
  <c r="BP9" i="10"/>
  <c r="BJ9" i="10"/>
  <c r="BD9" i="10"/>
  <c r="AX9" i="10"/>
  <c r="AR9" i="10"/>
  <c r="AL9" i="10"/>
  <c r="AF9" i="10"/>
  <c r="Z9" i="10"/>
  <c r="T9" i="10"/>
  <c r="N9" i="10"/>
  <c r="H9" i="10"/>
  <c r="CB8" i="10"/>
  <c r="BV8" i="10"/>
  <c r="BP8" i="10"/>
  <c r="BJ8" i="10"/>
  <c r="BD8" i="10"/>
  <c r="AX8" i="10"/>
  <c r="AR8" i="10"/>
  <c r="AL8" i="10"/>
  <c r="AF8" i="10"/>
  <c r="Z8" i="10"/>
  <c r="T8" i="10"/>
  <c r="N8" i="10"/>
  <c r="H8" i="10"/>
  <c r="CB7" i="10"/>
  <c r="BV7" i="10"/>
  <c r="BP7" i="10"/>
  <c r="BJ7" i="10"/>
  <c r="BD7" i="10"/>
  <c r="AX7" i="10"/>
  <c r="AL7" i="10"/>
  <c r="AF7" i="10"/>
  <c r="Z7" i="10"/>
  <c r="T7" i="10"/>
  <c r="N7" i="10"/>
  <c r="H7" i="10"/>
  <c r="CB6" i="10"/>
  <c r="BV6" i="10"/>
  <c r="BP6" i="10"/>
  <c r="BJ6" i="10"/>
  <c r="BD6" i="10"/>
  <c r="AX6" i="10"/>
  <c r="AR6" i="10"/>
  <c r="AL6" i="10"/>
  <c r="AF6" i="10"/>
  <c r="Z6" i="10"/>
  <c r="T6" i="10"/>
  <c r="N6" i="10"/>
  <c r="H6" i="10"/>
  <c r="CB5" i="10"/>
  <c r="BV5" i="10"/>
  <c r="BP5" i="10"/>
  <c r="BJ5" i="10"/>
  <c r="BD5" i="10"/>
  <c r="AX5" i="10"/>
  <c r="AR5" i="10"/>
  <c r="AL5" i="10"/>
  <c r="AF5" i="10"/>
  <c r="Z5" i="10"/>
  <c r="T5" i="10"/>
  <c r="N5" i="10"/>
  <c r="H5" i="10"/>
  <c r="CB4" i="10"/>
  <c r="BV4" i="10"/>
  <c r="BP4" i="10"/>
  <c r="BJ4" i="10"/>
  <c r="BD4" i="10"/>
  <c r="AX4" i="10"/>
  <c r="AR4" i="10"/>
  <c r="AL4" i="10"/>
  <c r="AF4" i="10"/>
  <c r="Z4" i="10"/>
  <c r="T4" i="10"/>
  <c r="N4" i="10"/>
  <c r="H4" i="10"/>
  <c r="BV3" i="10"/>
  <c r="BP3" i="10"/>
  <c r="BJ3" i="10"/>
  <c r="BD3" i="10"/>
  <c r="AX3" i="10"/>
  <c r="AR3" i="10"/>
  <c r="AL3" i="10"/>
  <c r="AF3" i="10"/>
  <c r="Z3" i="10"/>
  <c r="T3" i="10"/>
  <c r="N3" i="10"/>
  <c r="H3" i="10"/>
  <c r="CB2" i="10"/>
  <c r="BV2" i="10"/>
  <c r="BP2" i="10"/>
  <c r="BJ2" i="10"/>
  <c r="BD2" i="10"/>
  <c r="AX2" i="10"/>
  <c r="AR2" i="10"/>
  <c r="AL2" i="10"/>
  <c r="AF2" i="10"/>
  <c r="Z2" i="10"/>
  <c r="T2" i="10"/>
  <c r="N2" i="10"/>
  <c r="H2" i="10"/>
  <c r="T16" i="8"/>
  <c r="H16" i="8"/>
  <c r="T15" i="8"/>
  <c r="H15" i="8"/>
  <c r="T14" i="8"/>
  <c r="N14" i="8"/>
  <c r="H14" i="8"/>
  <c r="T13" i="8"/>
  <c r="N13" i="8"/>
  <c r="H13" i="8"/>
  <c r="T12" i="8"/>
  <c r="N12" i="8"/>
  <c r="H12" i="8"/>
  <c r="T11" i="8"/>
  <c r="N11" i="8"/>
  <c r="H11" i="8"/>
  <c r="T10" i="8"/>
  <c r="N10" i="8"/>
  <c r="H10" i="8"/>
  <c r="T9" i="8"/>
  <c r="N9" i="8"/>
  <c r="H9" i="8"/>
  <c r="T8" i="8"/>
  <c r="N8" i="8"/>
  <c r="H8" i="8"/>
  <c r="T7" i="8"/>
  <c r="N7" i="8"/>
  <c r="H7" i="8"/>
  <c r="T6" i="8"/>
  <c r="N6" i="8"/>
  <c r="H6" i="8"/>
  <c r="T5" i="8"/>
  <c r="N5" i="8"/>
  <c r="H5" i="8"/>
  <c r="T4" i="8"/>
  <c r="N4" i="8"/>
  <c r="H4" i="8"/>
  <c r="T3" i="8"/>
  <c r="N3" i="8"/>
  <c r="H3" i="8"/>
  <c r="T2" i="8"/>
  <c r="N2" i="8"/>
  <c r="T16" i="7"/>
  <c r="H16" i="7"/>
  <c r="T15" i="7"/>
  <c r="N15" i="7"/>
  <c r="H15" i="7"/>
  <c r="T14" i="7"/>
  <c r="N14" i="7"/>
  <c r="H14" i="7"/>
  <c r="T13" i="7"/>
  <c r="N13" i="7"/>
  <c r="H13" i="7"/>
  <c r="T12" i="7"/>
  <c r="N12" i="7"/>
  <c r="H12" i="7"/>
  <c r="T11" i="7"/>
  <c r="N11" i="7"/>
  <c r="H11" i="7"/>
  <c r="T10" i="7"/>
  <c r="N10" i="7"/>
  <c r="H10" i="7"/>
  <c r="T9" i="7"/>
  <c r="N9" i="7"/>
  <c r="H9" i="7"/>
  <c r="T8" i="7"/>
  <c r="N8" i="7"/>
  <c r="H8" i="7"/>
  <c r="T7" i="7"/>
  <c r="N7" i="7"/>
  <c r="H7" i="7"/>
  <c r="T6" i="7"/>
  <c r="N6" i="7"/>
  <c r="H6" i="7"/>
  <c r="T5" i="7"/>
  <c r="N5" i="7"/>
  <c r="H5" i="7"/>
  <c r="T4" i="7"/>
  <c r="N4" i="7"/>
  <c r="H4" i="7"/>
  <c r="T3" i="7"/>
  <c r="N3" i="7"/>
  <c r="H3" i="7"/>
  <c r="T2" i="7"/>
  <c r="N2" i="7"/>
  <c r="H2" i="7"/>
  <c r="T16" i="6"/>
  <c r="H16" i="6"/>
  <c r="T15" i="6"/>
  <c r="N15" i="6"/>
  <c r="H15" i="6"/>
  <c r="T14" i="6"/>
  <c r="N14" i="6"/>
  <c r="H14" i="6"/>
  <c r="T13" i="6"/>
  <c r="N13" i="6"/>
  <c r="H13" i="6"/>
  <c r="T12" i="6"/>
  <c r="N12" i="6"/>
  <c r="H12" i="6"/>
  <c r="T11" i="6"/>
  <c r="N11" i="6"/>
  <c r="H11" i="6"/>
  <c r="T10" i="6"/>
  <c r="N10" i="6"/>
  <c r="H10" i="6"/>
  <c r="T9" i="6"/>
  <c r="N9" i="6"/>
  <c r="H9" i="6"/>
  <c r="T8" i="6"/>
  <c r="N8" i="6"/>
  <c r="H8" i="6"/>
  <c r="T7" i="6"/>
  <c r="N7" i="6"/>
  <c r="H7" i="6"/>
  <c r="T6" i="6"/>
  <c r="N6" i="6"/>
  <c r="H6" i="6"/>
  <c r="T5" i="6"/>
  <c r="N5" i="6"/>
  <c r="H5" i="6"/>
  <c r="T4" i="6"/>
  <c r="N4" i="6"/>
  <c r="H4" i="6"/>
  <c r="T3" i="6"/>
  <c r="N3" i="6"/>
  <c r="H3" i="6"/>
  <c r="T2" i="6"/>
  <c r="H2" i="6"/>
  <c r="T16" i="5"/>
  <c r="N16" i="5"/>
  <c r="H16" i="5"/>
  <c r="T15" i="5"/>
  <c r="N15" i="5"/>
  <c r="H15" i="5"/>
  <c r="T14" i="5"/>
  <c r="N14" i="5"/>
  <c r="H14" i="5"/>
  <c r="T13" i="5"/>
  <c r="N13" i="5"/>
  <c r="H13" i="5"/>
  <c r="T12" i="5"/>
  <c r="N12" i="5"/>
  <c r="H12" i="5"/>
  <c r="T11" i="5"/>
  <c r="N11" i="5"/>
  <c r="H11" i="5"/>
  <c r="T10" i="5"/>
  <c r="N10" i="5"/>
  <c r="H10" i="5"/>
  <c r="T9" i="5"/>
  <c r="N9" i="5"/>
  <c r="H9" i="5"/>
  <c r="T8" i="5"/>
  <c r="N8" i="5"/>
  <c r="H8" i="5"/>
  <c r="T7" i="5"/>
  <c r="N7" i="5"/>
  <c r="H7" i="5"/>
  <c r="T6" i="5"/>
  <c r="N6" i="5"/>
  <c r="H6" i="5"/>
  <c r="T5" i="5"/>
  <c r="N5" i="5"/>
  <c r="H5" i="5"/>
  <c r="T4" i="5"/>
  <c r="N4" i="5"/>
  <c r="H4" i="5"/>
  <c r="T3" i="5"/>
  <c r="N3" i="5"/>
  <c r="H3" i="5"/>
  <c r="T2" i="5"/>
  <c r="N2" i="5"/>
  <c r="H2" i="5"/>
  <c r="M9" i="3"/>
  <c r="O7" i="3" l="1"/>
  <c r="O16" i="3"/>
  <c r="J15" i="3"/>
  <c r="N10" i="3"/>
  <c r="L9" i="3"/>
  <c r="L2" i="3"/>
  <c r="N2" i="3"/>
  <c r="J10" i="3"/>
  <c r="N11" i="3"/>
  <c r="N3" i="3"/>
  <c r="L11" i="3"/>
  <c r="M3" i="3"/>
  <c r="M11" i="3"/>
  <c r="N4" i="3"/>
  <c r="N12" i="3"/>
  <c r="O5" i="3"/>
  <c r="O13" i="3"/>
  <c r="M10" i="3"/>
  <c r="L3" i="3"/>
  <c r="L4" i="3"/>
  <c r="L12" i="3"/>
  <c r="M4" i="3"/>
  <c r="M12" i="3"/>
  <c r="N5" i="3"/>
  <c r="N13" i="3"/>
  <c r="O6" i="3"/>
  <c r="O14" i="3"/>
  <c r="L10" i="3"/>
  <c r="O12" i="3"/>
  <c r="L13" i="3"/>
  <c r="L6" i="3"/>
  <c r="M14" i="3"/>
  <c r="N7" i="3"/>
  <c r="N15" i="3"/>
  <c r="O8" i="3"/>
  <c r="M2" i="3"/>
  <c r="O4" i="3"/>
  <c r="M5" i="3"/>
  <c r="L14" i="3"/>
  <c r="L7" i="3"/>
  <c r="L15" i="3"/>
  <c r="M7" i="3"/>
  <c r="M15" i="3"/>
  <c r="N8" i="3"/>
  <c r="N16" i="3"/>
  <c r="O9" i="3"/>
  <c r="L5" i="3"/>
  <c r="M13" i="3"/>
  <c r="N6" i="3"/>
  <c r="N14" i="3"/>
  <c r="M6" i="3"/>
  <c r="L8" i="3"/>
  <c r="L16" i="3"/>
  <c r="M8" i="3"/>
  <c r="M16" i="3"/>
  <c r="N9" i="3"/>
  <c r="O2" i="3"/>
  <c r="O10" i="3"/>
  <c r="BD16" i="1"/>
  <c r="AX16" i="1"/>
  <c r="AR16" i="1"/>
  <c r="AL16" i="1"/>
  <c r="AF16" i="1"/>
  <c r="Z16" i="1"/>
  <c r="T16" i="1"/>
  <c r="N16" i="1"/>
  <c r="H16" i="1"/>
  <c r="BD15" i="1"/>
  <c r="AX15" i="1"/>
  <c r="AR15" i="1"/>
  <c r="AL15" i="1"/>
  <c r="AF15" i="1"/>
  <c r="Z15" i="1"/>
  <c r="T15" i="1"/>
  <c r="N15" i="1"/>
  <c r="H15" i="1"/>
  <c r="BD14" i="1"/>
  <c r="AX14" i="1"/>
  <c r="AR14" i="1"/>
  <c r="AL14" i="1"/>
  <c r="AF14" i="1"/>
  <c r="Z14" i="1"/>
  <c r="T14" i="1"/>
  <c r="N14" i="1"/>
  <c r="H14" i="1"/>
  <c r="BD13" i="1"/>
  <c r="AX13" i="1"/>
  <c r="AR13" i="1"/>
  <c r="AL13" i="1"/>
  <c r="AF13" i="1"/>
  <c r="Z13" i="1"/>
  <c r="T13" i="1"/>
  <c r="N13" i="1"/>
  <c r="H13" i="1"/>
  <c r="BD12" i="1"/>
  <c r="AX12" i="1"/>
  <c r="AR12" i="1"/>
  <c r="AL12" i="1"/>
  <c r="AF12" i="1"/>
  <c r="Z12" i="1"/>
  <c r="T12" i="1"/>
  <c r="N12" i="1"/>
  <c r="H12" i="1"/>
  <c r="BD11" i="1"/>
  <c r="AX11" i="1"/>
  <c r="AR11" i="1"/>
  <c r="AL11" i="1"/>
  <c r="AF11" i="1"/>
  <c r="Z11" i="1"/>
  <c r="T11" i="1"/>
  <c r="N11" i="1"/>
  <c r="H11" i="1"/>
  <c r="BD10" i="1"/>
  <c r="AX10" i="1"/>
  <c r="AR10" i="1"/>
  <c r="AL10" i="1"/>
  <c r="AF10" i="1"/>
  <c r="Z10" i="1"/>
  <c r="T10" i="1"/>
  <c r="N10" i="1"/>
  <c r="H10" i="1"/>
  <c r="BD9" i="1"/>
  <c r="AX9" i="1"/>
  <c r="AR9" i="1"/>
  <c r="AL9" i="1"/>
  <c r="AF9" i="1"/>
  <c r="Z9" i="1"/>
  <c r="T9" i="1"/>
  <c r="N9" i="1"/>
  <c r="H9" i="1"/>
  <c r="BD8" i="1"/>
  <c r="AX8" i="1"/>
  <c r="AR8" i="1"/>
  <c r="AL8" i="1"/>
  <c r="AF8" i="1"/>
  <c r="Z8" i="1"/>
  <c r="T8" i="1"/>
  <c r="N8" i="1"/>
  <c r="H8" i="1"/>
  <c r="BD7" i="1"/>
  <c r="AX7" i="1"/>
  <c r="AR7" i="1"/>
  <c r="AL7" i="1"/>
  <c r="AF7" i="1"/>
  <c r="Z7" i="1"/>
  <c r="T7" i="1"/>
  <c r="N7" i="1"/>
  <c r="H7" i="1"/>
  <c r="BD6" i="1"/>
  <c r="AX6" i="1"/>
  <c r="AR6" i="1"/>
  <c r="AL6" i="1"/>
  <c r="AF6" i="1"/>
  <c r="Z6" i="1"/>
  <c r="T6" i="1"/>
  <c r="N6" i="1"/>
  <c r="H6" i="1"/>
  <c r="BD5" i="1"/>
  <c r="AX5" i="1"/>
  <c r="AR5" i="1"/>
  <c r="AL5" i="1"/>
  <c r="AF5" i="1"/>
  <c r="Z5" i="1"/>
  <c r="T5" i="1"/>
  <c r="N5" i="1"/>
  <c r="H5" i="1"/>
  <c r="BD4" i="1"/>
  <c r="AX4" i="1"/>
  <c r="AR4" i="1"/>
  <c r="AL4" i="1"/>
  <c r="AF4" i="1"/>
  <c r="Z4" i="1"/>
  <c r="T4" i="1"/>
  <c r="N4" i="1"/>
  <c r="H4" i="1"/>
  <c r="BD3" i="1"/>
  <c r="AX3" i="1"/>
  <c r="AR3" i="1"/>
  <c r="AL3" i="1"/>
  <c r="AF3" i="1"/>
  <c r="Z3" i="1"/>
  <c r="T3" i="1"/>
  <c r="N3" i="1"/>
  <c r="H3" i="1"/>
  <c r="BD2" i="1"/>
  <c r="AX2" i="1"/>
  <c r="AR2" i="1"/>
  <c r="AL2" i="1"/>
  <c r="AF2" i="1"/>
  <c r="Z2" i="1"/>
  <c r="T2" i="1"/>
  <c r="N2" i="1"/>
  <c r="H2" i="1"/>
  <c r="BD16" i="2"/>
  <c r="AX16" i="2"/>
  <c r="AR16" i="2"/>
  <c r="AL16" i="2"/>
  <c r="AF16" i="2"/>
  <c r="Z16" i="2"/>
  <c r="T16" i="2"/>
  <c r="N16" i="2"/>
  <c r="H16" i="2"/>
  <c r="BD15" i="2"/>
  <c r="AX15" i="2"/>
  <c r="AR15" i="2"/>
  <c r="AL15" i="2"/>
  <c r="AF15" i="2"/>
  <c r="Z15" i="2"/>
  <c r="T15" i="2"/>
  <c r="N15" i="2"/>
  <c r="H15" i="2"/>
  <c r="BD14" i="2"/>
  <c r="AX14" i="2"/>
  <c r="AR14" i="2"/>
  <c r="AL14" i="2"/>
  <c r="AF14" i="2"/>
  <c r="Z14" i="2"/>
  <c r="T14" i="2"/>
  <c r="N14" i="2"/>
  <c r="H14" i="2"/>
  <c r="BD13" i="2"/>
  <c r="AX13" i="2"/>
  <c r="AR13" i="2"/>
  <c r="AL13" i="2"/>
  <c r="AF13" i="2"/>
  <c r="Z13" i="2"/>
  <c r="T13" i="2"/>
  <c r="N13" i="2"/>
  <c r="H13" i="2"/>
  <c r="BD12" i="2"/>
  <c r="AX12" i="2"/>
  <c r="AR12" i="2"/>
  <c r="AL12" i="2"/>
  <c r="AF12" i="2"/>
  <c r="Z12" i="2"/>
  <c r="T12" i="2"/>
  <c r="N12" i="2"/>
  <c r="H12" i="2"/>
  <c r="BD11" i="2"/>
  <c r="AX11" i="2"/>
  <c r="AR11" i="2"/>
  <c r="AL11" i="2"/>
  <c r="AF11" i="2"/>
  <c r="Z11" i="2"/>
  <c r="T11" i="2"/>
  <c r="N11" i="2"/>
  <c r="H11" i="2"/>
  <c r="BD10" i="2"/>
  <c r="AX10" i="2"/>
  <c r="AR10" i="2"/>
  <c r="AL10" i="2"/>
  <c r="AF10" i="2"/>
  <c r="Z10" i="2"/>
  <c r="T10" i="2"/>
  <c r="N10" i="2"/>
  <c r="H10" i="2"/>
  <c r="BD9" i="2"/>
  <c r="AX9" i="2"/>
  <c r="AR9" i="2"/>
  <c r="AL9" i="2"/>
  <c r="AF9" i="2"/>
  <c r="Z9" i="2"/>
  <c r="T9" i="2"/>
  <c r="N9" i="2"/>
  <c r="H9" i="2"/>
  <c r="BD8" i="2"/>
  <c r="AX8" i="2"/>
  <c r="AR8" i="2"/>
  <c r="AL8" i="2"/>
  <c r="AF8" i="2"/>
  <c r="Z8" i="2"/>
  <c r="T8" i="2"/>
  <c r="N8" i="2"/>
  <c r="H8" i="2"/>
  <c r="BD7" i="2"/>
  <c r="AX7" i="2"/>
  <c r="AR7" i="2"/>
  <c r="AL7" i="2"/>
  <c r="AF7" i="2"/>
  <c r="Z7" i="2"/>
  <c r="T7" i="2"/>
  <c r="N7" i="2"/>
  <c r="H7" i="2"/>
  <c r="BD6" i="2"/>
  <c r="AX6" i="2"/>
  <c r="AR6" i="2"/>
  <c r="AL6" i="2"/>
  <c r="AF6" i="2"/>
  <c r="Z6" i="2"/>
  <c r="T6" i="2"/>
  <c r="N6" i="2"/>
  <c r="H6" i="2"/>
  <c r="BD5" i="2"/>
  <c r="AX5" i="2"/>
  <c r="AR5" i="2"/>
  <c r="AL5" i="2"/>
  <c r="AF5" i="2"/>
  <c r="Z5" i="2"/>
  <c r="T5" i="2"/>
  <c r="N5" i="2"/>
  <c r="H5" i="2"/>
  <c r="BD4" i="2"/>
  <c r="AX4" i="2"/>
  <c r="AR4" i="2"/>
  <c r="AL4" i="2"/>
  <c r="AF4" i="2"/>
  <c r="Z4" i="2"/>
  <c r="T4" i="2"/>
  <c r="N4" i="2"/>
  <c r="H4" i="2"/>
  <c r="BD3" i="2"/>
  <c r="AX3" i="2"/>
  <c r="AR3" i="2"/>
  <c r="AL3" i="2"/>
  <c r="AF3" i="2"/>
  <c r="Z3" i="2"/>
  <c r="T3" i="2"/>
  <c r="N3" i="2"/>
  <c r="H3" i="2"/>
  <c r="BD2" i="2"/>
  <c r="AX2" i="2"/>
  <c r="AR2" i="2"/>
  <c r="AL2" i="2"/>
  <c r="AF2" i="2"/>
  <c r="Z2" i="2"/>
  <c r="T2" i="2"/>
  <c r="N2" i="2"/>
  <c r="H2" i="2"/>
  <c r="I16" i="3"/>
  <c r="AL16" i="4"/>
  <c r="H16" i="3" s="1"/>
  <c r="AF16" i="4"/>
  <c r="Z16" i="4"/>
  <c r="T16" i="4"/>
  <c r="E16" i="3" s="1"/>
  <c r="N16" i="4"/>
  <c r="D16" i="3" s="1"/>
  <c r="C16" i="3"/>
  <c r="I15" i="3"/>
  <c r="AL15" i="4"/>
  <c r="AF15" i="4"/>
  <c r="Z15" i="4"/>
  <c r="T15" i="4"/>
  <c r="E15" i="3" s="1"/>
  <c r="N15" i="4"/>
  <c r="D15" i="3" s="1"/>
  <c r="H15" i="4"/>
  <c r="C15" i="3" s="1"/>
  <c r="I14" i="3"/>
  <c r="AL14" i="4"/>
  <c r="AF14" i="4"/>
  <c r="Z14" i="4"/>
  <c r="T14" i="4"/>
  <c r="N14" i="4"/>
  <c r="H14" i="4"/>
  <c r="C14" i="3" s="1"/>
  <c r="I13" i="3"/>
  <c r="AL13" i="4"/>
  <c r="AF13" i="4"/>
  <c r="Z13" i="4"/>
  <c r="T13" i="4"/>
  <c r="E13" i="3" s="1"/>
  <c r="N13" i="4"/>
  <c r="D13" i="3" s="1"/>
  <c r="H13" i="4"/>
  <c r="C13" i="3" s="1"/>
  <c r="I12" i="3"/>
  <c r="AL12" i="4"/>
  <c r="AF12" i="4"/>
  <c r="Z12" i="4"/>
  <c r="T12" i="4"/>
  <c r="N12" i="4"/>
  <c r="H12" i="4"/>
  <c r="C12" i="3" s="1"/>
  <c r="I11" i="3"/>
  <c r="AL11" i="4"/>
  <c r="AF11" i="4"/>
  <c r="Z11" i="4"/>
  <c r="T11" i="4"/>
  <c r="N11" i="4"/>
  <c r="H11" i="4"/>
  <c r="C11" i="3" s="1"/>
  <c r="I10" i="3"/>
  <c r="AL10" i="4"/>
  <c r="AF10" i="4"/>
  <c r="Z10" i="4"/>
  <c r="T10" i="4"/>
  <c r="N10" i="4"/>
  <c r="H10" i="4"/>
  <c r="C10" i="3" s="1"/>
  <c r="I9" i="3"/>
  <c r="AL9" i="4"/>
  <c r="AF9" i="4"/>
  <c r="Z9" i="4"/>
  <c r="T9" i="4"/>
  <c r="N9" i="4"/>
  <c r="H9" i="4"/>
  <c r="C9" i="3" s="1"/>
  <c r="I8" i="3"/>
  <c r="AL8" i="4"/>
  <c r="AF8" i="4"/>
  <c r="Z8" i="4"/>
  <c r="T8" i="4"/>
  <c r="N8" i="4"/>
  <c r="H8" i="4"/>
  <c r="C8" i="3" s="1"/>
  <c r="I7" i="3"/>
  <c r="AL7" i="4"/>
  <c r="AF7" i="4"/>
  <c r="Z7" i="4"/>
  <c r="T7" i="4"/>
  <c r="N7" i="4"/>
  <c r="H7" i="4"/>
  <c r="C7" i="3" s="1"/>
  <c r="I6" i="3"/>
  <c r="AL6" i="4"/>
  <c r="AF6" i="4"/>
  <c r="Z6" i="4"/>
  <c r="T6" i="4"/>
  <c r="N6" i="4"/>
  <c r="H6" i="4"/>
  <c r="C6" i="3" s="1"/>
  <c r="I5" i="3"/>
  <c r="AL5" i="4"/>
  <c r="AF5" i="4"/>
  <c r="Z5" i="4"/>
  <c r="T5" i="4"/>
  <c r="N5" i="4"/>
  <c r="H5" i="4"/>
  <c r="C5" i="3" s="1"/>
  <c r="I4" i="3"/>
  <c r="AL4" i="4"/>
  <c r="AF4" i="4"/>
  <c r="G4" i="3" s="1"/>
  <c r="Z4" i="4"/>
  <c r="T4" i="4"/>
  <c r="N4" i="4"/>
  <c r="H4" i="4"/>
  <c r="C4" i="3" s="1"/>
  <c r="I3" i="3"/>
  <c r="AL3" i="4"/>
  <c r="AF3" i="4"/>
  <c r="Z3" i="4"/>
  <c r="T3" i="4"/>
  <c r="N3" i="4"/>
  <c r="H3" i="4"/>
  <c r="C3" i="3" s="1"/>
  <c r="AL2" i="4"/>
  <c r="AF2" i="4"/>
  <c r="Z2" i="4"/>
  <c r="T2" i="4"/>
  <c r="E2" i="3" s="1"/>
  <c r="N2" i="4"/>
  <c r="D2" i="3" s="1"/>
  <c r="H2" i="4"/>
  <c r="C2" i="3" s="1"/>
  <c r="J3" i="3" l="1"/>
  <c r="J8" i="3"/>
  <c r="J9" i="3"/>
  <c r="J2" i="3"/>
  <c r="J5" i="3"/>
  <c r="J13" i="3"/>
  <c r="J4" i="3"/>
  <c r="J6" i="3"/>
  <c r="J14" i="3"/>
  <c r="J7" i="3"/>
  <c r="J16" i="3"/>
  <c r="J11" i="3"/>
  <c r="J12" i="3"/>
  <c r="H9" i="3"/>
  <c r="K5" i="3"/>
  <c r="H8" i="3"/>
  <c r="K13" i="3"/>
  <c r="K6" i="3"/>
  <c r="K14" i="3"/>
  <c r="I2" i="3"/>
  <c r="K16" i="3"/>
  <c r="H2" i="3"/>
  <c r="K7" i="3"/>
  <c r="H10" i="3"/>
  <c r="K15" i="3"/>
  <c r="H3" i="3"/>
  <c r="K8" i="3"/>
  <c r="H11" i="3"/>
  <c r="H4" i="3"/>
  <c r="K9" i="3"/>
  <c r="H12" i="3"/>
  <c r="K2" i="3"/>
  <c r="H5" i="3"/>
  <c r="K10" i="3"/>
  <c r="H13" i="3"/>
  <c r="K3" i="3"/>
  <c r="H6" i="3"/>
  <c r="K11" i="3"/>
  <c r="H14" i="3"/>
  <c r="K4" i="3"/>
  <c r="H7" i="3"/>
  <c r="K12" i="3"/>
  <c r="H15" i="3"/>
  <c r="G16" i="3"/>
  <c r="F16" i="3"/>
  <c r="G15" i="3"/>
  <c r="F15" i="3"/>
  <c r="G14" i="3"/>
  <c r="F14" i="3"/>
  <c r="E14" i="3"/>
  <c r="D14" i="3"/>
  <c r="G13" i="3"/>
  <c r="F13" i="3"/>
  <c r="G12" i="3"/>
  <c r="F12" i="3"/>
  <c r="E12" i="3"/>
  <c r="D12" i="3"/>
  <c r="G11" i="3"/>
  <c r="F11" i="3"/>
  <c r="E11" i="3"/>
  <c r="D11" i="3"/>
  <c r="G10" i="3"/>
  <c r="F10" i="3"/>
  <c r="E10" i="3"/>
  <c r="D10" i="3"/>
  <c r="G9" i="3"/>
  <c r="F9" i="3"/>
  <c r="E9" i="3"/>
  <c r="D9" i="3"/>
  <c r="G8" i="3"/>
  <c r="F8" i="3"/>
  <c r="E8" i="3"/>
  <c r="D8" i="3"/>
  <c r="G7" i="3"/>
  <c r="F7" i="3"/>
  <c r="E7" i="3"/>
  <c r="D7" i="3"/>
  <c r="G6" i="3"/>
  <c r="F6" i="3"/>
  <c r="E6" i="3"/>
  <c r="D6" i="3"/>
  <c r="G5" i="3"/>
  <c r="F5" i="3"/>
  <c r="E5" i="3"/>
  <c r="D5" i="3"/>
  <c r="F4" i="3"/>
  <c r="E4" i="3"/>
  <c r="D4" i="3"/>
  <c r="G3" i="3"/>
  <c r="F3" i="3"/>
  <c r="E3" i="3"/>
  <c r="D3" i="3"/>
  <c r="G2" i="3"/>
  <c r="F2" i="3"/>
</calcChain>
</file>

<file path=xl/sharedStrings.xml><?xml version="1.0" encoding="utf-8"?>
<sst xmlns="http://schemas.openxmlformats.org/spreadsheetml/2006/main" count="1464" uniqueCount="200">
  <si>
    <t>Caixas consultadas em pesquisa de desarquivamento</t>
  </si>
  <si>
    <t>Caixas separadas para classificação</t>
  </si>
  <si>
    <t>Processos/Documentos classificados</t>
  </si>
  <si>
    <t>Caixas separadas para eliminação</t>
  </si>
  <si>
    <t>Caixas inventariadas</t>
  </si>
  <si>
    <t>Processos/documentos inventariados</t>
  </si>
  <si>
    <t>Orientação técnica / atendimentos realizados</t>
  </si>
  <si>
    <t>Caixas remanejadas</t>
  </si>
  <si>
    <t>Documentos administrativos produzidos (Despacho, Nota Técnica, minutas diversas)</t>
  </si>
  <si>
    <t>INDICADORES</t>
  </si>
  <si>
    <t>OBSERVAÇÃO</t>
  </si>
  <si>
    <t xml:space="preserve">OUTRA ATIVIDADE. QUAL? </t>
  </si>
  <si>
    <t>Processos/Documentos listados para eliminação</t>
  </si>
  <si>
    <t>Caixas listadas para eliminação</t>
  </si>
  <si>
    <t>Caixas conferidas</t>
  </si>
  <si>
    <t>TOTAL SEMANA</t>
  </si>
  <si>
    <t>Recebimento de Documentos - Guia de Transferência</t>
  </si>
  <si>
    <t>Retorno de Processos/Documentos Desarquivados</t>
  </si>
  <si>
    <t>Desarquivamento de Processos/Documentos - Saída de Guia Fora</t>
  </si>
  <si>
    <t>Caixas remanejada</t>
  </si>
  <si>
    <t>Fonte</t>
  </si>
  <si>
    <t>SEI</t>
  </si>
  <si>
    <t>CONTAGEM INDIVIDUAL (das caixas abertas para verificação de conteúdo em contexto de pesquisa para desarquivamento)</t>
  </si>
  <si>
    <t>PLANILHA</t>
  </si>
  <si>
    <t>CONTAGEM INDIVIDUAL (das caixas "puxadas" nas estantes como uma pré-seleção para eliminação)</t>
  </si>
  <si>
    <t xml:space="preserve">Caixas listadas para eliminação </t>
  </si>
  <si>
    <t>SEI, E-MAIL, TELEFONE</t>
  </si>
  <si>
    <t>CONTAGEM INDIVIDUAL (de caixas deslocadas visando reorganização temporária ou permanente)</t>
  </si>
  <si>
    <t>CONTAGEM INDIVIDUAL (de caixas para simples conferência de quantitativo ou do conteúdo do espelho em atividades diversas)</t>
  </si>
  <si>
    <t>FONTE</t>
  </si>
  <si>
    <t>SEI (Depachos ou Ofícios assinados na unidade Diarq)</t>
  </si>
  <si>
    <t>CONTAGEM INDIVIDUAL (Caixas abertas para verificação de conteúdo em contexto de pesquisa para desarquivamento)</t>
  </si>
  <si>
    <t>SEI  (Depachos ou Ofícios assinados na unidade Diarq)</t>
  </si>
  <si>
    <t>CONTAGEM INDIVIDUAL (Caixas  "puxadas" nas estantes como uma pré-seleção para classificação)</t>
  </si>
  <si>
    <t>CONTAGEM INDIVIDUAL (Caixas "puxadas" nas estantes como uma pré-seleção para eliminação)</t>
  </si>
  <si>
    <t>CONTAGEM INDIVIDUAL (Caixas deslocadas/movimentadas visando reorganização temporária ou permanente)</t>
  </si>
  <si>
    <t>CONTAGEM INDIVIDUAL (Caixas consultadas para simples 'conferência de quantitativo' ou do 'conteúdo do espelho' em atividades diversas)</t>
  </si>
  <si>
    <t>SEI (Depachos, Ofícios ou outros documentos assinados na unidade Diarq)</t>
  </si>
  <si>
    <t>CONTAGEM INDIVIDUAL (das caixas "puxadas" nas estantes como uma pré-seleção para classificação)</t>
  </si>
  <si>
    <t xml:space="preserve">06/10 a 10/10/2025 </t>
  </si>
  <si>
    <t xml:space="preserve">13/10 a 17/10/2025 </t>
  </si>
  <si>
    <t xml:space="preserve">20/10 a 24/10/2025 </t>
  </si>
  <si>
    <t xml:space="preserve">27/10 a 31/10/2025 </t>
  </si>
  <si>
    <t xml:space="preserve">03/11 a 07/11/2025 </t>
  </si>
  <si>
    <t xml:space="preserve">10/11 a 14/11/2025 </t>
  </si>
  <si>
    <t xml:space="preserve">17/11 a 21/11/2025 </t>
  </si>
  <si>
    <t xml:space="preserve">24/11 a 28/11/2025 </t>
  </si>
  <si>
    <t xml:space="preserve">01/12 a 05/12/2025 </t>
  </si>
  <si>
    <t xml:space="preserve">08/12 a 12/12/2025 </t>
  </si>
  <si>
    <t xml:space="preserve">15/12 a 19/12/2025 </t>
  </si>
  <si>
    <t xml:space="preserve">22/12 a 26/12/2025 </t>
  </si>
  <si>
    <t>29/12 a 02/01/2026</t>
  </si>
  <si>
    <t>Apresentação/Treinamento da empresa GE Serviços (Novo contrato)</t>
  </si>
  <si>
    <r>
      <t xml:space="preserve">Conferência do patrimônio salas </t>
    </r>
    <r>
      <rPr>
        <b/>
        <sz val="11"/>
        <color theme="1"/>
        <rFont val="Aptos Narrow"/>
        <family val="2"/>
        <scheme val="minor"/>
      </rPr>
      <t>1S3.25 e 1S1.20</t>
    </r>
  </si>
  <si>
    <r>
      <t xml:space="preserve">Conferência do patrimônio salas </t>
    </r>
    <r>
      <rPr>
        <b/>
        <sz val="11"/>
        <color theme="1"/>
        <rFont val="Aptos Narrow"/>
        <family val="2"/>
        <scheme val="minor"/>
      </rPr>
      <t>1S3.25 e 1S1.20</t>
    </r>
    <r>
      <rPr>
        <sz val="11"/>
        <color theme="1"/>
        <rFont val="Aptos Narrow"/>
        <family val="2"/>
        <scheme val="minor"/>
      </rPr>
      <t xml:space="preserve">
(pendência/continuação)</t>
    </r>
  </si>
  <si>
    <t>Conferência do patrimônio salas 3.25,3.60,3.47,3.11</t>
  </si>
  <si>
    <t xml:space="preserve">procurando processo </t>
  </si>
  <si>
    <t xml:space="preserve">conferencia de caixas </t>
  </si>
  <si>
    <t>1. Desarquivamento Pasta
 Funcional.
2. Conferência Guia de Transferência
da CGATA</t>
  </si>
  <si>
    <t>Conferência Guia de Transferência
da CGATA</t>
  </si>
  <si>
    <t>Ajuda na transferência das caixas de eliminação para a empresa Capital
Total: 5.270 Kg, referente ao Ticket 336999.</t>
  </si>
  <si>
    <r>
      <t xml:space="preserve">1. Conferência Guia de Transferência
da CGATA
Apresenta erros...
</t>
    </r>
    <r>
      <rPr>
        <sz val="11"/>
        <color rgb="FFFF0000"/>
        <rFont val="Aptos Narrow"/>
        <family val="2"/>
        <scheme val="minor"/>
      </rPr>
      <t>2. Palestra da G&amp;E período da tarde.</t>
    </r>
  </si>
  <si>
    <r>
      <t xml:space="preserve">1. Preparação arquivamento caixas DEFNAS.
</t>
    </r>
    <r>
      <rPr>
        <sz val="11"/>
        <color rgb="FFFF0000"/>
        <rFont val="Aptos Narrow"/>
        <family val="2"/>
        <scheme val="minor"/>
      </rPr>
      <t>2. Confraternização almoço, niver Leonam.</t>
    </r>
  </si>
  <si>
    <r>
      <t xml:space="preserve">1. </t>
    </r>
    <r>
      <rPr>
        <sz val="11"/>
        <color rgb="FFFF0000"/>
        <rFont val="Aptos Narrow"/>
        <family val="2"/>
        <scheme val="minor"/>
      </rPr>
      <t>Pela manhã ida so Sindicato para assinar 
rescisão da Works.</t>
    </r>
    <r>
      <rPr>
        <sz val="11"/>
        <color theme="1"/>
        <rFont val="Aptos Narrow"/>
        <family val="2"/>
        <scheme val="minor"/>
      </rPr>
      <t xml:space="preserve"> 
2. Realização de Relatório total de audiovisuais para a Patrícia.
3. Pesquisa e busca por processo do MESP.</t>
    </r>
  </si>
  <si>
    <t xml:space="preserve"> Pesquisa e busca por 
processo do MESP.</t>
  </si>
  <si>
    <r>
      <t xml:space="preserve">Continuação Revisão planilha do Inventário do </t>
    </r>
    <r>
      <rPr>
        <b/>
        <sz val="11"/>
        <color theme="1"/>
        <rFont val="Aptos Narrow"/>
        <family val="2"/>
        <scheme val="minor"/>
      </rPr>
      <t>ARCEN</t>
    </r>
    <r>
      <rPr>
        <sz val="11"/>
        <color theme="1"/>
        <rFont val="Aptos Narrow"/>
        <family val="2"/>
        <scheme val="minor"/>
      </rPr>
      <t xml:space="preserve">
e Consolidação
(</t>
    </r>
    <r>
      <rPr>
        <b/>
        <sz val="11"/>
        <color theme="1"/>
        <rFont val="Aptos Narrow"/>
        <family val="2"/>
        <scheme val="minor"/>
      </rPr>
      <t>Continuação</t>
    </r>
    <r>
      <rPr>
        <sz val="11"/>
        <color theme="1"/>
        <rFont val="Aptos Narrow"/>
        <family val="2"/>
        <scheme val="minor"/>
      </rPr>
      <t>)</t>
    </r>
  </si>
  <si>
    <t xml:space="preserve">CARREGANDO O CARRO COM OS PROCESSOS </t>
  </si>
  <si>
    <t>OLHANDO  O SEI</t>
  </si>
  <si>
    <t xml:space="preserve">1. Desarquivamento 104 volumes (MESP).
2. Conferência Guia de Transferência
da CGATA
Apresenta erros...
</t>
  </si>
  <si>
    <t>Pesquisa e busca por processo do MESP
21 CAIXAS CONFERIDAS</t>
  </si>
  <si>
    <t>1. Pesquisa e busca por processo do MESP.
2. Ligação para a CGATA a respeito da devolução das caixas, pois consta erros na Guia de Transferência.
3. Pesquisa e busca por processo 
71000.009460/2005-64</t>
  </si>
  <si>
    <t xml:space="preserve"> 1. Pesquisa e busca por processo 
71000.009460/2005-64.
2. Relatório quantidade de módulos, estantes e prateleiras dos Arquivos Deslizantes do DNIT.</t>
  </si>
  <si>
    <t xml:space="preserve">1. Desarquivamento 
71000.009460/2005-64
Total 32 volumes.
2. Relatório sobre o estado dos Arquivos Deslizantes lotados no DNIT.
</t>
  </si>
  <si>
    <t>FERIADO</t>
  </si>
  <si>
    <t xml:space="preserve">SOLICITAÇÃO DO CARRO PRA LEVAR OS PROCESSOS(107 processos) </t>
  </si>
  <si>
    <r>
      <t xml:space="preserve">Levantamento  patrimonial anual das salas 1º subsolo DNIT </t>
    </r>
    <r>
      <rPr>
        <b/>
        <sz val="11"/>
        <color theme="1"/>
        <rFont val="Aptos Narrow"/>
        <family val="2"/>
        <scheme val="minor"/>
      </rPr>
      <t>(1.20, 3.25, 3.60, 3.47, 3.11)</t>
    </r>
  </si>
  <si>
    <r>
      <t xml:space="preserve"> Pesquisa e busca por 
processo do </t>
    </r>
    <r>
      <rPr>
        <b/>
        <sz val="11"/>
        <color theme="1"/>
        <rFont val="Aptos Narrow"/>
        <family val="2"/>
        <scheme val="minor"/>
      </rPr>
      <t>MESP</t>
    </r>
    <r>
      <rPr>
        <sz val="11"/>
        <color theme="1"/>
        <rFont val="Aptos Narrow"/>
        <family val="2"/>
        <scheme val="minor"/>
      </rPr>
      <t xml:space="preserve"> </t>
    </r>
    <r>
      <rPr>
        <b/>
        <sz val="11"/>
        <color theme="1"/>
        <rFont val="Aptos Narrow"/>
        <family val="2"/>
        <scheme val="minor"/>
      </rPr>
      <t>(104 volumes)</t>
    </r>
  </si>
  <si>
    <t>Guarda, organização e contagem de material de consumo de escritório</t>
  </si>
  <si>
    <r>
      <t xml:space="preserve">Guarda e organização de </t>
    </r>
    <r>
      <rPr>
        <b/>
        <sz val="11"/>
        <color theme="1"/>
        <rFont val="Aptos Narrow"/>
        <family val="2"/>
        <scheme val="minor"/>
      </rPr>
      <t>70 caixas</t>
    </r>
    <r>
      <rPr>
        <sz val="11"/>
        <color theme="1"/>
        <rFont val="Aptos Narrow"/>
        <family val="2"/>
        <scheme val="minor"/>
      </rPr>
      <t xml:space="preserve"> da CGPC, sala </t>
    </r>
    <r>
      <rPr>
        <b/>
        <sz val="11"/>
        <color theme="1"/>
        <rFont val="Aptos Narrow"/>
        <family val="2"/>
        <scheme val="minor"/>
      </rPr>
      <t>1S3.25</t>
    </r>
  </si>
  <si>
    <t>Ponto Facultativo.
Dia do servidor que é 28 foi movido para este dia.</t>
  </si>
  <si>
    <t>Pesquisa e busca por processo 
MESP
58701.000350/2007-33</t>
  </si>
  <si>
    <t>1. Preparação de 39 processos do MESP para serem levados para arquivar no Bloco A.
2. Documento produzido: 
E-mail solicitação autorização de saída de 39 processos.</t>
  </si>
  <si>
    <t xml:space="preserve">Arquivamento de 70 caixas do 
DAPDEFNAS </t>
  </si>
  <si>
    <t>1. Reunião pela manhã com a 
chefe Patrícia.
2. Ligação para a COSEG para tratar do envio das caixas para o Bloco A  e o agendamento do carro.</t>
  </si>
  <si>
    <r>
      <t xml:space="preserve">Conclusão da conferência do patrimônio salas </t>
    </r>
    <r>
      <rPr>
        <b/>
        <sz val="11"/>
        <color theme="1"/>
        <rFont val="Aptos Narrow"/>
        <family val="2"/>
        <scheme val="minor"/>
      </rPr>
      <t>1S3.25 e 1S1.20</t>
    </r>
    <r>
      <rPr>
        <sz val="11"/>
        <color theme="1"/>
        <rFont val="Aptos Narrow"/>
        <family val="2"/>
        <scheme val="minor"/>
      </rPr>
      <t xml:space="preserve">
</t>
    </r>
  </si>
  <si>
    <t>Conferência e atualização da planilha de indicadores de atividades</t>
  </si>
  <si>
    <r>
      <t>Atualização planilha de atividades</t>
    </r>
    <r>
      <rPr>
        <b/>
        <sz val="11"/>
        <color theme="1"/>
        <rFont val="Aptos Narrow"/>
        <family val="2"/>
        <scheme val="minor"/>
      </rPr>
      <t xml:space="preserve">
(Geral/Gustavo)</t>
    </r>
  </si>
  <si>
    <t>Reunião de equipe com Patricia
(manhã)</t>
  </si>
  <si>
    <r>
      <t>Finalização da planilha de atividades</t>
    </r>
    <r>
      <rPr>
        <b/>
        <sz val="11"/>
        <color theme="1"/>
        <rFont val="Aptos Narrow"/>
        <family val="2"/>
        <scheme val="minor"/>
      </rPr>
      <t xml:space="preserve">
(Geral/Gustavo)</t>
    </r>
  </si>
  <si>
    <t>trocando caixas do arquivo 10</t>
  </si>
  <si>
    <t xml:space="preserve">TROCANDO CAIXAS NO ARQUIVO 10 , PROCURANDO PROCESSOS </t>
  </si>
  <si>
    <t>ARQUIVANDO PROCESSOS DO ESPORTE E MDS 15</t>
  </si>
  <si>
    <t>feriado</t>
  </si>
  <si>
    <t xml:space="preserve">REUNIÃO NO PERIODO DA MANHÃ , TROCANDO CAIXAS NO ARQUIVO 10 , PROCURANDO PROCESSOS </t>
  </si>
  <si>
    <t>FOLGA</t>
  </si>
  <si>
    <t>pesquisa da pasta funcional do servidor Luiz Celso Giacomini do ESPORTE</t>
  </si>
  <si>
    <t>1. Acompanhamento transporte dos
 processos MESP: 
DNIT p/  A.
2. Vistoria no Bloco A para ver se 
há vazamentos (G-15).
3. Arquivamento processos MESP.
4. Devolução de 2 caixas para CGATA (correção).
5. Arquivamento MESP.</t>
  </si>
  <si>
    <t xml:space="preserve">1. Vistoria no Bloco A para ver se há buracos de possível 
entrada de ratos nas salas  sala G-15, G-17.
2. Desarquivamento MESP.
3. Arquivamento MESP.
</t>
  </si>
  <si>
    <t>1. Organização da sala G-15 
para visita.
2. Arquivamento MESP.</t>
  </si>
  <si>
    <t>1. Confraternização CDA
 pela manhã.
2. Acompanhamento visita dos inteegrantes do Arquivo Nacional.</t>
  </si>
  <si>
    <t>Caixas substituídas(trocadas)</t>
  </si>
  <si>
    <t>Substituição de caixas degradadas por novas</t>
  </si>
  <si>
    <t xml:space="preserve">1. Desarquivamento 
71000.009460/2005-64
Total 32 volumes.
2. Relatório sobre o estado dos Arquivos Deslizantes lotados no DNIT junto com Aelton.
</t>
  </si>
  <si>
    <t>1. Vistoria no Bloco A para ver se 
há vazamentos na  sala G-15.
2. Busca por 10 caixas da DEFNAS,
9531 a 9540.
3. Arquvamento processo MESP.</t>
  </si>
  <si>
    <t xml:space="preserve">Vistoria no Bloco A para averiguação se há locais onde possam passar ratos (buracos, rachaduras), acervos das  salas: G-07, G-15 e  G-17.
</t>
  </si>
  <si>
    <t xml:space="preserve">Arquivamento processos MESP
_____
Devolução de 2 caixas para CGATA (correção)
</t>
  </si>
  <si>
    <t>Arquivamento processos MESP
_____
Arrumada na sala G-15 para visita pessoal Arquivo Nacional</t>
  </si>
  <si>
    <t>Café da manhã de aniversariantes CDA e DIARQ (manhã)
______
Preparação da sala para visita pessoal do Arquivo Nacional</t>
  </si>
  <si>
    <t xml:space="preserve">Fazer vizinta no MJ na biblioteca para ver mesa de higienização para fotos LBA </t>
  </si>
  <si>
    <t xml:space="preserve">Fazer vizinta no MJ na biblioteca para ver mesa de higienização para fotos LBA, fazendo vistória no bloco de correções dos arquivos </t>
  </si>
  <si>
    <t>Trocando caixas da LBAS</t>
  </si>
  <si>
    <t>Arrumando os arquivo para visita técnica do pessoal do Rio de Janeiro</t>
  </si>
  <si>
    <t>Pesquisa referente a solicitação do processo SEI 71000.108346/2025-60, referente a 03 processos.</t>
  </si>
  <si>
    <t>Organização da sala 4.47 para recepicinar integrantes do arquivo central</t>
  </si>
  <si>
    <t xml:space="preserve">TROCANDO CAIXAS NO ARQUIVO 10 , </t>
  </si>
  <si>
    <r>
      <rPr>
        <sz val="11"/>
        <color rgb="FFFF0000"/>
        <rFont val="Aptos Narrow"/>
        <family val="2"/>
      </rPr>
      <t>1. Confraternização CDA
 pela manhã.</t>
    </r>
    <r>
      <rPr>
        <sz val="11"/>
        <color theme="1"/>
        <rFont val="Aptos Narrow"/>
        <family val="2"/>
      </rPr>
      <t xml:space="preserve">
2. Acompanhamento visita dos inteegrantes do Arquivo Nacional.</t>
    </r>
  </si>
  <si>
    <t xml:space="preserve">colocando os espelhos nas caixas novas </t>
  </si>
  <si>
    <r>
      <t xml:space="preserve">Confeccionando espelhos para as caixas  </t>
    </r>
    <r>
      <rPr>
        <b/>
        <sz val="11"/>
        <color theme="1"/>
        <rFont val="Aptos Narrow"/>
        <family val="2"/>
        <scheme val="minor"/>
      </rPr>
      <t xml:space="preserve">audiovisual, fotos LBA </t>
    </r>
  </si>
  <si>
    <t>Desarquivamento de diversas pastas funcionais / confecção de guia fora</t>
  </si>
  <si>
    <t>1. Pesquisa localização dos processos vindos da SESAN.
Resultado: Não passou pela DIARQ, vão ter que fazer Guia de Transferência.
2. Documento produzido:
Despacho 273/2025.</t>
  </si>
  <si>
    <t xml:space="preserve">1. Conclusão da demanda.
17739664
2. Conclusão da demanda. 
17774356
3. Documento produzido:
E-mail de registro - Processos do Esporte arquivados nos dias 4 , 5 e 6-11-2025.
</t>
  </si>
  <si>
    <t>1. Remanejamento de 20 caixas da LBA
na sala 4.47.
2. Pesquisa e busca por Pasta Funcionais para serem enviadas ao MGI.</t>
  </si>
  <si>
    <t>1. Pesquisa e busca por Pasta Funcionais para 
serem enviadas ao MGI.
2. Desarquivamento
36 pastas funcionais de servidores do MDS para o MGI.</t>
  </si>
  <si>
    <t>Colagem dos espelhos das caixas da LBA.
Total: 19 caixas.</t>
  </si>
  <si>
    <t xml:space="preserve">desarquivando pasta funcional </t>
  </si>
  <si>
    <t xml:space="preserve">desarquivando pasta funcional  e processos </t>
  </si>
  <si>
    <t xml:space="preserve">desarquivando processos </t>
  </si>
  <si>
    <t>TROCANDO CAIXAS NO ARQUIVO</t>
  </si>
  <si>
    <t xml:space="preserve">TROCANDO CAIXAS NO ARQUIVO  </t>
  </si>
  <si>
    <t>CAIXAS REMANEJADAS  DA LBA,ARQUIVO SNAS DA  4.47 PARA 3.71</t>
  </si>
  <si>
    <t>LEITURA DO MODULO 15 DA SALA 3.71</t>
  </si>
  <si>
    <t xml:space="preserve">colando os espelhos nas caixas novas </t>
  </si>
  <si>
    <t>Correção da  Guia Fora (acréscimo de 2 e substituição de 1 Pastas Funcionais</t>
  </si>
  <si>
    <r>
      <t xml:space="preserve">Otimizando/corrigindo a planilha do Inventário do </t>
    </r>
    <r>
      <rPr>
        <b/>
        <sz val="11"/>
        <color theme="1"/>
        <rFont val="Aptos Narrow"/>
        <family val="2"/>
        <scheme val="minor"/>
      </rPr>
      <t>ARCEN</t>
    </r>
    <r>
      <rPr>
        <sz val="11"/>
        <color theme="1"/>
        <rFont val="Aptos Narrow"/>
        <family val="2"/>
        <scheme val="minor"/>
      </rPr>
      <t xml:space="preserve">
(</t>
    </r>
    <r>
      <rPr>
        <b/>
        <sz val="11"/>
        <color theme="1"/>
        <rFont val="Aptos Narrow"/>
        <family val="2"/>
        <scheme val="minor"/>
      </rPr>
      <t>Continuação</t>
    </r>
    <r>
      <rPr>
        <sz val="11"/>
        <color theme="1"/>
        <rFont val="Aptos Narrow"/>
        <family val="2"/>
        <scheme val="minor"/>
      </rPr>
      <t>)</t>
    </r>
  </si>
  <si>
    <t>GUARDANDO TODAS  FITAS VHS/MICROFILMES NA 4.47</t>
  </si>
  <si>
    <t>ACOMPANHAMENTO DA LIMPEZA REALIZADA NA AS G15 BLOCO A</t>
  </si>
  <si>
    <t>PARTE DA MANHÃ,  REVISTA REALIZADA NAS INSTALAÇÕES DO ARQUIVO BLOCO A.</t>
  </si>
  <si>
    <t xml:space="preserve"> 1. Pesquisa e busca por 
pasta funcional.
2. Desarquivamento pasta funcional MESP.</t>
  </si>
  <si>
    <t>1. Arquivamento 2 pastas funcional MESP.
2. Solictação de limpeza da sala G-15 (Bloco A) e acompanhamento.
Sala foi limpa no mesmo dia.</t>
  </si>
  <si>
    <t>Feriado
Consciência Negra</t>
  </si>
  <si>
    <t>1. Documento produzido:
Despacho 276.
2. Atualização planilha - 
Transferência Pasta Funcionais para o MGI.</t>
  </si>
  <si>
    <t xml:space="preserve">RECEBIMENTO E CONFERENCIA DO PROCESSO DE 105 VOLUMES </t>
  </si>
  <si>
    <r>
      <t xml:space="preserve">Atualização indicadores (planilha Gustavo) / Otimizando/corrigindo a planilha do Inventário do </t>
    </r>
    <r>
      <rPr>
        <b/>
        <sz val="11"/>
        <color theme="1"/>
        <rFont val="Aptos Narrow"/>
        <family val="2"/>
        <scheme val="minor"/>
      </rPr>
      <t>ARCEN
(Continuação)</t>
    </r>
    <r>
      <rPr>
        <sz val="11"/>
        <color theme="1"/>
        <rFont val="Aptos Narrow"/>
        <family val="2"/>
        <scheme val="minor"/>
      </rPr>
      <t xml:space="preserve"> </t>
    </r>
  </si>
  <si>
    <t>fazendo resumo da reunião sobre os processos perdidos</t>
  </si>
  <si>
    <t xml:space="preserve">reunião sobre os processos, buscando pasta funcionais </t>
  </si>
  <si>
    <t>PROCURANDO PASTAS FUNCIONAIS</t>
  </si>
  <si>
    <t xml:space="preserve">TROCANDO OS ESPELHOS </t>
  </si>
  <si>
    <t>FERÍADO NACIONAL DIA DA CONCIÊNCIA NEGRA</t>
  </si>
  <si>
    <t>CAIXAS CONFERIDAS</t>
  </si>
  <si>
    <t xml:space="preserve"> Conferindo os 105 volumes que a 
DIPRO devolveu após digitalizar.
Total: 20 caixas conferidas.</t>
  </si>
  <si>
    <t>Produzindo Relatório com a equipe sobre situação do Arquivo do Esporte e Inventário da DIARQ a respeito do processo 
58701.000350/2007-33 para a chefe elaborar resposta no Despacho 276.</t>
  </si>
  <si>
    <t xml:space="preserve"> 1. Reunião com a chefe Patrícia sobre o Relatório de ontem, 25/11/2025.
2. Pesquisa sobre a localização dos processos CGPC/DEFNAS
71001.166735/2008-07 e 71001.064921/2008-02.
3. Atualização planilha - 
Transferência Pasta Funcionais para o MGI.</t>
  </si>
  <si>
    <t xml:space="preserve">1. Pesquisa sobre a localização dos processos CGPC/DEFNAS
71001.166735/2008-07 e 71001.064921/2008-02.
2. Atualização planilha - 
Transferência Pasta Funcionais para o MGI.
</t>
  </si>
  <si>
    <t xml:space="preserve">1. Troca de caixas.
Total: 5 caixas.
2. Dcumento produzido.
Despacho 280.
3. Arquivamento.
</t>
  </si>
  <si>
    <t>ATESTADO MÉDICO DOAÇÃO DE SANGUE</t>
  </si>
  <si>
    <t>TROCANDO  CAIXAS E OS ESPELHOS</t>
  </si>
  <si>
    <r>
      <t xml:space="preserve"> Otimizando/corrigindo a planilha do Inventário do </t>
    </r>
    <r>
      <rPr>
        <b/>
        <sz val="11"/>
        <color theme="1"/>
        <rFont val="Aptos Narrow"/>
        <family val="2"/>
        <scheme val="minor"/>
      </rPr>
      <t>ARCEN
(Continuação)</t>
    </r>
    <r>
      <rPr>
        <sz val="11"/>
        <color theme="1"/>
        <rFont val="Aptos Narrow"/>
        <family val="2"/>
        <scheme val="minor"/>
      </rPr>
      <t xml:space="preserve"> </t>
    </r>
  </si>
  <si>
    <t>Documento produzido:
E-mail solicitação de tranporte para DITRAN.</t>
  </si>
  <si>
    <t>Relatório - Medição em metro linear
 dos Arquivos Deslizantes Bloco A.</t>
  </si>
  <si>
    <t xml:space="preserve">PARTE DA MANHÃ ACOMPANHANDO A LIMPEZA DA SALA E DA ESTANTES DA SALA G07 BL A. PARTE DA TARDE ACOMPANHANDO, OS CARREGADORES PARA A RECOLOCAÇÃO DAS CAIXAS </t>
  </si>
  <si>
    <t>PARTE DA MANHÃ ACOMPANHANDO A LIMPEZA DA SALA E DA ESTANTES DA SALA G07 BL A. PARTE DA TARDE ACOMPANHANDO, OS CARREGADORES PARA A RECOLOCAÇÃO DAS CAIX</t>
  </si>
  <si>
    <t>ACOMPANHAMENTO DA LIMPEZA REFERENTE A SALA G 07 BL A</t>
  </si>
  <si>
    <t xml:space="preserve">ACOMPANHAR A LIMPEZA PESADA NO BLOCO 'A' </t>
  </si>
  <si>
    <t xml:space="preserve">FESTA NO PERIODO DA MANHA PARA O GUSTAVO </t>
  </si>
  <si>
    <t>CONFRATERNIZAÇÃO  DA SAA</t>
  </si>
  <si>
    <t xml:space="preserve">ACOMPANHANDO OBRA DNIT NA SALA  3.11 </t>
  </si>
  <si>
    <t>CONFRATERNIZAÇÃO SAA</t>
  </si>
  <si>
    <t>Confraternização SAA/CGLA</t>
  </si>
  <si>
    <t xml:space="preserve">Confraternização </t>
  </si>
  <si>
    <t>separando as caixas para CGPC</t>
  </si>
  <si>
    <r>
      <t xml:space="preserve">Levantamento dos metros lineares dos deslizantes localizados no </t>
    </r>
    <r>
      <rPr>
        <b/>
        <sz val="11"/>
        <color theme="1"/>
        <rFont val="Aptos Narrow"/>
        <family val="2"/>
        <scheme val="minor"/>
      </rPr>
      <t>DNIT - Salas 3.25, 3.61, 4.47</t>
    </r>
  </si>
  <si>
    <r>
      <t xml:space="preserve">Levantamento dos metros lineares dos deslizantes localizados no </t>
    </r>
    <r>
      <rPr>
        <b/>
        <sz val="11"/>
        <color theme="1"/>
        <rFont val="Aptos Narrow"/>
        <family val="2"/>
        <scheme val="minor"/>
      </rPr>
      <t>Bloco A - G-15</t>
    </r>
  </si>
  <si>
    <r>
      <t xml:space="preserve">1. </t>
    </r>
    <r>
      <rPr>
        <b/>
        <sz val="11"/>
        <color theme="1"/>
        <rFont val="Aptos Narrow"/>
        <family val="2"/>
        <scheme val="minor"/>
      </rPr>
      <t>Troca/substituição</t>
    </r>
    <r>
      <rPr>
        <sz val="11"/>
        <color theme="1"/>
        <rFont val="Aptos Narrow"/>
        <family val="2"/>
        <scheme val="minor"/>
      </rPr>
      <t xml:space="preserve"> de caixas
2. Guarda/devolução de processos </t>
    </r>
    <r>
      <rPr>
        <b/>
        <sz val="11"/>
        <color theme="1"/>
        <rFont val="Aptos Narrow"/>
        <family val="2"/>
        <scheme val="minor"/>
      </rPr>
      <t xml:space="preserve">MESP </t>
    </r>
    <r>
      <rPr>
        <sz val="11"/>
        <color theme="1"/>
        <rFont val="Aptos Narrow"/>
        <family val="2"/>
        <scheme val="minor"/>
      </rPr>
      <t xml:space="preserve">
3. Conferência de </t>
    </r>
    <r>
      <rPr>
        <b/>
        <sz val="11"/>
        <color theme="1"/>
        <rFont val="Aptos Narrow"/>
        <family val="2"/>
        <scheme val="minor"/>
      </rPr>
      <t>patrimônio salas 1S3.25 e 1S1.20</t>
    </r>
    <r>
      <rPr>
        <sz val="11"/>
        <color theme="1"/>
        <rFont val="Aptos Narrow"/>
        <family val="2"/>
        <scheme val="minor"/>
      </rPr>
      <t xml:space="preserve"> </t>
    </r>
  </si>
  <si>
    <r>
      <t>1.</t>
    </r>
    <r>
      <rPr>
        <b/>
        <sz val="11"/>
        <color theme="1"/>
        <rFont val="Aptos Narrow"/>
        <family val="2"/>
        <scheme val="minor"/>
      </rPr>
      <t>Troca/substituição</t>
    </r>
    <r>
      <rPr>
        <sz val="11"/>
        <color theme="1"/>
        <rFont val="Aptos Narrow"/>
        <family val="2"/>
        <scheme val="minor"/>
      </rPr>
      <t xml:space="preserve"> de caixas
2. Vistoria arquivo Bloco A, para verificação de </t>
    </r>
    <r>
      <rPr>
        <b/>
        <sz val="11"/>
        <color theme="1"/>
        <rFont val="Aptos Narrow"/>
        <family val="2"/>
        <scheme val="minor"/>
      </rPr>
      <t xml:space="preserve">vazamentos e frestas/buracos </t>
    </r>
    <r>
      <rPr>
        <sz val="11"/>
        <color theme="1"/>
        <rFont val="Aptos Narrow"/>
        <family val="2"/>
        <scheme val="minor"/>
      </rPr>
      <t xml:space="preserve">
3. Visita técnica de equipe do </t>
    </r>
    <r>
      <rPr>
        <b/>
        <sz val="11"/>
        <color theme="1"/>
        <rFont val="Aptos Narrow"/>
        <family val="2"/>
        <scheme val="minor"/>
      </rPr>
      <t>Arquivo Nacional</t>
    </r>
  </si>
  <si>
    <r>
      <t xml:space="preserve">1. </t>
    </r>
    <r>
      <rPr>
        <b/>
        <sz val="11"/>
        <color theme="1"/>
        <rFont val="Aptos Narrow"/>
        <family val="2"/>
        <scheme val="minor"/>
      </rPr>
      <t>Troca/substituição</t>
    </r>
    <r>
      <rPr>
        <sz val="11"/>
        <color theme="1"/>
        <rFont val="Aptos Narrow"/>
        <family val="2"/>
        <scheme val="minor"/>
      </rPr>
      <t xml:space="preserve"> de caixas
2. Confecção de </t>
    </r>
    <r>
      <rPr>
        <b/>
        <sz val="11"/>
        <color theme="1"/>
        <rFont val="Aptos Narrow"/>
        <family val="2"/>
        <scheme val="minor"/>
      </rPr>
      <t>espelhos para caixas</t>
    </r>
    <r>
      <rPr>
        <sz val="11"/>
        <color theme="1"/>
        <rFont val="Aptos Narrow"/>
        <family val="2"/>
        <scheme val="minor"/>
      </rPr>
      <t xml:space="preserve">
</t>
    </r>
  </si>
  <si>
    <r>
      <t xml:space="preserve">1. Leitura de </t>
    </r>
    <r>
      <rPr>
        <b/>
        <sz val="11"/>
        <color theme="1"/>
        <rFont val="Aptos Narrow"/>
        <family val="2"/>
        <scheme val="minor"/>
      </rPr>
      <t>módulo 15 da sala 3.71</t>
    </r>
    <r>
      <rPr>
        <sz val="11"/>
        <color theme="1"/>
        <rFont val="Aptos Narrow"/>
        <family val="2"/>
        <scheme val="minor"/>
      </rPr>
      <t xml:space="preserve">
2. Limpeza no arquivo do </t>
    </r>
    <r>
      <rPr>
        <b/>
        <sz val="11"/>
        <color theme="1"/>
        <rFont val="Aptos Narrow"/>
        <family val="2"/>
        <scheme val="minor"/>
      </rPr>
      <t>Bloco A, sala G-15</t>
    </r>
  </si>
  <si>
    <r>
      <t xml:space="preserve">1. </t>
    </r>
    <r>
      <rPr>
        <b/>
        <sz val="11"/>
        <color theme="1"/>
        <rFont val="Aptos Narrow"/>
        <family val="2"/>
        <scheme val="minor"/>
      </rPr>
      <t>Troca/substituição</t>
    </r>
    <r>
      <rPr>
        <sz val="11"/>
        <color theme="1"/>
        <rFont val="Aptos Narrow"/>
        <family val="2"/>
        <scheme val="minor"/>
      </rPr>
      <t xml:space="preserve"> de caixas
2. Confecção de </t>
    </r>
    <r>
      <rPr>
        <b/>
        <sz val="11"/>
        <color theme="1"/>
        <rFont val="Aptos Narrow"/>
        <family val="2"/>
        <scheme val="minor"/>
      </rPr>
      <t xml:space="preserve">espelhos para caixas
</t>
    </r>
    <r>
      <rPr>
        <sz val="11"/>
        <color theme="1"/>
        <rFont val="Aptos Narrow"/>
        <family val="2"/>
        <scheme val="minor"/>
      </rPr>
      <t>3. Reunião com chefe Patrícia, sobre demanda</t>
    </r>
    <r>
      <rPr>
        <b/>
        <sz val="11"/>
        <color theme="1"/>
        <rFont val="Aptos Narrow"/>
        <family val="2"/>
        <scheme val="minor"/>
      </rPr>
      <t>s 107 volumes MESP (2 volumes faltantes)</t>
    </r>
    <r>
      <rPr>
        <sz val="11"/>
        <color theme="1"/>
        <rFont val="Aptos Narrow"/>
        <family val="2"/>
        <scheme val="minor"/>
      </rPr>
      <t xml:space="preserve">
</t>
    </r>
  </si>
  <si>
    <r>
      <t xml:space="preserve">
1. </t>
    </r>
    <r>
      <rPr>
        <b/>
        <sz val="11"/>
        <color theme="1"/>
        <rFont val="Aptos Narrow"/>
        <family val="2"/>
        <scheme val="minor"/>
      </rPr>
      <t>Troca/substituição</t>
    </r>
    <r>
      <rPr>
        <sz val="11"/>
        <color theme="1"/>
        <rFont val="Aptos Narrow"/>
        <family val="2"/>
        <scheme val="minor"/>
      </rPr>
      <t xml:space="preserve"> de caixas
2. Confecção de </t>
    </r>
    <r>
      <rPr>
        <b/>
        <sz val="11"/>
        <color theme="1"/>
        <rFont val="Aptos Narrow"/>
        <family val="2"/>
        <scheme val="minor"/>
      </rPr>
      <t>espelhos para caixas</t>
    </r>
    <r>
      <rPr>
        <sz val="11"/>
        <color theme="1"/>
        <rFont val="Aptos Narrow"/>
        <family val="2"/>
        <scheme val="minor"/>
      </rPr>
      <t xml:space="preserve">
3. Levantamento dos </t>
    </r>
    <r>
      <rPr>
        <b/>
        <sz val="11"/>
        <color theme="1"/>
        <rFont val="Aptos Narrow"/>
        <family val="2"/>
        <scheme val="minor"/>
      </rPr>
      <t>metros lineares dos deslizantes</t>
    </r>
    <r>
      <rPr>
        <sz val="11"/>
        <color theme="1"/>
        <rFont val="Aptos Narrow"/>
        <family val="2"/>
        <scheme val="minor"/>
      </rPr>
      <t xml:space="preserve"> localizados no </t>
    </r>
    <r>
      <rPr>
        <b/>
        <sz val="11"/>
        <color theme="1"/>
        <rFont val="Aptos Narrow"/>
        <family val="2"/>
        <scheme val="minor"/>
      </rPr>
      <t xml:space="preserve">Bloco A - G-15
</t>
    </r>
    <r>
      <rPr>
        <sz val="11"/>
        <color theme="1"/>
        <rFont val="Aptos Narrow"/>
        <family val="2"/>
        <scheme val="minor"/>
      </rPr>
      <t xml:space="preserve">4. Acompanhamento de </t>
    </r>
    <r>
      <rPr>
        <b/>
        <sz val="11"/>
        <color theme="1"/>
        <rFont val="Aptos Narrow"/>
        <family val="2"/>
        <scheme val="minor"/>
      </rPr>
      <t>limpeza das estantes do acervo Bloco A, sala G-07</t>
    </r>
  </si>
  <si>
    <r>
      <t xml:space="preserve">1. </t>
    </r>
    <r>
      <rPr>
        <b/>
        <sz val="11"/>
        <color theme="1"/>
        <rFont val="Aptos Narrow"/>
        <family val="2"/>
        <scheme val="minor"/>
      </rPr>
      <t>Troca/substituição</t>
    </r>
    <r>
      <rPr>
        <sz val="11"/>
        <color theme="1"/>
        <rFont val="Aptos Narrow"/>
        <family val="2"/>
        <scheme val="minor"/>
      </rPr>
      <t xml:space="preserve"> de caixas
2. Confecção de </t>
    </r>
    <r>
      <rPr>
        <b/>
        <sz val="11"/>
        <color theme="1"/>
        <rFont val="Aptos Narrow"/>
        <family val="2"/>
        <scheme val="minor"/>
      </rPr>
      <t>espelhos para caixas</t>
    </r>
    <r>
      <rPr>
        <sz val="11"/>
        <color theme="1"/>
        <rFont val="Aptos Narrow"/>
        <family val="2"/>
        <scheme val="minor"/>
      </rPr>
      <t xml:space="preserve">
3. Levantamento dos metros lineares dos </t>
    </r>
    <r>
      <rPr>
        <b/>
        <sz val="11"/>
        <color theme="1"/>
        <rFont val="Aptos Narrow"/>
        <family val="2"/>
        <scheme val="minor"/>
      </rPr>
      <t>deslizantes localizado no Bloco A - G-15</t>
    </r>
    <r>
      <rPr>
        <sz val="11"/>
        <color theme="1"/>
        <rFont val="Aptos Narrow"/>
        <family val="2"/>
        <scheme val="minor"/>
      </rPr>
      <t xml:space="preserve">
4. Acompanhamento da limpeza das </t>
    </r>
    <r>
      <rPr>
        <b/>
        <sz val="11"/>
        <color theme="1"/>
        <rFont val="Aptos Narrow"/>
        <family val="2"/>
        <scheme val="minor"/>
      </rPr>
      <t>estantes da sala G-07, Bloco A</t>
    </r>
  </si>
  <si>
    <t>Acompanhamento reforma da sala 3.11.</t>
  </si>
  <si>
    <t>Confraternização 
SAA no período da tarde.</t>
  </si>
  <si>
    <t>Relatório - Medição em metro linear dos Arquivos Deslizantes Bloco A.</t>
  </si>
  <si>
    <r>
      <t>1. Preparação das 70
 caixas do DEFNAS.
2.</t>
    </r>
    <r>
      <rPr>
        <sz val="11"/>
        <color rgb="FFFF0000"/>
        <rFont val="Aptos Narrow"/>
        <family val="2"/>
      </rPr>
      <t xml:space="preserve"> Acompanhamento reforma da sala 3.11.</t>
    </r>
  </si>
  <si>
    <t>CONFERENCIA DAS CAIXAS DA CCLIC 20</t>
  </si>
  <si>
    <t>PESQUISA DOS PROCESSOS DO ESPORTE</t>
  </si>
  <si>
    <t>1. Conferência 5 caixas da 
Guia de Transferência
16695644.</t>
  </si>
  <si>
    <t xml:space="preserve"> Documento Produzido:
Relatório de Desarquivamento MESP e Transferência -
2024 E 2025.</t>
  </si>
  <si>
    <t xml:space="preserve"> Solicitação e-mail Vanessa Arquivo Esporte: Pesquisa e busca caixas do CND Esporte, para ver se existe no acervo do Esporte.
Resultado: encontrado na planilha CND.</t>
  </si>
  <si>
    <t>Documentos produzidos: 
2 Comprovante Recebimento
1 Despacho</t>
  </si>
  <si>
    <t>RECESSO DE NATAL</t>
  </si>
  <si>
    <t>TROCANDO  CAIXAS E OS ESPELHOS, RECESSO DE ANO NOVO</t>
  </si>
  <si>
    <t>RECESSO</t>
  </si>
  <si>
    <t>RECESSO REVEILLON</t>
  </si>
  <si>
    <t>LEVANTAMENTO DE DEMANDAS DA DIARQ NO SEI 2024/2025</t>
  </si>
  <si>
    <t>FERIADO ANO NOVO</t>
  </si>
  <si>
    <t>FERIADO DE NATAL</t>
  </si>
  <si>
    <t xml:space="preserve">FERIADO </t>
  </si>
  <si>
    <t>Pesquisa e busca processo 71001.027786/2011-10</t>
  </si>
  <si>
    <t xml:space="preserve">1. Desarquivamento.
2. Conferência de 2 Guias de Transferência 
da CGATA. Contêm erros e vão ser devolvidas.
</t>
  </si>
  <si>
    <r>
      <t xml:space="preserve">1. </t>
    </r>
    <r>
      <rPr>
        <b/>
        <sz val="11"/>
        <color theme="1"/>
        <rFont val="Aptos Narrow"/>
        <family val="2"/>
        <scheme val="minor"/>
      </rPr>
      <t>Troca/substituição</t>
    </r>
    <r>
      <rPr>
        <sz val="11"/>
        <color theme="1"/>
        <rFont val="Aptos Narrow"/>
        <family val="2"/>
        <scheme val="minor"/>
      </rPr>
      <t xml:space="preserve"> de caixas
2. Confecção de </t>
    </r>
    <r>
      <rPr>
        <b/>
        <sz val="11"/>
        <color theme="1"/>
        <rFont val="Aptos Narrow"/>
        <family val="2"/>
        <scheme val="minor"/>
      </rPr>
      <t>espelhos para caixas</t>
    </r>
    <r>
      <rPr>
        <sz val="11"/>
        <color theme="1"/>
        <rFont val="Aptos Narrow"/>
        <family val="2"/>
        <scheme val="minor"/>
      </rPr>
      <t xml:space="preserve">
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</si>
</sst>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Aptos Narrow"/>
      <family val="2"/>
      <scheme val="minor"/>
    </font>
    <font>
      <b/>
      <sz val="11"/>
      <name val="Calibri"/>
      <family val="2"/>
    </font>
    <font>
      <b/>
      <sz val="11"/>
      <color theme="1"/>
      <name val="Aptos Narrow"/>
      <family val="2"/>
      <scheme val="minor"/>
    </font>
    <font>
      <b/>
      <sz val="9"/>
      <color rgb="FF000000"/>
      <name val="Calibri"/>
      <family val="2"/>
    </font>
    <font>
      <b/>
      <sz val="16"/>
      <color theme="1"/>
      <name val="Aptos Narrow"/>
      <family val="2"/>
      <scheme val="minor"/>
    </font>
    <font>
      <b/>
      <sz val="9"/>
      <color theme="1"/>
      <name val="Calibri"/>
      <family val="2"/>
    </font>
    <font>
      <b/>
      <sz val="9"/>
      <name val="Calibri"/>
      <family val="2"/>
    </font>
    <font>
      <b/>
      <sz val="18"/>
      <color theme="1"/>
      <name val="Aptos Narrow"/>
      <family val="2"/>
      <scheme val="minor"/>
    </font>
    <font>
      <b/>
      <sz val="12"/>
      <color theme="1"/>
      <name val="Calibri"/>
      <family val="2"/>
    </font>
    <font>
      <b/>
      <sz val="12"/>
      <name val="Calibri"/>
      <family val="2"/>
    </font>
    <font>
      <b/>
      <sz val="14"/>
      <name val="Calibri"/>
      <family val="2"/>
    </font>
    <font>
      <sz val="11"/>
      <color rgb="FFFF0000"/>
      <name val="Aptos Narrow"/>
      <family val="2"/>
      <scheme val="minor"/>
    </font>
    <font>
      <sz val="11"/>
      <color rgb="FFFF0000"/>
      <name val="Aptos Narrow"/>
      <family val="2"/>
    </font>
    <font>
      <sz val="11"/>
      <color theme="1"/>
      <name val="Aptos Narrow"/>
      <family val="2"/>
    </font>
    <font>
      <sz val="9"/>
      <color theme="1"/>
      <name val="Aptos Narrow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2F2F2"/>
        <bgColor rgb="FFEDEDED"/>
      </patternFill>
    </fill>
    <fill>
      <patternFill patternType="solid">
        <fgColor rgb="FFF2F2F2"/>
        <bgColor rgb="FFDDDDDD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DDDDDD"/>
      </patternFill>
    </fill>
    <fill>
      <patternFill patternType="solid">
        <fgColor rgb="FFFFFF00"/>
        <bgColor rgb="FFEDEDED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2">
    <xf numFmtId="0" fontId="0" fillId="0" borderId="0" xfId="0"/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right" vertical="center" wrapText="1"/>
    </xf>
    <xf numFmtId="0" fontId="1" fillId="3" borderId="1" xfId="0" applyFont="1" applyFill="1" applyBorder="1" applyAlignment="1">
      <alignment horizontal="right" vertical="center" wrapText="1"/>
    </xf>
    <xf numFmtId="0" fontId="0" fillId="0" borderId="0" xfId="0" applyAlignment="1">
      <alignment horizontal="center" vertical="center" wrapText="1"/>
    </xf>
    <xf numFmtId="16" fontId="0" fillId="0" borderId="1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0" xfId="0" applyAlignment="1">
      <alignment horizontal="center"/>
    </xf>
    <xf numFmtId="0" fontId="2" fillId="0" borderId="0" xfId="0" applyFont="1"/>
    <xf numFmtId="0" fontId="0" fillId="0" borderId="0" xfId="0" applyAlignment="1">
      <alignment wrapText="1"/>
    </xf>
    <xf numFmtId="0" fontId="0" fillId="0" borderId="0" xfId="0" applyAlignment="1">
      <alignment vertical="top" wrapText="1"/>
    </xf>
    <xf numFmtId="0" fontId="0" fillId="4" borderId="1" xfId="0" applyFill="1" applyBorder="1" applyAlignment="1">
      <alignment horizontal="center" vertical="center"/>
    </xf>
    <xf numFmtId="16" fontId="0" fillId="4" borderId="1" xfId="0" applyNumberForma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4" borderId="6" xfId="0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4" borderId="8" xfId="0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1" fillId="2" borderId="7" xfId="0" applyFont="1" applyFill="1" applyBorder="1" applyAlignment="1">
      <alignment horizontal="right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/>
    </xf>
    <xf numFmtId="0" fontId="1" fillId="2" borderId="6" xfId="0" applyFont="1" applyFill="1" applyBorder="1" applyAlignment="1">
      <alignment horizontal="right" vertical="center" wrapText="1"/>
    </xf>
    <xf numFmtId="0" fontId="1" fillId="3" borderId="6" xfId="0" applyFont="1" applyFill="1" applyBorder="1" applyAlignment="1">
      <alignment horizontal="right" vertical="center" wrapText="1"/>
    </xf>
    <xf numFmtId="0" fontId="0" fillId="4" borderId="0" xfId="0" applyFill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8" borderId="6" xfId="0" applyFill="1" applyBorder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0" fillId="0" borderId="10" xfId="0" applyBorder="1" applyAlignment="1">
      <alignment horizontal="center" vertical="center"/>
    </xf>
    <xf numFmtId="16" fontId="0" fillId="0" borderId="11" xfId="0" applyNumberFormat="1" applyBorder="1" applyAlignment="1">
      <alignment horizontal="center" vertical="center"/>
    </xf>
    <xf numFmtId="3" fontId="0" fillId="0" borderId="8" xfId="0" applyNumberFormat="1" applyBorder="1" applyAlignment="1">
      <alignment horizontal="center" vertical="center"/>
    </xf>
    <xf numFmtId="0" fontId="0" fillId="0" borderId="0" xfId="0" applyAlignment="1">
      <alignment horizontal="center" textRotation="255" wrapText="1" readingOrder="2"/>
    </xf>
    <xf numFmtId="0" fontId="2" fillId="9" borderId="4" xfId="0" applyFont="1" applyFill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10" fillId="7" borderId="4" xfId="0" applyFont="1" applyFill="1" applyBorder="1" applyAlignment="1">
      <alignment horizontal="right" vertical="center" wrapText="1"/>
    </xf>
    <xf numFmtId="0" fontId="10" fillId="2" borderId="4" xfId="0" applyFont="1" applyFill="1" applyBorder="1" applyAlignment="1">
      <alignment horizontal="right" vertical="center" wrapText="1"/>
    </xf>
    <xf numFmtId="0" fontId="10" fillId="6" borderId="4" xfId="0" applyFont="1" applyFill="1" applyBorder="1" applyAlignment="1">
      <alignment horizontal="right" vertical="center" wrapText="1"/>
    </xf>
    <xf numFmtId="0" fontId="10" fillId="3" borderId="4" xfId="0" applyFont="1" applyFill="1" applyBorder="1" applyAlignment="1">
      <alignment horizontal="right" vertical="center" wrapText="1"/>
    </xf>
    <xf numFmtId="0" fontId="8" fillId="5" borderId="4" xfId="0" applyFont="1" applyFill="1" applyBorder="1" applyAlignment="1">
      <alignment horizontal="left" vertical="center"/>
    </xf>
    <xf numFmtId="0" fontId="9" fillId="3" borderId="4" xfId="0" applyFont="1" applyFill="1" applyBorder="1" applyAlignment="1">
      <alignment horizontal="left" vertical="center" wrapText="1"/>
    </xf>
    <xf numFmtId="0" fontId="9" fillId="7" borderId="4" xfId="0" applyFont="1" applyFill="1" applyBorder="1" applyAlignment="1">
      <alignment horizontal="left" vertical="center" wrapText="1"/>
    </xf>
    <xf numFmtId="0" fontId="9" fillId="6" borderId="4" xfId="0" applyFont="1" applyFill="1" applyBorder="1" applyAlignment="1">
      <alignment horizontal="left" vertical="center" wrapText="1"/>
    </xf>
    <xf numFmtId="0" fontId="9" fillId="2" borderId="4" xfId="0" applyFont="1" applyFill="1" applyBorder="1" applyAlignment="1">
      <alignment horizontal="left" vertical="center" wrapText="1"/>
    </xf>
    <xf numFmtId="16" fontId="0" fillId="0" borderId="12" xfId="0" applyNumberFormat="1" applyBorder="1" applyAlignment="1">
      <alignment horizontal="center" vertical="center"/>
    </xf>
    <xf numFmtId="0" fontId="0" fillId="4" borderId="13" xfId="0" applyFill="1" applyBorder="1" applyAlignment="1">
      <alignment horizontal="center" vertical="center"/>
    </xf>
    <xf numFmtId="0" fontId="0" fillId="4" borderId="14" xfId="0" applyFill="1" applyBorder="1" applyAlignment="1">
      <alignment horizontal="center" vertical="center"/>
    </xf>
    <xf numFmtId="0" fontId="0" fillId="0" borderId="14" xfId="0" applyBorder="1" applyAlignment="1">
      <alignment horizontal="center" vertical="center" wrapText="1"/>
    </xf>
    <xf numFmtId="0" fontId="0" fillId="11" borderId="14" xfId="0" applyFill="1" applyBorder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3" fontId="0" fillId="0" borderId="0" xfId="0" applyNumberFormat="1" applyAlignment="1">
      <alignment horizontal="center" vertical="center"/>
    </xf>
    <xf numFmtId="0" fontId="1" fillId="2" borderId="15" xfId="0" applyFont="1" applyFill="1" applyBorder="1" applyAlignment="1">
      <alignment horizontal="right" vertical="center" wrapText="1"/>
    </xf>
    <xf numFmtId="0" fontId="1" fillId="3" borderId="13" xfId="0" applyFont="1" applyFill="1" applyBorder="1" applyAlignment="1">
      <alignment horizontal="center" vertical="center" wrapText="1"/>
    </xf>
    <xf numFmtId="0" fontId="1" fillId="3" borderId="14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1" fillId="2" borderId="11" xfId="0" applyFont="1" applyFill="1" applyBorder="1" applyAlignment="1">
      <alignment horizontal="right" vertical="center" wrapText="1"/>
    </xf>
    <xf numFmtId="0" fontId="1" fillId="3" borderId="11" xfId="0" applyFont="1" applyFill="1" applyBorder="1" applyAlignment="1">
      <alignment horizontal="right" vertical="center" wrapText="1"/>
    </xf>
    <xf numFmtId="0" fontId="0" fillId="0" borderId="15" xfId="0" applyBorder="1" applyAlignment="1">
      <alignment horizontal="center" vertical="center"/>
    </xf>
    <xf numFmtId="0" fontId="1" fillId="2" borderId="13" xfId="0" applyFont="1" applyFill="1" applyBorder="1" applyAlignment="1">
      <alignment horizontal="right" vertical="center" wrapText="1"/>
    </xf>
    <xf numFmtId="0" fontId="1" fillId="3" borderId="13" xfId="0" applyFont="1" applyFill="1" applyBorder="1" applyAlignment="1">
      <alignment horizontal="right" vertical="center" wrapText="1"/>
    </xf>
    <xf numFmtId="0" fontId="0" fillId="10" borderId="0" xfId="0" applyFill="1" applyAlignment="1">
      <alignment horizontal="center" vertical="center" wrapText="1"/>
    </xf>
    <xf numFmtId="0" fontId="0" fillId="4" borderId="5" xfId="0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1" fillId="7" borderId="1" xfId="0" applyFont="1" applyFill="1" applyBorder="1" applyAlignment="1">
      <alignment horizontal="right" vertical="center" wrapText="1"/>
    </xf>
    <xf numFmtId="0" fontId="5" fillId="5" borderId="1" xfId="0" applyFont="1" applyFill="1" applyBorder="1" applyAlignment="1">
      <alignment horizontal="center" vertical="center"/>
    </xf>
    <xf numFmtId="3" fontId="0" fillId="5" borderId="1" xfId="0" applyNumberForma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 wrapText="1"/>
    </xf>
    <xf numFmtId="3" fontId="0" fillId="10" borderId="1" xfId="0" applyNumberForma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right" vertical="center" wrapText="1"/>
    </xf>
    <xf numFmtId="0" fontId="6" fillId="7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16" fontId="0" fillId="0" borderId="16" xfId="0" applyNumberFormat="1" applyBorder="1" applyAlignment="1">
      <alignment horizontal="center" vertical="center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4" borderId="15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12" borderId="0" xfId="0" applyFill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12" borderId="8" xfId="0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16" fontId="0" fillId="4" borderId="11" xfId="0" applyNumberFormat="1" applyFill="1" applyBorder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2" fillId="4" borderId="8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0" fillId="4" borderId="0" xfId="0" applyFill="1" applyAlignment="1">
      <alignment horizontal="center" vertical="center" wrapText="1"/>
    </xf>
    <xf numFmtId="0" fontId="0" fillId="4" borderId="10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revisionHeaders" Target="revisions/revisionHeaders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20" Type="http://schemas.openxmlformats.org/officeDocument/2006/relationships/usernames" Target="revisions/userNam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revisions/_rels/revisionHeaders.xml.rels><?xml version="1.0" encoding="UTF-8" standalone="yes"?>
<Relationships xmlns="http://schemas.openxmlformats.org/package/2006/relationships"><Relationship Id="rId366" Type="http://schemas.openxmlformats.org/officeDocument/2006/relationships/revisionLog" Target="revisionLog12.xml"/><Relationship Id="rId345" Type="http://schemas.openxmlformats.org/officeDocument/2006/relationships/revisionLog" Target="revisionLog42.xml"/><Relationship Id="rId387" Type="http://schemas.openxmlformats.org/officeDocument/2006/relationships/revisionLog" Target="revisionLog72.xml"/><Relationship Id="rId382" Type="http://schemas.openxmlformats.org/officeDocument/2006/relationships/revisionLog" Target="revisionLog67.xml"/><Relationship Id="rId412" Type="http://schemas.openxmlformats.org/officeDocument/2006/relationships/revisionLog" Target="revisionLog82.xml"/><Relationship Id="rId417" Type="http://schemas.openxmlformats.org/officeDocument/2006/relationships/revisionLog" Target="revisionLog87.xml"/><Relationship Id="rId433" Type="http://schemas.openxmlformats.org/officeDocument/2006/relationships/revisionLog" Target="revisionLog103.xml"/><Relationship Id="rId438" Type="http://schemas.openxmlformats.org/officeDocument/2006/relationships/revisionLog" Target="revisionLog108.xml"/><Relationship Id="rId459" Type="http://schemas.openxmlformats.org/officeDocument/2006/relationships/revisionLog" Target="revisionLog129.xml"/><Relationship Id="rId454" Type="http://schemas.openxmlformats.org/officeDocument/2006/relationships/revisionLog" Target="revisionLog124.xml"/><Relationship Id="rId377" Type="http://schemas.openxmlformats.org/officeDocument/2006/relationships/revisionLog" Target="revisionLog20.xml"/><Relationship Id="rId356" Type="http://schemas.openxmlformats.org/officeDocument/2006/relationships/revisionLog" Target="revisionLog53.xml"/><Relationship Id="rId335" Type="http://schemas.openxmlformats.org/officeDocument/2006/relationships/revisionLog" Target="revisionLog32.xml"/><Relationship Id="rId398" Type="http://schemas.openxmlformats.org/officeDocument/2006/relationships/revisionLog" Target="revisionLog10.xml"/><Relationship Id="rId351" Type="http://schemas.openxmlformats.org/officeDocument/2006/relationships/revisionLog" Target="revisionLog48.xml"/><Relationship Id="rId372" Type="http://schemas.openxmlformats.org/officeDocument/2006/relationships/revisionLog" Target="revisionLog15.xml"/><Relationship Id="rId393" Type="http://schemas.openxmlformats.org/officeDocument/2006/relationships/revisionLog" Target="revisionLog5.xml"/><Relationship Id="rId402" Type="http://schemas.openxmlformats.org/officeDocument/2006/relationships/revisionLog" Target="revisionLog27.xml"/><Relationship Id="rId407" Type="http://schemas.openxmlformats.org/officeDocument/2006/relationships/revisionLog" Target="revisionLog77.xml"/><Relationship Id="rId423" Type="http://schemas.openxmlformats.org/officeDocument/2006/relationships/revisionLog" Target="revisionLog93.xml"/><Relationship Id="rId428" Type="http://schemas.openxmlformats.org/officeDocument/2006/relationships/revisionLog" Target="revisionLog98.xml"/><Relationship Id="rId449" Type="http://schemas.openxmlformats.org/officeDocument/2006/relationships/revisionLog" Target="revisionLog119.xml"/><Relationship Id="rId444" Type="http://schemas.openxmlformats.org/officeDocument/2006/relationships/revisionLog" Target="revisionLog114.xml"/><Relationship Id="rId460" Type="http://schemas.openxmlformats.org/officeDocument/2006/relationships/revisionLog" Target="revisionLog130.xml"/><Relationship Id="rId465" Type="http://schemas.openxmlformats.org/officeDocument/2006/relationships/revisionLog" Target="revisionLog135.xml"/><Relationship Id="rId367" Type="http://schemas.openxmlformats.org/officeDocument/2006/relationships/revisionLog" Target="revisionLog13.xml"/><Relationship Id="rId388" Type="http://schemas.openxmlformats.org/officeDocument/2006/relationships/revisionLog" Target="revisionLog23.xml"/><Relationship Id="rId346" Type="http://schemas.openxmlformats.org/officeDocument/2006/relationships/revisionLog" Target="revisionLog43.xml"/><Relationship Id="rId341" Type="http://schemas.openxmlformats.org/officeDocument/2006/relationships/revisionLog" Target="revisionLog38.xml"/><Relationship Id="rId362" Type="http://schemas.openxmlformats.org/officeDocument/2006/relationships/revisionLog" Target="revisionLog59.xml"/><Relationship Id="rId383" Type="http://schemas.openxmlformats.org/officeDocument/2006/relationships/revisionLog" Target="revisionLog68.xml"/><Relationship Id="rId413" Type="http://schemas.openxmlformats.org/officeDocument/2006/relationships/revisionLog" Target="revisionLog83.xml"/><Relationship Id="rId418" Type="http://schemas.openxmlformats.org/officeDocument/2006/relationships/revisionLog" Target="revisionLog88.xml"/><Relationship Id="rId439" Type="http://schemas.openxmlformats.org/officeDocument/2006/relationships/revisionLog" Target="revisionLog109.xml"/><Relationship Id="rId434" Type="http://schemas.openxmlformats.org/officeDocument/2006/relationships/revisionLog" Target="revisionLog104.xml"/><Relationship Id="rId450" Type="http://schemas.openxmlformats.org/officeDocument/2006/relationships/revisionLog" Target="revisionLog120.xml"/><Relationship Id="rId455" Type="http://schemas.openxmlformats.org/officeDocument/2006/relationships/revisionLog" Target="revisionLog125.xml"/><Relationship Id="rId357" Type="http://schemas.openxmlformats.org/officeDocument/2006/relationships/revisionLog" Target="revisionLog54.xml"/><Relationship Id="rId336" Type="http://schemas.openxmlformats.org/officeDocument/2006/relationships/revisionLog" Target="revisionLog33.xml"/><Relationship Id="rId331" Type="http://schemas.openxmlformats.org/officeDocument/2006/relationships/revisionLog" Target="revisionLog28.xml"/><Relationship Id="rId352" Type="http://schemas.openxmlformats.org/officeDocument/2006/relationships/revisionLog" Target="revisionLog49.xml"/><Relationship Id="rId373" Type="http://schemas.openxmlformats.org/officeDocument/2006/relationships/revisionLog" Target="revisionLog16.xml"/><Relationship Id="rId378" Type="http://schemas.openxmlformats.org/officeDocument/2006/relationships/revisionLog" Target="revisionLog21.xml"/><Relationship Id="rId394" Type="http://schemas.openxmlformats.org/officeDocument/2006/relationships/revisionLog" Target="revisionLog6.xml"/><Relationship Id="rId399" Type="http://schemas.openxmlformats.org/officeDocument/2006/relationships/revisionLog" Target="revisionLog24.xml"/><Relationship Id="rId403" Type="http://schemas.openxmlformats.org/officeDocument/2006/relationships/revisionLog" Target="revisionLog73.xml"/><Relationship Id="rId408" Type="http://schemas.openxmlformats.org/officeDocument/2006/relationships/revisionLog" Target="revisionLog78.xml"/><Relationship Id="rId429" Type="http://schemas.openxmlformats.org/officeDocument/2006/relationships/revisionLog" Target="revisionLog99.xml"/><Relationship Id="rId424" Type="http://schemas.openxmlformats.org/officeDocument/2006/relationships/revisionLog" Target="revisionLog94.xml"/><Relationship Id="rId440" Type="http://schemas.openxmlformats.org/officeDocument/2006/relationships/revisionLog" Target="revisionLog110.xml"/><Relationship Id="rId445" Type="http://schemas.openxmlformats.org/officeDocument/2006/relationships/revisionLog" Target="revisionLog115.xml"/><Relationship Id="rId466" Type="http://schemas.openxmlformats.org/officeDocument/2006/relationships/revisionLog" Target="revisionLog136.xml"/><Relationship Id="rId347" Type="http://schemas.openxmlformats.org/officeDocument/2006/relationships/revisionLog" Target="revisionLog44.xml"/><Relationship Id="rId461" Type="http://schemas.openxmlformats.org/officeDocument/2006/relationships/revisionLog" Target="revisionLog131.xml"/><Relationship Id="rId384" Type="http://schemas.openxmlformats.org/officeDocument/2006/relationships/revisionLog" Target="revisionLog69.xml"/><Relationship Id="rId342" Type="http://schemas.openxmlformats.org/officeDocument/2006/relationships/revisionLog" Target="revisionLog39.xml"/><Relationship Id="rId363" Type="http://schemas.openxmlformats.org/officeDocument/2006/relationships/revisionLog" Target="revisionLog60.xml"/><Relationship Id="rId368" Type="http://schemas.openxmlformats.org/officeDocument/2006/relationships/revisionLog" Target="revisionLog62.xml"/><Relationship Id="rId389" Type="http://schemas.openxmlformats.org/officeDocument/2006/relationships/revisionLog" Target="revisionLog1.xml"/><Relationship Id="rId419" Type="http://schemas.openxmlformats.org/officeDocument/2006/relationships/revisionLog" Target="revisionLog89.xml"/><Relationship Id="rId414" Type="http://schemas.openxmlformats.org/officeDocument/2006/relationships/revisionLog" Target="revisionLog84.xml"/><Relationship Id="rId430" Type="http://schemas.openxmlformats.org/officeDocument/2006/relationships/revisionLog" Target="revisionLog100.xml"/><Relationship Id="rId435" Type="http://schemas.openxmlformats.org/officeDocument/2006/relationships/revisionLog" Target="revisionLog105.xml"/><Relationship Id="rId456" Type="http://schemas.openxmlformats.org/officeDocument/2006/relationships/revisionLog" Target="revisionLog126.xml"/><Relationship Id="rId337" Type="http://schemas.openxmlformats.org/officeDocument/2006/relationships/revisionLog" Target="revisionLog34.xml"/><Relationship Id="rId451" Type="http://schemas.openxmlformats.org/officeDocument/2006/relationships/revisionLog" Target="revisionLog121.xml"/><Relationship Id="rId379" Type="http://schemas.openxmlformats.org/officeDocument/2006/relationships/revisionLog" Target="revisionLog22.xml"/><Relationship Id="rId332" Type="http://schemas.openxmlformats.org/officeDocument/2006/relationships/revisionLog" Target="revisionLog29.xml"/><Relationship Id="rId353" Type="http://schemas.openxmlformats.org/officeDocument/2006/relationships/revisionLog" Target="revisionLog50.xml"/><Relationship Id="rId358" Type="http://schemas.openxmlformats.org/officeDocument/2006/relationships/revisionLog" Target="revisionLog55.xml"/><Relationship Id="rId374" Type="http://schemas.openxmlformats.org/officeDocument/2006/relationships/revisionLog" Target="revisionLog17.xml"/><Relationship Id="rId395" Type="http://schemas.openxmlformats.org/officeDocument/2006/relationships/revisionLog" Target="revisionLog7.xml"/><Relationship Id="rId409" Type="http://schemas.openxmlformats.org/officeDocument/2006/relationships/revisionLog" Target="revisionLog79.xml"/><Relationship Id="rId390" Type="http://schemas.openxmlformats.org/officeDocument/2006/relationships/revisionLog" Target="revisionLog2.xml"/><Relationship Id="rId404" Type="http://schemas.openxmlformats.org/officeDocument/2006/relationships/revisionLog" Target="revisionLog74.xml"/><Relationship Id="rId420" Type="http://schemas.openxmlformats.org/officeDocument/2006/relationships/revisionLog" Target="revisionLog90.xml"/><Relationship Id="rId425" Type="http://schemas.openxmlformats.org/officeDocument/2006/relationships/revisionLog" Target="revisionLog95.xml"/><Relationship Id="rId446" Type="http://schemas.openxmlformats.org/officeDocument/2006/relationships/revisionLog" Target="revisionLog116.xml"/><Relationship Id="rId441" Type="http://schemas.openxmlformats.org/officeDocument/2006/relationships/revisionLog" Target="revisionLog111.xml"/><Relationship Id="rId462" Type="http://schemas.openxmlformats.org/officeDocument/2006/relationships/revisionLog" Target="revisionLog132.xml"/><Relationship Id="rId369" Type="http://schemas.openxmlformats.org/officeDocument/2006/relationships/revisionLog" Target="revisionLog63.xml"/><Relationship Id="rId364" Type="http://schemas.openxmlformats.org/officeDocument/2006/relationships/revisionLog" Target="revisionLog61.xml"/><Relationship Id="rId343" Type="http://schemas.openxmlformats.org/officeDocument/2006/relationships/revisionLog" Target="revisionLog40.xml"/><Relationship Id="rId348" Type="http://schemas.openxmlformats.org/officeDocument/2006/relationships/revisionLog" Target="revisionLog45.xml"/><Relationship Id="rId380" Type="http://schemas.openxmlformats.org/officeDocument/2006/relationships/revisionLog" Target="revisionLog65.xml"/><Relationship Id="rId385" Type="http://schemas.openxmlformats.org/officeDocument/2006/relationships/revisionLog" Target="revisionLog70.xml"/><Relationship Id="rId415" Type="http://schemas.openxmlformats.org/officeDocument/2006/relationships/revisionLog" Target="revisionLog85.xml"/><Relationship Id="rId436" Type="http://schemas.openxmlformats.org/officeDocument/2006/relationships/revisionLog" Target="revisionLog106.xml"/><Relationship Id="rId457" Type="http://schemas.openxmlformats.org/officeDocument/2006/relationships/revisionLog" Target="revisionLog127.xml"/><Relationship Id="rId410" Type="http://schemas.openxmlformats.org/officeDocument/2006/relationships/revisionLog" Target="revisionLog80.xml"/><Relationship Id="rId431" Type="http://schemas.openxmlformats.org/officeDocument/2006/relationships/revisionLog" Target="revisionLog101.xml"/><Relationship Id="rId452" Type="http://schemas.openxmlformats.org/officeDocument/2006/relationships/revisionLog" Target="revisionLog122.xml"/><Relationship Id="rId359" Type="http://schemas.openxmlformats.org/officeDocument/2006/relationships/revisionLog" Target="revisionLog56.xml"/><Relationship Id="rId354" Type="http://schemas.openxmlformats.org/officeDocument/2006/relationships/revisionLog" Target="revisionLog51.xml"/><Relationship Id="rId333" Type="http://schemas.openxmlformats.org/officeDocument/2006/relationships/revisionLog" Target="revisionLog30.xml"/><Relationship Id="rId338" Type="http://schemas.openxmlformats.org/officeDocument/2006/relationships/revisionLog" Target="revisionLog35.xml"/><Relationship Id="rId370" Type="http://schemas.openxmlformats.org/officeDocument/2006/relationships/revisionLog" Target="revisionLog64.xml"/><Relationship Id="rId375" Type="http://schemas.openxmlformats.org/officeDocument/2006/relationships/revisionLog" Target="revisionLog18.xml"/><Relationship Id="rId391" Type="http://schemas.openxmlformats.org/officeDocument/2006/relationships/revisionLog" Target="revisionLog3.xml"/><Relationship Id="rId396" Type="http://schemas.openxmlformats.org/officeDocument/2006/relationships/revisionLog" Target="revisionLog8.xml"/><Relationship Id="rId405" Type="http://schemas.openxmlformats.org/officeDocument/2006/relationships/revisionLog" Target="revisionLog75.xml"/><Relationship Id="rId426" Type="http://schemas.openxmlformats.org/officeDocument/2006/relationships/revisionLog" Target="revisionLog96.xml"/><Relationship Id="rId447" Type="http://schemas.openxmlformats.org/officeDocument/2006/relationships/revisionLog" Target="revisionLog117.xml"/><Relationship Id="rId400" Type="http://schemas.openxmlformats.org/officeDocument/2006/relationships/revisionLog" Target="revisionLog25.xml"/><Relationship Id="rId421" Type="http://schemas.openxmlformats.org/officeDocument/2006/relationships/revisionLog" Target="revisionLog91.xml"/><Relationship Id="rId442" Type="http://schemas.openxmlformats.org/officeDocument/2006/relationships/revisionLog" Target="revisionLog112.xml"/><Relationship Id="rId463" Type="http://schemas.openxmlformats.org/officeDocument/2006/relationships/revisionLog" Target="revisionLog133.xml"/><Relationship Id="rId349" Type="http://schemas.openxmlformats.org/officeDocument/2006/relationships/revisionLog" Target="revisionLog46.xml"/><Relationship Id="rId344" Type="http://schemas.openxmlformats.org/officeDocument/2006/relationships/revisionLog" Target="revisionLog41.xml"/><Relationship Id="rId360" Type="http://schemas.openxmlformats.org/officeDocument/2006/relationships/revisionLog" Target="revisionLog57.xml"/><Relationship Id="rId365" Type="http://schemas.openxmlformats.org/officeDocument/2006/relationships/revisionLog" Target="revisionLog11.xml"/><Relationship Id="rId381" Type="http://schemas.openxmlformats.org/officeDocument/2006/relationships/revisionLog" Target="revisionLog66.xml"/><Relationship Id="rId386" Type="http://schemas.openxmlformats.org/officeDocument/2006/relationships/revisionLog" Target="revisionLog71.xml"/><Relationship Id="rId416" Type="http://schemas.openxmlformats.org/officeDocument/2006/relationships/revisionLog" Target="revisionLog86.xml"/><Relationship Id="rId411" Type="http://schemas.openxmlformats.org/officeDocument/2006/relationships/revisionLog" Target="revisionLog81.xml"/><Relationship Id="rId432" Type="http://schemas.openxmlformats.org/officeDocument/2006/relationships/revisionLog" Target="revisionLog102.xml"/><Relationship Id="rId437" Type="http://schemas.openxmlformats.org/officeDocument/2006/relationships/revisionLog" Target="revisionLog107.xml"/><Relationship Id="rId453" Type="http://schemas.openxmlformats.org/officeDocument/2006/relationships/revisionLog" Target="revisionLog123.xml"/><Relationship Id="rId458" Type="http://schemas.openxmlformats.org/officeDocument/2006/relationships/revisionLog" Target="revisionLog128.xml"/><Relationship Id="rId339" Type="http://schemas.openxmlformats.org/officeDocument/2006/relationships/revisionLog" Target="revisionLog36.xml"/><Relationship Id="rId334" Type="http://schemas.openxmlformats.org/officeDocument/2006/relationships/revisionLog" Target="revisionLog31.xml"/><Relationship Id="rId350" Type="http://schemas.openxmlformats.org/officeDocument/2006/relationships/revisionLog" Target="revisionLog47.xml"/><Relationship Id="rId355" Type="http://schemas.openxmlformats.org/officeDocument/2006/relationships/revisionLog" Target="revisionLog52.xml"/><Relationship Id="rId371" Type="http://schemas.openxmlformats.org/officeDocument/2006/relationships/revisionLog" Target="revisionLog14.xml"/><Relationship Id="rId376" Type="http://schemas.openxmlformats.org/officeDocument/2006/relationships/revisionLog" Target="revisionLog19.xml"/><Relationship Id="rId397" Type="http://schemas.openxmlformats.org/officeDocument/2006/relationships/revisionLog" Target="revisionLog9.xml"/><Relationship Id="rId406" Type="http://schemas.openxmlformats.org/officeDocument/2006/relationships/revisionLog" Target="revisionLog76.xml"/><Relationship Id="rId392" Type="http://schemas.openxmlformats.org/officeDocument/2006/relationships/revisionLog" Target="revisionLog4.xml"/><Relationship Id="rId401" Type="http://schemas.openxmlformats.org/officeDocument/2006/relationships/revisionLog" Target="revisionLog26.xml"/><Relationship Id="rId422" Type="http://schemas.openxmlformats.org/officeDocument/2006/relationships/revisionLog" Target="revisionLog92.xml"/><Relationship Id="rId427" Type="http://schemas.openxmlformats.org/officeDocument/2006/relationships/revisionLog" Target="revisionLog97.xml"/><Relationship Id="rId443" Type="http://schemas.openxmlformats.org/officeDocument/2006/relationships/revisionLog" Target="revisionLog113.xml"/><Relationship Id="rId448" Type="http://schemas.openxmlformats.org/officeDocument/2006/relationships/revisionLog" Target="revisionLog118.xml"/><Relationship Id="rId464" Type="http://schemas.openxmlformats.org/officeDocument/2006/relationships/revisionLog" Target="revisionLog134.xml"/><Relationship Id="rId340" Type="http://schemas.openxmlformats.org/officeDocument/2006/relationships/revisionLog" Target="revisionLog37.xml"/><Relationship Id="rId361" Type="http://schemas.openxmlformats.org/officeDocument/2006/relationships/revisionLog" Target="revisionLog58.xml"/></Relationships>
</file>

<file path=xl/revisions/revisionHeaders.xml><?xml version="1.0" encoding="utf-8"?>
<header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 guid="{33675A5E-60A1-4B37-B7E5-B3F18657C1AD}" diskRevisions="1" revisionId="10817" version="174">
  <header guid="{E71441DC-DA8C-4C26-BB78-16A5DA329418}" dateTime="2025-10-28T10:04:22" maxSheetId="13" userName="Danilo Rafael Basilio da Silva" r:id="rId331" minRId="7674" maxRId="7678">
    <sheetIdMap count="12">
      <sheetId val="12"/>
      <sheetId val="1"/>
      <sheetId val="2"/>
      <sheetId val="3"/>
      <sheetId val="4"/>
      <sheetId val="5"/>
      <sheetId val="6"/>
      <sheetId val="7"/>
      <sheetId val="8"/>
      <sheetId val="10"/>
      <sheetId val="9"/>
      <sheetId val="11"/>
    </sheetIdMap>
  </header>
  <header guid="{823619F0-9AAB-4950-AF69-27218D0011E3}" dateTime="2025-10-28T14:45:15" maxSheetId="13" userName="Leonam Morrison Monteiro de Oliveira" r:id="rId332" minRId="7689" maxRId="7695">
    <sheetIdMap count="12">
      <sheetId val="12"/>
      <sheetId val="1"/>
      <sheetId val="2"/>
      <sheetId val="3"/>
      <sheetId val="4"/>
      <sheetId val="5"/>
      <sheetId val="6"/>
      <sheetId val="7"/>
      <sheetId val="8"/>
      <sheetId val="10"/>
      <sheetId val="9"/>
      <sheetId val="11"/>
    </sheetIdMap>
  </header>
  <header guid="{322A83C8-58F5-4AC1-B00F-C4CB0A2C9D05}" dateTime="2025-10-29T09:00:33" maxSheetId="13" userName="Diego Santos de Abreu" r:id="rId333" minRId="7706" maxRId="7712">
    <sheetIdMap count="12">
      <sheetId val="12"/>
      <sheetId val="1"/>
      <sheetId val="2"/>
      <sheetId val="3"/>
      <sheetId val="4"/>
      <sheetId val="5"/>
      <sheetId val="6"/>
      <sheetId val="7"/>
      <sheetId val="8"/>
      <sheetId val="10"/>
      <sheetId val="9"/>
      <sheetId val="11"/>
    </sheetIdMap>
  </header>
  <header guid="{48468AEA-6FC2-4307-B64F-10448626F5AE}" dateTime="2025-10-29T09:19:55" maxSheetId="13" userName="Diego Santos de Abreu" r:id="rId334" minRId="7723">
    <sheetIdMap count="12">
      <sheetId val="12"/>
      <sheetId val="1"/>
      <sheetId val="2"/>
      <sheetId val="3"/>
      <sheetId val="4"/>
      <sheetId val="5"/>
      <sheetId val="6"/>
      <sheetId val="7"/>
      <sheetId val="8"/>
      <sheetId val="10"/>
      <sheetId val="9"/>
      <sheetId val="11"/>
    </sheetIdMap>
  </header>
  <header guid="{A5C16ECC-6800-4C63-8AD9-5C473E4C47C4}" dateTime="2025-10-29T09:20:03" maxSheetId="13" userName="Diego Santos de Abreu" r:id="rId335">
    <sheetIdMap count="12">
      <sheetId val="12"/>
      <sheetId val="1"/>
      <sheetId val="2"/>
      <sheetId val="3"/>
      <sheetId val="4"/>
      <sheetId val="5"/>
      <sheetId val="6"/>
      <sheetId val="7"/>
      <sheetId val="8"/>
      <sheetId val="10"/>
      <sheetId val="9"/>
      <sheetId val="11"/>
    </sheetIdMap>
  </header>
  <header guid="{D6B37320-9248-4853-A1EF-B48BF9E8D256}" dateTime="2025-10-29T11:00:45" maxSheetId="13" userName="Diego Santos de Abreu" r:id="rId336" minRId="7734" maxRId="7744">
    <sheetIdMap count="12">
      <sheetId val="12"/>
      <sheetId val="1"/>
      <sheetId val="2"/>
      <sheetId val="3"/>
      <sheetId val="4"/>
      <sheetId val="5"/>
      <sheetId val="6"/>
      <sheetId val="7"/>
      <sheetId val="8"/>
      <sheetId val="10"/>
      <sheetId val="9"/>
      <sheetId val="11"/>
    </sheetIdMap>
  </header>
  <header guid="{B2ADA95A-1946-4D55-8BA7-6E4B1B3D43BA}" dateTime="2025-10-29T11:02:06" maxSheetId="13" userName="Diego Santos de Abreu" r:id="rId337" minRId="7755" maxRId="7765">
    <sheetIdMap count="12">
      <sheetId val="12"/>
      <sheetId val="1"/>
      <sheetId val="2"/>
      <sheetId val="3"/>
      <sheetId val="4"/>
      <sheetId val="5"/>
      <sheetId val="6"/>
      <sheetId val="7"/>
      <sheetId val="8"/>
      <sheetId val="10"/>
      <sheetId val="9"/>
      <sheetId val="11"/>
    </sheetIdMap>
  </header>
  <header guid="{0CC8F1F0-4A5B-48A5-84FE-C79A57DE7B96}" dateTime="2025-10-29T11:02:30" maxSheetId="13" userName="Diego Santos de Abreu" r:id="rId338" minRId="7766" maxRId="7776">
    <sheetIdMap count="12">
      <sheetId val="12"/>
      <sheetId val="1"/>
      <sheetId val="2"/>
      <sheetId val="3"/>
      <sheetId val="4"/>
      <sheetId val="5"/>
      <sheetId val="6"/>
      <sheetId val="7"/>
      <sheetId val="8"/>
      <sheetId val="10"/>
      <sheetId val="9"/>
      <sheetId val="11"/>
    </sheetIdMap>
  </header>
  <header guid="{88124E20-9C62-4FE8-B968-72A25AFEB745}" dateTime="2025-10-29T11:02:48" maxSheetId="13" userName="Diego Santos de Abreu" r:id="rId339" minRId="7777" maxRId="7787">
    <sheetIdMap count="12">
      <sheetId val="12"/>
      <sheetId val="1"/>
      <sheetId val="2"/>
      <sheetId val="3"/>
      <sheetId val="4"/>
      <sheetId val="5"/>
      <sheetId val="6"/>
      <sheetId val="7"/>
      <sheetId val="8"/>
      <sheetId val="10"/>
      <sheetId val="9"/>
      <sheetId val="11"/>
    </sheetIdMap>
  </header>
  <header guid="{E11D38A4-C792-4ADC-BBBF-AAE92DE2CCE2}" dateTime="2025-10-29T11:05:36" maxSheetId="13" userName="Diego Santos de Abreu" r:id="rId340" minRId="7788" maxRId="7792">
    <sheetIdMap count="12">
      <sheetId val="12"/>
      <sheetId val="1"/>
      <sheetId val="2"/>
      <sheetId val="3"/>
      <sheetId val="4"/>
      <sheetId val="5"/>
      <sheetId val="6"/>
      <sheetId val="7"/>
      <sheetId val="8"/>
      <sheetId val="10"/>
      <sheetId val="9"/>
      <sheetId val="11"/>
    </sheetIdMap>
  </header>
  <header guid="{F0C2FCDF-FB2F-4FE6-BA33-DDBA4124C0E6}" dateTime="2025-10-30T16:15:18" maxSheetId="13" userName="Alessandro Borges de Araújo" r:id="rId341" minRId="7793">
    <sheetIdMap count="12">
      <sheetId val="12"/>
      <sheetId val="1"/>
      <sheetId val="2"/>
      <sheetId val="3"/>
      <sheetId val="4"/>
      <sheetId val="5"/>
      <sheetId val="6"/>
      <sheetId val="7"/>
      <sheetId val="8"/>
      <sheetId val="10"/>
      <sheetId val="9"/>
      <sheetId val="11"/>
    </sheetIdMap>
  </header>
  <header guid="{450A34C7-7453-4FF8-BFFB-CB1A4E9DD4AB}" dateTime="2025-10-30T16:45:39" maxSheetId="13" userName="Alessandro Borges de Araújo" r:id="rId342" minRId="7804" maxRId="7821">
    <sheetIdMap count="12">
      <sheetId val="12"/>
      <sheetId val="1"/>
      <sheetId val="2"/>
      <sheetId val="3"/>
      <sheetId val="4"/>
      <sheetId val="5"/>
      <sheetId val="6"/>
      <sheetId val="7"/>
      <sheetId val="8"/>
      <sheetId val="10"/>
      <sheetId val="9"/>
      <sheetId val="11"/>
    </sheetIdMap>
  </header>
  <header guid="{F68C6CA8-1961-4F9D-A617-1A659779486B}" dateTime="2025-10-31T11:51:36" maxSheetId="13" userName="Alessandro Borges de Araújo" r:id="rId343" minRId="7822" maxRId="7823">
    <sheetIdMap count="12">
      <sheetId val="12"/>
      <sheetId val="1"/>
      <sheetId val="2"/>
      <sheetId val="3"/>
      <sheetId val="4"/>
      <sheetId val="5"/>
      <sheetId val="6"/>
      <sheetId val="7"/>
      <sheetId val="8"/>
      <sheetId val="10"/>
      <sheetId val="9"/>
      <sheetId val="11"/>
    </sheetIdMap>
  </header>
  <header guid="{5183DFE5-4F4D-459E-99DE-8E8152621648}" dateTime="2025-10-31T12:08:36" maxSheetId="13" userName="Alessandro Borges de Araújo" r:id="rId344" minRId="7824" maxRId="7844">
    <sheetIdMap count="12">
      <sheetId val="12"/>
      <sheetId val="1"/>
      <sheetId val="2"/>
      <sheetId val="3"/>
      <sheetId val="4"/>
      <sheetId val="5"/>
      <sheetId val="6"/>
      <sheetId val="7"/>
      <sheetId val="8"/>
      <sheetId val="10"/>
      <sheetId val="9"/>
      <sheetId val="11"/>
    </sheetIdMap>
  </header>
  <header guid="{4D3A3DDC-B696-4837-AF7D-2D7DE5BE1354}" dateTime="2025-10-31T17:09:22" maxSheetId="13" userName="Aelton de Jesus Nunes" r:id="rId345" minRId="7855" maxRId="7865">
    <sheetIdMap count="12">
      <sheetId val="12"/>
      <sheetId val="1"/>
      <sheetId val="2"/>
      <sheetId val="3"/>
      <sheetId val="4"/>
      <sheetId val="5"/>
      <sheetId val="6"/>
      <sheetId val="7"/>
      <sheetId val="8"/>
      <sheetId val="10"/>
      <sheetId val="9"/>
      <sheetId val="11"/>
    </sheetIdMap>
  </header>
  <header guid="{E18B3E33-8B0D-4F6A-8565-85B9B742524A}" dateTime="2025-11-03T09:57:33" maxSheetId="13" userName="Diego Santos de Abreu" r:id="rId346" minRId="7866" maxRId="7868">
    <sheetIdMap count="12">
      <sheetId val="12"/>
      <sheetId val="1"/>
      <sheetId val="2"/>
      <sheetId val="3"/>
      <sheetId val="4"/>
      <sheetId val="5"/>
      <sheetId val="6"/>
      <sheetId val="7"/>
      <sheetId val="8"/>
      <sheetId val="10"/>
      <sheetId val="9"/>
      <sheetId val="11"/>
    </sheetIdMap>
  </header>
  <header guid="{056002A0-2AE3-4726-92FC-D8828E546DFC}" dateTime="2025-11-03T09:57:49" maxSheetId="13" userName="Diego Santos de Abreu" r:id="rId347" minRId="7879">
    <sheetIdMap count="12">
      <sheetId val="12"/>
      <sheetId val="1"/>
      <sheetId val="2"/>
      <sheetId val="3"/>
      <sheetId val="4"/>
      <sheetId val="5"/>
      <sheetId val="6"/>
      <sheetId val="7"/>
      <sheetId val="8"/>
      <sheetId val="10"/>
      <sheetId val="9"/>
      <sheetId val="11"/>
    </sheetIdMap>
  </header>
  <header guid="{00A85B6B-4168-4D48-B0A7-4BBD5CFF2C7A}" dateTime="2025-11-03T10:35:07" maxSheetId="13" userName="Leonam Morrison Monteiro de Oliveira" r:id="rId348" minRId="7880" maxRId="7895">
    <sheetIdMap count="12">
      <sheetId val="12"/>
      <sheetId val="1"/>
      <sheetId val="2"/>
      <sheetId val="3"/>
      <sheetId val="4"/>
      <sheetId val="5"/>
      <sheetId val="6"/>
      <sheetId val="7"/>
      <sheetId val="8"/>
      <sheetId val="10"/>
      <sheetId val="9"/>
      <sheetId val="11"/>
    </sheetIdMap>
  </header>
  <header guid="{18594E69-EDE7-44F4-ACC9-1EE2A7D0CB5E}" dateTime="2025-11-03T15:39:11" maxSheetId="13" userName="Alessandro Borges de Araújo" r:id="rId349" minRId="7906" maxRId="8676">
    <sheetIdMap count="12">
      <sheetId val="12"/>
      <sheetId val="1"/>
      <sheetId val="2"/>
      <sheetId val="3"/>
      <sheetId val="4"/>
      <sheetId val="5"/>
      <sheetId val="6"/>
      <sheetId val="7"/>
      <sheetId val="8"/>
      <sheetId val="10"/>
      <sheetId val="9"/>
      <sheetId val="11"/>
    </sheetIdMap>
  </header>
  <header guid="{ACF6013A-A80E-40FE-8732-0F315A1646B2}" dateTime="2025-11-04T16:44:38" maxSheetId="13" userName="Leonam Morrison Monteiro de Oliveira" r:id="rId350" minRId="8677" maxRId="8678">
    <sheetIdMap count="12">
      <sheetId val="12"/>
      <sheetId val="1"/>
      <sheetId val="2"/>
      <sheetId val="3"/>
      <sheetId val="4"/>
      <sheetId val="5"/>
      <sheetId val="6"/>
      <sheetId val="7"/>
      <sheetId val="8"/>
      <sheetId val="10"/>
      <sheetId val="9"/>
      <sheetId val="11"/>
    </sheetIdMap>
  </header>
  <header guid="{134EEAFF-2D38-4643-A3B1-54A592D6B197}" dateTime="2025-11-04T16:45:19" maxSheetId="13" userName="Leonam Morrison Monteiro de Oliveira" r:id="rId351" minRId="8689" maxRId="8692">
    <sheetIdMap count="12">
      <sheetId val="12"/>
      <sheetId val="1"/>
      <sheetId val="2"/>
      <sheetId val="3"/>
      <sheetId val="4"/>
      <sheetId val="5"/>
      <sheetId val="6"/>
      <sheetId val="7"/>
      <sheetId val="8"/>
      <sheetId val="10"/>
      <sheetId val="9"/>
      <sheetId val="11"/>
    </sheetIdMap>
  </header>
  <header guid="{3BD521DB-E1E3-459E-99FB-8EA63F1997B6}" dateTime="2025-11-06T17:53:05" maxSheetId="13" userName="Aelton de Jesus Nunes" r:id="rId352" minRId="8693" maxRId="8706">
    <sheetIdMap count="12">
      <sheetId val="12"/>
      <sheetId val="1"/>
      <sheetId val="2"/>
      <sheetId val="3"/>
      <sheetId val="4"/>
      <sheetId val="5"/>
      <sheetId val="6"/>
      <sheetId val="7"/>
      <sheetId val="8"/>
      <sheetId val="10"/>
      <sheetId val="9"/>
      <sheetId val="11"/>
    </sheetIdMap>
  </header>
  <header guid="{AFA1FBE0-6581-44FE-B618-EA15BDB3AA69}" dateTime="2025-11-07T12:47:33" maxSheetId="13" userName="Alessandro Borges de Araújo" r:id="rId353" minRId="8717" maxRId="8760">
    <sheetIdMap count="12">
      <sheetId val="12"/>
      <sheetId val="1"/>
      <sheetId val="2"/>
      <sheetId val="3"/>
      <sheetId val="4"/>
      <sheetId val="5"/>
      <sheetId val="6"/>
      <sheetId val="7"/>
      <sheetId val="8"/>
      <sheetId val="10"/>
      <sheetId val="9"/>
      <sheetId val="11"/>
    </sheetIdMap>
  </header>
  <header guid="{75D02716-120A-440C-8E44-DAE864781F26}" dateTime="2025-11-07T13:01:53" maxSheetId="13" userName="Alessandro Borges de Araújo" r:id="rId354" minRId="8761" maxRId="8808">
    <sheetIdMap count="12">
      <sheetId val="12"/>
      <sheetId val="1"/>
      <sheetId val="2"/>
      <sheetId val="3"/>
      <sheetId val="4"/>
      <sheetId val="5"/>
      <sheetId val="6"/>
      <sheetId val="7"/>
      <sheetId val="8"/>
      <sheetId val="10"/>
      <sheetId val="9"/>
      <sheetId val="11"/>
    </sheetIdMap>
  </header>
  <header guid="{3652C873-CE89-4942-B924-86337984B8CD}" dateTime="2025-11-07T13:09:12" maxSheetId="13" userName="Alessandro Borges de Araújo" r:id="rId355" minRId="8809" maxRId="8823">
    <sheetIdMap count="12">
      <sheetId val="12"/>
      <sheetId val="1"/>
      <sheetId val="2"/>
      <sheetId val="3"/>
      <sheetId val="4"/>
      <sheetId val="5"/>
      <sheetId val="6"/>
      <sheetId val="7"/>
      <sheetId val="8"/>
      <sheetId val="10"/>
      <sheetId val="9"/>
      <sheetId val="11"/>
    </sheetIdMap>
  </header>
  <header guid="{7AB5F6D4-A3FB-4652-AFAB-A384002BAF49}" dateTime="2025-11-07T13:09:33" maxSheetId="13" userName="Alessandro Borges de Araújo" r:id="rId356" minRId="8834" maxRId="8835">
    <sheetIdMap count="12">
      <sheetId val="12"/>
      <sheetId val="1"/>
      <sheetId val="2"/>
      <sheetId val="3"/>
      <sheetId val="4"/>
      <sheetId val="5"/>
      <sheetId val="6"/>
      <sheetId val="7"/>
      <sheetId val="8"/>
      <sheetId val="10"/>
      <sheetId val="9"/>
      <sheetId val="11"/>
    </sheetIdMap>
  </header>
  <header guid="{E10D7D25-34DC-4785-B387-E5A2BEEE0C0C}" dateTime="2025-11-07T13:14:56" maxSheetId="13" userName="Alessandro Borges de Araújo" r:id="rId357" minRId="8836" maxRId="8848">
    <sheetIdMap count="12">
      <sheetId val="12"/>
      <sheetId val="1"/>
      <sheetId val="2"/>
      <sheetId val="3"/>
      <sheetId val="4"/>
      <sheetId val="5"/>
      <sheetId val="6"/>
      <sheetId val="7"/>
      <sheetId val="8"/>
      <sheetId val="10"/>
      <sheetId val="9"/>
      <sheetId val="11"/>
    </sheetIdMap>
  </header>
  <header guid="{B14A22CD-5D7C-46A0-BCCA-D58CFC8B9E94}" dateTime="2025-11-07T13:16:53" maxSheetId="13" userName="Alessandro Borges de Araújo" r:id="rId358" minRId="8859" maxRId="8861">
    <sheetIdMap count="12">
      <sheetId val="12"/>
      <sheetId val="1"/>
      <sheetId val="2"/>
      <sheetId val="3"/>
      <sheetId val="4"/>
      <sheetId val="5"/>
      <sheetId val="6"/>
      <sheetId val="7"/>
      <sheetId val="8"/>
      <sheetId val="10"/>
      <sheetId val="9"/>
      <sheetId val="11"/>
    </sheetIdMap>
  </header>
  <header guid="{AEDCA203-D71E-49F1-9B38-77B3898587BD}" dateTime="2025-11-07T15:03:04" maxSheetId="13" userName="Alessandro Borges de Araújo" r:id="rId359" minRId="8862">
    <sheetIdMap count="12">
      <sheetId val="12"/>
      <sheetId val="1"/>
      <sheetId val="2"/>
      <sheetId val="3"/>
      <sheetId val="4"/>
      <sheetId val="5"/>
      <sheetId val="6"/>
      <sheetId val="7"/>
      <sheetId val="8"/>
      <sheetId val="10"/>
      <sheetId val="9"/>
      <sheetId val="11"/>
    </sheetIdMap>
  </header>
  <header guid="{A9E82DBE-F6C7-421E-B8F5-D89A52811BCB}" dateTime="2025-11-07T16:20:45" maxSheetId="13" userName="Alessandro Borges de Araújo" r:id="rId360" minRId="8863" maxRId="8889">
    <sheetIdMap count="12">
      <sheetId val="12"/>
      <sheetId val="1"/>
      <sheetId val="2"/>
      <sheetId val="3"/>
      <sheetId val="4"/>
      <sheetId val="5"/>
      <sheetId val="6"/>
      <sheetId val="7"/>
      <sheetId val="8"/>
      <sheetId val="10"/>
      <sheetId val="9"/>
      <sheetId val="11"/>
    </sheetIdMap>
  </header>
  <header guid="{EDD36A70-7A2A-4DBE-82D7-48D4C8A4A9BA}" dateTime="2025-11-07T16:28:05" maxSheetId="13" userName="Marcos Neves de Almeida" r:id="rId361" minRId="8890">
    <sheetIdMap count="12">
      <sheetId val="12"/>
      <sheetId val="1"/>
      <sheetId val="2"/>
      <sheetId val="3"/>
      <sheetId val="4"/>
      <sheetId val="5"/>
      <sheetId val="6"/>
      <sheetId val="7"/>
      <sheetId val="8"/>
      <sheetId val="10"/>
      <sheetId val="9"/>
      <sheetId val="11"/>
    </sheetIdMap>
  </header>
  <header guid="{A5199677-8D39-4FE9-8754-E70380E37B52}" dateTime="2025-11-07T16:29:33" maxSheetId="13" userName="Marcos Neves de Almeida" r:id="rId362" minRId="8901" maxRId="8902">
    <sheetIdMap count="12">
      <sheetId val="12"/>
      <sheetId val="1"/>
      <sheetId val="2"/>
      <sheetId val="3"/>
      <sheetId val="4"/>
      <sheetId val="5"/>
      <sheetId val="6"/>
      <sheetId val="7"/>
      <sheetId val="8"/>
      <sheetId val="10"/>
      <sheetId val="9"/>
      <sheetId val="11"/>
    </sheetIdMap>
  </header>
  <header guid="{D052FCD4-C859-4F16-BEB0-6736E6D8D66E}" dateTime="2025-11-07T17:01:16" maxSheetId="13" userName="Alessandro Borges de Araújo" r:id="rId363" minRId="8903" maxRId="8926">
    <sheetIdMap count="12">
      <sheetId val="12"/>
      <sheetId val="1"/>
      <sheetId val="2"/>
      <sheetId val="3"/>
      <sheetId val="4"/>
      <sheetId val="5"/>
      <sheetId val="6"/>
      <sheetId val="7"/>
      <sheetId val="8"/>
      <sheetId val="10"/>
      <sheetId val="9"/>
      <sheetId val="11"/>
    </sheetIdMap>
  </header>
  <header guid="{7C13B7A8-6491-4039-88B4-46295049664E}" dateTime="2025-11-07T17:43:44" maxSheetId="13" userName="Alessandro Borges de Araújo" r:id="rId364" minRId="8937" maxRId="8952">
    <sheetIdMap count="12">
      <sheetId val="12"/>
      <sheetId val="1"/>
      <sheetId val="2"/>
      <sheetId val="3"/>
      <sheetId val="4"/>
      <sheetId val="5"/>
      <sheetId val="6"/>
      <sheetId val="7"/>
      <sheetId val="8"/>
      <sheetId val="10"/>
      <sheetId val="9"/>
      <sheetId val="11"/>
    </sheetIdMap>
  </header>
  <header guid="{927D494B-2FF6-4949-8D2A-5D3334083C46}" dateTime="2025-11-10T08:20:11" maxSheetId="13" userName="Marcos Neves de Almeida" r:id="rId365" minRId="8953" maxRId="8957">
    <sheetIdMap count="12">
      <sheetId val="12"/>
      <sheetId val="1"/>
      <sheetId val="2"/>
      <sheetId val="3"/>
      <sheetId val="4"/>
      <sheetId val="5"/>
      <sheetId val="6"/>
      <sheetId val="7"/>
      <sheetId val="8"/>
      <sheetId val="10"/>
      <sheetId val="9"/>
      <sheetId val="11"/>
    </sheetIdMap>
  </header>
  <header guid="{58DC705A-F663-458D-8044-568E74949A1B}" dateTime="2025-11-10T10:06:41" maxSheetId="13" userName="Danilo Rafael Basilio da Silva" r:id="rId366" minRId="8968" maxRId="8978">
    <sheetIdMap count="12">
      <sheetId val="12"/>
      <sheetId val="1"/>
      <sheetId val="2"/>
      <sheetId val="3"/>
      <sheetId val="4"/>
      <sheetId val="5"/>
      <sheetId val="6"/>
      <sheetId val="7"/>
      <sheetId val="8"/>
      <sheetId val="10"/>
      <sheetId val="9"/>
      <sheetId val="11"/>
    </sheetIdMap>
  </header>
  <header guid="{4626C263-5ED0-40AC-A702-3DA6B0FC0CC8}" dateTime="2025-11-10T10:11:45" maxSheetId="13" userName="Aelton de Jesus Nunes" r:id="rId367" minRId="8989">
    <sheetIdMap count="12">
      <sheetId val="12"/>
      <sheetId val="1"/>
      <sheetId val="2"/>
      <sheetId val="3"/>
      <sheetId val="4"/>
      <sheetId val="5"/>
      <sheetId val="6"/>
      <sheetId val="7"/>
      <sheetId val="8"/>
      <sheetId val="10"/>
      <sheetId val="9"/>
      <sheetId val="11"/>
    </sheetIdMap>
  </header>
  <header guid="{174F0595-B561-4BCC-BE8D-184007F2B772}" dateTime="2025-11-10T10:13:02" maxSheetId="13" userName="Leonam Morrison Monteiro de Oliveira" r:id="rId368" minRId="9000" maxRId="9006">
    <sheetIdMap count="12">
      <sheetId val="12"/>
      <sheetId val="1"/>
      <sheetId val="2"/>
      <sheetId val="3"/>
      <sheetId val="4"/>
      <sheetId val="5"/>
      <sheetId val="6"/>
      <sheetId val="7"/>
      <sheetId val="8"/>
      <sheetId val="10"/>
      <sheetId val="9"/>
      <sheetId val="11"/>
    </sheetIdMap>
  </header>
  <header guid="{BEE805E9-F0A6-4C89-866A-08F4CA26D3E5}" dateTime="2025-11-11T13:02:06" maxSheetId="13" userName="Alessandro Borges de Araújo" r:id="rId369" minRId="9007" maxRId="9014">
    <sheetIdMap count="12">
      <sheetId val="12"/>
      <sheetId val="1"/>
      <sheetId val="2"/>
      <sheetId val="3"/>
      <sheetId val="4"/>
      <sheetId val="5"/>
      <sheetId val="6"/>
      <sheetId val="7"/>
      <sheetId val="8"/>
      <sheetId val="10"/>
      <sheetId val="9"/>
      <sheetId val="11"/>
    </sheetIdMap>
  </header>
  <header guid="{E5761803-60F3-415D-A048-D6B472B94222}" dateTime="2025-11-12T09:54:11" maxSheetId="13" userName="Diego Santos de Abreu" r:id="rId370" minRId="9025" maxRId="9032">
    <sheetIdMap count="12">
      <sheetId val="12"/>
      <sheetId val="1"/>
      <sheetId val="2"/>
      <sheetId val="3"/>
      <sheetId val="4"/>
      <sheetId val="5"/>
      <sheetId val="6"/>
      <sheetId val="7"/>
      <sheetId val="8"/>
      <sheetId val="10"/>
      <sheetId val="9"/>
      <sheetId val="11"/>
    </sheetIdMap>
  </header>
  <header guid="{BCB35FDF-BF72-46D7-AD84-E71A48B2F9AE}" dateTime="2025-11-12T09:56:25" maxSheetId="13" userName="Diego Santos de Abreu" r:id="rId371" minRId="9043" maxRId="9048">
    <sheetIdMap count="12">
      <sheetId val="12"/>
      <sheetId val="1"/>
      <sheetId val="2"/>
      <sheetId val="3"/>
      <sheetId val="4"/>
      <sheetId val="5"/>
      <sheetId val="6"/>
      <sheetId val="7"/>
      <sheetId val="8"/>
      <sheetId val="10"/>
      <sheetId val="9"/>
      <sheetId val="11"/>
    </sheetIdMap>
  </header>
  <header guid="{98BDF384-6ED8-47A4-9F45-B837F7013EF6}" dateTime="2025-11-12T16:38:57" maxSheetId="13" userName="Marcos Neves de Almeida" r:id="rId372" minRId="9059" maxRId="9061">
    <sheetIdMap count="12">
      <sheetId val="12"/>
      <sheetId val="1"/>
      <sheetId val="2"/>
      <sheetId val="3"/>
      <sheetId val="4"/>
      <sheetId val="5"/>
      <sheetId val="6"/>
      <sheetId val="7"/>
      <sheetId val="8"/>
      <sheetId val="10"/>
      <sheetId val="9"/>
      <sheetId val="11"/>
    </sheetIdMap>
  </header>
  <header guid="{B54FF3E3-B8F1-4C36-AF36-4974EEE22AFF}" dateTime="2025-11-12T17:14:50" maxSheetId="13" userName="Alessandro Borges de Araújo" r:id="rId373" minRId="9072" maxRId="9075">
    <sheetIdMap count="12">
      <sheetId val="12"/>
      <sheetId val="1"/>
      <sheetId val="2"/>
      <sheetId val="3"/>
      <sheetId val="4"/>
      <sheetId val="5"/>
      <sheetId val="6"/>
      <sheetId val="7"/>
      <sheetId val="8"/>
      <sheetId val="10"/>
      <sheetId val="9"/>
      <sheetId val="11"/>
    </sheetIdMap>
  </header>
  <header guid="{0D099FC3-E97F-4529-9F4E-67FB7D5F7310}" dateTime="2025-11-14T10:54:48" maxSheetId="13" userName="Alessandro Borges de Araújo" r:id="rId374" minRId="9086" maxRId="9090">
    <sheetIdMap count="12">
      <sheetId val="12"/>
      <sheetId val="1"/>
      <sheetId val="2"/>
      <sheetId val="3"/>
      <sheetId val="4"/>
      <sheetId val="5"/>
      <sheetId val="6"/>
      <sheetId val="7"/>
      <sheetId val="8"/>
      <sheetId val="10"/>
      <sheetId val="9"/>
      <sheetId val="11"/>
    </sheetIdMap>
  </header>
  <header guid="{D9302E49-1A87-4B86-AA23-7997F43FDD6C}" dateTime="2025-11-14T15:06:26" maxSheetId="13" userName="Aelton de Jesus Nunes" r:id="rId375" minRId="9101" maxRId="9109">
    <sheetIdMap count="12">
      <sheetId val="12"/>
      <sheetId val="1"/>
      <sheetId val="2"/>
      <sheetId val="3"/>
      <sheetId val="4"/>
      <sheetId val="5"/>
      <sheetId val="6"/>
      <sheetId val="7"/>
      <sheetId val="8"/>
      <sheetId val="10"/>
      <sheetId val="9"/>
      <sheetId val="11"/>
    </sheetIdMap>
  </header>
  <header guid="{42CA144F-0101-4850-B6A1-A26E7B585223}" dateTime="2025-11-14T15:06:41" maxSheetId="13" userName="Aelton de Jesus Nunes" r:id="rId376" minRId="9120">
    <sheetIdMap count="12">
      <sheetId val="12"/>
      <sheetId val="1"/>
      <sheetId val="2"/>
      <sheetId val="3"/>
      <sheetId val="4"/>
      <sheetId val="5"/>
      <sheetId val="6"/>
      <sheetId val="7"/>
      <sheetId val="8"/>
      <sheetId val="10"/>
      <sheetId val="9"/>
      <sheetId val="11"/>
    </sheetIdMap>
  </header>
  <header guid="{DFD52EBE-11B8-4FFA-9C4A-964CFB8E2912}" dateTime="2025-11-17T08:56:31" maxSheetId="13" userName="Diego Santos de Abreu" r:id="rId377" minRId="9121" maxRId="9123">
    <sheetIdMap count="12">
      <sheetId val="12"/>
      <sheetId val="1"/>
      <sheetId val="2"/>
      <sheetId val="3"/>
      <sheetId val="4"/>
      <sheetId val="5"/>
      <sheetId val="6"/>
      <sheetId val="7"/>
      <sheetId val="8"/>
      <sheetId val="10"/>
      <sheetId val="9"/>
      <sheetId val="11"/>
    </sheetIdMap>
  </header>
  <header guid="{A3C05D7C-D86E-4875-8E5F-4DBD16A35642}" dateTime="2025-11-17T09:35:08" maxSheetId="13" userName="Leonam Morrison Monteiro de Oliveira" r:id="rId378" minRId="9134" maxRId="9145">
    <sheetIdMap count="12">
      <sheetId val="12"/>
      <sheetId val="1"/>
      <sheetId val="2"/>
      <sheetId val="3"/>
      <sheetId val="4"/>
      <sheetId val="5"/>
      <sheetId val="6"/>
      <sheetId val="7"/>
      <sheetId val="8"/>
      <sheetId val="10"/>
      <sheetId val="9"/>
      <sheetId val="11"/>
    </sheetIdMap>
  </header>
  <header guid="{1C0C7CFF-EF35-46E0-8493-850A50D5E3E9}" dateTime="2025-11-17T14:40:01" maxSheetId="13" userName="Danilo Rafael Basilio da Silva" r:id="rId379" minRId="9156" maxRId="9164">
    <sheetIdMap count="12">
      <sheetId val="12"/>
      <sheetId val="1"/>
      <sheetId val="2"/>
      <sheetId val="3"/>
      <sheetId val="4"/>
      <sheetId val="5"/>
      <sheetId val="6"/>
      <sheetId val="7"/>
      <sheetId val="8"/>
      <sheetId val="10"/>
      <sheetId val="9"/>
      <sheetId val="11"/>
    </sheetIdMap>
  </header>
  <header guid="{BF1A16E1-CA49-4E76-8C84-83531322A219}" dateTime="2025-11-17T14:45:02" maxSheetId="13" userName="Danilo Rafael Basilio da Silva" r:id="rId380" minRId="9175" maxRId="9178">
    <sheetIdMap count="12">
      <sheetId val="12"/>
      <sheetId val="1"/>
      <sheetId val="2"/>
      <sheetId val="3"/>
      <sheetId val="4"/>
      <sheetId val="5"/>
      <sheetId val="6"/>
      <sheetId val="7"/>
      <sheetId val="8"/>
      <sheetId val="10"/>
      <sheetId val="9"/>
      <sheetId val="11"/>
    </sheetIdMap>
  </header>
  <header guid="{2DD22F3D-2E65-4721-B822-8E9D60BBF760}" dateTime="2025-11-17T15:14:54" maxSheetId="13" userName="Marcos Neves de Almeida" r:id="rId381" minRId="9179" maxRId="9180">
    <sheetIdMap count="12">
      <sheetId val="12"/>
      <sheetId val="1"/>
      <sheetId val="2"/>
      <sheetId val="3"/>
      <sheetId val="4"/>
      <sheetId val="5"/>
      <sheetId val="6"/>
      <sheetId val="7"/>
      <sheetId val="8"/>
      <sheetId val="10"/>
      <sheetId val="9"/>
      <sheetId val="11"/>
    </sheetIdMap>
  </header>
  <header guid="{63E6D349-AD6D-4AE3-A7DC-80D91058E3C7}" dateTime="2025-11-18T08:07:01" maxSheetId="13" userName="Diego Santos de Abreu" r:id="rId382" minRId="9191" maxRId="9193">
    <sheetIdMap count="12">
      <sheetId val="12"/>
      <sheetId val="1"/>
      <sheetId val="2"/>
      <sheetId val="3"/>
      <sheetId val="4"/>
      <sheetId val="5"/>
      <sheetId val="6"/>
      <sheetId val="7"/>
      <sheetId val="8"/>
      <sheetId val="10"/>
      <sheetId val="9"/>
      <sheetId val="11"/>
    </sheetIdMap>
  </header>
  <header guid="{81FA985A-7F2E-4B9C-B227-E13DC7E28790}" dateTime="2025-11-18T10:17:42" maxSheetId="13" userName="Diego Santos de Abreu" r:id="rId383" minRId="9204" maxRId="9205">
    <sheetIdMap count="12">
      <sheetId val="12"/>
      <sheetId val="1"/>
      <sheetId val="2"/>
      <sheetId val="3"/>
      <sheetId val="4"/>
      <sheetId val="5"/>
      <sheetId val="6"/>
      <sheetId val="7"/>
      <sheetId val="8"/>
      <sheetId val="10"/>
      <sheetId val="9"/>
      <sheetId val="11"/>
    </sheetIdMap>
  </header>
  <header guid="{35F20A2B-7D58-40BF-A154-BB5735F7B0DC}" dateTime="2025-11-18T10:18:58" maxSheetId="13" userName="Diego Santos de Abreu" r:id="rId384" minRId="9216" maxRId="9218">
    <sheetIdMap count="12">
      <sheetId val="12"/>
      <sheetId val="1"/>
      <sheetId val="2"/>
      <sheetId val="3"/>
      <sheetId val="4"/>
      <sheetId val="5"/>
      <sheetId val="6"/>
      <sheetId val="7"/>
      <sheetId val="8"/>
      <sheetId val="10"/>
      <sheetId val="9"/>
      <sheetId val="11"/>
    </sheetIdMap>
  </header>
  <header guid="{D63F9EEE-A426-4BCF-AB9E-0D07B1603A7B}" dateTime="2025-11-18T10:37:38" maxSheetId="13" userName="Alessandro Borges de Araújo" r:id="rId385" minRId="9219" maxRId="9235">
    <sheetIdMap count="12">
      <sheetId val="12"/>
      <sheetId val="1"/>
      <sheetId val="2"/>
      <sheetId val="3"/>
      <sheetId val="4"/>
      <sheetId val="5"/>
      <sheetId val="6"/>
      <sheetId val="7"/>
      <sheetId val="8"/>
      <sheetId val="10"/>
      <sheetId val="9"/>
      <sheetId val="11"/>
    </sheetIdMap>
  </header>
  <header guid="{76D6A522-A3FE-4421-AA48-181BEA00EC42}" dateTime="2025-11-18T15:05:41" maxSheetId="13" userName="Diego Santos de Abreu" r:id="rId386" minRId="9236">
    <sheetIdMap count="12">
      <sheetId val="12"/>
      <sheetId val="1"/>
      <sheetId val="2"/>
      <sheetId val="3"/>
      <sheetId val="4"/>
      <sheetId val="5"/>
      <sheetId val="6"/>
      <sheetId val="7"/>
      <sheetId val="8"/>
      <sheetId val="10"/>
      <sheetId val="9"/>
      <sheetId val="11"/>
    </sheetIdMap>
  </header>
  <header guid="{E7DB2F73-58A8-437A-A4CE-4E5858C34A53}" dateTime="2025-11-19T08:55:39" maxSheetId="13" userName="Diego Santos de Abreu" r:id="rId387" minRId="9247">
    <sheetIdMap count="12">
      <sheetId val="12"/>
      <sheetId val="1"/>
      <sheetId val="2"/>
      <sheetId val="3"/>
      <sheetId val="4"/>
      <sheetId val="5"/>
      <sheetId val="6"/>
      <sheetId val="7"/>
      <sheetId val="8"/>
      <sheetId val="10"/>
      <sheetId val="9"/>
      <sheetId val="11"/>
    </sheetIdMap>
  </header>
  <header guid="{DAE730F3-A028-4771-A7E3-446D6AC2D843}" dateTime="2025-11-24T06:55:41" maxSheetId="13" userName="Diego Santos de Abreu" r:id="rId388" minRId="9248" maxRId="9250">
    <sheetIdMap count="12">
      <sheetId val="12"/>
      <sheetId val="1"/>
      <sheetId val="2"/>
      <sheetId val="3"/>
      <sheetId val="4"/>
      <sheetId val="5"/>
      <sheetId val="6"/>
      <sheetId val="7"/>
      <sheetId val="8"/>
      <sheetId val="10"/>
      <sheetId val="9"/>
      <sheetId val="11"/>
    </sheetIdMap>
  </header>
  <header guid="{649F3270-5F96-4EBA-869D-BCBB39FDDF29}" dateTime="2025-11-24T10:22:05" maxSheetId="13" userName="Danilo Rafael Basilio da Silva" r:id="rId389" minRId="9261" maxRId="9265">
    <sheetIdMap count="12">
      <sheetId val="12"/>
      <sheetId val="1"/>
      <sheetId val="2"/>
      <sheetId val="3"/>
      <sheetId val="4"/>
      <sheetId val="5"/>
      <sheetId val="6"/>
      <sheetId val="7"/>
      <sheetId val="8"/>
      <sheetId val="10"/>
      <sheetId val="9"/>
      <sheetId val="11"/>
    </sheetIdMap>
  </header>
  <header guid="{E40920DB-321C-4F5A-B61A-DA96176450CA}" dateTime="2025-11-24T10:24:14" maxSheetId="13" userName="Danilo Rafael Basilio da Silva" r:id="rId390" minRId="9276" maxRId="9277">
    <sheetIdMap count="12">
      <sheetId val="12"/>
      <sheetId val="1"/>
      <sheetId val="2"/>
      <sheetId val="3"/>
      <sheetId val="4"/>
      <sheetId val="5"/>
      <sheetId val="6"/>
      <sheetId val="7"/>
      <sheetId val="8"/>
      <sheetId val="10"/>
      <sheetId val="9"/>
      <sheetId val="11"/>
    </sheetIdMap>
  </header>
  <header guid="{FEE9F254-F657-41BC-8A21-FCEA20381E08}" dateTime="2025-11-24T10:24:29" maxSheetId="13" userName="Danilo Rafael Basilio da Silva" r:id="rId391" minRId="9278">
    <sheetIdMap count="12">
      <sheetId val="12"/>
      <sheetId val="1"/>
      <sheetId val="2"/>
      <sheetId val="3"/>
      <sheetId val="4"/>
      <sheetId val="5"/>
      <sheetId val="6"/>
      <sheetId val="7"/>
      <sheetId val="8"/>
      <sheetId val="10"/>
      <sheetId val="9"/>
      <sheetId val="11"/>
    </sheetIdMap>
  </header>
  <header guid="{31EC643E-2353-4C76-BCB2-A74227A28E3E}" dateTime="2025-11-24T14:41:05" maxSheetId="13" userName="Diego Santos de Abreu" r:id="rId392" minRId="9279" maxRId="9280">
    <sheetIdMap count="12">
      <sheetId val="12"/>
      <sheetId val="1"/>
      <sheetId val="2"/>
      <sheetId val="3"/>
      <sheetId val="4"/>
      <sheetId val="5"/>
      <sheetId val="6"/>
      <sheetId val="7"/>
      <sheetId val="8"/>
      <sheetId val="10"/>
      <sheetId val="9"/>
      <sheetId val="11"/>
    </sheetIdMap>
  </header>
  <header guid="{4C9265CC-1348-4FFE-AF80-A86E964946F1}" dateTime="2025-11-24T16:28:09" maxSheetId="13" userName="Aelton de Jesus Nunes" r:id="rId393" minRId="9291" maxRId="9300">
    <sheetIdMap count="12">
      <sheetId val="12"/>
      <sheetId val="1"/>
      <sheetId val="2"/>
      <sheetId val="3"/>
      <sheetId val="4"/>
      <sheetId val="5"/>
      <sheetId val="6"/>
      <sheetId val="7"/>
      <sheetId val="8"/>
      <sheetId val="10"/>
      <sheetId val="9"/>
      <sheetId val="11"/>
    </sheetIdMap>
  </header>
  <header guid="{066650F6-A8A9-46E8-8CC9-F61CBF858510}" dateTime="2025-11-25T12:07:58" maxSheetId="13" userName="Leonam Morrison Monteiro de Oliveira" r:id="rId394" minRId="9311" maxRId="9337">
    <sheetIdMap count="12">
      <sheetId val="12"/>
      <sheetId val="1"/>
      <sheetId val="2"/>
      <sheetId val="3"/>
      <sheetId val="4"/>
      <sheetId val="5"/>
      <sheetId val="6"/>
      <sheetId val="7"/>
      <sheetId val="8"/>
      <sheetId val="10"/>
      <sheetId val="9"/>
      <sheetId val="11"/>
    </sheetIdMap>
  </header>
  <header guid="{AC60F78E-7D45-4CB6-B2F4-79414F2088D2}" dateTime="2025-11-25T12:20:48" maxSheetId="13" userName="Alessandro Borges de Araújo" r:id="rId395" minRId="9348" maxRId="9389">
    <sheetIdMap count="12">
      <sheetId val="12"/>
      <sheetId val="1"/>
      <sheetId val="2"/>
      <sheetId val="3"/>
      <sheetId val="4"/>
      <sheetId val="5"/>
      <sheetId val="6"/>
      <sheetId val="7"/>
      <sheetId val="8"/>
      <sheetId val="10"/>
      <sheetId val="9"/>
      <sheetId val="11"/>
    </sheetIdMap>
  </header>
  <header guid="{AFA161B6-D253-422A-9B12-EE52D4C1BA51}" dateTime="2025-11-25T12:23:57" maxSheetId="13" userName="Alessandro Borges de Araújo" r:id="rId396" minRId="9400">
    <sheetIdMap count="12">
      <sheetId val="12"/>
      <sheetId val="1"/>
      <sheetId val="2"/>
      <sheetId val="3"/>
      <sheetId val="4"/>
      <sheetId val="5"/>
      <sheetId val="6"/>
      <sheetId val="7"/>
      <sheetId val="8"/>
      <sheetId val="10"/>
      <sheetId val="9"/>
      <sheetId val="11"/>
    </sheetIdMap>
  </header>
  <header guid="{3F7BC01E-AFEE-48FD-972E-01C79F44BE1B}" dateTime="2025-11-26T15:19:44" maxSheetId="13" userName="Alessandro Borges de Araújo" r:id="rId397" minRId="9411">
    <sheetIdMap count="12">
      <sheetId val="12"/>
      <sheetId val="1"/>
      <sheetId val="2"/>
      <sheetId val="3"/>
      <sheetId val="4"/>
      <sheetId val="5"/>
      <sheetId val="6"/>
      <sheetId val="7"/>
      <sheetId val="8"/>
      <sheetId val="10"/>
      <sheetId val="9"/>
      <sheetId val="11"/>
    </sheetIdMap>
  </header>
  <header guid="{9AC742AD-4B79-452C-99E1-5FF2CD4DF9C0}" dateTime="2025-11-27T13:58:31" maxSheetId="13" userName="Diego Santos de Abreu" r:id="rId398" minRId="9412" maxRId="9413">
    <sheetIdMap count="12">
      <sheetId val="12"/>
      <sheetId val="1"/>
      <sheetId val="2"/>
      <sheetId val="3"/>
      <sheetId val="4"/>
      <sheetId val="5"/>
      <sheetId val="6"/>
      <sheetId val="7"/>
      <sheetId val="8"/>
      <sheetId val="10"/>
      <sheetId val="9"/>
      <sheetId val="11"/>
    </sheetIdMap>
  </header>
  <header guid="{9CD39FF5-3933-4626-A005-1037C3A72220}" dateTime="2025-11-27T14:00:13" maxSheetId="13" userName="Diego Santos de Abreu" r:id="rId399" minRId="9424" maxRId="9427">
    <sheetIdMap count="12">
      <sheetId val="12"/>
      <sheetId val="1"/>
      <sheetId val="2"/>
      <sheetId val="3"/>
      <sheetId val="4"/>
      <sheetId val="5"/>
      <sheetId val="6"/>
      <sheetId val="7"/>
      <sheetId val="8"/>
      <sheetId val="10"/>
      <sheetId val="9"/>
      <sheetId val="11"/>
    </sheetIdMap>
  </header>
  <header guid="{29B6B748-0BF6-42DD-ABF5-5C39D607D83E}" dateTime="2025-11-27T15:04:22" maxSheetId="13" userName="Diego Santos de Abreu" r:id="rId400" minRId="9438" maxRId="9441">
    <sheetIdMap count="12">
      <sheetId val="12"/>
      <sheetId val="1"/>
      <sheetId val="2"/>
      <sheetId val="3"/>
      <sheetId val="4"/>
      <sheetId val="5"/>
      <sheetId val="6"/>
      <sheetId val="7"/>
      <sheetId val="8"/>
      <sheetId val="10"/>
      <sheetId val="9"/>
      <sheetId val="11"/>
    </sheetIdMap>
  </header>
  <header guid="{B852407C-6A02-4741-8F12-D3DBCC059750}" dateTime="2025-11-27T15:06:24" maxSheetId="13" userName="Diego Santos de Abreu" r:id="rId401" minRId="9452" maxRId="9457">
    <sheetIdMap count="12">
      <sheetId val="12"/>
      <sheetId val="1"/>
      <sheetId val="2"/>
      <sheetId val="3"/>
      <sheetId val="4"/>
      <sheetId val="5"/>
      <sheetId val="6"/>
      <sheetId val="7"/>
      <sheetId val="8"/>
      <sheetId val="10"/>
      <sheetId val="9"/>
      <sheetId val="11"/>
    </sheetIdMap>
  </header>
  <header guid="{335B9723-2571-45DE-A9DB-D942D5C8F57E}" dateTime="2025-11-27T15:06:38" maxSheetId="13" userName="Diego Santos de Abreu" r:id="rId402" minRId="9468">
    <sheetIdMap count="12">
      <sheetId val="12"/>
      <sheetId val="1"/>
      <sheetId val="2"/>
      <sheetId val="3"/>
      <sheetId val="4"/>
      <sheetId val="5"/>
      <sheetId val="6"/>
      <sheetId val="7"/>
      <sheetId val="8"/>
      <sheetId val="10"/>
      <sheetId val="9"/>
      <sheetId val="11"/>
    </sheetIdMap>
  </header>
  <header guid="{533756E4-A260-48B9-9AAC-E3AD8A13FD30}" dateTime="2025-11-27T16:49:51" maxSheetId="13" userName="Alessandro Borges de Araújo" r:id="rId403" minRId="9469" maxRId="9470">
    <sheetIdMap count="12">
      <sheetId val="12"/>
      <sheetId val="1"/>
      <sheetId val="2"/>
      <sheetId val="3"/>
      <sheetId val="4"/>
      <sheetId val="5"/>
      <sheetId val="6"/>
      <sheetId val="7"/>
      <sheetId val="8"/>
      <sheetId val="10"/>
      <sheetId val="9"/>
      <sheetId val="11"/>
    </sheetIdMap>
  </header>
  <header guid="{3F4A8C87-A9F9-4942-854B-8432D157EE74}" dateTime="2025-11-28T07:40:46" maxSheetId="13" userName="Marcos Neves de Almeida" r:id="rId404" minRId="9481" maxRId="9485">
    <sheetIdMap count="12">
      <sheetId val="12"/>
      <sheetId val="1"/>
      <sheetId val="2"/>
      <sheetId val="3"/>
      <sheetId val="4"/>
      <sheetId val="5"/>
      <sheetId val="6"/>
      <sheetId val="7"/>
      <sheetId val="8"/>
      <sheetId val="10"/>
      <sheetId val="9"/>
      <sheetId val="11"/>
    </sheetIdMap>
  </header>
  <header guid="{3293A265-6B92-4CA0-AA76-C0848CE32EB3}" dateTime="2025-11-28T07:41:05" maxSheetId="13" userName="Diego Santos de Abreu" r:id="rId405" minRId="9496" maxRId="9497">
    <sheetIdMap count="12">
      <sheetId val="12"/>
      <sheetId val="1"/>
      <sheetId val="2"/>
      <sheetId val="3"/>
      <sheetId val="4"/>
      <sheetId val="5"/>
      <sheetId val="6"/>
      <sheetId val="7"/>
      <sheetId val="8"/>
      <sheetId val="10"/>
      <sheetId val="9"/>
      <sheetId val="11"/>
    </sheetIdMap>
  </header>
  <header guid="{B694532F-851E-4A92-97F9-EBE5A361A9D3}" dateTime="2025-11-28T14:29:29" maxSheetId="13" userName="Aelton de Jesus Nunes" r:id="rId406" minRId="9508">
    <sheetIdMap count="12">
      <sheetId val="12"/>
      <sheetId val="1"/>
      <sheetId val="2"/>
      <sheetId val="3"/>
      <sheetId val="4"/>
      <sheetId val="5"/>
      <sheetId val="6"/>
      <sheetId val="7"/>
      <sheetId val="8"/>
      <sheetId val="10"/>
      <sheetId val="9"/>
      <sheetId val="11"/>
    </sheetIdMap>
  </header>
  <header guid="{31E0EB34-3577-430C-A792-D1115FC6D513}" dateTime="2025-11-28T14:29:59" maxSheetId="13" userName="Aelton de Jesus Nunes" r:id="rId407">
    <sheetIdMap count="12">
      <sheetId val="12"/>
      <sheetId val="1"/>
      <sheetId val="2"/>
      <sheetId val="3"/>
      <sheetId val="4"/>
      <sheetId val="5"/>
      <sheetId val="6"/>
      <sheetId val="7"/>
      <sheetId val="8"/>
      <sheetId val="10"/>
      <sheetId val="9"/>
      <sheetId val="11"/>
    </sheetIdMap>
  </header>
  <header guid="{521D5620-BCCB-44B2-8945-921E899507BA}" dateTime="2025-11-28T14:30:27" maxSheetId="13" userName="Aelton de Jesus Nunes" r:id="rId408" minRId="9529" maxRId="9530">
    <sheetIdMap count="12">
      <sheetId val="12"/>
      <sheetId val="1"/>
      <sheetId val="2"/>
      <sheetId val="3"/>
      <sheetId val="4"/>
      <sheetId val="5"/>
      <sheetId val="6"/>
      <sheetId val="7"/>
      <sheetId val="8"/>
      <sheetId val="10"/>
      <sheetId val="9"/>
      <sheetId val="11"/>
    </sheetIdMap>
  </header>
  <header guid="{E889C981-D949-4929-A335-632F9F23DC10}" dateTime="2025-11-28T14:31:16" maxSheetId="13" userName="Aelton de Jesus Nunes" r:id="rId409" minRId="9531" maxRId="9532">
    <sheetIdMap count="12">
      <sheetId val="12"/>
      <sheetId val="1"/>
      <sheetId val="2"/>
      <sheetId val="3"/>
      <sheetId val="4"/>
      <sheetId val="5"/>
      <sheetId val="6"/>
      <sheetId val="7"/>
      <sheetId val="8"/>
      <sheetId val="10"/>
      <sheetId val="9"/>
      <sheetId val="11"/>
    </sheetIdMap>
  </header>
  <header guid="{8D99E032-FAB9-4CE3-8F8B-367BD134F54A}" dateTime="2025-11-28T14:32:11" maxSheetId="13" userName="Aelton de Jesus Nunes" r:id="rId410" minRId="9533">
    <sheetIdMap count="12">
      <sheetId val="12"/>
      <sheetId val="1"/>
      <sheetId val="2"/>
      <sheetId val="3"/>
      <sheetId val="4"/>
      <sheetId val="5"/>
      <sheetId val="6"/>
      <sheetId val="7"/>
      <sheetId val="8"/>
      <sheetId val="10"/>
      <sheetId val="9"/>
      <sheetId val="11"/>
    </sheetIdMap>
  </header>
  <header guid="{7E0EBF14-25F1-43E1-AD47-6C7F30B65844}" dateTime="2025-11-28T14:33:41" maxSheetId="13" userName="Aelton de Jesus Nunes" r:id="rId411" minRId="9534">
    <sheetIdMap count="12">
      <sheetId val="12"/>
      <sheetId val="1"/>
      <sheetId val="2"/>
      <sheetId val="3"/>
      <sheetId val="4"/>
      <sheetId val="5"/>
      <sheetId val="6"/>
      <sheetId val="7"/>
      <sheetId val="8"/>
      <sheetId val="10"/>
      <sheetId val="9"/>
      <sheetId val="11"/>
    </sheetIdMap>
  </header>
  <header guid="{5486AB0F-357C-4E0F-9891-B1B779B23231}" dateTime="2025-11-28T14:34:40" maxSheetId="13" userName="Aelton de Jesus Nunes" r:id="rId412" minRId="9535">
    <sheetIdMap count="12">
      <sheetId val="12"/>
      <sheetId val="1"/>
      <sheetId val="2"/>
      <sheetId val="3"/>
      <sheetId val="4"/>
      <sheetId val="5"/>
      <sheetId val="6"/>
      <sheetId val="7"/>
      <sheetId val="8"/>
      <sheetId val="10"/>
      <sheetId val="9"/>
      <sheetId val="11"/>
    </sheetIdMap>
  </header>
  <header guid="{BDDAE14B-7481-4677-AEA4-EB811521F5E4}" dateTime="2025-11-28T14:34:50" maxSheetId="13" userName="Aelton de Jesus Nunes" r:id="rId413" minRId="9536">
    <sheetIdMap count="12">
      <sheetId val="12"/>
      <sheetId val="1"/>
      <sheetId val="2"/>
      <sheetId val="3"/>
      <sheetId val="4"/>
      <sheetId val="5"/>
      <sheetId val="6"/>
      <sheetId val="7"/>
      <sheetId val="8"/>
      <sheetId val="10"/>
      <sheetId val="9"/>
      <sheetId val="11"/>
    </sheetIdMap>
  </header>
  <header guid="{FBB9C36D-8997-4766-86F8-177D78094692}" dateTime="2025-11-28T14:34:55" maxSheetId="13" userName="Aelton de Jesus Nunes" r:id="rId414" minRId="9537">
    <sheetIdMap count="12">
      <sheetId val="12"/>
      <sheetId val="1"/>
      <sheetId val="2"/>
      <sheetId val="3"/>
      <sheetId val="4"/>
      <sheetId val="5"/>
      <sheetId val="6"/>
      <sheetId val="7"/>
      <sheetId val="8"/>
      <sheetId val="10"/>
      <sheetId val="9"/>
      <sheetId val="11"/>
    </sheetIdMap>
  </header>
  <header guid="{86FADCD8-B873-46D9-BC07-4F7310B3BD87}" dateTime="2025-11-28T14:35:38" maxSheetId="13" userName="Aelton de Jesus Nunes" r:id="rId415" minRId="9538">
    <sheetIdMap count="12">
      <sheetId val="12"/>
      <sheetId val="1"/>
      <sheetId val="2"/>
      <sheetId val="3"/>
      <sheetId val="4"/>
      <sheetId val="5"/>
      <sheetId val="6"/>
      <sheetId val="7"/>
      <sheetId val="8"/>
      <sheetId val="10"/>
      <sheetId val="9"/>
      <sheetId val="11"/>
    </sheetIdMap>
  </header>
  <header guid="{33F89BA6-1FA1-4E38-AA2C-0C71D2B71959}" dateTime="2025-11-28T15:56:57" maxSheetId="13" userName="Alessandro Borges de Araújo" r:id="rId416" minRId="9539">
    <sheetIdMap count="12">
      <sheetId val="12"/>
      <sheetId val="1"/>
      <sheetId val="2"/>
      <sheetId val="3"/>
      <sheetId val="4"/>
      <sheetId val="5"/>
      <sheetId val="6"/>
      <sheetId val="7"/>
      <sheetId val="8"/>
      <sheetId val="10"/>
      <sheetId val="9"/>
      <sheetId val="11"/>
    </sheetIdMap>
  </header>
  <header guid="{A54DEA55-F4CC-4503-B7C6-77791AA33D2B}" dateTime="2025-12-01T17:02:31" maxSheetId="13" userName="Alessandro Borges de Araújo" r:id="rId417" minRId="9540">
    <sheetIdMap count="12">
      <sheetId val="12"/>
      <sheetId val="1"/>
      <sheetId val="2"/>
      <sheetId val="3"/>
      <sheetId val="4"/>
      <sheetId val="5"/>
      <sheetId val="6"/>
      <sheetId val="7"/>
      <sheetId val="8"/>
      <sheetId val="10"/>
      <sheetId val="9"/>
      <sheetId val="11"/>
    </sheetIdMap>
  </header>
  <header guid="{074A4DA2-2D66-4F54-8FF5-59E5BF18956E}" dateTime="2025-12-02T07:38:05" maxSheetId="13" userName="Marcos Neves de Almeida" r:id="rId418" minRId="9541" maxRId="9542">
    <sheetIdMap count="12">
      <sheetId val="12"/>
      <sheetId val="1"/>
      <sheetId val="2"/>
      <sheetId val="3"/>
      <sheetId val="4"/>
      <sheetId val="5"/>
      <sheetId val="6"/>
      <sheetId val="7"/>
      <sheetId val="8"/>
      <sheetId val="10"/>
      <sheetId val="9"/>
      <sheetId val="11"/>
    </sheetIdMap>
  </header>
  <header guid="{FFDAD278-B0CB-4498-8B17-695FEBEC3539}" dateTime="2025-12-02T07:38:33" maxSheetId="13" userName="Marcos Neves de Almeida" r:id="rId419">
    <sheetIdMap count="12">
      <sheetId val="12"/>
      <sheetId val="1"/>
      <sheetId val="2"/>
      <sheetId val="3"/>
      <sheetId val="4"/>
      <sheetId val="5"/>
      <sheetId val="6"/>
      <sheetId val="7"/>
      <sheetId val="8"/>
      <sheetId val="10"/>
      <sheetId val="9"/>
      <sheetId val="11"/>
    </sheetIdMap>
  </header>
  <header guid="{BEBC3D94-C290-4827-AE9D-CEC8DF2FE10E}" dateTime="2025-12-03T08:59:51" maxSheetId="13" userName="Marcos Neves de Almeida" r:id="rId420" minRId="9553" maxRId="9557">
    <sheetIdMap count="12">
      <sheetId val="12"/>
      <sheetId val="1"/>
      <sheetId val="2"/>
      <sheetId val="3"/>
      <sheetId val="4"/>
      <sheetId val="5"/>
      <sheetId val="6"/>
      <sheetId val="7"/>
      <sheetId val="8"/>
      <sheetId val="10"/>
      <sheetId val="9"/>
      <sheetId val="11"/>
    </sheetIdMap>
  </header>
  <header guid="{B50AB37F-C89B-47FF-9DED-C9964747F61C}" dateTime="2025-12-03T09:42:26" maxSheetId="13" userName="Diego Santos de Abreu" r:id="rId421" minRId="9558" maxRId="9559">
    <sheetIdMap count="12">
      <sheetId val="12"/>
      <sheetId val="1"/>
      <sheetId val="2"/>
      <sheetId val="3"/>
      <sheetId val="4"/>
      <sheetId val="5"/>
      <sheetId val="6"/>
      <sheetId val="7"/>
      <sheetId val="8"/>
      <sheetId val="10"/>
      <sheetId val="9"/>
      <sheetId val="11"/>
    </sheetIdMap>
  </header>
  <header guid="{21EAA30E-01A9-4C75-9901-9F2C6714EED9}" dateTime="2025-12-03T09:43:04" maxSheetId="13" userName="Diego Santos de Abreu" r:id="rId422" minRId="9570" maxRId="9573">
    <sheetIdMap count="12">
      <sheetId val="12"/>
      <sheetId val="1"/>
      <sheetId val="2"/>
      <sheetId val="3"/>
      <sheetId val="4"/>
      <sheetId val="5"/>
      <sheetId val="6"/>
      <sheetId val="7"/>
      <sheetId val="8"/>
      <sheetId val="10"/>
      <sheetId val="9"/>
      <sheetId val="11"/>
    </sheetIdMap>
  </header>
  <header guid="{2166E2EC-B097-4214-A52D-F25D94E8E213}" dateTime="2025-12-04T12:18:01" maxSheetId="13" userName="Alessandro Borges de Araújo" r:id="rId423" minRId="9584" maxRId="9589">
    <sheetIdMap count="12">
      <sheetId val="12"/>
      <sheetId val="1"/>
      <sheetId val="2"/>
      <sheetId val="3"/>
      <sheetId val="4"/>
      <sheetId val="5"/>
      <sheetId val="6"/>
      <sheetId val="7"/>
      <sheetId val="8"/>
      <sheetId val="10"/>
      <sheetId val="9"/>
      <sheetId val="11"/>
    </sheetIdMap>
  </header>
  <header guid="{1A8BAA45-0733-4263-9726-0D178AEA59B8}" dateTime="2025-12-05T09:11:35" maxSheetId="13" userName="Marcos Neves de Almeida" r:id="rId424" minRId="9600" maxRId="9601">
    <sheetIdMap count="12">
      <sheetId val="12"/>
      <sheetId val="1"/>
      <sheetId val="2"/>
      <sheetId val="3"/>
      <sheetId val="4"/>
      <sheetId val="5"/>
      <sheetId val="6"/>
      <sheetId val="7"/>
      <sheetId val="8"/>
      <sheetId val="10"/>
      <sheetId val="9"/>
      <sheetId val="11"/>
    </sheetIdMap>
  </header>
  <header guid="{17193BEC-363E-472D-BDC2-6CF8449D58B8}" dateTime="2025-12-05T17:31:06" maxSheetId="13" userName="Alessandro Borges de Araújo" r:id="rId425" minRId="9612" maxRId="9613">
    <sheetIdMap count="12">
      <sheetId val="12"/>
      <sheetId val="1"/>
      <sheetId val="2"/>
      <sheetId val="3"/>
      <sheetId val="4"/>
      <sheetId val="5"/>
      <sheetId val="6"/>
      <sheetId val="7"/>
      <sheetId val="8"/>
      <sheetId val="10"/>
      <sheetId val="9"/>
      <sheetId val="11"/>
    </sheetIdMap>
  </header>
  <header guid="{64A8563F-6193-4920-A9A9-AEACD7FF5D8C}" dateTime="2025-12-08T15:58:21" maxSheetId="13" userName="Aelton de Jesus Nunes" r:id="rId426" minRId="9624" maxRId="9636">
    <sheetIdMap count="12">
      <sheetId val="12"/>
      <sheetId val="1"/>
      <sheetId val="2"/>
      <sheetId val="3"/>
      <sheetId val="4"/>
      <sheetId val="5"/>
      <sheetId val="6"/>
      <sheetId val="7"/>
      <sheetId val="8"/>
      <sheetId val="10"/>
      <sheetId val="9"/>
      <sheetId val="11"/>
    </sheetIdMap>
  </header>
  <header guid="{1743FD82-17D5-48D1-9AB0-5FC61AB8C8C8}" dateTime="2025-12-08T15:58:54" maxSheetId="13" userName="Aelton de Jesus Nunes" r:id="rId427" minRId="9647">
    <sheetIdMap count="12">
      <sheetId val="12"/>
      <sheetId val="1"/>
      <sheetId val="2"/>
      <sheetId val="3"/>
      <sheetId val="4"/>
      <sheetId val="5"/>
      <sheetId val="6"/>
      <sheetId val="7"/>
      <sheetId val="8"/>
      <sheetId val="10"/>
      <sheetId val="9"/>
      <sheetId val="11"/>
    </sheetIdMap>
  </header>
  <header guid="{5436066D-CC64-4854-B7C5-639B622C1D8A}" dateTime="2025-12-08T17:49:40" maxSheetId="13" userName="Alessandro Borges de Araújo" r:id="rId428" minRId="9648">
    <sheetIdMap count="12">
      <sheetId val="12"/>
      <sheetId val="1"/>
      <sheetId val="2"/>
      <sheetId val="3"/>
      <sheetId val="4"/>
      <sheetId val="5"/>
      <sheetId val="6"/>
      <sheetId val="7"/>
      <sheetId val="8"/>
      <sheetId val="10"/>
      <sheetId val="9"/>
      <sheetId val="11"/>
    </sheetIdMap>
  </header>
  <header guid="{1F0F70F0-3A57-4D3D-87EB-DAA62166FC35}" dateTime="2025-12-09T09:51:27" maxSheetId="13" userName="Danilo Rafael Basilio da Silva" r:id="rId429" minRId="9649" maxRId="9662">
    <sheetIdMap count="12">
      <sheetId val="12"/>
      <sheetId val="1"/>
      <sheetId val="2"/>
      <sheetId val="3"/>
      <sheetId val="4"/>
      <sheetId val="5"/>
      <sheetId val="6"/>
      <sheetId val="7"/>
      <sheetId val="8"/>
      <sheetId val="10"/>
      <sheetId val="9"/>
      <sheetId val="11"/>
    </sheetIdMap>
  </header>
  <header guid="{AC35BC1B-0372-4B44-B283-3FCF158EE24C}" dateTime="2025-12-09T14:11:51" maxSheetId="13" userName="Leonam Morrison Monteiro de Oliveira" r:id="rId430" minRId="9673" maxRId="9686">
    <sheetIdMap count="12">
      <sheetId val="12"/>
      <sheetId val="1"/>
      <sheetId val="2"/>
      <sheetId val="3"/>
      <sheetId val="4"/>
      <sheetId val="5"/>
      <sheetId val="6"/>
      <sheetId val="7"/>
      <sheetId val="8"/>
      <sheetId val="10"/>
      <sheetId val="9"/>
      <sheetId val="11"/>
    </sheetIdMap>
  </header>
  <header guid="{86910DC8-6E66-42C4-BBF3-BBBA7A3D5B4B}" dateTime="2025-12-11T09:16:29" maxSheetId="13" userName="Marcos Neves de Almeida" r:id="rId431" minRId="9697" maxRId="9700">
    <sheetIdMap count="12">
      <sheetId val="12"/>
      <sheetId val="1"/>
      <sheetId val="2"/>
      <sheetId val="3"/>
      <sheetId val="4"/>
      <sheetId val="5"/>
      <sheetId val="6"/>
      <sheetId val="7"/>
      <sheetId val="8"/>
      <sheetId val="10"/>
      <sheetId val="9"/>
      <sheetId val="11"/>
    </sheetIdMap>
  </header>
  <header guid="{09077DE7-78C1-4845-8F35-F316F7173D6B}" dateTime="2025-12-11T17:28:11" maxSheetId="13" userName="Alessandro Borges de Araújo" r:id="rId432" minRId="9711" maxRId="9712">
    <sheetIdMap count="12">
      <sheetId val="12"/>
      <sheetId val="1"/>
      <sheetId val="2"/>
      <sheetId val="3"/>
      <sheetId val="4"/>
      <sheetId val="5"/>
      <sheetId val="6"/>
      <sheetId val="7"/>
      <sheetId val="8"/>
      <sheetId val="10"/>
      <sheetId val="9"/>
      <sheetId val="11"/>
    </sheetIdMap>
  </header>
  <header guid="{6D90C228-6811-4939-B922-9EAEBB13B130}" dateTime="2025-12-11T17:29:03" maxSheetId="13" userName="Alessandro Borges de Araújo" r:id="rId433">
    <sheetIdMap count="12">
      <sheetId val="12"/>
      <sheetId val="1"/>
      <sheetId val="2"/>
      <sheetId val="3"/>
      <sheetId val="4"/>
      <sheetId val="5"/>
      <sheetId val="6"/>
      <sheetId val="7"/>
      <sheetId val="8"/>
      <sheetId val="10"/>
      <sheetId val="9"/>
      <sheetId val="11"/>
    </sheetIdMap>
  </header>
  <header guid="{A10910D9-3828-45F7-A005-F057C11AC6CA}" dateTime="2025-12-12T08:11:22" maxSheetId="13" userName="Diego Santos de Abreu" r:id="rId434" minRId="9723" maxRId="9734">
    <sheetIdMap count="12">
      <sheetId val="12"/>
      <sheetId val="1"/>
      <sheetId val="2"/>
      <sheetId val="3"/>
      <sheetId val="4"/>
      <sheetId val="5"/>
      <sheetId val="6"/>
      <sheetId val="7"/>
      <sheetId val="8"/>
      <sheetId val="10"/>
      <sheetId val="9"/>
      <sheetId val="11"/>
    </sheetIdMap>
  </header>
  <header guid="{2B40D34B-5D83-453F-8A88-07637D38E492}" dateTime="2025-12-12T08:12:38" maxSheetId="13" userName="Diego Santos de Abreu" r:id="rId435" minRId="9745" maxRId="9749">
    <sheetIdMap count="12">
      <sheetId val="12"/>
      <sheetId val="1"/>
      <sheetId val="2"/>
      <sheetId val="3"/>
      <sheetId val="4"/>
      <sheetId val="5"/>
      <sheetId val="6"/>
      <sheetId val="7"/>
      <sheetId val="8"/>
      <sheetId val="10"/>
      <sheetId val="9"/>
      <sheetId val="11"/>
    </sheetIdMap>
  </header>
  <header guid="{460477F2-2AC1-46DE-BA08-6F764239649A}" dateTime="2025-12-12T08:13:10" maxSheetId="13" userName="Diego Santos de Abreu" r:id="rId436">
    <sheetIdMap count="12">
      <sheetId val="12"/>
      <sheetId val="1"/>
      <sheetId val="2"/>
      <sheetId val="3"/>
      <sheetId val="4"/>
      <sheetId val="5"/>
      <sheetId val="6"/>
      <sheetId val="7"/>
      <sheetId val="8"/>
      <sheetId val="10"/>
      <sheetId val="9"/>
      <sheetId val="11"/>
    </sheetIdMap>
  </header>
  <header guid="{073CBB86-F3FE-45DB-801D-4FE5E7CCCC4A}" dateTime="2025-12-12T10:47:14" maxSheetId="13" userName="Alessandro Borges de Araújo" r:id="rId437" minRId="9760" maxRId="9761">
    <sheetIdMap count="12">
      <sheetId val="12"/>
      <sheetId val="1"/>
      <sheetId val="2"/>
      <sheetId val="3"/>
      <sheetId val="4"/>
      <sheetId val="5"/>
      <sheetId val="6"/>
      <sheetId val="7"/>
      <sheetId val="8"/>
      <sheetId val="10"/>
      <sheetId val="9"/>
      <sheetId val="11"/>
    </sheetIdMap>
  </header>
  <header guid="{036CAE83-FB15-4C99-90FD-F8751DDCCE37}" dateTime="2025-12-12T11:06:22" maxSheetId="13" userName="Alessandro Borges de Araújo" r:id="rId438" minRId="9772">
    <sheetIdMap count="12">
      <sheetId val="12"/>
      <sheetId val="1"/>
      <sheetId val="2"/>
      <sheetId val="3"/>
      <sheetId val="4"/>
      <sheetId val="5"/>
      <sheetId val="6"/>
      <sheetId val="7"/>
      <sheetId val="8"/>
      <sheetId val="10"/>
      <sheetId val="9"/>
      <sheetId val="11"/>
    </sheetIdMap>
  </header>
  <header guid="{46744A0A-720B-424E-99EF-87454AFFF257}" dateTime="2025-12-15T09:32:31" maxSheetId="13" userName="Alessandro Borges de Araújo" r:id="rId439" minRId="9773">
    <sheetIdMap count="12">
      <sheetId val="12"/>
      <sheetId val="1"/>
      <sheetId val="2"/>
      <sheetId val="3"/>
      <sheetId val="4"/>
      <sheetId val="5"/>
      <sheetId val="6"/>
      <sheetId val="7"/>
      <sheetId val="8"/>
      <sheetId val="10"/>
      <sheetId val="9"/>
      <sheetId val="11"/>
    </sheetIdMap>
  </header>
  <header guid="{D67D22B7-CC5D-4B88-8DE5-CC77FE15F4BF}" dateTime="2025-12-15T09:39:38" maxSheetId="13" userName="Leonam Morrison Monteiro de Oliveira" r:id="rId440" minRId="9774" maxRId="9775">
    <sheetIdMap count="12">
      <sheetId val="12"/>
      <sheetId val="1"/>
      <sheetId val="2"/>
      <sheetId val="3"/>
      <sheetId val="4"/>
      <sheetId val="5"/>
      <sheetId val="6"/>
      <sheetId val="7"/>
      <sheetId val="8"/>
      <sheetId val="10"/>
      <sheetId val="9"/>
      <sheetId val="11"/>
    </sheetIdMap>
  </header>
  <header guid="{915D9204-46DD-4C6E-BAA3-86874F7B35CB}" dateTime="2025-12-15T09:40:15" maxSheetId="13" userName="Diego Santos de Abreu" r:id="rId441" minRId="9786" maxRId="9789">
    <sheetIdMap count="12">
      <sheetId val="12"/>
      <sheetId val="1"/>
      <sheetId val="2"/>
      <sheetId val="3"/>
      <sheetId val="4"/>
      <sheetId val="5"/>
      <sheetId val="6"/>
      <sheetId val="7"/>
      <sheetId val="8"/>
      <sheetId val="10"/>
      <sheetId val="9"/>
      <sheetId val="11"/>
    </sheetIdMap>
  </header>
  <header guid="{C3E13C0C-2642-4638-8D2C-0AEA9E0A4DEE}" dateTime="2025-12-15T09:55:50" maxSheetId="13" userName="Marcos Neves de Almeida" r:id="rId442" minRId="9800" maxRId="9806">
    <sheetIdMap count="12">
      <sheetId val="12"/>
      <sheetId val="1"/>
      <sheetId val="2"/>
      <sheetId val="3"/>
      <sheetId val="4"/>
      <sheetId val="5"/>
      <sheetId val="6"/>
      <sheetId val="7"/>
      <sheetId val="8"/>
      <sheetId val="10"/>
      <sheetId val="9"/>
      <sheetId val="11"/>
    </sheetIdMap>
  </header>
  <header guid="{1D123983-FCEB-40A0-BA37-D8E569E9EBEF}" dateTime="2025-12-15T10:30:59" maxSheetId="13" userName="Aelton de Jesus Nunes" r:id="rId443" minRId="9817" maxRId="9827">
    <sheetIdMap count="12">
      <sheetId val="12"/>
      <sheetId val="1"/>
      <sheetId val="2"/>
      <sheetId val="3"/>
      <sheetId val="4"/>
      <sheetId val="5"/>
      <sheetId val="6"/>
      <sheetId val="7"/>
      <sheetId val="8"/>
      <sheetId val="10"/>
      <sheetId val="9"/>
      <sheetId val="11"/>
    </sheetIdMap>
  </header>
  <header guid="{16770A22-17B3-4E7C-8E22-E46E99755A76}" dateTime="2025-12-15T10:31:21" maxSheetId="13" userName="Aelton de Jesus Nunes" r:id="rId444">
    <sheetIdMap count="12">
      <sheetId val="12"/>
      <sheetId val="1"/>
      <sheetId val="2"/>
      <sheetId val="3"/>
      <sheetId val="4"/>
      <sheetId val="5"/>
      <sheetId val="6"/>
      <sheetId val="7"/>
      <sheetId val="8"/>
      <sheetId val="10"/>
      <sheetId val="9"/>
      <sheetId val="11"/>
    </sheetIdMap>
  </header>
  <header guid="{F4CD9265-7DE0-49B1-9F2B-EC8CC76EAB90}" dateTime="2025-12-15T10:31:32" maxSheetId="13" userName="Aelton de Jesus Nunes" r:id="rId445" minRId="9838">
    <sheetIdMap count="12">
      <sheetId val="12"/>
      <sheetId val="1"/>
      <sheetId val="2"/>
      <sheetId val="3"/>
      <sheetId val="4"/>
      <sheetId val="5"/>
      <sheetId val="6"/>
      <sheetId val="7"/>
      <sheetId val="8"/>
      <sheetId val="10"/>
      <sheetId val="9"/>
      <sheetId val="11"/>
    </sheetIdMap>
  </header>
  <header guid="{DC84F945-D21D-4A4C-8913-E37E8E06FAA0}" dateTime="2025-12-15T10:31:49" maxSheetId="13" userName="Aelton de Jesus Nunes" r:id="rId446" minRId="9839">
    <sheetIdMap count="12">
      <sheetId val="12"/>
      <sheetId val="1"/>
      <sheetId val="2"/>
      <sheetId val="3"/>
      <sheetId val="4"/>
      <sheetId val="5"/>
      <sheetId val="6"/>
      <sheetId val="7"/>
      <sheetId val="8"/>
      <sheetId val="10"/>
      <sheetId val="9"/>
      <sheetId val="11"/>
    </sheetIdMap>
  </header>
  <header guid="{924BE825-E421-41F8-AF8D-FEE853610149}" dateTime="2025-12-15T11:26:31" maxSheetId="13" userName="Alessandro Borges de Araújo" r:id="rId447" minRId="9840" maxRId="9846">
    <sheetIdMap count="12">
      <sheetId val="12"/>
      <sheetId val="1"/>
      <sheetId val="2"/>
      <sheetId val="3"/>
      <sheetId val="4"/>
      <sheetId val="5"/>
      <sheetId val="6"/>
      <sheetId val="7"/>
      <sheetId val="8"/>
      <sheetId val="10"/>
      <sheetId val="9"/>
      <sheetId val="11"/>
    </sheetIdMap>
  </header>
  <header guid="{C2F4A0FD-3327-4149-9783-73A9955F4B6B}" dateTime="2025-12-15T11:43:34" maxSheetId="13" userName="Alessandro Borges de Araújo" r:id="rId448">
    <sheetIdMap count="12">
      <sheetId val="12"/>
      <sheetId val="1"/>
      <sheetId val="2"/>
      <sheetId val="3"/>
      <sheetId val="4"/>
      <sheetId val="5"/>
      <sheetId val="6"/>
      <sheetId val="7"/>
      <sheetId val="8"/>
      <sheetId val="10"/>
      <sheetId val="9"/>
      <sheetId val="11"/>
    </sheetIdMap>
  </header>
  <header guid="{A70936FD-142B-4D29-9C7B-1B57DCF1AC81}" dateTime="2025-12-17T07:48:32" maxSheetId="13" userName="Marcos Neves de Almeida" r:id="rId449">
    <sheetIdMap count="12">
      <sheetId val="12"/>
      <sheetId val="1"/>
      <sheetId val="2"/>
      <sheetId val="3"/>
      <sheetId val="4"/>
      <sheetId val="5"/>
      <sheetId val="6"/>
      <sheetId val="7"/>
      <sheetId val="8"/>
      <sheetId val="10"/>
      <sheetId val="9"/>
      <sheetId val="11"/>
    </sheetIdMap>
  </header>
  <header guid="{50A20F82-AD38-45D0-9215-F88FD431626D}" dateTime="2025-12-19T09:58:40" maxSheetId="13" userName="Diego Santos de Abreu" r:id="rId450" minRId="9867" maxRId="9875">
    <sheetIdMap count="12">
      <sheetId val="12"/>
      <sheetId val="1"/>
      <sheetId val="2"/>
      <sheetId val="3"/>
      <sheetId val="4"/>
      <sheetId val="5"/>
      <sheetId val="6"/>
      <sheetId val="7"/>
      <sheetId val="8"/>
      <sheetId val="10"/>
      <sheetId val="9"/>
      <sheetId val="11"/>
    </sheetIdMap>
  </header>
  <header guid="{38D54FEA-377A-4302-886E-579F17B7439D}" dateTime="2025-12-19T16:57:15" maxSheetId="13" userName="Aelton de Jesus Nunes" r:id="rId451" minRId="9886" maxRId="9896">
    <sheetIdMap count="12">
      <sheetId val="12"/>
      <sheetId val="1"/>
      <sheetId val="2"/>
      <sheetId val="3"/>
      <sheetId val="4"/>
      <sheetId val="5"/>
      <sheetId val="6"/>
      <sheetId val="7"/>
      <sheetId val="8"/>
      <sheetId val="10"/>
      <sheetId val="9"/>
      <sheetId val="11"/>
    </sheetIdMap>
  </header>
  <header guid="{7262AD77-462A-495E-9E85-72AB9F928D4D}" dateTime="2025-12-29T08:10:40" maxSheetId="13" userName="Marcos Neves de Almeida" r:id="rId452" minRId="9907" maxRId="9921">
    <sheetIdMap count="12">
      <sheetId val="12"/>
      <sheetId val="1"/>
      <sheetId val="2"/>
      <sheetId val="3"/>
      <sheetId val="4"/>
      <sheetId val="5"/>
      <sheetId val="6"/>
      <sheetId val="7"/>
      <sheetId val="8"/>
      <sheetId val="10"/>
      <sheetId val="9"/>
      <sheetId val="11"/>
    </sheetIdMap>
  </header>
  <header guid="{D47DD799-0771-401E-9D08-9FF8ED5A6D41}" dateTime="2025-12-31T09:03:24" maxSheetId="13" userName="Marcos Neves de Almeida" r:id="rId453" minRId="9932" maxRId="9937">
    <sheetIdMap count="12">
      <sheetId val="12"/>
      <sheetId val="1"/>
      <sheetId val="2"/>
      <sheetId val="3"/>
      <sheetId val="4"/>
      <sheetId val="5"/>
      <sheetId val="6"/>
      <sheetId val="7"/>
      <sheetId val="8"/>
      <sheetId val="10"/>
      <sheetId val="9"/>
      <sheetId val="11"/>
    </sheetIdMap>
  </header>
  <header guid="{1DD2C54E-73AC-49CB-9044-E09FAAE7914B}" dateTime="2025-12-31T09:40:36" maxSheetId="13" userName="Alessandro Borges de Araújo" r:id="rId454" minRId="9938" maxRId="10496">
    <sheetIdMap count="12">
      <sheetId val="12"/>
      <sheetId val="1"/>
      <sheetId val="2"/>
      <sheetId val="3"/>
      <sheetId val="4"/>
      <sheetId val="5"/>
      <sheetId val="6"/>
      <sheetId val="7"/>
      <sheetId val="8"/>
      <sheetId val="10"/>
      <sheetId val="9"/>
      <sheetId val="11"/>
    </sheetIdMap>
  </header>
  <header guid="{BE0A6C4D-12A4-4A98-9432-43834C2B288D}" dateTime="2025-12-31T09:44:13" maxSheetId="13" userName="Alessandro Borges de Araújo" r:id="rId455" minRId="10507" maxRId="10524">
    <sheetIdMap count="12">
      <sheetId val="12"/>
      <sheetId val="1"/>
      <sheetId val="2"/>
      <sheetId val="3"/>
      <sheetId val="4"/>
      <sheetId val="5"/>
      <sheetId val="6"/>
      <sheetId val="7"/>
      <sheetId val="8"/>
      <sheetId val="10"/>
      <sheetId val="9"/>
      <sheetId val="11"/>
    </sheetIdMap>
  </header>
  <header guid="{8A066975-19F7-4E6C-8C76-440462A14175}" dateTime="2025-12-31T09:58:56" maxSheetId="13" userName="Alessandro Borges de Araújo" r:id="rId456" minRId="10525" maxRId="10662">
    <sheetIdMap count="12">
      <sheetId val="12"/>
      <sheetId val="1"/>
      <sheetId val="2"/>
      <sheetId val="3"/>
      <sheetId val="4"/>
      <sheetId val="5"/>
      <sheetId val="6"/>
      <sheetId val="7"/>
      <sheetId val="8"/>
      <sheetId val="10"/>
      <sheetId val="9"/>
      <sheetId val="11"/>
    </sheetIdMap>
  </header>
  <header guid="{A4D791CC-1593-4EF0-9D58-9485D25FAC9F}" dateTime="2025-12-31T10:30:50" maxSheetId="13" userName="Alessandro Borges de Araújo" r:id="rId457" minRId="10663" maxRId="10670">
    <sheetIdMap count="12">
      <sheetId val="12"/>
      <sheetId val="1"/>
      <sheetId val="2"/>
      <sheetId val="3"/>
      <sheetId val="4"/>
      <sheetId val="5"/>
      <sheetId val="6"/>
      <sheetId val="7"/>
      <sheetId val="8"/>
      <sheetId val="10"/>
      <sheetId val="9"/>
      <sheetId val="11"/>
    </sheetIdMap>
  </header>
  <header guid="{9285E6FA-5BE0-436C-99C1-FBFA29C59F80}" dateTime="2026-01-02T14:23:33" maxSheetId="13" userName="Aelton de Jesus Nunes" r:id="rId458" minRId="10671" maxRId="10678">
    <sheetIdMap count="12">
      <sheetId val="12"/>
      <sheetId val="1"/>
      <sheetId val="2"/>
      <sheetId val="3"/>
      <sheetId val="4"/>
      <sheetId val="5"/>
      <sheetId val="6"/>
      <sheetId val="7"/>
      <sheetId val="8"/>
      <sheetId val="10"/>
      <sheetId val="9"/>
      <sheetId val="11"/>
    </sheetIdMap>
  </header>
  <header guid="{D5C8E90F-BEA5-493B-A61E-7A5A98DAF1B5}" dateTime="2026-01-02T14:25:03" maxSheetId="13" userName="Aelton de Jesus Nunes" r:id="rId459" minRId="10689">
    <sheetIdMap count="12">
      <sheetId val="12"/>
      <sheetId val="1"/>
      <sheetId val="2"/>
      <sheetId val="3"/>
      <sheetId val="4"/>
      <sheetId val="5"/>
      <sheetId val="6"/>
      <sheetId val="7"/>
      <sheetId val="8"/>
      <sheetId val="10"/>
      <sheetId val="9"/>
      <sheetId val="11"/>
    </sheetIdMap>
  </header>
  <header guid="{B8A278E5-133D-40E5-B3A5-C9B9BB18A114}" dateTime="2026-01-02T15:29:01" maxSheetId="13" userName="Alessandro Borges de Araújo" r:id="rId460">
    <sheetIdMap count="12">
      <sheetId val="12"/>
      <sheetId val="1"/>
      <sheetId val="2"/>
      <sheetId val="3"/>
      <sheetId val="4"/>
      <sheetId val="5"/>
      <sheetId val="6"/>
      <sheetId val="7"/>
      <sheetId val="8"/>
      <sheetId val="10"/>
      <sheetId val="9"/>
      <sheetId val="11"/>
    </sheetIdMap>
  </header>
  <header guid="{EC4B8383-3A1F-4CAC-8E66-E82ABB0D2B78}" dateTime="2026-01-05T10:47:33" maxSheetId="13" userName="Alessandro Borges de Araújo" r:id="rId461" minRId="10700" maxRId="10703">
    <sheetIdMap count="12">
      <sheetId val="12"/>
      <sheetId val="1"/>
      <sheetId val="2"/>
      <sheetId val="3"/>
      <sheetId val="4"/>
      <sheetId val="5"/>
      <sheetId val="6"/>
      <sheetId val="7"/>
      <sheetId val="8"/>
      <sheetId val="10"/>
      <sheetId val="9"/>
      <sheetId val="11"/>
    </sheetIdMap>
  </header>
  <header guid="{07FC02BB-9DA1-41BE-B296-D89F376B93F8}" dateTime="2026-01-16T10:12:56" maxSheetId="13" userName="Danilo Rafael Basilio da Silva" r:id="rId462" minRId="10714" maxRId="10726">
    <sheetIdMap count="12">
      <sheetId val="12"/>
      <sheetId val="1"/>
      <sheetId val="2"/>
      <sheetId val="3"/>
      <sheetId val="4"/>
      <sheetId val="5"/>
      <sheetId val="6"/>
      <sheetId val="7"/>
      <sheetId val="8"/>
      <sheetId val="10"/>
      <sheetId val="9"/>
      <sheetId val="11"/>
    </sheetIdMap>
  </header>
  <header guid="{876B52C6-2E3D-489D-A5DC-D081C3CDDB2F}" dateTime="2026-01-16T10:13:01" maxSheetId="13" userName="Leonam Morrison Monteiro de Oliveira" r:id="rId463" minRId="10737" maxRId="10745">
    <sheetIdMap count="12">
      <sheetId val="12"/>
      <sheetId val="1"/>
      <sheetId val="2"/>
      <sheetId val="3"/>
      <sheetId val="4"/>
      <sheetId val="5"/>
      <sheetId val="6"/>
      <sheetId val="7"/>
      <sheetId val="8"/>
      <sheetId val="10"/>
      <sheetId val="9"/>
      <sheetId val="11"/>
    </sheetIdMap>
  </header>
  <header guid="{591F5862-E29F-4817-A855-CD2E9DC32DDF}" dateTime="2026-01-16T10:41:35" maxSheetId="13" userName="Diego Santos de Abreu" r:id="rId464" minRId="10756" maxRId="10759">
    <sheetIdMap count="12">
      <sheetId val="12"/>
      <sheetId val="1"/>
      <sheetId val="2"/>
      <sheetId val="3"/>
      <sheetId val="4"/>
      <sheetId val="5"/>
      <sheetId val="6"/>
      <sheetId val="7"/>
      <sheetId val="8"/>
      <sheetId val="10"/>
      <sheetId val="9"/>
      <sheetId val="11"/>
    </sheetIdMap>
  </header>
  <header guid="{97D46001-6A51-42A2-8821-1047C09C14C5}" dateTime="2026-01-19T15:10:11" maxSheetId="13" userName="Diego Santos de Abreu" r:id="rId465" minRId="10770" maxRId="10782">
    <sheetIdMap count="12">
      <sheetId val="12"/>
      <sheetId val="1"/>
      <sheetId val="2"/>
      <sheetId val="3"/>
      <sheetId val="4"/>
      <sheetId val="5"/>
      <sheetId val="6"/>
      <sheetId val="7"/>
      <sheetId val="8"/>
      <sheetId val="10"/>
      <sheetId val="9"/>
      <sheetId val="11"/>
    </sheetIdMap>
  </header>
  <header guid="{33675A5E-60A1-4B37-B7E5-B3F18657C1AD}" dateTime="2026-01-19T15:10:43" maxSheetId="13" userName="Leonam Morrison Monteiro de Oliveira" r:id="rId466" minRId="10793" maxRId="10807">
    <sheetIdMap count="12">
      <sheetId val="12"/>
      <sheetId val="1"/>
      <sheetId val="2"/>
      <sheetId val="3"/>
      <sheetId val="4"/>
      <sheetId val="5"/>
      <sheetId val="6"/>
      <sheetId val="7"/>
      <sheetId val="8"/>
      <sheetId val="10"/>
      <sheetId val="9"/>
      <sheetId val="11"/>
    </sheetIdMap>
  </header>
</headers>
</file>

<file path=xl/revisions/revisionLog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9261" sId="7">
    <nc r="AN14">
      <v>1</v>
    </nc>
  </rcc>
  <rcc rId="9262" sId="7">
    <nc r="AO4">
      <v>1</v>
    </nc>
  </rcc>
  <rcc rId="9263" sId="7">
    <nc r="AO18" t="inlineStr">
      <is>
        <t>ACOMPANHAMENTO DA LIMPEZA REALIZADA NA AS G15 BLOCO A</t>
      </is>
    </nc>
  </rcc>
  <rfmt sheetId="7" sqref="AO18">
    <dxf>
      <alignment wrapText="1"/>
    </dxf>
  </rfmt>
  <rcc rId="9264" sId="7">
    <nc r="AN4">
      <v>10</v>
    </nc>
  </rcc>
  <rcc rId="9265" sId="7">
    <nc r="AQ13">
      <v>1</v>
    </nc>
  </rcc>
  <rcv guid="{B3CDE377-BA5D-4E06-91D9-3A48E1959BA5}" action="delete"/>
  <rdn rId="0" localSheetId="1" customView="1" name="Z_B3CDE377_BA5D_4E06_91D9_3A48E1959BA5_.wvu.FilterData" hidden="1" oldHidden="1">
    <formula>Patrícia!$A$1:$A$18</formula>
    <oldFormula>Patrícia!$A$1:$A$18</oldFormula>
  </rdn>
  <rdn rId="0" localSheetId="2" customView="1" name="Z_B3CDE377_BA5D_4E06_91D9_3A48E1959BA5_.wvu.FilterData" hidden="1" oldHidden="1">
    <formula>Marcelo!$A$1:$A$18</formula>
    <oldFormula>Marcelo!$A$1:$A$18</oldFormula>
  </rdn>
  <rdn rId="0" localSheetId="3" customView="1" name="Z_B3CDE377_BA5D_4E06_91D9_3A48E1959BA5_.wvu.FilterData" hidden="1" oldHidden="1">
    <formula>TOTAL!$A$1:$A$19</formula>
    <oldFormula>TOTAL!$A$1:$A$19</oldFormula>
  </rdn>
  <rdn rId="0" localSheetId="4" customView="1" name="Z_B3CDE377_BA5D_4E06_91D9_3A48E1959BA5_.wvu.FilterData" hidden="1" oldHidden="1">
    <formula>Diego!$A$1:$A$20</formula>
    <oldFormula>Diego!$A$1:$A$20</oldFormula>
  </rdn>
  <rdn rId="0" localSheetId="5" customView="1" name="Z_B3CDE377_BA5D_4E06_91D9_3A48E1959BA5_.wvu.FilterData" hidden="1" oldHidden="1">
    <formula>Aelton!$A$1:$A$19</formula>
    <oldFormula>Aelton!$A$1:$A$19</oldFormula>
  </rdn>
  <rdn rId="0" localSheetId="6" customView="1" name="Z_B3CDE377_BA5D_4E06_91D9_3A48E1959BA5_.wvu.FilterData" hidden="1" oldHidden="1">
    <formula>Leonam!$A$1:$BD$19</formula>
    <oldFormula>Leonam!$A$1:$BD$19</oldFormula>
  </rdn>
  <rdn rId="0" localSheetId="7" customView="1" name="Z_B3CDE377_BA5D_4E06_91D9_3A48E1959BA5_.wvu.FilterData" hidden="1" oldHidden="1">
    <formula>Danilo!$A$1:$A$19</formula>
    <oldFormula>Danilo!$A$1:$A$19</oldFormula>
  </rdn>
  <rdn rId="0" localSheetId="8" customView="1" name="Z_B3CDE377_BA5D_4E06_91D9_3A48E1959BA5_.wvu.FilterData" hidden="1" oldHidden="1">
    <formula>Marcos!$A$1:$A$19</formula>
    <oldFormula>Marcos!$A$1:$A$19</oldFormula>
  </rdn>
  <rdn rId="0" localSheetId="10" customView="1" name="Z_B3CDE377_BA5D_4E06_91D9_3A48E1959BA5_.wvu.FilterData" hidden="1" oldHidden="1">
    <formula>Alessandro!$A$1:$A$19</formula>
    <oldFormula>Alessandro!$A$1:$A$19</oldFormula>
  </rdn>
  <rdn rId="0" localSheetId="9" customView="1" name="Z_B3CDE377_BA5D_4E06_91D9_3A48E1959BA5_.wvu.FilterData" hidden="1" oldHidden="1">
    <formula>Carlos!$A$1:$A$19</formula>
    <oldFormula>Carlos!$A$1:$A$19</oldFormula>
  </rdn>
  <rcv guid="{B3CDE377-BA5D-4E06-91D9-3A48E1959BA5}" action="add"/>
</revisions>
</file>

<file path=xl/revisions/revisionLog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9276" sId="7">
    <nc r="AQ15">
      <v>4</v>
    </nc>
  </rcc>
  <rcc rId="9277" sId="7">
    <nc r="AS18" t="inlineStr">
      <is>
        <t>PARTE DA MANHÃ,  REVISTA REALIZADA NAS INSTALAÇÕES DO ARQUIVO BLOCO A</t>
      </is>
    </nc>
  </rcc>
</revisions>
</file>

<file path=xl/revisions/revisionLog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9278" sId="7">
    <oc r="AS18" t="inlineStr">
      <is>
        <t>PARTE DA MANHÃ,  REVISTA REALIZADA NAS INSTALAÇÕES DO ARQUIVO BLOCO A</t>
      </is>
    </oc>
    <nc r="AS18" t="inlineStr">
      <is>
        <t>PARTE DA MANHÃ,  REVISTA REALIZADA NAS INSTALAÇÕES DO ARQUIVO BLOCO A.</t>
      </is>
    </nc>
  </rcc>
</revisions>
</file>

<file path=xl/revisions/revisionLog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9279" sId="4">
    <nc r="AS16">
      <v>20</v>
    </nc>
  </rcc>
  <rcc rId="9280" sId="4">
    <nc r="AS3">
      <v>1</v>
    </nc>
  </rcc>
  <rcv guid="{20CB6D8F-C24D-4D4B-A424-AF380F620455}" action="delete"/>
  <rdn rId="0" localSheetId="1" customView="1" name="Z_20CB6D8F_C24D_4D4B_A424_AF380F620455_.wvu.FilterData" hidden="1" oldHidden="1">
    <formula>Patrícia!$A$1:$A$18</formula>
    <oldFormula>Patrícia!$A$1:$A$18</oldFormula>
  </rdn>
  <rdn rId="0" localSheetId="2" customView="1" name="Z_20CB6D8F_C24D_4D4B_A424_AF380F620455_.wvu.FilterData" hidden="1" oldHidden="1">
    <formula>Marcelo!$A$1:$A$18</formula>
    <oldFormula>Marcelo!$A$1:$A$18</oldFormula>
  </rdn>
  <rdn rId="0" localSheetId="3" customView="1" name="Z_20CB6D8F_C24D_4D4B_A424_AF380F620455_.wvu.FilterData" hidden="1" oldHidden="1">
    <formula>TOTAL!$A$1:$A$19</formula>
    <oldFormula>TOTAL!$A$1:$A$19</oldFormula>
  </rdn>
  <rdn rId="0" localSheetId="4" customView="1" name="Z_20CB6D8F_C24D_4D4B_A424_AF380F620455_.wvu.FilterData" hidden="1" oldHidden="1">
    <formula>Diego!$A$1:$A$20</formula>
    <oldFormula>Diego!$A$1:$A$20</oldFormula>
  </rdn>
  <rdn rId="0" localSheetId="5" customView="1" name="Z_20CB6D8F_C24D_4D4B_A424_AF380F620455_.wvu.FilterData" hidden="1" oldHidden="1">
    <formula>Aelton!$A$1:$A$19</formula>
    <oldFormula>Aelton!$A$1:$A$19</oldFormula>
  </rdn>
  <rdn rId="0" localSheetId="6" customView="1" name="Z_20CB6D8F_C24D_4D4B_A424_AF380F620455_.wvu.FilterData" hidden="1" oldHidden="1">
    <formula>Leonam!$A$1:$BD$19</formula>
    <oldFormula>Leonam!$A$1:$BD$19</oldFormula>
  </rdn>
  <rdn rId="0" localSheetId="7" customView="1" name="Z_20CB6D8F_C24D_4D4B_A424_AF380F620455_.wvu.FilterData" hidden="1" oldHidden="1">
    <formula>Danilo!$A$1:$A$19</formula>
    <oldFormula>Danilo!$A$1:$A$19</oldFormula>
  </rdn>
  <rdn rId="0" localSheetId="8" customView="1" name="Z_20CB6D8F_C24D_4D4B_A424_AF380F620455_.wvu.FilterData" hidden="1" oldHidden="1">
    <formula>Marcos!$A$1:$A$19</formula>
    <oldFormula>Marcos!$A$1:$A$19</oldFormula>
  </rdn>
  <rdn rId="0" localSheetId="10" customView="1" name="Z_20CB6D8F_C24D_4D4B_A424_AF380F620455_.wvu.FilterData" hidden="1" oldHidden="1">
    <formula>Alessandro!$A$1:$A$19</formula>
    <oldFormula>Alessandro!$A$1:$A$19</oldFormula>
  </rdn>
  <rdn rId="0" localSheetId="9" customView="1" name="Z_20CB6D8F_C24D_4D4B_A424_AF380F620455_.wvu.FilterData" hidden="1" oldHidden="1">
    <formula>Carlos!$A$1:$A$19</formula>
    <oldFormula>Carlos!$A$1:$A$19</oldFormula>
  </rdn>
  <rcv guid="{20CB6D8F-C24D-4D4B-A424-AF380F620455}" action="add"/>
</revisions>
</file>

<file path=xl/revisions/revisionLog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9291" sId="5">
    <nc r="AM2">
      <v>1</v>
    </nc>
  </rcc>
  <rcc rId="9292" sId="5">
    <nc r="AN2">
      <v>1</v>
    </nc>
  </rcc>
  <rfmt sheetId="5" sqref="AP2" start="0" length="0">
    <dxf>
      <fill>
        <patternFill patternType="solid">
          <bgColor theme="9" tint="0.79998168889431442"/>
        </patternFill>
      </fill>
    </dxf>
  </rfmt>
  <rfmt sheetId="5" sqref="AP3" start="0" length="0">
    <dxf>
      <fill>
        <patternFill patternType="solid">
          <bgColor theme="9" tint="0.79998168889431442"/>
        </patternFill>
      </fill>
    </dxf>
  </rfmt>
  <rcc rId="9293" sId="5">
    <nc r="AO4">
      <v>2</v>
    </nc>
  </rcc>
  <rfmt sheetId="5" sqref="AP4" start="0" length="0">
    <dxf>
      <fill>
        <patternFill patternType="solid">
          <bgColor theme="9" tint="0.79998168889431442"/>
        </patternFill>
      </fill>
    </dxf>
  </rfmt>
  <rfmt sheetId="5" sqref="AP5" start="0" length="0">
    <dxf>
      <fill>
        <patternFill patternType="solid">
          <bgColor theme="9" tint="0.79998168889431442"/>
        </patternFill>
      </fill>
    </dxf>
  </rfmt>
  <rfmt sheetId="5" sqref="AP6" start="0" length="0">
    <dxf>
      <fill>
        <patternFill patternType="solid">
          <bgColor theme="9" tint="0.79998168889431442"/>
        </patternFill>
      </fill>
    </dxf>
  </rfmt>
  <rfmt sheetId="5" sqref="AP7" start="0" length="0">
    <dxf>
      <fill>
        <patternFill patternType="solid">
          <bgColor theme="9" tint="0.79998168889431442"/>
        </patternFill>
      </fill>
    </dxf>
  </rfmt>
  <rfmt sheetId="5" sqref="AP8" start="0" length="0">
    <dxf>
      <fill>
        <patternFill patternType="solid">
          <bgColor theme="9" tint="0.79998168889431442"/>
        </patternFill>
      </fill>
    </dxf>
  </rfmt>
  <rfmt sheetId="5" sqref="AP9" start="0" length="0">
    <dxf>
      <fill>
        <patternFill patternType="solid">
          <bgColor theme="9" tint="0.79998168889431442"/>
        </patternFill>
      </fill>
    </dxf>
  </rfmt>
  <rfmt sheetId="5" sqref="AP10" start="0" length="0">
    <dxf>
      <fill>
        <patternFill patternType="solid">
          <bgColor theme="9" tint="0.79998168889431442"/>
        </patternFill>
      </fill>
    </dxf>
  </rfmt>
  <rfmt sheetId="5" sqref="AP11" start="0" length="0">
    <dxf>
      <fill>
        <patternFill patternType="solid">
          <bgColor theme="9" tint="0.79998168889431442"/>
        </patternFill>
      </fill>
    </dxf>
  </rfmt>
  <rfmt sheetId="5" sqref="AP12" start="0" length="0">
    <dxf>
      <fill>
        <patternFill patternType="solid">
          <bgColor theme="9" tint="0.79998168889431442"/>
        </patternFill>
      </fill>
    </dxf>
  </rfmt>
  <rcc rId="9294" sId="5">
    <nc r="AO13">
      <v>1</v>
    </nc>
  </rcc>
  <rfmt sheetId="5" sqref="AP13" start="0" length="0">
    <dxf>
      <fill>
        <patternFill patternType="solid">
          <bgColor theme="9" tint="0.79998168889431442"/>
        </patternFill>
      </fill>
    </dxf>
  </rfmt>
  <rcc rId="9295" sId="5">
    <nc r="AQ13">
      <v>1</v>
    </nc>
  </rcc>
  <rfmt sheetId="5" sqref="AP14" start="0" length="0">
    <dxf>
      <fill>
        <patternFill patternType="solid">
          <bgColor theme="9" tint="0.79998168889431442"/>
        </patternFill>
      </fill>
    </dxf>
  </rfmt>
  <rfmt sheetId="5" sqref="AP15" start="0" length="0">
    <dxf>
      <fill>
        <patternFill patternType="solid">
          <bgColor theme="9" tint="0.79998168889431442"/>
        </patternFill>
      </fill>
    </dxf>
  </rfmt>
  <rfmt sheetId="5" sqref="AP16" start="0" length="0">
    <dxf>
      <fill>
        <patternFill patternType="solid">
          <bgColor theme="9" tint="0.79998168889431442"/>
        </patternFill>
      </fill>
    </dxf>
  </rfmt>
  <rcc rId="9296" sId="5" odxf="1" dxf="1">
    <nc r="AM17" t="inlineStr">
      <is>
        <t xml:space="preserve"> 1. Pesquisa e busca por 
pasta funcional.
2. Desarquivamento pasta funcional MESP.</t>
      </is>
    </nc>
    <odxf>
      <alignment wrapText="0"/>
      <border outline="0">
        <bottom style="thin">
          <color indexed="64"/>
        </bottom>
      </border>
    </odxf>
    <ndxf>
      <alignment wrapText="1"/>
      <border outline="0">
        <bottom/>
      </border>
    </ndxf>
  </rcc>
  <rcc rId="9297" sId="5" odxf="1" dxf="1">
    <nc r="AN17" t="inlineStr">
      <is>
        <t xml:space="preserve"> 1. Pesquisa e busca por 
pasta funcional.
2. Desarquivamento pasta funcional MESP.</t>
      </is>
    </nc>
    <odxf>
      <alignment wrapText="0"/>
      <border outline="0">
        <bottom style="thin">
          <color indexed="64"/>
        </bottom>
      </border>
    </odxf>
    <ndxf>
      <alignment wrapText="1"/>
      <border outline="0">
        <bottom/>
      </border>
    </ndxf>
  </rcc>
  <rcc rId="9298" sId="5" odxf="1" dxf="1">
    <nc r="AO17" t="inlineStr">
      <is>
        <t>1. Arquivamento 2 pastas funcional MESP.
2. Solictação de limpeza da sala G-15 (Bloco A) e acompanhamento.
Sala foi limpa no mesmo dia.</t>
      </is>
    </nc>
    <odxf>
      <alignment wrapText="0"/>
      <border outline="0">
        <bottom style="thin">
          <color indexed="64"/>
        </bottom>
      </border>
    </odxf>
    <ndxf>
      <alignment wrapText="1"/>
      <border outline="0">
        <bottom/>
      </border>
    </ndxf>
  </rcc>
  <rcc rId="9299" sId="5" odxf="1" dxf="1">
    <nc r="AP17" t="inlineStr">
      <is>
        <t>Feriado
Consciência Negra</t>
      </is>
    </nc>
    <odxf>
      <fill>
        <patternFill patternType="none">
          <bgColor indexed="65"/>
        </patternFill>
      </fill>
      <alignment wrapText="0"/>
      <border outline="0">
        <bottom style="thin">
          <color indexed="64"/>
        </bottom>
      </border>
    </odxf>
    <ndxf>
      <fill>
        <patternFill patternType="solid">
          <bgColor theme="9" tint="0.79998168889431442"/>
        </patternFill>
      </fill>
      <alignment wrapText="1"/>
      <border outline="0">
        <bottom/>
      </border>
    </ndxf>
  </rcc>
  <rcc rId="9300" sId="5" odxf="1" dxf="1">
    <nc r="AQ17" t="inlineStr">
      <is>
        <t>1. Documento produzido:
Despacho 276.
2. Atualização planilha - 
Transferência Pasta Funcionais para o MGI.</t>
      </is>
    </nc>
    <odxf>
      <alignment wrapText="0"/>
      <border outline="0">
        <bottom style="thin">
          <color indexed="64"/>
        </bottom>
      </border>
    </odxf>
    <ndxf>
      <alignment wrapText="1"/>
      <border outline="0">
        <bottom/>
      </border>
    </ndxf>
  </rcc>
  <rcv guid="{86039CF8-B158-4D70-9A6F-A10C29CBD68A}" action="delete"/>
  <rdn rId="0" localSheetId="1" customView="1" name="Z_86039CF8_B158_4D70_9A6F_A10C29CBD68A_.wvu.FilterData" hidden="1" oldHidden="1">
    <formula>Patrícia!$A$1:$A$18</formula>
    <oldFormula>Patrícia!$A$1:$A$18</oldFormula>
  </rdn>
  <rdn rId="0" localSheetId="2" customView="1" name="Z_86039CF8_B158_4D70_9A6F_A10C29CBD68A_.wvu.FilterData" hidden="1" oldHidden="1">
    <formula>Marcelo!$A$1:$A$18</formula>
    <oldFormula>Marcelo!$A$1:$A$18</oldFormula>
  </rdn>
  <rdn rId="0" localSheetId="3" customView="1" name="Z_86039CF8_B158_4D70_9A6F_A10C29CBD68A_.wvu.FilterData" hidden="1" oldHidden="1">
    <formula>TOTAL!$A$1:$A$19</formula>
    <oldFormula>TOTAL!$A$1:$A$19</oldFormula>
  </rdn>
  <rdn rId="0" localSheetId="4" customView="1" name="Z_86039CF8_B158_4D70_9A6F_A10C29CBD68A_.wvu.FilterData" hidden="1" oldHidden="1">
    <formula>Diego!$A$1:$A$20</formula>
    <oldFormula>Diego!$A$1:$A$20</oldFormula>
  </rdn>
  <rdn rId="0" localSheetId="5" customView="1" name="Z_86039CF8_B158_4D70_9A6F_A10C29CBD68A_.wvu.FilterData" hidden="1" oldHidden="1">
    <formula>Aelton!$A$1:$A$19</formula>
    <oldFormula>Aelton!$A$1:$A$19</oldFormula>
  </rdn>
  <rdn rId="0" localSheetId="6" customView="1" name="Z_86039CF8_B158_4D70_9A6F_A10C29CBD68A_.wvu.FilterData" hidden="1" oldHidden="1">
    <formula>Leonam!$A$1:$BD$19</formula>
    <oldFormula>Leonam!$A$1:$BD$19</oldFormula>
  </rdn>
  <rdn rId="0" localSheetId="7" customView="1" name="Z_86039CF8_B158_4D70_9A6F_A10C29CBD68A_.wvu.FilterData" hidden="1" oldHidden="1">
    <formula>Danilo!$A$1:$A$19</formula>
    <oldFormula>Danilo!$A$1:$A$19</oldFormula>
  </rdn>
  <rdn rId="0" localSheetId="8" customView="1" name="Z_86039CF8_B158_4D70_9A6F_A10C29CBD68A_.wvu.FilterData" hidden="1" oldHidden="1">
    <formula>Marcos!$A$1:$A$19</formula>
    <oldFormula>Marcos!$A$1:$A$19</oldFormula>
  </rdn>
  <rdn rId="0" localSheetId="10" customView="1" name="Z_86039CF8_B158_4D70_9A6F_A10C29CBD68A_.wvu.FilterData" hidden="1" oldHidden="1">
    <formula>Alessandro!$A$1:$A$19</formula>
    <oldFormula>Alessandro!$A$1:$A$19</oldFormula>
  </rdn>
  <rdn rId="0" localSheetId="9" customView="1" name="Z_86039CF8_B158_4D70_9A6F_A10C29CBD68A_.wvu.FilterData" hidden="1" oldHidden="1">
    <formula>Carlos!$A$1:$A$19</formula>
    <oldFormula>Carlos!$A$1:$A$19</oldFormula>
  </rdn>
  <rcv guid="{86039CF8-B158-4D70-9A6F-A10C29CBD68A}" action="add"/>
</revisions>
</file>

<file path=xl/revisions/revisionLog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9311" sId="6">
    <nc r="AM4">
      <v>13</v>
    </nc>
  </rcc>
  <rcc rId="9312" sId="6">
    <nc r="AN4">
      <v>10</v>
    </nc>
  </rcc>
  <rcc rId="9313" sId="6">
    <nc r="AO4">
      <v>1</v>
    </nc>
  </rcc>
  <rcc rId="9314" sId="6">
    <nc r="AM5">
      <v>13</v>
    </nc>
  </rcc>
  <rcc rId="9315" sId="6">
    <nc r="AM13">
      <v>1</v>
    </nc>
  </rcc>
  <rcc rId="9316" sId="6">
    <nc r="AQ13">
      <v>1</v>
    </nc>
  </rcc>
  <rcc rId="9317" sId="6">
    <nc r="AN14">
      <v>1</v>
    </nc>
  </rcc>
  <rcc rId="9318" sId="6">
    <nc r="AQ15">
      <v>4</v>
    </nc>
  </rcc>
  <rfmt sheetId="6" sqref="AM18" start="0" length="0">
    <dxf>
      <alignment wrapText="1"/>
    </dxf>
  </rfmt>
  <rcc rId="9319" sId="6" odxf="1" dxf="1">
    <nc r="AO18" t="inlineStr">
      <is>
        <t>ACOMPANHAMENTO DA LIMPEZA REALIZADA NA AS G15 BLOCO A</t>
      </is>
    </nc>
    <odxf>
      <alignment wrapText="0"/>
    </odxf>
    <ndxf>
      <alignment wrapText="1"/>
    </ndxf>
  </rcc>
  <rcc rId="9320" sId="6">
    <nc r="AP2" t="inlineStr">
      <is>
        <t>FERIADO</t>
      </is>
    </nc>
  </rcc>
  <rcc rId="9321" sId="6">
    <nc r="AP3" t="inlineStr">
      <is>
        <t>FERIADO</t>
      </is>
    </nc>
  </rcc>
  <rcc rId="9322" sId="6">
    <nc r="AP4" t="inlineStr">
      <is>
        <t>FERIADO</t>
      </is>
    </nc>
  </rcc>
  <rcc rId="9323" sId="6">
    <nc r="AP5" t="inlineStr">
      <is>
        <t>FERIADO</t>
      </is>
    </nc>
  </rcc>
  <rcc rId="9324" sId="6">
    <nc r="AP6" t="inlineStr">
      <is>
        <t>FERIADO</t>
      </is>
    </nc>
  </rcc>
  <rcc rId="9325" sId="6">
    <nc r="AP7" t="inlineStr">
      <is>
        <t>FERIADO</t>
      </is>
    </nc>
  </rcc>
  <rcc rId="9326" sId="6">
    <nc r="AP8" t="inlineStr">
      <is>
        <t>FERIADO</t>
      </is>
    </nc>
  </rcc>
  <rcc rId="9327" sId="6">
    <nc r="AP9" t="inlineStr">
      <is>
        <t>FERIADO</t>
      </is>
    </nc>
  </rcc>
  <rcc rId="9328" sId="6">
    <nc r="AP10" t="inlineStr">
      <is>
        <t>FERIADO</t>
      </is>
    </nc>
  </rcc>
  <rcc rId="9329" sId="6">
    <nc r="AP11" t="inlineStr">
      <is>
        <t>FERIADO</t>
      </is>
    </nc>
  </rcc>
  <rcc rId="9330" sId="6">
    <nc r="AP12" t="inlineStr">
      <is>
        <t>FERIADO</t>
      </is>
    </nc>
  </rcc>
  <rcc rId="9331" sId="6">
    <nc r="AP13" t="inlineStr">
      <is>
        <t>FERIADO</t>
      </is>
    </nc>
  </rcc>
  <rcc rId="9332" sId="6">
    <nc r="AP14" t="inlineStr">
      <is>
        <t>FERIADO</t>
      </is>
    </nc>
  </rcc>
  <rcc rId="9333" sId="6">
    <nc r="AP15" t="inlineStr">
      <is>
        <t>FERIADO</t>
      </is>
    </nc>
  </rcc>
  <rcc rId="9334" sId="6">
    <nc r="AP16" t="inlineStr">
      <is>
        <t>FERIADO</t>
      </is>
    </nc>
  </rcc>
  <rcc rId="9335" sId="6" odxf="1" dxf="1">
    <nc r="AP17" t="inlineStr">
      <is>
        <t>FERIADO</t>
      </is>
    </nc>
    <ndxf>
      <border outline="0">
        <bottom/>
      </border>
    </ndxf>
  </rcc>
  <rcc rId="9336" sId="6">
    <nc r="AP18" t="inlineStr">
      <is>
        <t>FERIADO</t>
      </is>
    </nc>
  </rcc>
  <rcc rId="9337" sId="6">
    <nc r="AS18" t="inlineStr">
      <is>
        <t xml:space="preserve">RECEBIMENTO E CONFERENCIA DO PROCESSO DE 105 VOLUMES </t>
      </is>
    </nc>
  </rcc>
  <rcv guid="{9B623083-AA7B-440B-95EA-C33E1AB3D963}" action="delete"/>
  <rdn rId="0" localSheetId="1" customView="1" name="Z_9B623083_AA7B_440B_95EA_C33E1AB3D963_.wvu.FilterData" hidden="1" oldHidden="1">
    <formula>Patrícia!$A$1:$A$18</formula>
    <oldFormula>Patrícia!$A$1:$A$18</oldFormula>
  </rdn>
  <rdn rId="0" localSheetId="2" customView="1" name="Z_9B623083_AA7B_440B_95EA_C33E1AB3D963_.wvu.FilterData" hidden="1" oldHidden="1">
    <formula>Marcelo!$A$1:$A$18</formula>
    <oldFormula>Marcelo!$A$1:$A$18</oldFormula>
  </rdn>
  <rdn rId="0" localSheetId="3" customView="1" name="Z_9B623083_AA7B_440B_95EA_C33E1AB3D963_.wvu.FilterData" hidden="1" oldHidden="1">
    <formula>TOTAL!$A$1:$A$19</formula>
    <oldFormula>TOTAL!$A$1:$A$19</oldFormula>
  </rdn>
  <rdn rId="0" localSheetId="4" customView="1" name="Z_9B623083_AA7B_440B_95EA_C33E1AB3D963_.wvu.FilterData" hidden="1" oldHidden="1">
    <formula>Diego!$A$1:$A$20</formula>
    <oldFormula>Diego!$A$1:$A$20</oldFormula>
  </rdn>
  <rdn rId="0" localSheetId="5" customView="1" name="Z_9B623083_AA7B_440B_95EA_C33E1AB3D963_.wvu.FilterData" hidden="1" oldHidden="1">
    <formula>Aelton!$A$1:$A$19</formula>
    <oldFormula>Aelton!$A$1:$A$19</oldFormula>
  </rdn>
  <rdn rId="0" localSheetId="6" customView="1" name="Z_9B623083_AA7B_440B_95EA_C33E1AB3D963_.wvu.FilterData" hidden="1" oldHidden="1">
    <formula>Leonam!$A$1:$BD$19</formula>
    <oldFormula>Leonam!$A$1:$BD$19</oldFormula>
  </rdn>
  <rdn rId="0" localSheetId="7" customView="1" name="Z_9B623083_AA7B_440B_95EA_C33E1AB3D963_.wvu.FilterData" hidden="1" oldHidden="1">
    <formula>Danilo!$A$1:$A$19</formula>
    <oldFormula>Danilo!$A$1:$A$19</oldFormula>
  </rdn>
  <rdn rId="0" localSheetId="8" customView="1" name="Z_9B623083_AA7B_440B_95EA_C33E1AB3D963_.wvu.FilterData" hidden="1" oldHidden="1">
    <formula>Marcos!$A$1:$A$19</formula>
    <oldFormula>Marcos!$A$1:$A$19</oldFormula>
  </rdn>
  <rdn rId="0" localSheetId="10" customView="1" name="Z_9B623083_AA7B_440B_95EA_C33E1AB3D963_.wvu.FilterData" hidden="1" oldHidden="1">
    <formula>Alessandro!$A$1:$A$19</formula>
    <oldFormula>Alessandro!$A$1:$A$19</oldFormula>
  </rdn>
  <rdn rId="0" localSheetId="9" customView="1" name="Z_9B623083_AA7B_440B_95EA_C33E1AB3D963_.wvu.FilterData" hidden="1" oldHidden="1">
    <formula>Carlos!$A$1:$A$19</formula>
    <oldFormula>Carlos!$A$1:$A$19</oldFormula>
  </rdn>
  <rcv guid="{9B623083-AA7B-440B-95EA-C33E1AB3D963}" action="add"/>
</revisions>
</file>

<file path=xl/revisions/revisionLog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m rId="9348" sheetId="5" source="AM17:AO17" destination="AM18:AO18" sourceSheetId="5">
    <rfmt sheetId="5" sqref="AM18" start="0" length="0">
      <dxf>
        <alignment horizontal="center" vertical="center" wrapText="1"/>
      </dxf>
    </rfmt>
    <rfmt sheetId="5" sqref="AN18" start="0" length="0">
      <dxf>
        <alignment horizontal="center" vertical="center"/>
      </dxf>
    </rfmt>
    <rfmt sheetId="5" sqref="AO18" start="0" length="0">
      <dxf>
        <alignment horizontal="center" vertical="center"/>
      </dxf>
    </rfmt>
  </rm>
  <rm rId="9349" sheetId="5" source="AQ17" destination="AQ18" sourceSheetId="5">
    <rfmt sheetId="5" sqref="AQ18" start="0" length="0">
      <dxf>
        <alignment horizontal="center" vertical="center"/>
      </dxf>
    </rfmt>
  </rm>
  <rfmt sheetId="5" sqref="AM17:AQ17" start="0" length="0">
    <dxf>
      <border>
        <bottom style="thin">
          <color indexed="64"/>
        </bottom>
      </border>
    </dxf>
  </rfmt>
  <rcc rId="9350" sId="7">
    <nc r="AP2" t="inlineStr">
      <is>
        <t>FERIADO</t>
      </is>
    </nc>
  </rcc>
  <rcc rId="9351" sId="7">
    <nc r="AP3" t="inlineStr">
      <is>
        <t>FERIADO</t>
      </is>
    </nc>
  </rcc>
  <rcc rId="9352" sId="7">
    <nc r="AP4" t="inlineStr">
      <is>
        <t>FERIADO</t>
      </is>
    </nc>
  </rcc>
  <rcc rId="9353" sId="7">
    <nc r="AP5" t="inlineStr">
      <is>
        <t>FERIADO</t>
      </is>
    </nc>
  </rcc>
  <rcc rId="9354" sId="7">
    <nc r="AP6" t="inlineStr">
      <is>
        <t>FERIADO</t>
      </is>
    </nc>
  </rcc>
  <rcc rId="9355" sId="7">
    <nc r="AP7" t="inlineStr">
      <is>
        <t>FERIADO</t>
      </is>
    </nc>
  </rcc>
  <rcc rId="9356" sId="7">
    <nc r="AP8" t="inlineStr">
      <is>
        <t>FERIADO</t>
      </is>
    </nc>
  </rcc>
  <rcc rId="9357" sId="7">
    <nc r="AP9" t="inlineStr">
      <is>
        <t>FERIADO</t>
      </is>
    </nc>
  </rcc>
  <rcc rId="9358" sId="7">
    <nc r="AP10" t="inlineStr">
      <is>
        <t>FERIADO</t>
      </is>
    </nc>
  </rcc>
  <rcc rId="9359" sId="7">
    <nc r="AP11" t="inlineStr">
      <is>
        <t>FERIADO</t>
      </is>
    </nc>
  </rcc>
  <rcc rId="9360" sId="7">
    <nc r="AP12" t="inlineStr">
      <is>
        <t>FERIADO</t>
      </is>
    </nc>
  </rcc>
  <rcc rId="9361" sId="7">
    <nc r="AP13" t="inlineStr">
      <is>
        <t>FERIADO</t>
      </is>
    </nc>
  </rcc>
  <rcc rId="9362" sId="7">
    <nc r="AP14" t="inlineStr">
      <is>
        <t>FERIADO</t>
      </is>
    </nc>
  </rcc>
  <rcc rId="9363" sId="7">
    <nc r="AP15" t="inlineStr">
      <is>
        <t>FERIADO</t>
      </is>
    </nc>
  </rcc>
  <rcc rId="9364" sId="7">
    <nc r="AP16" t="inlineStr">
      <is>
        <t>FERIADO</t>
      </is>
    </nc>
  </rcc>
  <rcc rId="9365" sId="7" odxf="1" dxf="1">
    <nc r="AP17" t="inlineStr">
      <is>
        <t>FERIADO</t>
      </is>
    </nc>
    <odxf>
      <border outline="0">
        <bottom style="thin">
          <color indexed="64"/>
        </bottom>
      </border>
    </odxf>
    <ndxf>
      <border outline="0">
        <bottom/>
      </border>
    </ndxf>
  </rcc>
  <rfmt sheetId="7" sqref="AP17" start="0" length="0">
    <dxf>
      <border>
        <left/>
        <right/>
        <top/>
        <bottom style="thin">
          <color indexed="64"/>
        </bottom>
      </border>
    </dxf>
  </rfmt>
  <rcc rId="9366" sId="6">
    <oc r="AL2">
      <f>SUM(AG2:AK2)</f>
    </oc>
    <nc r="AL2">
      <f>SUM(AG2:AK2)</f>
    </nc>
  </rcc>
  <rcc rId="9367" sId="10">
    <nc r="AK2">
      <v>37</v>
    </nc>
  </rcc>
  <rcc rId="9368" sId="10">
    <nc r="AO2">
      <v>12</v>
    </nc>
  </rcc>
  <rcc rId="9369" sId="10">
    <nc r="AS13">
      <v>1</v>
    </nc>
  </rcc>
  <rcc rId="9370" sId="10" odxf="1" dxf="1">
    <nc r="AO18" t="inlineStr">
      <is>
        <t>Desarquivamento de diversas pastas funcionais / confecção de guia fora</t>
      </is>
    </nc>
    <odxf>
      <alignment wrapText="0"/>
    </odxf>
    <ndxf>
      <alignment wrapText="1"/>
    </ndxf>
  </rcc>
  <rcc rId="9371" sId="10" odxf="1" dxf="1">
    <nc r="AN18" t="inlineStr">
      <is>
        <r>
          <t xml:space="preserve">Otimizando/corrigindo a planilha do Inventário do </t>
        </r>
        <r>
          <rPr>
            <b/>
            <sz val="11"/>
            <color theme="1"/>
            <rFont val="Aptos Narrow"/>
            <family val="2"/>
          </rPr>
          <t>ARCEN</t>
        </r>
        <r>
          <rPr>
            <sz val="11"/>
            <color theme="1"/>
            <rFont val="Aptos Narrow"/>
            <family val="2"/>
          </rPr>
          <t xml:space="preserve">
(</t>
        </r>
        <r>
          <rPr>
            <b/>
            <sz val="11"/>
            <color theme="1"/>
            <rFont val="Aptos Narrow"/>
            <family val="2"/>
          </rPr>
          <t>Continuação</t>
        </r>
        <r>
          <rPr>
            <sz val="11"/>
            <color theme="1"/>
            <rFont val="Aptos Narrow"/>
            <family val="2"/>
          </rPr>
          <t>)</t>
        </r>
      </is>
    </nc>
    <odxf>
      <alignment wrapText="0"/>
    </odxf>
    <ndxf>
      <alignment wrapText="1"/>
    </ndxf>
  </rcc>
  <rcc rId="9372" sId="10" odxf="1" dxf="1">
    <nc r="AQ18" t="inlineStr">
      <is>
        <r>
          <t xml:space="preserve">Otimizando/corrigindo a planilha do Inventário do </t>
        </r>
        <r>
          <rPr>
            <b/>
            <sz val="11"/>
            <color theme="1"/>
            <rFont val="Aptos Narrow"/>
            <family val="2"/>
          </rPr>
          <t>ARCEN</t>
        </r>
        <r>
          <rPr>
            <sz val="11"/>
            <color theme="1"/>
            <rFont val="Aptos Narrow"/>
            <family val="2"/>
          </rPr>
          <t xml:space="preserve">
(</t>
        </r>
        <r>
          <rPr>
            <b/>
            <sz val="11"/>
            <color theme="1"/>
            <rFont val="Aptos Narrow"/>
            <family val="2"/>
          </rPr>
          <t>Continuação</t>
        </r>
        <r>
          <rPr>
            <sz val="11"/>
            <color theme="1"/>
            <rFont val="Aptos Narrow"/>
            <family val="2"/>
          </rPr>
          <t>)</t>
        </r>
      </is>
    </nc>
    <odxf>
      <alignment wrapText="0"/>
    </odxf>
    <ndxf>
      <alignment wrapText="1"/>
    </ndxf>
  </rcc>
  <rcc rId="9373" sId="10">
    <nc r="AP2" t="inlineStr">
      <is>
        <t>FERIADO</t>
      </is>
    </nc>
  </rcc>
  <rcc rId="9374" sId="10">
    <nc r="AP3" t="inlineStr">
      <is>
        <t>FERIADO</t>
      </is>
    </nc>
  </rcc>
  <rcc rId="9375" sId="10">
    <nc r="AP4" t="inlineStr">
      <is>
        <t>FERIADO</t>
      </is>
    </nc>
  </rcc>
  <rcc rId="9376" sId="10">
    <nc r="AP5" t="inlineStr">
      <is>
        <t>FERIADO</t>
      </is>
    </nc>
  </rcc>
  <rcc rId="9377" sId="10">
    <nc r="AP6" t="inlineStr">
      <is>
        <t>FERIADO</t>
      </is>
    </nc>
  </rcc>
  <rcc rId="9378" sId="10">
    <nc r="AP7" t="inlineStr">
      <is>
        <t>FERIADO</t>
      </is>
    </nc>
  </rcc>
  <rcc rId="9379" sId="10">
    <nc r="AP8" t="inlineStr">
      <is>
        <t>FERIADO</t>
      </is>
    </nc>
  </rcc>
  <rcc rId="9380" sId="10">
    <nc r="AP9" t="inlineStr">
      <is>
        <t>FERIADO</t>
      </is>
    </nc>
  </rcc>
  <rcc rId="9381" sId="10">
    <nc r="AP10" t="inlineStr">
      <is>
        <t>FERIADO</t>
      </is>
    </nc>
  </rcc>
  <rcc rId="9382" sId="10">
    <nc r="AP11" t="inlineStr">
      <is>
        <t>FERIADO</t>
      </is>
    </nc>
  </rcc>
  <rcc rId="9383" sId="10">
    <nc r="AP12" t="inlineStr">
      <is>
        <t>FERIADO</t>
      </is>
    </nc>
  </rcc>
  <rcc rId="9384" sId="10">
    <nc r="AP13" t="inlineStr">
      <is>
        <t>FERIADO</t>
      </is>
    </nc>
  </rcc>
  <rcc rId="9385" sId="10">
    <nc r="AP14" t="inlineStr">
      <is>
        <t>FERIADO</t>
      </is>
    </nc>
  </rcc>
  <rcc rId="9386" sId="10">
    <nc r="AP15" t="inlineStr">
      <is>
        <t>FERIADO</t>
      </is>
    </nc>
  </rcc>
  <rcc rId="9387" sId="10">
    <nc r="AP16" t="inlineStr">
      <is>
        <t>FERIADO</t>
      </is>
    </nc>
  </rcc>
  <rcc rId="9388" sId="10">
    <nc r="AP17" t="inlineStr">
      <is>
        <t>FERIADO</t>
      </is>
    </nc>
  </rcc>
  <rfmt sheetId="10" sqref="AP1:AP17">
    <dxf>
      <fill>
        <patternFill patternType="solid">
          <bgColor theme="0" tint="-0.249977111117893"/>
        </patternFill>
      </fill>
    </dxf>
  </rfmt>
  <rfmt sheetId="10" sqref="AP1:AP17">
    <dxf>
      <fill>
        <patternFill>
          <bgColor theme="0" tint="-0.14999847407452621"/>
        </patternFill>
      </fill>
    </dxf>
  </rfmt>
  <rfmt sheetId="10" sqref="AP2:AP17" start="0" length="2147483647">
    <dxf>
      <font>
        <b/>
      </font>
    </dxf>
  </rfmt>
  <rcc rId="9389" sId="10">
    <nc r="AS18" t="inlineStr">
      <is>
        <r>
          <t xml:space="preserve">Otimizando/corrigindo a planilha do Inventário do </t>
        </r>
        <r>
          <rPr>
            <b/>
            <sz val="11"/>
            <color theme="1"/>
            <rFont val="Aptos Narrow"/>
            <family val="2"/>
          </rPr>
          <t>ARCEN</t>
        </r>
        <r>
          <rPr>
            <sz val="11"/>
            <color theme="1"/>
            <rFont val="Aptos Narrow"/>
            <family val="2"/>
          </rPr>
          <t xml:space="preserve">
(</t>
        </r>
        <r>
          <rPr>
            <b/>
            <sz val="11"/>
            <color theme="1"/>
            <rFont val="Aptos Narrow"/>
            <family val="2"/>
          </rPr>
          <t>Continuação</t>
        </r>
        <r>
          <rPr>
            <sz val="11"/>
            <color theme="1"/>
            <rFont val="Aptos Narrow"/>
            <family val="2"/>
          </rPr>
          <t>)</t>
        </r>
      </is>
    </nc>
  </rcc>
  <rcv guid="{3D987F8E-A6EA-454D-9537-6BFC5053CB00}" action="delete"/>
  <rdn rId="0" localSheetId="1" customView="1" name="Z_3D987F8E_A6EA_454D_9537_6BFC5053CB00_.wvu.FilterData" hidden="1" oldHidden="1">
    <formula>Patrícia!$A$1:$A$18</formula>
    <oldFormula>Patrícia!$A$1:$A$18</oldFormula>
  </rdn>
  <rdn rId="0" localSheetId="2" customView="1" name="Z_3D987F8E_A6EA_454D_9537_6BFC5053CB00_.wvu.FilterData" hidden="1" oldHidden="1">
    <formula>Marcelo!$A$1:$A$18</formula>
    <oldFormula>Marcelo!$A$1:$A$18</oldFormula>
  </rdn>
  <rdn rId="0" localSheetId="3" customView="1" name="Z_3D987F8E_A6EA_454D_9537_6BFC5053CB00_.wvu.FilterData" hidden="1" oldHidden="1">
    <formula>TOTAL!$A$1:$A$19</formula>
    <oldFormula>TOTAL!$A$1:$A$19</oldFormula>
  </rdn>
  <rdn rId="0" localSheetId="4" customView="1" name="Z_3D987F8E_A6EA_454D_9537_6BFC5053CB00_.wvu.FilterData" hidden="1" oldHidden="1">
    <formula>Diego!$A$1:$A$20</formula>
    <oldFormula>Diego!$A$1:$A$20</oldFormula>
  </rdn>
  <rdn rId="0" localSheetId="5" customView="1" name="Z_3D987F8E_A6EA_454D_9537_6BFC5053CB00_.wvu.FilterData" hidden="1" oldHidden="1">
    <formula>Aelton!$A$1:$A$19</formula>
    <oldFormula>Aelton!$A$1:$A$19</oldFormula>
  </rdn>
  <rdn rId="0" localSheetId="6" customView="1" name="Z_3D987F8E_A6EA_454D_9537_6BFC5053CB00_.wvu.FilterData" hidden="1" oldHidden="1">
    <formula>Leonam!$A$1:$BD$19</formula>
    <oldFormula>Leonam!$A$1:$BD$19</oldFormula>
  </rdn>
  <rdn rId="0" localSheetId="7" customView="1" name="Z_3D987F8E_A6EA_454D_9537_6BFC5053CB00_.wvu.FilterData" hidden="1" oldHidden="1">
    <formula>Danilo!$A$1:$A$19</formula>
    <oldFormula>Danilo!$A$1:$A$19</oldFormula>
  </rdn>
  <rdn rId="0" localSheetId="8" customView="1" name="Z_3D987F8E_A6EA_454D_9537_6BFC5053CB00_.wvu.FilterData" hidden="1" oldHidden="1">
    <formula>Marcos!$A$1:$A$19</formula>
    <oldFormula>Marcos!$A$1:$A$19</oldFormula>
  </rdn>
  <rdn rId="0" localSheetId="10" customView="1" name="Z_3D987F8E_A6EA_454D_9537_6BFC5053CB00_.wvu.FilterData" hidden="1" oldHidden="1">
    <formula>Alessandro!$A$1:$A$19</formula>
    <oldFormula>Alessandro!$A$1:$A$19</oldFormula>
  </rdn>
  <rdn rId="0" localSheetId="9" customView="1" name="Z_3D987F8E_A6EA_454D_9537_6BFC5053CB00_.wvu.FilterData" hidden="1" oldHidden="1">
    <formula>Carlos!$A$1:$A$19</formula>
    <oldFormula>Carlos!$A$1:$A$19</oldFormula>
  </rdn>
  <rcv guid="{3D987F8E-A6EA-454D-9537-6BFC5053CB00}" action="add"/>
</revisions>
</file>

<file path=xl/revisions/revisionLog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9400" sId="10">
    <nc r="AT18" t="inlineStr">
      <is>
        <r>
          <t xml:space="preserve">Atualização indicadores (planilha Gustavo) / Otimizando/corrigindo a planilha do Inventário do </t>
        </r>
        <r>
          <rPr>
            <b/>
            <sz val="11"/>
            <color theme="1"/>
            <rFont val="Aptos Narrow"/>
            <family val="2"/>
          </rPr>
          <t>ARCEN
(Continuação)</t>
        </r>
        <r>
          <rPr>
            <sz val="11"/>
            <color theme="1"/>
            <rFont val="Aptos Narrow"/>
            <family val="2"/>
          </rPr>
          <t xml:space="preserve"> </t>
        </r>
      </is>
    </nc>
  </rcc>
  <rcv guid="{3D987F8E-A6EA-454D-9537-6BFC5053CB00}" action="delete"/>
  <rdn rId="0" localSheetId="1" customView="1" name="Z_3D987F8E_A6EA_454D_9537_6BFC5053CB00_.wvu.FilterData" hidden="1" oldHidden="1">
    <formula>Patrícia!$A$1:$A$18</formula>
    <oldFormula>Patrícia!$A$1:$A$18</oldFormula>
  </rdn>
  <rdn rId="0" localSheetId="2" customView="1" name="Z_3D987F8E_A6EA_454D_9537_6BFC5053CB00_.wvu.FilterData" hidden="1" oldHidden="1">
    <formula>Marcelo!$A$1:$A$18</formula>
    <oldFormula>Marcelo!$A$1:$A$18</oldFormula>
  </rdn>
  <rdn rId="0" localSheetId="3" customView="1" name="Z_3D987F8E_A6EA_454D_9537_6BFC5053CB00_.wvu.FilterData" hidden="1" oldHidden="1">
    <formula>TOTAL!$A$1:$A$19</formula>
    <oldFormula>TOTAL!$A$1:$A$19</oldFormula>
  </rdn>
  <rdn rId="0" localSheetId="4" customView="1" name="Z_3D987F8E_A6EA_454D_9537_6BFC5053CB00_.wvu.FilterData" hidden="1" oldHidden="1">
    <formula>Diego!$A$1:$A$20</formula>
    <oldFormula>Diego!$A$1:$A$20</oldFormula>
  </rdn>
  <rdn rId="0" localSheetId="5" customView="1" name="Z_3D987F8E_A6EA_454D_9537_6BFC5053CB00_.wvu.FilterData" hidden="1" oldHidden="1">
    <formula>Aelton!$A$1:$A$19</formula>
    <oldFormula>Aelton!$A$1:$A$19</oldFormula>
  </rdn>
  <rdn rId="0" localSheetId="6" customView="1" name="Z_3D987F8E_A6EA_454D_9537_6BFC5053CB00_.wvu.FilterData" hidden="1" oldHidden="1">
    <formula>Leonam!$A$1:$BD$19</formula>
    <oldFormula>Leonam!$A$1:$BD$19</oldFormula>
  </rdn>
  <rdn rId="0" localSheetId="7" customView="1" name="Z_3D987F8E_A6EA_454D_9537_6BFC5053CB00_.wvu.FilterData" hidden="1" oldHidden="1">
    <formula>Danilo!$A$1:$A$19</formula>
    <oldFormula>Danilo!$A$1:$A$19</oldFormula>
  </rdn>
  <rdn rId="0" localSheetId="8" customView="1" name="Z_3D987F8E_A6EA_454D_9537_6BFC5053CB00_.wvu.FilterData" hidden="1" oldHidden="1">
    <formula>Marcos!$A$1:$A$19</formula>
    <oldFormula>Marcos!$A$1:$A$19</oldFormula>
  </rdn>
  <rdn rId="0" localSheetId="10" customView="1" name="Z_3D987F8E_A6EA_454D_9537_6BFC5053CB00_.wvu.FilterData" hidden="1" oldHidden="1">
    <formula>Alessandro!$A$1:$A$19</formula>
    <oldFormula>Alessandro!$A$1:$A$19</oldFormula>
  </rdn>
  <rdn rId="0" localSheetId="9" customView="1" name="Z_3D987F8E_A6EA_454D_9537_6BFC5053CB00_.wvu.FilterData" hidden="1" oldHidden="1">
    <formula>Carlos!$A$1:$A$19</formula>
    <oldFormula>Carlos!$A$1:$A$19</oldFormula>
  </rdn>
  <rcv guid="{3D987F8E-A6EA-454D-9537-6BFC5053CB00}" action="add"/>
</revisions>
</file>

<file path=xl/revisions/revisionLog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6" sqref="AP17" start="0" length="0">
    <dxf>
      <border>
        <left/>
        <right/>
        <top/>
        <bottom style="thin">
          <color indexed="64"/>
        </bottom>
      </border>
    </dxf>
  </rfmt>
  <rcc rId="9411" sId="10">
    <nc r="AO13">
      <v>1</v>
    </nc>
  </rcc>
</revisions>
</file>

<file path=xl/revisions/revisionLog1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9412" sId="4">
    <nc r="AT18" t="inlineStr">
      <is>
        <t>fazendo resumo da reunião sobre os processos perdidos</t>
      </is>
    </nc>
  </rcc>
  <rcc rId="9413" sId="4">
    <nc r="AU18" t="inlineStr">
      <is>
        <t xml:space="preserve">reunião sobre os processos, buscando pasta funcionais </t>
      </is>
    </nc>
  </rcc>
  <rfmt sheetId="4" sqref="AU18">
    <dxf>
      <alignment wrapText="1"/>
    </dxf>
  </rfmt>
  <rcv guid="{20CB6D8F-C24D-4D4B-A424-AF380F620455}" action="delete"/>
  <rdn rId="0" localSheetId="1" customView="1" name="Z_20CB6D8F_C24D_4D4B_A424_AF380F620455_.wvu.FilterData" hidden="1" oldHidden="1">
    <formula>Patrícia!$A$1:$A$18</formula>
    <oldFormula>Patrícia!$A$1:$A$18</oldFormula>
  </rdn>
  <rdn rId="0" localSheetId="2" customView="1" name="Z_20CB6D8F_C24D_4D4B_A424_AF380F620455_.wvu.FilterData" hidden="1" oldHidden="1">
    <formula>Marcelo!$A$1:$A$18</formula>
    <oldFormula>Marcelo!$A$1:$A$18</oldFormula>
  </rdn>
  <rdn rId="0" localSheetId="3" customView="1" name="Z_20CB6D8F_C24D_4D4B_A424_AF380F620455_.wvu.FilterData" hidden="1" oldHidden="1">
    <formula>TOTAL!$A$1:$A$19</formula>
    <oldFormula>TOTAL!$A$1:$A$19</oldFormula>
  </rdn>
  <rdn rId="0" localSheetId="4" customView="1" name="Z_20CB6D8F_C24D_4D4B_A424_AF380F620455_.wvu.FilterData" hidden="1" oldHidden="1">
    <formula>Diego!$A$1:$A$20</formula>
    <oldFormula>Diego!$A$1:$A$20</oldFormula>
  </rdn>
  <rdn rId="0" localSheetId="5" customView="1" name="Z_20CB6D8F_C24D_4D4B_A424_AF380F620455_.wvu.FilterData" hidden="1" oldHidden="1">
    <formula>Aelton!$A$1:$A$19</formula>
    <oldFormula>Aelton!$A$1:$A$19</oldFormula>
  </rdn>
  <rdn rId="0" localSheetId="6" customView="1" name="Z_20CB6D8F_C24D_4D4B_A424_AF380F620455_.wvu.FilterData" hidden="1" oldHidden="1">
    <formula>Leonam!$A$1:$BD$19</formula>
    <oldFormula>Leonam!$A$1:$BD$19</oldFormula>
  </rdn>
  <rdn rId="0" localSheetId="7" customView="1" name="Z_20CB6D8F_C24D_4D4B_A424_AF380F620455_.wvu.FilterData" hidden="1" oldHidden="1">
    <formula>Danilo!$A$1:$A$19</formula>
    <oldFormula>Danilo!$A$1:$A$19</oldFormula>
  </rdn>
  <rdn rId="0" localSheetId="8" customView="1" name="Z_20CB6D8F_C24D_4D4B_A424_AF380F620455_.wvu.FilterData" hidden="1" oldHidden="1">
    <formula>Marcos!$A$1:$A$19</formula>
    <oldFormula>Marcos!$A$1:$A$19</oldFormula>
  </rdn>
  <rdn rId="0" localSheetId="10" customView="1" name="Z_20CB6D8F_C24D_4D4B_A424_AF380F620455_.wvu.FilterData" hidden="1" oldHidden="1">
    <formula>Alessandro!$A$1:$A$19</formula>
    <oldFormula>Alessandro!$A$1:$A$19</oldFormula>
  </rdn>
  <rdn rId="0" localSheetId="9" customView="1" name="Z_20CB6D8F_C24D_4D4B_A424_AF380F620455_.wvu.FilterData" hidden="1" oldHidden="1">
    <formula>Carlos!$A$1:$A$19</formula>
    <oldFormula>Carlos!$A$1:$A$19</oldFormula>
  </rdn>
  <rcv guid="{20CB6D8F-C24D-4D4B-A424-AF380F620455}" action="add"/>
</revisions>
</file>

<file path=xl/revisions/revisionLog1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8953" sId="8">
    <nc r="AB18" t="inlineStr">
      <is>
        <t xml:space="preserve">Fazer vizinta no MJ na biblioteca para ver mesa de higienização para fotos LBA </t>
      </is>
    </nc>
  </rcc>
  <rcc rId="8954" sId="8">
    <nc r="AC18" t="inlineStr">
      <is>
        <t xml:space="preserve">Fazer vizinta no MJ na biblioteca para ver mesa de higienização para fotos LBA, fazendo vistória no bloco de correções dos arquivos </t>
      </is>
    </nc>
  </rcc>
  <rcc rId="8955" sId="8">
    <nc r="AA18" t="inlineStr">
      <is>
        <t>Trocando caixas da LBAS</t>
      </is>
    </nc>
  </rcc>
  <rcc rId="8956" sId="8">
    <nc r="AD18" t="inlineStr">
      <is>
        <t>Trocando caixas da LBAS</t>
      </is>
    </nc>
  </rcc>
  <rcc rId="8957" sId="8">
    <nc r="AE18" t="inlineStr">
      <is>
        <t>Arrumando os arquivo para visita técnica do pessoal do Rio de Janeiro</t>
      </is>
    </nc>
  </rcc>
  <rcv guid="{E3841903-5B68-44FD-8F09-58E03D1025C5}" action="delete"/>
  <rdn rId="0" localSheetId="1" customView="1" name="Z_E3841903_5B68_44FD_8F09_58E03D1025C5_.wvu.FilterData" hidden="1" oldHidden="1">
    <formula>Patrícia!$A$1:$A$18</formula>
    <oldFormula>Patrícia!$A$1:$A$18</oldFormula>
  </rdn>
  <rdn rId="0" localSheetId="2" customView="1" name="Z_E3841903_5B68_44FD_8F09_58E03D1025C5_.wvu.FilterData" hidden="1" oldHidden="1">
    <formula>Marcelo!$A$1:$A$18</formula>
    <oldFormula>Marcelo!$A$1:$A$18</oldFormula>
  </rdn>
  <rdn rId="0" localSheetId="3" customView="1" name="Z_E3841903_5B68_44FD_8F09_58E03D1025C5_.wvu.FilterData" hidden="1" oldHidden="1">
    <formula>TOTAL!$A$1:$A$19</formula>
    <oldFormula>TOTAL!$A$1:$A$19</oldFormula>
  </rdn>
  <rdn rId="0" localSheetId="4" customView="1" name="Z_E3841903_5B68_44FD_8F09_58E03D1025C5_.wvu.FilterData" hidden="1" oldHidden="1">
    <formula>Diego!$A$1:$A$20</formula>
    <oldFormula>Diego!$A$1:$A$20</oldFormula>
  </rdn>
  <rdn rId="0" localSheetId="5" customView="1" name="Z_E3841903_5B68_44FD_8F09_58E03D1025C5_.wvu.FilterData" hidden="1" oldHidden="1">
    <formula>Aelton!$A$1:$A$19</formula>
    <oldFormula>Aelton!$A$1:$A$19</oldFormula>
  </rdn>
  <rdn rId="0" localSheetId="6" customView="1" name="Z_E3841903_5B68_44FD_8F09_58E03D1025C5_.wvu.FilterData" hidden="1" oldHidden="1">
    <formula>Leonam!$A$1:$BD$19</formula>
    <oldFormula>Leonam!$A$1:$BD$19</oldFormula>
  </rdn>
  <rdn rId="0" localSheetId="7" customView="1" name="Z_E3841903_5B68_44FD_8F09_58E03D1025C5_.wvu.FilterData" hidden="1" oldHidden="1">
    <formula>Danilo!$A$1:$A$19</formula>
    <oldFormula>Danilo!$A$1:$A$19</oldFormula>
  </rdn>
  <rdn rId="0" localSheetId="8" customView="1" name="Z_E3841903_5B68_44FD_8F09_58E03D1025C5_.wvu.FilterData" hidden="1" oldHidden="1">
    <formula>Marcos!$A$1:$A$19</formula>
    <oldFormula>Marcos!$A$1:$A$19</oldFormula>
  </rdn>
  <rdn rId="0" localSheetId="10" customView="1" name="Z_E3841903_5B68_44FD_8F09_58E03D1025C5_.wvu.FilterData" hidden="1" oldHidden="1">
    <formula>Alessandro!$A$1:$A$19</formula>
    <oldFormula>Alessandro!$A$1:$A$19</oldFormula>
  </rdn>
  <rdn rId="0" localSheetId="9" customView="1" name="Z_E3841903_5B68_44FD_8F09_58E03D1025C5_.wvu.FilterData" hidden="1" oldHidden="1">
    <formula>Carlos!$A$1:$A$19</formula>
    <oldFormula>Carlos!$A$1:$A$19</oldFormula>
  </rdn>
  <rcv guid="{E3841903-5B68-44FD-8F09-58E03D1025C5}" action="add"/>
</revisions>
</file>

<file path=xl/revisions/revisionLog1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8968" sId="7">
    <nc r="AE18" t="inlineStr">
      <is>
        <t>1. Confraternização CDA
 pela manhã.
2. Acompanhamento visita dos inteegrantes do Arquivo Nacional.</t>
      </is>
    </nc>
  </rcc>
  <rcc rId="8969" sId="7">
    <nc r="AA18" t="inlineStr">
      <is>
        <t>Pesquisa referente a solicitação do processo SEI 71000.108346/2025-60, referente a 03 processos.</t>
      </is>
    </nc>
  </rcc>
  <rcc rId="8970" sId="7">
    <nc r="AA3">
      <v>3</v>
    </nc>
  </rcc>
  <rcc rId="8971" sId="7">
    <nc r="AA2">
      <v>3</v>
    </nc>
  </rcc>
  <rcc rId="8972" sId="4">
    <nc r="AA18" t="inlineStr">
      <is>
        <t>Pesquisa referente a solicitação do processo SEI 71000.108346/2025-60, referente a 03 processos.</t>
      </is>
    </nc>
  </rcc>
  <rcc rId="8973" sId="6" odxf="1" dxf="1">
    <nc r="AA18" t="inlineStr">
      <is>
        <t>Pesquisa referente a solicitação do processo SEI 71000.108346/2025-60, referente a 03 processos.</t>
      </is>
    </nc>
    <odxf>
      <alignment wrapText="0"/>
    </odxf>
    <ndxf>
      <alignment wrapText="1"/>
    </ndxf>
  </rcc>
  <rcc rId="8974" sId="7">
    <nc r="AD18" t="inlineStr">
      <is>
        <t>Organização da sala 4.47 para recepicinar integrantes do arquivo central</t>
      </is>
    </nc>
  </rcc>
  <rcc rId="8975" sId="7">
    <oc r="AB3">
      <v>1</v>
    </oc>
    <nc r="AB3"/>
  </rcc>
  <rm rId="8976" sheetId="7" source="AC4" destination="AC3" sourceSheetId="7">
    <rfmt sheetId="7" sqref="AC3" start="0" length="0">
      <dxf>
        <alignment horizontal="center" vertical="center"/>
      </dxf>
    </rfmt>
  </rm>
  <rcc rId="8977" sId="7">
    <nc r="AC13">
      <v>2</v>
    </nc>
  </rcc>
  <rfmt sheetId="7" xfDxf="1" sqref="AC18" start="0" length="0">
    <dxf>
      <alignment horizontal="center" vertical="center" wrapText="1"/>
    </dxf>
  </rfmt>
  <rcc rId="8978" sId="7">
    <nc r="AC18" t="inlineStr">
      <is>
        <t xml:space="preserve">TROCANDO CAIXAS NO ARQUIVO 10 , </t>
      </is>
    </nc>
  </rcc>
  <rcv guid="{B3CDE377-BA5D-4E06-91D9-3A48E1959BA5}" action="delete"/>
  <rdn rId="0" localSheetId="1" customView="1" name="Z_B3CDE377_BA5D_4E06_91D9_3A48E1959BA5_.wvu.FilterData" hidden="1" oldHidden="1">
    <formula>Patrícia!$A$1:$A$18</formula>
    <oldFormula>Patrícia!$A$1:$A$18</oldFormula>
  </rdn>
  <rdn rId="0" localSheetId="2" customView="1" name="Z_B3CDE377_BA5D_4E06_91D9_3A48E1959BA5_.wvu.FilterData" hidden="1" oldHidden="1">
    <formula>Marcelo!$A$1:$A$18</formula>
    <oldFormula>Marcelo!$A$1:$A$18</oldFormula>
  </rdn>
  <rdn rId="0" localSheetId="3" customView="1" name="Z_B3CDE377_BA5D_4E06_91D9_3A48E1959BA5_.wvu.FilterData" hidden="1" oldHidden="1">
    <formula>TOTAL!$A$1:$A$19</formula>
    <oldFormula>TOTAL!$A$1:$A$19</oldFormula>
  </rdn>
  <rdn rId="0" localSheetId="4" customView="1" name="Z_B3CDE377_BA5D_4E06_91D9_3A48E1959BA5_.wvu.FilterData" hidden="1" oldHidden="1">
    <formula>Diego!$A$1:$A$20</formula>
    <oldFormula>Diego!$A$1:$A$19</oldFormula>
  </rdn>
  <rdn rId="0" localSheetId="5" customView="1" name="Z_B3CDE377_BA5D_4E06_91D9_3A48E1959BA5_.wvu.FilterData" hidden="1" oldHidden="1">
    <formula>Aelton!$A$1:$A$19</formula>
    <oldFormula>Aelton!$A$1:$A$19</oldFormula>
  </rdn>
  <rdn rId="0" localSheetId="6" customView="1" name="Z_B3CDE377_BA5D_4E06_91D9_3A48E1959BA5_.wvu.FilterData" hidden="1" oldHidden="1">
    <formula>Leonam!$A$1:$BD$19</formula>
    <oldFormula>Leonam!$A$1:$BD$19</oldFormula>
  </rdn>
  <rdn rId="0" localSheetId="7" customView="1" name="Z_B3CDE377_BA5D_4E06_91D9_3A48E1959BA5_.wvu.FilterData" hidden="1" oldHidden="1">
    <formula>Danilo!$A$1:$A$19</formula>
    <oldFormula>Danilo!$A$1:$A$19</oldFormula>
  </rdn>
  <rdn rId="0" localSheetId="8" customView="1" name="Z_B3CDE377_BA5D_4E06_91D9_3A48E1959BA5_.wvu.FilterData" hidden="1" oldHidden="1">
    <formula>Marcos!$A$1:$A$19</formula>
    <oldFormula>Marcos!$A$1:$A$19</oldFormula>
  </rdn>
  <rdn rId="0" localSheetId="10" customView="1" name="Z_B3CDE377_BA5D_4E06_91D9_3A48E1959BA5_.wvu.FilterData" hidden="1" oldHidden="1">
    <formula>Alessandro!$A$1:$A$19</formula>
    <oldFormula>Alessandro!$A$1:$A$19</oldFormula>
  </rdn>
  <rdn rId="0" localSheetId="9" customView="1" name="Z_B3CDE377_BA5D_4E06_91D9_3A48E1959BA5_.wvu.FilterData" hidden="1" oldHidden="1">
    <formula>Carlos!$A$1:$A$19</formula>
    <oldFormula>Carlos!$A$1:$A$19</oldFormula>
  </rdn>
  <rcv guid="{B3CDE377-BA5D-4E06-91D9-3A48E1959BA5}" action="add"/>
</revisions>
</file>

<file path=xl/revisions/revisionLog1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8989" sId="5">
    <oc r="AE18" t="inlineStr">
      <is>
        <t>1. Confraternização CDA
 pela manhã.
2. Acompanhamento visita dos inteegrantes do Arquivo Nacional.</t>
      </is>
    </oc>
    <nc r="AE18" t="inlineStr">
      <is>
        <r>
          <rPr>
            <sz val="11"/>
            <color rgb="FFFF0000"/>
            <rFont val="Aptos Narrow"/>
            <family val="2"/>
          </rPr>
          <t>1. Confraternização CDA
 pela manhã.</t>
        </r>
        <r>
          <rPr>
            <sz val="11"/>
            <color theme="1"/>
            <rFont val="Aptos Narrow"/>
            <family val="2"/>
          </rPr>
          <t xml:space="preserve">
2. Acompanhamento visita dos inteegrantes do Arquivo Nacional.</t>
        </r>
      </is>
    </nc>
  </rcc>
  <rcv guid="{86039CF8-B158-4D70-9A6F-A10C29CBD68A}" action="delete"/>
  <rdn rId="0" localSheetId="1" customView="1" name="Z_86039CF8_B158_4D70_9A6F_A10C29CBD68A_.wvu.FilterData" hidden="1" oldHidden="1">
    <formula>Patrícia!$A$1:$A$18</formula>
    <oldFormula>Patrícia!$A$1:$A$18</oldFormula>
  </rdn>
  <rdn rId="0" localSheetId="2" customView="1" name="Z_86039CF8_B158_4D70_9A6F_A10C29CBD68A_.wvu.FilterData" hidden="1" oldHidden="1">
    <formula>Marcelo!$A$1:$A$18</formula>
    <oldFormula>Marcelo!$A$1:$A$18</oldFormula>
  </rdn>
  <rdn rId="0" localSheetId="3" customView="1" name="Z_86039CF8_B158_4D70_9A6F_A10C29CBD68A_.wvu.FilterData" hidden="1" oldHidden="1">
    <formula>TOTAL!$A$1:$A$19</formula>
    <oldFormula>TOTAL!$A$1:$A$19</oldFormula>
  </rdn>
  <rdn rId="0" localSheetId="4" customView="1" name="Z_86039CF8_B158_4D70_9A6F_A10C29CBD68A_.wvu.FilterData" hidden="1" oldHidden="1">
    <formula>Diego!$A$1:$A$20</formula>
    <oldFormula>Diego!$A$1:$A$20</oldFormula>
  </rdn>
  <rdn rId="0" localSheetId="5" customView="1" name="Z_86039CF8_B158_4D70_9A6F_A10C29CBD68A_.wvu.FilterData" hidden="1" oldHidden="1">
    <formula>Aelton!$A$1:$A$19</formula>
    <oldFormula>Aelton!$A$1:$A$19</oldFormula>
  </rdn>
  <rdn rId="0" localSheetId="6" customView="1" name="Z_86039CF8_B158_4D70_9A6F_A10C29CBD68A_.wvu.FilterData" hidden="1" oldHidden="1">
    <formula>Leonam!$A$1:$BD$19</formula>
    <oldFormula>Leonam!$A$1:$BD$19</oldFormula>
  </rdn>
  <rdn rId="0" localSheetId="7" customView="1" name="Z_86039CF8_B158_4D70_9A6F_A10C29CBD68A_.wvu.FilterData" hidden="1" oldHidden="1">
    <formula>Danilo!$A$1:$A$19</formula>
    <oldFormula>Danilo!$A$1:$A$19</oldFormula>
  </rdn>
  <rdn rId="0" localSheetId="8" customView="1" name="Z_86039CF8_B158_4D70_9A6F_A10C29CBD68A_.wvu.FilterData" hidden="1" oldHidden="1">
    <formula>Marcos!$A$1:$A$19</formula>
    <oldFormula>Marcos!$A$1:$A$19</oldFormula>
  </rdn>
  <rdn rId="0" localSheetId="10" customView="1" name="Z_86039CF8_B158_4D70_9A6F_A10C29CBD68A_.wvu.FilterData" hidden="1" oldHidden="1">
    <formula>Alessandro!$A$1:$A$19</formula>
    <oldFormula>Alessandro!$A$1:$A$19</oldFormula>
  </rdn>
  <rdn rId="0" localSheetId="9" customView="1" name="Z_86039CF8_B158_4D70_9A6F_A10C29CBD68A_.wvu.FilterData" hidden="1" oldHidden="1">
    <formula>Carlos!$A$1:$A$19</formula>
    <oldFormula>Carlos!$A$1:$A$19</oldFormula>
  </rdn>
  <rcv guid="{86039CF8-B158-4D70-9A6F-A10C29CBD68A}" action="add"/>
</revisions>
</file>

<file path=xl/revisions/revisionLog1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9043" sId="4">
    <nc r="AG18" t="inlineStr">
      <is>
        <t xml:space="preserve">TROCANDO CAIXAS NO ARQUIVO 10 , </t>
      </is>
    </nc>
  </rcc>
  <rcc rId="9044" sId="4">
    <nc r="AG17">
      <v>10</v>
    </nc>
  </rcc>
  <rcc rId="9045" sId="4">
    <nc r="AH18" t="inlineStr">
      <is>
        <t xml:space="preserve">TROCANDO CAIXAS NO ARQUIVO 10 , </t>
      </is>
    </nc>
  </rcc>
  <rcc rId="9046" sId="4">
    <nc r="AH17">
      <v>25</v>
    </nc>
  </rcc>
  <rcc rId="9047" sId="4">
    <nc r="AI15">
      <v>40</v>
    </nc>
  </rcc>
  <rcc rId="9048" sId="4">
    <nc r="AI18" t="inlineStr">
      <is>
        <t xml:space="preserve">colocando os espelhos nas caixas novas </t>
      </is>
    </nc>
  </rcc>
  <rcv guid="{20CB6D8F-C24D-4D4B-A424-AF380F620455}" action="delete"/>
  <rdn rId="0" localSheetId="1" customView="1" name="Z_20CB6D8F_C24D_4D4B_A424_AF380F620455_.wvu.FilterData" hidden="1" oldHidden="1">
    <formula>Patrícia!$A$1:$A$18</formula>
    <oldFormula>Patrícia!$A$1:$A$18</oldFormula>
  </rdn>
  <rdn rId="0" localSheetId="2" customView="1" name="Z_20CB6D8F_C24D_4D4B_A424_AF380F620455_.wvu.FilterData" hidden="1" oldHidden="1">
    <formula>Marcelo!$A$1:$A$18</formula>
    <oldFormula>Marcelo!$A$1:$A$18</oldFormula>
  </rdn>
  <rdn rId="0" localSheetId="3" customView="1" name="Z_20CB6D8F_C24D_4D4B_A424_AF380F620455_.wvu.FilterData" hidden="1" oldHidden="1">
    <formula>TOTAL!$A$1:$A$19</formula>
    <oldFormula>TOTAL!$A$1:$A$19</oldFormula>
  </rdn>
  <rdn rId="0" localSheetId="4" customView="1" name="Z_20CB6D8F_C24D_4D4B_A424_AF380F620455_.wvu.FilterData" hidden="1" oldHidden="1">
    <formula>Diego!$A$1:$A$20</formula>
    <oldFormula>Diego!$A$1:$A$20</oldFormula>
  </rdn>
  <rdn rId="0" localSheetId="5" customView="1" name="Z_20CB6D8F_C24D_4D4B_A424_AF380F620455_.wvu.FilterData" hidden="1" oldHidden="1">
    <formula>Aelton!$A$1:$A$19</formula>
    <oldFormula>Aelton!$A$1:$A$19</oldFormula>
  </rdn>
  <rdn rId="0" localSheetId="6" customView="1" name="Z_20CB6D8F_C24D_4D4B_A424_AF380F620455_.wvu.FilterData" hidden="1" oldHidden="1">
    <formula>Leonam!$A$1:$BD$19</formula>
    <oldFormula>Leonam!$A$1:$BD$19</oldFormula>
  </rdn>
  <rdn rId="0" localSheetId="7" customView="1" name="Z_20CB6D8F_C24D_4D4B_A424_AF380F620455_.wvu.FilterData" hidden="1" oldHidden="1">
    <formula>Danilo!$A$1:$A$19</formula>
    <oldFormula>Danilo!$A$1:$A$19</oldFormula>
  </rdn>
  <rdn rId="0" localSheetId="8" customView="1" name="Z_20CB6D8F_C24D_4D4B_A424_AF380F620455_.wvu.FilterData" hidden="1" oldHidden="1">
    <formula>Marcos!$A$1:$A$19</formula>
    <oldFormula>Marcos!$A$1:$A$19</oldFormula>
  </rdn>
  <rdn rId="0" localSheetId="10" customView="1" name="Z_20CB6D8F_C24D_4D4B_A424_AF380F620455_.wvu.FilterData" hidden="1" oldHidden="1">
    <formula>Alessandro!$A$1:$A$19</formula>
    <oldFormula>Alessandro!$A$1:$A$19</oldFormula>
  </rdn>
  <rdn rId="0" localSheetId="9" customView="1" name="Z_20CB6D8F_C24D_4D4B_A424_AF380F620455_.wvu.FilterData" hidden="1" oldHidden="1">
    <formula>Carlos!$A$1:$A$19</formula>
    <oldFormula>Carlos!$A$1:$A$19</oldFormula>
  </rdn>
  <rcv guid="{20CB6D8F-C24D-4D4B-A424-AF380F620455}" action="add"/>
</revisions>
</file>

<file path=xl/revisions/revisionLog1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9059" sId="8">
    <nc r="AG18" t="inlineStr">
      <is>
        <t xml:space="preserve">TROCANDO CAIXAS NO ARQUIVO 10 , </t>
      </is>
    </nc>
  </rcc>
  <rcc rId="9060" sId="8">
    <nc r="AH18" t="inlineStr">
      <is>
        <t xml:space="preserve">TROCANDO CAIXAS NO ARQUIVO 10 , </t>
      </is>
    </nc>
  </rcc>
  <rcc rId="9061" sId="8">
    <nc r="AI18" t="inlineStr">
      <is>
        <t xml:space="preserve">TROCANDO CAIXAS NO ARQUIVO 10 , </t>
      </is>
    </nc>
  </rcc>
  <rcv guid="{E3841903-5B68-44FD-8F09-58E03D1025C5}" action="delete"/>
  <rdn rId="0" localSheetId="1" customView="1" name="Z_E3841903_5B68_44FD_8F09_58E03D1025C5_.wvu.FilterData" hidden="1" oldHidden="1">
    <formula>Patrícia!$A$1:$A$18</formula>
    <oldFormula>Patrícia!$A$1:$A$18</oldFormula>
  </rdn>
  <rdn rId="0" localSheetId="2" customView="1" name="Z_E3841903_5B68_44FD_8F09_58E03D1025C5_.wvu.FilterData" hidden="1" oldHidden="1">
    <formula>Marcelo!$A$1:$A$18</formula>
    <oldFormula>Marcelo!$A$1:$A$18</oldFormula>
  </rdn>
  <rdn rId="0" localSheetId="3" customView="1" name="Z_E3841903_5B68_44FD_8F09_58E03D1025C5_.wvu.FilterData" hidden="1" oldHidden="1">
    <formula>TOTAL!$A$1:$A$19</formula>
    <oldFormula>TOTAL!$A$1:$A$19</oldFormula>
  </rdn>
  <rdn rId="0" localSheetId="4" customView="1" name="Z_E3841903_5B68_44FD_8F09_58E03D1025C5_.wvu.FilterData" hidden="1" oldHidden="1">
    <formula>Diego!$A$1:$A$20</formula>
    <oldFormula>Diego!$A$1:$A$20</oldFormula>
  </rdn>
  <rdn rId="0" localSheetId="5" customView="1" name="Z_E3841903_5B68_44FD_8F09_58E03D1025C5_.wvu.FilterData" hidden="1" oldHidden="1">
    <formula>Aelton!$A$1:$A$19</formula>
    <oldFormula>Aelton!$A$1:$A$19</oldFormula>
  </rdn>
  <rdn rId="0" localSheetId="6" customView="1" name="Z_E3841903_5B68_44FD_8F09_58E03D1025C5_.wvu.FilterData" hidden="1" oldHidden="1">
    <formula>Leonam!$A$1:$BD$19</formula>
    <oldFormula>Leonam!$A$1:$BD$19</oldFormula>
  </rdn>
  <rdn rId="0" localSheetId="7" customView="1" name="Z_E3841903_5B68_44FD_8F09_58E03D1025C5_.wvu.FilterData" hidden="1" oldHidden="1">
    <formula>Danilo!$A$1:$A$19</formula>
    <oldFormula>Danilo!$A$1:$A$19</oldFormula>
  </rdn>
  <rdn rId="0" localSheetId="8" customView="1" name="Z_E3841903_5B68_44FD_8F09_58E03D1025C5_.wvu.FilterData" hidden="1" oldHidden="1">
    <formula>Marcos!$A$1:$A$19</formula>
    <oldFormula>Marcos!$A$1:$A$19</oldFormula>
  </rdn>
  <rdn rId="0" localSheetId="10" customView="1" name="Z_E3841903_5B68_44FD_8F09_58E03D1025C5_.wvu.FilterData" hidden="1" oldHidden="1">
    <formula>Alessandro!$A$1:$A$19</formula>
    <oldFormula>Alessandro!$A$1:$A$19</oldFormula>
  </rdn>
  <rdn rId="0" localSheetId="9" customView="1" name="Z_E3841903_5B68_44FD_8F09_58E03D1025C5_.wvu.FilterData" hidden="1" oldHidden="1">
    <formula>Carlos!$A$1:$A$19</formula>
    <oldFormula>Carlos!$A$1:$A$19</oldFormula>
  </rdn>
  <rcv guid="{E3841903-5B68-44FD-8F09-58E03D1025C5}" action="add"/>
</revisions>
</file>

<file path=xl/revisions/revisionLog1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9072" sId="10">
    <nc r="AA18" t="inlineStr">
      <is>
        <r>
          <t>Finalização da planilha de atividades</t>
        </r>
        <r>
          <rPr>
            <b/>
            <sz val="11"/>
            <color theme="1"/>
            <rFont val="Aptos Narrow"/>
            <family val="2"/>
          </rPr>
          <t xml:space="preserve">
(Geral/Gustavo)</t>
        </r>
      </is>
    </nc>
  </rcc>
  <rcc rId="9073" sId="10">
    <nc r="AH18" t="inlineStr">
      <is>
        <r>
          <t xml:space="preserve">Confeccionando espelhos para as caixas  </t>
        </r>
        <r>
          <rPr>
            <b/>
            <sz val="11"/>
            <color theme="1"/>
            <rFont val="Aptos Narrow"/>
            <family val="2"/>
          </rPr>
          <t xml:space="preserve">audiovisual, fotos LBA </t>
        </r>
      </is>
    </nc>
  </rcc>
  <rcc rId="9074" sId="10">
    <nc r="AG18" t="inlineStr">
      <is>
        <r>
          <t xml:space="preserve">Confeccionando espelhos para as caixas  </t>
        </r>
        <r>
          <rPr>
            <b/>
            <sz val="11"/>
            <color theme="1"/>
            <rFont val="Aptos Narrow"/>
            <family val="2"/>
          </rPr>
          <t xml:space="preserve">audiovisual, fotos LBA </t>
        </r>
      </is>
    </nc>
  </rcc>
  <rcc rId="9075" sId="10">
    <nc r="AI18" t="inlineStr">
      <is>
        <r>
          <t xml:space="preserve">Confeccionando espelhos para as caixas  </t>
        </r>
        <r>
          <rPr>
            <b/>
            <sz val="11"/>
            <color theme="1"/>
            <rFont val="Aptos Narrow"/>
            <family val="2"/>
          </rPr>
          <t xml:space="preserve">audiovisual, fotos LBA </t>
        </r>
      </is>
    </nc>
  </rcc>
  <rcv guid="{3D987F8E-A6EA-454D-9537-6BFC5053CB00}" action="delete"/>
  <rdn rId="0" localSheetId="1" customView="1" name="Z_3D987F8E_A6EA_454D_9537_6BFC5053CB00_.wvu.FilterData" hidden="1" oldHidden="1">
    <formula>Patrícia!$A$1:$A$18</formula>
    <oldFormula>Patrícia!$A$1:$A$18</oldFormula>
  </rdn>
  <rdn rId="0" localSheetId="2" customView="1" name="Z_3D987F8E_A6EA_454D_9537_6BFC5053CB00_.wvu.FilterData" hidden="1" oldHidden="1">
    <formula>Marcelo!$A$1:$A$18</formula>
    <oldFormula>Marcelo!$A$1:$A$18</oldFormula>
  </rdn>
  <rdn rId="0" localSheetId="3" customView="1" name="Z_3D987F8E_A6EA_454D_9537_6BFC5053CB00_.wvu.FilterData" hidden="1" oldHidden="1">
    <formula>TOTAL!$A$1:$A$19</formula>
    <oldFormula>TOTAL!$A$1:$A$19</oldFormula>
  </rdn>
  <rdn rId="0" localSheetId="4" customView="1" name="Z_3D987F8E_A6EA_454D_9537_6BFC5053CB00_.wvu.FilterData" hidden="1" oldHidden="1">
    <formula>Diego!$A$1:$A$20</formula>
    <oldFormula>Diego!$A$1:$A$20</oldFormula>
  </rdn>
  <rdn rId="0" localSheetId="5" customView="1" name="Z_3D987F8E_A6EA_454D_9537_6BFC5053CB00_.wvu.FilterData" hidden="1" oldHidden="1">
    <formula>Aelton!$A$1:$A$19</formula>
    <oldFormula>Aelton!$A$1:$A$19</oldFormula>
  </rdn>
  <rdn rId="0" localSheetId="6" customView="1" name="Z_3D987F8E_A6EA_454D_9537_6BFC5053CB00_.wvu.FilterData" hidden="1" oldHidden="1">
    <formula>Leonam!$A$1:$BD$19</formula>
    <oldFormula>Leonam!$A$1:$BD$19</oldFormula>
  </rdn>
  <rdn rId="0" localSheetId="7" customView="1" name="Z_3D987F8E_A6EA_454D_9537_6BFC5053CB00_.wvu.FilterData" hidden="1" oldHidden="1">
    <formula>Danilo!$A$1:$A$19</formula>
    <oldFormula>Danilo!$A$1:$A$19</oldFormula>
  </rdn>
  <rdn rId="0" localSheetId="8" customView="1" name="Z_3D987F8E_A6EA_454D_9537_6BFC5053CB00_.wvu.FilterData" hidden="1" oldHidden="1">
    <formula>Marcos!$A$1:$A$19</formula>
    <oldFormula>Marcos!$A$1:$A$19</oldFormula>
  </rdn>
  <rdn rId="0" localSheetId="10" customView="1" name="Z_3D987F8E_A6EA_454D_9537_6BFC5053CB00_.wvu.FilterData" hidden="1" oldHidden="1">
    <formula>Alessandro!$A$1:$A$19</formula>
    <oldFormula>Alessandro!$A$1:$A$19</oldFormula>
  </rdn>
  <rdn rId="0" localSheetId="9" customView="1" name="Z_3D987F8E_A6EA_454D_9537_6BFC5053CB00_.wvu.FilterData" hidden="1" oldHidden="1">
    <formula>Carlos!$A$1:$A$19</formula>
    <oldFormula>Carlos!$A$1:$A$19</oldFormula>
  </rdn>
  <rcv guid="{3D987F8E-A6EA-454D-9537-6BFC5053CB00}" action="add"/>
</revisions>
</file>

<file path=xl/revisions/revisionLog1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9086" sId="8">
    <nc r="AG17">
      <v>10</v>
    </nc>
  </rcc>
  <rcc rId="9087" sId="8">
    <nc r="AH17">
      <v>10</v>
    </nc>
  </rcc>
  <rcc rId="9088" sId="8">
    <nc r="AI17">
      <v>10</v>
    </nc>
  </rcc>
  <rcc rId="9089" sId="10">
    <nc r="AJ13">
      <v>1</v>
    </nc>
  </rcc>
  <rcc rId="9090" sId="10">
    <nc r="AJ18" t="inlineStr">
      <is>
        <t>Desarquivamento de diversas pastas funcionais / confecção de guia fora</t>
      </is>
    </nc>
  </rcc>
  <rcv guid="{3D987F8E-A6EA-454D-9537-6BFC5053CB00}" action="delete"/>
  <rdn rId="0" localSheetId="1" customView="1" name="Z_3D987F8E_A6EA_454D_9537_6BFC5053CB00_.wvu.FilterData" hidden="1" oldHidden="1">
    <formula>Patrícia!$A$1:$A$18</formula>
    <oldFormula>Patrícia!$A$1:$A$18</oldFormula>
  </rdn>
  <rdn rId="0" localSheetId="2" customView="1" name="Z_3D987F8E_A6EA_454D_9537_6BFC5053CB00_.wvu.FilterData" hidden="1" oldHidden="1">
    <formula>Marcelo!$A$1:$A$18</formula>
    <oldFormula>Marcelo!$A$1:$A$18</oldFormula>
  </rdn>
  <rdn rId="0" localSheetId="3" customView="1" name="Z_3D987F8E_A6EA_454D_9537_6BFC5053CB00_.wvu.FilterData" hidden="1" oldHidden="1">
    <formula>TOTAL!$A$1:$A$19</formula>
    <oldFormula>TOTAL!$A$1:$A$19</oldFormula>
  </rdn>
  <rdn rId="0" localSheetId="4" customView="1" name="Z_3D987F8E_A6EA_454D_9537_6BFC5053CB00_.wvu.FilterData" hidden="1" oldHidden="1">
    <formula>Diego!$A$1:$A$20</formula>
    <oldFormula>Diego!$A$1:$A$20</oldFormula>
  </rdn>
  <rdn rId="0" localSheetId="5" customView="1" name="Z_3D987F8E_A6EA_454D_9537_6BFC5053CB00_.wvu.FilterData" hidden="1" oldHidden="1">
    <formula>Aelton!$A$1:$A$19</formula>
    <oldFormula>Aelton!$A$1:$A$19</oldFormula>
  </rdn>
  <rdn rId="0" localSheetId="6" customView="1" name="Z_3D987F8E_A6EA_454D_9537_6BFC5053CB00_.wvu.FilterData" hidden="1" oldHidden="1">
    <formula>Leonam!$A$1:$BD$19</formula>
    <oldFormula>Leonam!$A$1:$BD$19</oldFormula>
  </rdn>
  <rdn rId="0" localSheetId="7" customView="1" name="Z_3D987F8E_A6EA_454D_9537_6BFC5053CB00_.wvu.FilterData" hidden="1" oldHidden="1">
    <formula>Danilo!$A$1:$A$19</formula>
    <oldFormula>Danilo!$A$1:$A$19</oldFormula>
  </rdn>
  <rdn rId="0" localSheetId="8" customView="1" name="Z_3D987F8E_A6EA_454D_9537_6BFC5053CB00_.wvu.FilterData" hidden="1" oldHidden="1">
    <formula>Marcos!$A$1:$A$19</formula>
    <oldFormula>Marcos!$A$1:$A$19</oldFormula>
  </rdn>
  <rdn rId="0" localSheetId="10" customView="1" name="Z_3D987F8E_A6EA_454D_9537_6BFC5053CB00_.wvu.FilterData" hidden="1" oldHidden="1">
    <formula>Alessandro!$A$1:$A$19</formula>
    <oldFormula>Alessandro!$A$1:$A$19</oldFormula>
  </rdn>
  <rdn rId="0" localSheetId="9" customView="1" name="Z_3D987F8E_A6EA_454D_9537_6BFC5053CB00_.wvu.FilterData" hidden="1" oldHidden="1">
    <formula>Carlos!$A$1:$A$19</formula>
    <oldFormula>Carlos!$A$1:$A$19</oldFormula>
  </rdn>
  <rcv guid="{3D987F8E-A6EA-454D-9537-6BFC5053CB00}" action="add"/>
</revisions>
</file>

<file path=xl/revisions/revisionLog1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9101" sId="5">
    <nc r="AJ2">
      <v>6</v>
    </nc>
  </rcc>
  <rcc rId="9102" sId="5">
    <nc r="AG13">
      <v>1</v>
    </nc>
  </rcc>
  <rcc rId="9103" sId="5">
    <nc r="AH13">
      <v>1</v>
    </nc>
  </rcc>
  <rcc rId="9104" sId="5">
    <nc r="AI15">
      <v>20</v>
    </nc>
  </rcc>
  <rcc rId="9105" sId="5" odxf="1" dxf="1">
    <nc r="AG17" t="inlineStr">
      <is>
        <t>1. Pesquisa localização dos processos vindos da SESAN.
Resultado: Não passou pela DIARQ, vão ter que fazer Guia de Transferência.
2. Documento produzido:
Despacho 273/2025.</t>
      </is>
    </nc>
    <odxf>
      <alignment wrapText="0"/>
      <border outline="0">
        <bottom style="thin">
          <color indexed="64"/>
        </bottom>
      </border>
    </odxf>
    <ndxf>
      <alignment wrapText="1"/>
      <border outline="0">
        <bottom/>
      </border>
    </ndxf>
  </rcc>
  <rcc rId="9106" sId="5" odxf="1" dxf="1">
    <nc r="AH17" t="inlineStr">
      <is>
        <t xml:space="preserve">1. Conclusão da demanda.
17739664
2. Conclusão da demanda. 
17774356
3. Documento produzido:
E-mail de registro - Processos do Esporte arquivados nos dias 4 , 5 e 6-11-2025.
</t>
      </is>
    </nc>
    <odxf>
      <alignment wrapText="0"/>
      <border outline="0">
        <bottom style="thin">
          <color indexed="64"/>
        </bottom>
      </border>
    </odxf>
    <ndxf>
      <alignment wrapText="1"/>
      <border outline="0">
        <bottom/>
      </border>
    </ndxf>
  </rcc>
  <rcc rId="9107" sId="5" odxf="1" dxf="1">
    <nc r="AI17" t="inlineStr">
      <is>
        <t>1. Remanejamento de 20 caixas da LBA
na sala 4.47.
2. Pesquisa e busca por Pasta Funcionais para serem enviadas ao MGI.</t>
      </is>
    </nc>
    <odxf>
      <alignment wrapText="0"/>
      <border outline="0">
        <bottom style="thin">
          <color indexed="64"/>
        </bottom>
      </border>
    </odxf>
    <ndxf>
      <alignment wrapText="1"/>
      <border outline="0">
        <bottom/>
      </border>
    </ndxf>
  </rcc>
  <rcc rId="9108" sId="5" odxf="1" dxf="1">
    <nc r="AJ17" t="inlineStr">
      <is>
        <t>1. Pesquisa e busca por Pasta Funcionais para 
serem enviadas ao MGI.
2. Desarquivamento
36 pastas funcionais de servidores do MDS para o MGI.</t>
      </is>
    </nc>
    <odxf>
      <alignment wrapText="0"/>
      <border outline="0">
        <bottom style="thin">
          <color indexed="64"/>
        </bottom>
      </border>
    </odxf>
    <ndxf>
      <alignment wrapText="1"/>
      <border outline="0">
        <bottom/>
      </border>
    </ndxf>
  </rcc>
  <rcc rId="9109" sId="5" odxf="1" dxf="1">
    <nc r="AK17" t="inlineStr">
      <is>
        <t>Colagem dos espelhos das caixas da LBA.
Total: 20 caixas.</t>
      </is>
    </nc>
    <odxf>
      <alignment wrapText="0"/>
      <border outline="0">
        <left/>
        <right/>
        <top/>
      </border>
    </odxf>
    <ndxf>
      <alignment wrapText="1"/>
      <border outline="0">
        <left style="thin">
          <color auto="1"/>
        </left>
        <right style="thin">
          <color auto="1"/>
        </right>
        <top style="thin">
          <color auto="1"/>
        </top>
      </border>
    </ndxf>
  </rcc>
  <rcv guid="{86039CF8-B158-4D70-9A6F-A10C29CBD68A}" action="delete"/>
  <rdn rId="0" localSheetId="1" customView="1" name="Z_86039CF8_B158_4D70_9A6F_A10C29CBD68A_.wvu.FilterData" hidden="1" oldHidden="1">
    <formula>Patrícia!$A$1:$A$18</formula>
    <oldFormula>Patrícia!$A$1:$A$18</oldFormula>
  </rdn>
  <rdn rId="0" localSheetId="2" customView="1" name="Z_86039CF8_B158_4D70_9A6F_A10C29CBD68A_.wvu.FilterData" hidden="1" oldHidden="1">
    <formula>Marcelo!$A$1:$A$18</formula>
    <oldFormula>Marcelo!$A$1:$A$18</oldFormula>
  </rdn>
  <rdn rId="0" localSheetId="3" customView="1" name="Z_86039CF8_B158_4D70_9A6F_A10C29CBD68A_.wvu.FilterData" hidden="1" oldHidden="1">
    <formula>TOTAL!$A$1:$A$19</formula>
    <oldFormula>TOTAL!$A$1:$A$19</oldFormula>
  </rdn>
  <rdn rId="0" localSheetId="4" customView="1" name="Z_86039CF8_B158_4D70_9A6F_A10C29CBD68A_.wvu.FilterData" hidden="1" oldHidden="1">
    <formula>Diego!$A$1:$A$20</formula>
    <oldFormula>Diego!$A$1:$A$20</oldFormula>
  </rdn>
  <rdn rId="0" localSheetId="5" customView="1" name="Z_86039CF8_B158_4D70_9A6F_A10C29CBD68A_.wvu.FilterData" hidden="1" oldHidden="1">
    <formula>Aelton!$A$1:$A$19</formula>
    <oldFormula>Aelton!$A$1:$A$19</oldFormula>
  </rdn>
  <rdn rId="0" localSheetId="6" customView="1" name="Z_86039CF8_B158_4D70_9A6F_A10C29CBD68A_.wvu.FilterData" hidden="1" oldHidden="1">
    <formula>Leonam!$A$1:$BD$19</formula>
    <oldFormula>Leonam!$A$1:$BD$19</oldFormula>
  </rdn>
  <rdn rId="0" localSheetId="7" customView="1" name="Z_86039CF8_B158_4D70_9A6F_A10C29CBD68A_.wvu.FilterData" hidden="1" oldHidden="1">
    <formula>Danilo!$A$1:$A$19</formula>
    <oldFormula>Danilo!$A$1:$A$19</oldFormula>
  </rdn>
  <rdn rId="0" localSheetId="8" customView="1" name="Z_86039CF8_B158_4D70_9A6F_A10C29CBD68A_.wvu.FilterData" hidden="1" oldHidden="1">
    <formula>Marcos!$A$1:$A$19</formula>
    <oldFormula>Marcos!$A$1:$A$19</oldFormula>
  </rdn>
  <rdn rId="0" localSheetId="10" customView="1" name="Z_86039CF8_B158_4D70_9A6F_A10C29CBD68A_.wvu.FilterData" hidden="1" oldHidden="1">
    <formula>Alessandro!$A$1:$A$19</formula>
    <oldFormula>Alessandro!$A$1:$A$19</oldFormula>
  </rdn>
  <rdn rId="0" localSheetId="9" customView="1" name="Z_86039CF8_B158_4D70_9A6F_A10C29CBD68A_.wvu.FilterData" hidden="1" oldHidden="1">
    <formula>Carlos!$A$1:$A$19</formula>
    <oldFormula>Carlos!$A$1:$A$19</oldFormula>
  </rdn>
  <rcv guid="{86039CF8-B158-4D70-9A6F-A10C29CBD68A}" action="add"/>
</revisions>
</file>

<file path=xl/revisions/revisionLog1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9120" sId="5">
    <oc r="AK17" t="inlineStr">
      <is>
        <t>Colagem dos espelhos das caixas da LBA.
Total: 20 caixas.</t>
      </is>
    </oc>
    <nc r="AK17" t="inlineStr">
      <is>
        <t>Colagem dos espelhos das caixas da LBA.
Total: 19 caixas.</t>
      </is>
    </nc>
  </rcc>
</revisions>
</file>

<file path=xl/revisions/revisionLog2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9121" sId="4">
    <nc r="AJ18" t="inlineStr">
      <is>
        <t xml:space="preserve">colocando os espelhos nas caixas novas </t>
      </is>
    </nc>
  </rcc>
  <rcc rId="9122" sId="4">
    <nc r="AK15">
      <v>65</v>
    </nc>
  </rcc>
  <rcc rId="9123" sId="4">
    <nc r="AK18" t="inlineStr">
      <is>
        <t xml:space="preserve">colocando os espelhos nas caixas novas </t>
      </is>
    </nc>
  </rcc>
  <rcv guid="{20CB6D8F-C24D-4D4B-A424-AF380F620455}" action="delete"/>
  <rdn rId="0" localSheetId="1" customView="1" name="Z_20CB6D8F_C24D_4D4B_A424_AF380F620455_.wvu.FilterData" hidden="1" oldHidden="1">
    <formula>Patrícia!$A$1:$A$18</formula>
    <oldFormula>Patrícia!$A$1:$A$18</oldFormula>
  </rdn>
  <rdn rId="0" localSheetId="2" customView="1" name="Z_20CB6D8F_C24D_4D4B_A424_AF380F620455_.wvu.FilterData" hidden="1" oldHidden="1">
    <formula>Marcelo!$A$1:$A$18</formula>
    <oldFormula>Marcelo!$A$1:$A$18</oldFormula>
  </rdn>
  <rdn rId="0" localSheetId="3" customView="1" name="Z_20CB6D8F_C24D_4D4B_A424_AF380F620455_.wvu.FilterData" hidden="1" oldHidden="1">
    <formula>TOTAL!$A$1:$A$19</formula>
    <oldFormula>TOTAL!$A$1:$A$19</oldFormula>
  </rdn>
  <rdn rId="0" localSheetId="4" customView="1" name="Z_20CB6D8F_C24D_4D4B_A424_AF380F620455_.wvu.FilterData" hidden="1" oldHidden="1">
    <formula>Diego!$A$1:$A$20</formula>
    <oldFormula>Diego!$A$1:$A$20</oldFormula>
  </rdn>
  <rdn rId="0" localSheetId="5" customView="1" name="Z_20CB6D8F_C24D_4D4B_A424_AF380F620455_.wvu.FilterData" hidden="1" oldHidden="1">
    <formula>Aelton!$A$1:$A$19</formula>
    <oldFormula>Aelton!$A$1:$A$19</oldFormula>
  </rdn>
  <rdn rId="0" localSheetId="6" customView="1" name="Z_20CB6D8F_C24D_4D4B_A424_AF380F620455_.wvu.FilterData" hidden="1" oldHidden="1">
    <formula>Leonam!$A$1:$BD$19</formula>
    <oldFormula>Leonam!$A$1:$BD$19</oldFormula>
  </rdn>
  <rdn rId="0" localSheetId="7" customView="1" name="Z_20CB6D8F_C24D_4D4B_A424_AF380F620455_.wvu.FilterData" hidden="1" oldHidden="1">
    <formula>Danilo!$A$1:$A$19</formula>
    <oldFormula>Danilo!$A$1:$A$19</oldFormula>
  </rdn>
  <rdn rId="0" localSheetId="8" customView="1" name="Z_20CB6D8F_C24D_4D4B_A424_AF380F620455_.wvu.FilterData" hidden="1" oldHidden="1">
    <formula>Marcos!$A$1:$A$19</formula>
    <oldFormula>Marcos!$A$1:$A$19</oldFormula>
  </rdn>
  <rdn rId="0" localSheetId="10" customView="1" name="Z_20CB6D8F_C24D_4D4B_A424_AF380F620455_.wvu.FilterData" hidden="1" oldHidden="1">
    <formula>Alessandro!$A$1:$A$19</formula>
    <oldFormula>Alessandro!$A$1:$A$19</oldFormula>
  </rdn>
  <rdn rId="0" localSheetId="9" customView="1" name="Z_20CB6D8F_C24D_4D4B_A424_AF380F620455_.wvu.FilterData" hidden="1" oldHidden="1">
    <formula>Carlos!$A$1:$A$19</formula>
    <oldFormula>Carlos!$A$1:$A$19</oldFormula>
  </rdn>
  <rcv guid="{20CB6D8F-C24D-4D4B-A424-AF380F620455}" action="add"/>
</revisions>
</file>

<file path=xl/revisions/revisionLog2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9134" sId="6">
    <nc r="AI15">
      <v>40</v>
    </nc>
  </rcc>
  <rcc rId="9135" sId="6">
    <nc r="AK15">
      <v>65</v>
    </nc>
  </rcc>
  <rcc rId="9136" sId="6">
    <nc r="AG17">
      <v>10</v>
    </nc>
  </rcc>
  <rcc rId="9137" sId="6">
    <nc r="AH17">
      <v>25</v>
    </nc>
  </rcc>
  <rcc rId="9138" sId="6">
    <nc r="AI18" t="inlineStr">
      <is>
        <t xml:space="preserve">desarquivando pasta funcional </t>
      </is>
    </nc>
  </rcc>
  <rcc rId="9139" sId="6">
    <nc r="AJ18" t="inlineStr">
      <is>
        <t xml:space="preserve">desarquivando pasta funcional  e processos </t>
      </is>
    </nc>
  </rcc>
  <rcc rId="9140" sId="6">
    <nc r="AK18" t="inlineStr">
      <is>
        <t xml:space="preserve">desarquivando processos </t>
      </is>
    </nc>
  </rcc>
  <rcc rId="9141" sId="6">
    <nc r="AK2">
      <v>7</v>
    </nc>
  </rcc>
  <rcc rId="9142" sId="6">
    <nc r="AG18" t="inlineStr">
      <is>
        <t>TROCANDO CAIXAS NO ARQUIVO</t>
      </is>
    </nc>
  </rcc>
  <rcc rId="9143" sId="6">
    <nc r="AH18" t="inlineStr">
      <is>
        <t xml:space="preserve">TROCANDO CAIXAS NO ARQUIVO  </t>
      </is>
    </nc>
  </rcc>
  <rcc rId="9144" sId="6">
    <nc r="AJ2">
      <v>6</v>
    </nc>
  </rcc>
  <rcc rId="9145" sId="6">
    <nc r="AI2">
      <v>4</v>
    </nc>
  </rcc>
  <rcv guid="{9B623083-AA7B-440B-95EA-C33E1AB3D963}" action="delete"/>
  <rdn rId="0" localSheetId="1" customView="1" name="Z_9B623083_AA7B_440B_95EA_C33E1AB3D963_.wvu.FilterData" hidden="1" oldHidden="1">
    <formula>Patrícia!$A$1:$A$18</formula>
    <oldFormula>Patrícia!$A$1:$A$18</oldFormula>
  </rdn>
  <rdn rId="0" localSheetId="2" customView="1" name="Z_9B623083_AA7B_440B_95EA_C33E1AB3D963_.wvu.FilterData" hidden="1" oldHidden="1">
    <formula>Marcelo!$A$1:$A$18</formula>
    <oldFormula>Marcelo!$A$1:$A$18</oldFormula>
  </rdn>
  <rdn rId="0" localSheetId="3" customView="1" name="Z_9B623083_AA7B_440B_95EA_C33E1AB3D963_.wvu.FilterData" hidden="1" oldHidden="1">
    <formula>TOTAL!$A$1:$A$19</formula>
    <oldFormula>TOTAL!$A$1:$A$19</oldFormula>
  </rdn>
  <rdn rId="0" localSheetId="4" customView="1" name="Z_9B623083_AA7B_440B_95EA_C33E1AB3D963_.wvu.FilterData" hidden="1" oldHidden="1">
    <formula>Diego!$A$1:$A$20</formula>
    <oldFormula>Diego!$A$1:$A$20</oldFormula>
  </rdn>
  <rdn rId="0" localSheetId="5" customView="1" name="Z_9B623083_AA7B_440B_95EA_C33E1AB3D963_.wvu.FilterData" hidden="1" oldHidden="1">
    <formula>Aelton!$A$1:$A$19</formula>
    <oldFormula>Aelton!$A$1:$A$19</oldFormula>
  </rdn>
  <rdn rId="0" localSheetId="6" customView="1" name="Z_9B623083_AA7B_440B_95EA_C33E1AB3D963_.wvu.FilterData" hidden="1" oldHidden="1">
    <formula>Leonam!$A$1:$BD$19</formula>
    <oldFormula>Leonam!$A$1:$BD$19</oldFormula>
  </rdn>
  <rdn rId="0" localSheetId="7" customView="1" name="Z_9B623083_AA7B_440B_95EA_C33E1AB3D963_.wvu.FilterData" hidden="1" oldHidden="1">
    <formula>Danilo!$A$1:$A$19</formula>
    <oldFormula>Danilo!$A$1:$A$19</oldFormula>
  </rdn>
  <rdn rId="0" localSheetId="8" customView="1" name="Z_9B623083_AA7B_440B_95EA_C33E1AB3D963_.wvu.FilterData" hidden="1" oldHidden="1">
    <formula>Marcos!$A$1:$A$19</formula>
    <oldFormula>Marcos!$A$1:$A$19</oldFormula>
  </rdn>
  <rdn rId="0" localSheetId="10" customView="1" name="Z_9B623083_AA7B_440B_95EA_C33E1AB3D963_.wvu.FilterData" hidden="1" oldHidden="1">
    <formula>Alessandro!$A$1:$A$19</formula>
    <oldFormula>Alessandro!$A$1:$A$19</oldFormula>
  </rdn>
  <rdn rId="0" localSheetId="9" customView="1" name="Z_9B623083_AA7B_440B_95EA_C33E1AB3D963_.wvu.FilterData" hidden="1" oldHidden="1">
    <formula>Carlos!$A$1:$A$19</formula>
    <oldFormula>Carlos!$A$1:$A$19</oldFormula>
  </rdn>
  <rcv guid="{9B623083-AA7B-440B-95EA-C33E1AB3D963}" action="add"/>
</revisions>
</file>

<file path=xl/revisions/revisionLog2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9156" sId="7">
    <nc r="AG18" t="inlineStr">
      <is>
        <t xml:space="preserve">TROCANDO CAIXAS NO ARQUIVO 10 , </t>
      </is>
    </nc>
  </rcc>
  <rcc rId="9157" sId="7">
    <nc r="AH18" t="inlineStr">
      <is>
        <t xml:space="preserve">TROCANDO CAIXAS NO ARQUIVO 10 , </t>
      </is>
    </nc>
  </rcc>
  <rcc rId="9158" sId="7">
    <nc r="AI18" t="inlineStr">
      <is>
        <t xml:space="preserve">colocando os espelhos nas caixas novas </t>
      </is>
    </nc>
  </rcc>
  <rcc rId="9159" sId="7">
    <nc r="AJ18" t="inlineStr">
      <is>
        <t xml:space="preserve">colocando os espelhos nas caixas novas </t>
      </is>
    </nc>
  </rcc>
  <rcc rId="9160" sId="7">
    <nc r="AK18" t="inlineStr">
      <is>
        <t xml:space="preserve">colocando os espelhos nas caixas novas </t>
      </is>
    </nc>
  </rcc>
  <rcc rId="9161" sId="7">
    <nc r="AJ3">
      <v>35</v>
    </nc>
  </rcc>
  <rcc rId="9162" sId="7">
    <nc r="AG17">
      <v>10</v>
    </nc>
  </rcc>
  <rcc rId="9163" sId="7">
    <nc r="AH17">
      <v>10</v>
    </nc>
  </rcc>
  <rcc rId="9164" sId="7">
    <nc r="AK3">
      <v>10</v>
    </nc>
  </rcc>
  <rcv guid="{B3CDE377-BA5D-4E06-91D9-3A48E1959BA5}" action="delete"/>
  <rdn rId="0" localSheetId="1" customView="1" name="Z_B3CDE377_BA5D_4E06_91D9_3A48E1959BA5_.wvu.FilterData" hidden="1" oldHidden="1">
    <formula>Patrícia!$A$1:$A$18</formula>
    <oldFormula>Patrícia!$A$1:$A$18</oldFormula>
  </rdn>
  <rdn rId="0" localSheetId="2" customView="1" name="Z_B3CDE377_BA5D_4E06_91D9_3A48E1959BA5_.wvu.FilterData" hidden="1" oldHidden="1">
    <formula>Marcelo!$A$1:$A$18</formula>
    <oldFormula>Marcelo!$A$1:$A$18</oldFormula>
  </rdn>
  <rdn rId="0" localSheetId="3" customView="1" name="Z_B3CDE377_BA5D_4E06_91D9_3A48E1959BA5_.wvu.FilterData" hidden="1" oldHidden="1">
    <formula>TOTAL!$A$1:$A$19</formula>
    <oldFormula>TOTAL!$A$1:$A$19</oldFormula>
  </rdn>
  <rdn rId="0" localSheetId="4" customView="1" name="Z_B3CDE377_BA5D_4E06_91D9_3A48E1959BA5_.wvu.FilterData" hidden="1" oldHidden="1">
    <formula>Diego!$A$1:$A$20</formula>
    <oldFormula>Diego!$A$1:$A$20</oldFormula>
  </rdn>
  <rdn rId="0" localSheetId="5" customView="1" name="Z_B3CDE377_BA5D_4E06_91D9_3A48E1959BA5_.wvu.FilterData" hidden="1" oldHidden="1">
    <formula>Aelton!$A$1:$A$19</formula>
    <oldFormula>Aelton!$A$1:$A$19</oldFormula>
  </rdn>
  <rdn rId="0" localSheetId="6" customView="1" name="Z_B3CDE377_BA5D_4E06_91D9_3A48E1959BA5_.wvu.FilterData" hidden="1" oldHidden="1">
    <formula>Leonam!$A$1:$BD$19</formula>
    <oldFormula>Leonam!$A$1:$BD$19</oldFormula>
  </rdn>
  <rdn rId="0" localSheetId="7" customView="1" name="Z_B3CDE377_BA5D_4E06_91D9_3A48E1959BA5_.wvu.FilterData" hidden="1" oldHidden="1">
    <formula>Danilo!$A$1:$A$19</formula>
    <oldFormula>Danilo!$A$1:$A$19</oldFormula>
  </rdn>
  <rdn rId="0" localSheetId="8" customView="1" name="Z_B3CDE377_BA5D_4E06_91D9_3A48E1959BA5_.wvu.FilterData" hidden="1" oldHidden="1">
    <formula>Marcos!$A$1:$A$19</formula>
    <oldFormula>Marcos!$A$1:$A$19</oldFormula>
  </rdn>
  <rdn rId="0" localSheetId="10" customView="1" name="Z_B3CDE377_BA5D_4E06_91D9_3A48E1959BA5_.wvu.FilterData" hidden="1" oldHidden="1">
    <formula>Alessandro!$A$1:$A$19</formula>
    <oldFormula>Alessandro!$A$1:$A$19</oldFormula>
  </rdn>
  <rdn rId="0" localSheetId="9" customView="1" name="Z_B3CDE377_BA5D_4E06_91D9_3A48E1959BA5_.wvu.FilterData" hidden="1" oldHidden="1">
    <formula>Carlos!$A$1:$A$19</formula>
    <oldFormula>Carlos!$A$1:$A$19</oldFormula>
  </rdn>
  <rcv guid="{B3CDE377-BA5D-4E06-91D9-3A48E1959BA5}" action="add"/>
</revisions>
</file>

<file path=xl/revisions/revisionLog2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9248" sId="4">
    <nc r="AP18" t="inlineStr">
      <is>
        <t>FERIADO</t>
      </is>
    </nc>
  </rcc>
  <rcc rId="9249" sId="4">
    <nc r="AQ18" t="inlineStr">
      <is>
        <t>FOLGA</t>
      </is>
    </nc>
  </rcc>
  <rcc rId="9250" sId="4">
    <nc r="AO18" t="inlineStr">
      <is>
        <t>PROCURANDO PASTAS UNCIONAIS</t>
      </is>
    </nc>
  </rcc>
  <rfmt sheetId="4" sqref="AO18">
    <dxf>
      <alignment wrapText="1"/>
    </dxf>
  </rfmt>
  <rcv guid="{20CB6D8F-C24D-4D4B-A424-AF380F620455}" action="delete"/>
  <rdn rId="0" localSheetId="1" customView="1" name="Z_20CB6D8F_C24D_4D4B_A424_AF380F620455_.wvu.FilterData" hidden="1" oldHidden="1">
    <formula>Patrícia!$A$1:$A$18</formula>
    <oldFormula>Patrícia!$A$1:$A$18</oldFormula>
  </rdn>
  <rdn rId="0" localSheetId="2" customView="1" name="Z_20CB6D8F_C24D_4D4B_A424_AF380F620455_.wvu.FilterData" hidden="1" oldHidden="1">
    <formula>Marcelo!$A$1:$A$18</formula>
    <oldFormula>Marcelo!$A$1:$A$18</oldFormula>
  </rdn>
  <rdn rId="0" localSheetId="3" customView="1" name="Z_20CB6D8F_C24D_4D4B_A424_AF380F620455_.wvu.FilterData" hidden="1" oldHidden="1">
    <formula>TOTAL!$A$1:$A$19</formula>
    <oldFormula>TOTAL!$A$1:$A$19</oldFormula>
  </rdn>
  <rdn rId="0" localSheetId="4" customView="1" name="Z_20CB6D8F_C24D_4D4B_A424_AF380F620455_.wvu.FilterData" hidden="1" oldHidden="1">
    <formula>Diego!$A$1:$A$20</formula>
    <oldFormula>Diego!$A$1:$A$20</oldFormula>
  </rdn>
  <rdn rId="0" localSheetId="5" customView="1" name="Z_20CB6D8F_C24D_4D4B_A424_AF380F620455_.wvu.FilterData" hidden="1" oldHidden="1">
    <formula>Aelton!$A$1:$A$19</formula>
    <oldFormula>Aelton!$A$1:$A$19</oldFormula>
  </rdn>
  <rdn rId="0" localSheetId="6" customView="1" name="Z_20CB6D8F_C24D_4D4B_A424_AF380F620455_.wvu.FilterData" hidden="1" oldHidden="1">
    <formula>Leonam!$A$1:$BD$19</formula>
    <oldFormula>Leonam!$A$1:$BD$19</oldFormula>
  </rdn>
  <rdn rId="0" localSheetId="7" customView="1" name="Z_20CB6D8F_C24D_4D4B_A424_AF380F620455_.wvu.FilterData" hidden="1" oldHidden="1">
    <formula>Danilo!$A$1:$A$19</formula>
    <oldFormula>Danilo!$A$1:$A$19</oldFormula>
  </rdn>
  <rdn rId="0" localSheetId="8" customView="1" name="Z_20CB6D8F_C24D_4D4B_A424_AF380F620455_.wvu.FilterData" hidden="1" oldHidden="1">
    <formula>Marcos!$A$1:$A$19</formula>
    <oldFormula>Marcos!$A$1:$A$19</oldFormula>
  </rdn>
  <rdn rId="0" localSheetId="10" customView="1" name="Z_20CB6D8F_C24D_4D4B_A424_AF380F620455_.wvu.FilterData" hidden="1" oldHidden="1">
    <formula>Alessandro!$A$1:$A$19</formula>
    <oldFormula>Alessandro!$A$1:$A$19</oldFormula>
  </rdn>
  <rdn rId="0" localSheetId="9" customView="1" name="Z_20CB6D8F_C24D_4D4B_A424_AF380F620455_.wvu.FilterData" hidden="1" oldHidden="1">
    <formula>Carlos!$A$1:$A$19</formula>
    <oldFormula>Carlos!$A$1:$A$19</oldFormula>
  </rdn>
  <rcv guid="{20CB6D8F-C24D-4D4B-A424-AF380F620455}" action="add"/>
</revisions>
</file>

<file path=xl/revisions/revisionLog2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9424" sId="4">
    <nc r="AV3">
      <v>1</v>
    </nc>
  </rcc>
  <rcc rId="9425" sId="4">
    <nc r="AV4">
      <v>1</v>
    </nc>
  </rcc>
  <rcc rId="9426" sId="4">
    <nc r="AV13">
      <v>1</v>
    </nc>
  </rcc>
  <rcc rId="9427" sId="4">
    <nc r="AV18" t="inlineStr">
      <is>
        <t xml:space="preserve">trocando as caxas do arquivo </t>
      </is>
    </nc>
  </rcc>
  <rcv guid="{20CB6D8F-C24D-4D4B-A424-AF380F620455}" action="delete"/>
  <rdn rId="0" localSheetId="1" customView="1" name="Z_20CB6D8F_C24D_4D4B_A424_AF380F620455_.wvu.FilterData" hidden="1" oldHidden="1">
    <formula>Patrícia!$A$1:$A$18</formula>
    <oldFormula>Patrícia!$A$1:$A$18</oldFormula>
  </rdn>
  <rdn rId="0" localSheetId="2" customView="1" name="Z_20CB6D8F_C24D_4D4B_A424_AF380F620455_.wvu.FilterData" hidden="1" oldHidden="1">
    <formula>Marcelo!$A$1:$A$18</formula>
    <oldFormula>Marcelo!$A$1:$A$18</oldFormula>
  </rdn>
  <rdn rId="0" localSheetId="3" customView="1" name="Z_20CB6D8F_C24D_4D4B_A424_AF380F620455_.wvu.FilterData" hidden="1" oldHidden="1">
    <formula>TOTAL!$A$1:$A$19</formula>
    <oldFormula>TOTAL!$A$1:$A$19</oldFormula>
  </rdn>
  <rdn rId="0" localSheetId="4" customView="1" name="Z_20CB6D8F_C24D_4D4B_A424_AF380F620455_.wvu.FilterData" hidden="1" oldHidden="1">
    <formula>Diego!$A$1:$A$20</formula>
    <oldFormula>Diego!$A$1:$A$20</oldFormula>
  </rdn>
  <rdn rId="0" localSheetId="5" customView="1" name="Z_20CB6D8F_C24D_4D4B_A424_AF380F620455_.wvu.FilterData" hidden="1" oldHidden="1">
    <formula>Aelton!$A$1:$A$19</formula>
    <oldFormula>Aelton!$A$1:$A$19</oldFormula>
  </rdn>
  <rdn rId="0" localSheetId="6" customView="1" name="Z_20CB6D8F_C24D_4D4B_A424_AF380F620455_.wvu.FilterData" hidden="1" oldHidden="1">
    <formula>Leonam!$A$1:$BD$19</formula>
    <oldFormula>Leonam!$A$1:$BD$19</oldFormula>
  </rdn>
  <rdn rId="0" localSheetId="7" customView="1" name="Z_20CB6D8F_C24D_4D4B_A424_AF380F620455_.wvu.FilterData" hidden="1" oldHidden="1">
    <formula>Danilo!$A$1:$A$19</formula>
    <oldFormula>Danilo!$A$1:$A$19</oldFormula>
  </rdn>
  <rdn rId="0" localSheetId="8" customView="1" name="Z_20CB6D8F_C24D_4D4B_A424_AF380F620455_.wvu.FilterData" hidden="1" oldHidden="1">
    <formula>Marcos!$A$1:$A$19</formula>
    <oldFormula>Marcos!$A$1:$A$19</oldFormula>
  </rdn>
  <rdn rId="0" localSheetId="10" customView="1" name="Z_20CB6D8F_C24D_4D4B_A424_AF380F620455_.wvu.FilterData" hidden="1" oldHidden="1">
    <formula>Alessandro!$A$1:$A$19</formula>
    <oldFormula>Alessandro!$A$1:$A$19</oldFormula>
  </rdn>
  <rdn rId="0" localSheetId="9" customView="1" name="Z_20CB6D8F_C24D_4D4B_A424_AF380F620455_.wvu.FilterData" hidden="1" oldHidden="1">
    <formula>Carlos!$A$1:$A$19</formula>
    <oldFormula>Carlos!$A$1:$A$19</oldFormula>
  </rdn>
  <rcv guid="{20CB6D8F-C24D-4D4B-A424-AF380F620455}" action="add"/>
</revisions>
</file>

<file path=xl/revisions/revisionLog2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9438" sId="8" odxf="1" dxf="1">
    <nc r="AO18" t="inlineStr">
      <is>
        <t>PROCURANDO PASTAS UNCIONAIS</t>
      </is>
    </nc>
    <odxf>
      <alignment wrapText="0"/>
    </odxf>
    <ndxf>
      <alignment wrapText="1"/>
    </ndxf>
  </rcc>
  <rcc rId="9439" sId="8">
    <nc r="AP18" t="inlineStr">
      <is>
        <t>FERIADO</t>
      </is>
    </nc>
  </rcc>
  <rcc rId="9440" sId="8">
    <nc r="AQ18" t="inlineStr">
      <is>
        <t>FOLGA</t>
      </is>
    </nc>
  </rcc>
  <rcc rId="9441" sId="8">
    <nc r="AN18" t="inlineStr">
      <is>
        <t>LEITURA DO MODULO 15 DA SALA 3.71</t>
      </is>
    </nc>
  </rcc>
  <rcv guid="{20CB6D8F-C24D-4D4B-A424-AF380F620455}" action="delete"/>
  <rdn rId="0" localSheetId="1" customView="1" name="Z_20CB6D8F_C24D_4D4B_A424_AF380F620455_.wvu.FilterData" hidden="1" oldHidden="1">
    <formula>Patrícia!$A$1:$A$18</formula>
    <oldFormula>Patrícia!$A$1:$A$18</oldFormula>
  </rdn>
  <rdn rId="0" localSheetId="2" customView="1" name="Z_20CB6D8F_C24D_4D4B_A424_AF380F620455_.wvu.FilterData" hidden="1" oldHidden="1">
    <formula>Marcelo!$A$1:$A$18</formula>
    <oldFormula>Marcelo!$A$1:$A$18</oldFormula>
  </rdn>
  <rdn rId="0" localSheetId="3" customView="1" name="Z_20CB6D8F_C24D_4D4B_A424_AF380F620455_.wvu.FilterData" hidden="1" oldHidden="1">
    <formula>TOTAL!$A$1:$A$19</formula>
    <oldFormula>TOTAL!$A$1:$A$19</oldFormula>
  </rdn>
  <rdn rId="0" localSheetId="4" customView="1" name="Z_20CB6D8F_C24D_4D4B_A424_AF380F620455_.wvu.FilterData" hidden="1" oldHidden="1">
    <formula>Diego!$A$1:$A$20</formula>
    <oldFormula>Diego!$A$1:$A$20</oldFormula>
  </rdn>
  <rdn rId="0" localSheetId="5" customView="1" name="Z_20CB6D8F_C24D_4D4B_A424_AF380F620455_.wvu.FilterData" hidden="1" oldHidden="1">
    <formula>Aelton!$A$1:$A$19</formula>
    <oldFormula>Aelton!$A$1:$A$19</oldFormula>
  </rdn>
  <rdn rId="0" localSheetId="6" customView="1" name="Z_20CB6D8F_C24D_4D4B_A424_AF380F620455_.wvu.FilterData" hidden="1" oldHidden="1">
    <formula>Leonam!$A$1:$BD$19</formula>
    <oldFormula>Leonam!$A$1:$BD$19</oldFormula>
  </rdn>
  <rdn rId="0" localSheetId="7" customView="1" name="Z_20CB6D8F_C24D_4D4B_A424_AF380F620455_.wvu.FilterData" hidden="1" oldHidden="1">
    <formula>Danilo!$A$1:$A$19</formula>
    <oldFormula>Danilo!$A$1:$A$19</oldFormula>
  </rdn>
  <rdn rId="0" localSheetId="8" customView="1" name="Z_20CB6D8F_C24D_4D4B_A424_AF380F620455_.wvu.FilterData" hidden="1" oldHidden="1">
    <formula>Marcos!$A$1:$A$19</formula>
    <oldFormula>Marcos!$A$1:$A$19</oldFormula>
  </rdn>
  <rdn rId="0" localSheetId="10" customView="1" name="Z_20CB6D8F_C24D_4D4B_A424_AF380F620455_.wvu.FilterData" hidden="1" oldHidden="1">
    <formula>Alessandro!$A$1:$A$19</formula>
    <oldFormula>Alessandro!$A$1:$A$19</oldFormula>
  </rdn>
  <rdn rId="0" localSheetId="9" customView="1" name="Z_20CB6D8F_C24D_4D4B_A424_AF380F620455_.wvu.FilterData" hidden="1" oldHidden="1">
    <formula>Carlos!$A$1:$A$19</formula>
    <oldFormula>Carlos!$A$1:$A$19</oldFormula>
  </rdn>
  <rcv guid="{20CB6D8F-C24D-4D4B-A424-AF380F620455}" action="add"/>
</revisions>
</file>

<file path=xl/revisions/revisionLog2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9452" sId="8">
    <nc r="AS16">
      <v>20</v>
    </nc>
  </rcc>
  <rcc rId="9453" sId="8">
    <nc r="AT18" t="inlineStr">
      <is>
        <t>fazendo resumo da reunião sobre os processos perdidos</t>
      </is>
    </nc>
  </rcc>
  <rcc rId="9454" sId="8" odxf="1" dxf="1">
    <nc r="AU18" t="inlineStr">
      <is>
        <t xml:space="preserve">reunião sobre os processos, buscando pasta funcionais </t>
      </is>
    </nc>
    <odxf>
      <alignment wrapText="0"/>
    </odxf>
    <ndxf>
      <alignment wrapText="1"/>
    </ndxf>
  </rcc>
  <rcc rId="9455" sId="8">
    <nc r="AV18" t="inlineStr">
      <is>
        <t xml:space="preserve">trocando as caxas do arquivo </t>
      </is>
    </nc>
  </rcc>
  <rcc rId="9456" sId="8">
    <oc r="AO18" t="inlineStr">
      <is>
        <t>PROCURANDO PASTAS UNCIONAIS</t>
      </is>
    </oc>
    <nc r="AO18" t="inlineStr">
      <is>
        <t>PROCURANDO PASTAS FUNCIONAIS</t>
      </is>
    </nc>
  </rcc>
  <rcc rId="9457" sId="8" odxf="1" dxf="1">
    <oc r="AP18" t="inlineStr">
      <is>
        <t>FERIADO</t>
      </is>
    </oc>
    <nc r="AP18" t="inlineStr">
      <is>
        <t>PROCURANDO PASTAS FUNCIONAIS</t>
      </is>
    </nc>
    <ndxf>
      <alignment wrapText="1"/>
    </ndxf>
  </rcc>
  <rcv guid="{20CB6D8F-C24D-4D4B-A424-AF380F620455}" action="delete"/>
  <rdn rId="0" localSheetId="1" customView="1" name="Z_20CB6D8F_C24D_4D4B_A424_AF380F620455_.wvu.FilterData" hidden="1" oldHidden="1">
    <formula>Patrícia!$A$1:$A$18</formula>
    <oldFormula>Patrícia!$A$1:$A$18</oldFormula>
  </rdn>
  <rdn rId="0" localSheetId="2" customView="1" name="Z_20CB6D8F_C24D_4D4B_A424_AF380F620455_.wvu.FilterData" hidden="1" oldHidden="1">
    <formula>Marcelo!$A$1:$A$18</formula>
    <oldFormula>Marcelo!$A$1:$A$18</oldFormula>
  </rdn>
  <rdn rId="0" localSheetId="3" customView="1" name="Z_20CB6D8F_C24D_4D4B_A424_AF380F620455_.wvu.FilterData" hidden="1" oldHidden="1">
    <formula>TOTAL!$A$1:$A$19</formula>
    <oldFormula>TOTAL!$A$1:$A$19</oldFormula>
  </rdn>
  <rdn rId="0" localSheetId="4" customView="1" name="Z_20CB6D8F_C24D_4D4B_A424_AF380F620455_.wvu.FilterData" hidden="1" oldHidden="1">
    <formula>Diego!$A$1:$A$20</formula>
    <oldFormula>Diego!$A$1:$A$20</oldFormula>
  </rdn>
  <rdn rId="0" localSheetId="5" customView="1" name="Z_20CB6D8F_C24D_4D4B_A424_AF380F620455_.wvu.FilterData" hidden="1" oldHidden="1">
    <formula>Aelton!$A$1:$A$19</formula>
    <oldFormula>Aelton!$A$1:$A$19</oldFormula>
  </rdn>
  <rdn rId="0" localSheetId="6" customView="1" name="Z_20CB6D8F_C24D_4D4B_A424_AF380F620455_.wvu.FilterData" hidden="1" oldHidden="1">
    <formula>Leonam!$A$1:$BD$19</formula>
    <oldFormula>Leonam!$A$1:$BD$19</oldFormula>
  </rdn>
  <rdn rId="0" localSheetId="7" customView="1" name="Z_20CB6D8F_C24D_4D4B_A424_AF380F620455_.wvu.FilterData" hidden="1" oldHidden="1">
    <formula>Danilo!$A$1:$A$19</formula>
    <oldFormula>Danilo!$A$1:$A$19</oldFormula>
  </rdn>
  <rdn rId="0" localSheetId="8" customView="1" name="Z_20CB6D8F_C24D_4D4B_A424_AF380F620455_.wvu.FilterData" hidden="1" oldHidden="1">
    <formula>Marcos!$A$1:$A$19</formula>
    <oldFormula>Marcos!$A$1:$A$19</oldFormula>
  </rdn>
  <rdn rId="0" localSheetId="10" customView="1" name="Z_20CB6D8F_C24D_4D4B_A424_AF380F620455_.wvu.FilterData" hidden="1" oldHidden="1">
    <formula>Alessandro!$A$1:$A$19</formula>
    <oldFormula>Alessandro!$A$1:$A$19</oldFormula>
  </rdn>
  <rdn rId="0" localSheetId="9" customView="1" name="Z_20CB6D8F_C24D_4D4B_A424_AF380F620455_.wvu.FilterData" hidden="1" oldHidden="1">
    <formula>Carlos!$A$1:$A$19</formula>
    <oldFormula>Carlos!$A$1:$A$19</oldFormula>
  </rdn>
  <rcv guid="{20CB6D8F-C24D-4D4B-A424-AF380F620455}" action="add"/>
</revisions>
</file>

<file path=xl/revisions/revisionLog2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9468" sId="4">
    <oc r="AO18" t="inlineStr">
      <is>
        <t>PROCURANDO PASTAS UNCIONAIS</t>
      </is>
    </oc>
    <nc r="AO18" t="inlineStr">
      <is>
        <t>PROCURANDO PASTAS FUNCIONAIS</t>
      </is>
    </nc>
  </rcc>
</revisions>
</file>

<file path=xl/revisions/revisionLog2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674" sId="7">
    <nc r="O17" t="inlineStr">
      <is>
        <t xml:space="preserve"> Pesquisa e busca por 
processo do MESP.</t>
      </is>
    </nc>
  </rcc>
  <rcc rId="7675" sId="7">
    <nc r="P17" t="inlineStr">
      <is>
        <t xml:space="preserve"> Pesquisa e busca por 
processo do MESP.</t>
      </is>
    </nc>
  </rcc>
  <rcc rId="7676" sId="7">
    <nc r="Q17" t="inlineStr">
      <is>
        <t xml:space="preserve"> Pesquisa e busca por 
processo do MESP.</t>
      </is>
    </nc>
  </rcc>
  <rcc rId="7677" sId="7">
    <nc r="R17" t="inlineStr">
      <is>
        <t xml:space="preserve"> Pesquisa e busca por 
processo do MESP.</t>
      </is>
    </nc>
  </rcc>
  <rcc rId="7678" sId="7">
    <nc r="S17" t="inlineStr">
      <is>
        <t xml:space="preserve"> Pesquisa e busca por 
processo do MESP.</t>
      </is>
    </nc>
  </rcc>
  <rfmt sheetId="7" sqref="T17" start="0" length="0">
    <dxf>
      <alignment wrapText="1"/>
    </dxf>
  </rfmt>
  <rcv guid="{B3CDE377-BA5D-4E06-91D9-3A48E1959BA5}" action="delete"/>
  <rdn rId="0" localSheetId="1" customView="1" name="Z_B3CDE377_BA5D_4E06_91D9_3A48E1959BA5_.wvu.FilterData" hidden="1" oldHidden="1">
    <formula>Patrícia!$A$1:$A$18</formula>
    <oldFormula>Patrícia!$A$1:$A$18</oldFormula>
  </rdn>
  <rdn rId="0" localSheetId="2" customView="1" name="Z_B3CDE377_BA5D_4E06_91D9_3A48E1959BA5_.wvu.FilterData" hidden="1" oldHidden="1">
    <formula>Marcelo!$A$1:$A$18</formula>
    <oldFormula>Marcelo!$A$1:$A$18</oldFormula>
  </rdn>
  <rdn rId="0" localSheetId="3" customView="1" name="Z_B3CDE377_BA5D_4E06_91D9_3A48E1959BA5_.wvu.FilterData" hidden="1" oldHidden="1">
    <formula>TOTAL!$A$1:$A$18</formula>
    <oldFormula>TOTAL!$A$1:$A$18</oldFormula>
  </rdn>
  <rdn rId="0" localSheetId="4" customView="1" name="Z_B3CDE377_BA5D_4E06_91D9_3A48E1959BA5_.wvu.FilterData" hidden="1" oldHidden="1">
    <formula>Diego!$A$1:$A$18</formula>
    <oldFormula>Diego!$A$1:$A$18</oldFormula>
  </rdn>
  <rdn rId="0" localSheetId="5" customView="1" name="Z_B3CDE377_BA5D_4E06_91D9_3A48E1959BA5_.wvu.FilterData" hidden="1" oldHidden="1">
    <formula>Aelton!$A$1:$A$18</formula>
    <oldFormula>Aelton!$A$1:$A$18</oldFormula>
  </rdn>
  <rdn rId="0" localSheetId="6" customView="1" name="Z_B3CDE377_BA5D_4E06_91D9_3A48E1959BA5_.wvu.FilterData" hidden="1" oldHidden="1">
    <formula>Leonam!$A$1:$BD$18</formula>
    <oldFormula>Leonam!$A$1:$BD$18</oldFormula>
  </rdn>
  <rdn rId="0" localSheetId="7" customView="1" name="Z_B3CDE377_BA5D_4E06_91D9_3A48E1959BA5_.wvu.FilterData" hidden="1" oldHidden="1">
    <formula>Danilo!$A$1:$A$18</formula>
    <oldFormula>Danilo!$A$1:$A$18</oldFormula>
  </rdn>
  <rdn rId="0" localSheetId="8" customView="1" name="Z_B3CDE377_BA5D_4E06_91D9_3A48E1959BA5_.wvu.FilterData" hidden="1" oldHidden="1">
    <formula>Marcos!$A$1:$A$18</formula>
    <oldFormula>Marcos!$A$1:$A$18</oldFormula>
  </rdn>
  <rdn rId="0" localSheetId="10" customView="1" name="Z_B3CDE377_BA5D_4E06_91D9_3A48E1959BA5_.wvu.FilterData" hidden="1" oldHidden="1">
    <formula>Alessandro!$A$1:$A$18</formula>
    <oldFormula>Alessandro!$A$1:$A$18</oldFormula>
  </rdn>
  <rdn rId="0" localSheetId="9" customView="1" name="Z_B3CDE377_BA5D_4E06_91D9_3A48E1959BA5_.wvu.FilterData" hidden="1" oldHidden="1">
    <formula>Carlos!$A$1:$A$18</formula>
    <oldFormula>Carlos!$A$1:$A$18</oldFormula>
  </rdn>
  <rcv guid="{B3CDE377-BA5D-4E06-91D9-3A48E1959BA5}" action="add"/>
</revisions>
</file>

<file path=xl/revisions/revisionLog2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m rId="7689" sheetId="6" source="AM17:AQ17" destination="O17:S17" sourceSheetId="6">
    <rfmt sheetId="6" sqref="O17" start="0" length="0">
      <dxf>
        <alignment horizontal="center" vertical="center" wrapText="1"/>
      </dxf>
    </rfmt>
    <rfmt sheetId="6" sqref="P17" start="0" length="0">
      <dxf>
        <alignment horizontal="center" vertical="center" wrapText="1"/>
      </dxf>
    </rfmt>
    <rfmt sheetId="6" sqref="Q17" start="0" length="0">
      <dxf>
        <alignment horizontal="center" vertical="center" wrapText="1"/>
      </dxf>
    </rfmt>
    <rfmt sheetId="6" sqref="R17" start="0" length="0">
      <dxf>
        <alignment horizontal="center" vertical="center" wrapText="1"/>
      </dxf>
    </rfmt>
    <rfmt sheetId="6" sqref="S17" start="0" length="0">
      <dxf>
        <alignment horizontal="center" vertical="center" wrapText="1"/>
      </dxf>
    </rfmt>
  </rm>
  <rm rId="7690" sheetId="6" source="O17:S17" destination="I17:M17" sourceSheetId="6">
    <rfmt sheetId="6" sqref="I17" start="0" length="0">
      <dxf>
        <alignment horizontal="center" vertical="center" wrapText="1"/>
      </dxf>
    </rfmt>
    <rfmt sheetId="6" sqref="J17" start="0" length="0">
      <dxf>
        <alignment horizontal="center" vertical="center" wrapText="1"/>
      </dxf>
    </rfmt>
    <rfmt sheetId="6" sqref="K17" start="0" length="0">
      <dxf>
        <alignment horizontal="center" vertical="center" wrapText="1"/>
      </dxf>
    </rfmt>
    <rfmt sheetId="6" sqref="L17" start="0" length="0">
      <dxf>
        <alignment horizontal="center" vertical="center" wrapText="1"/>
      </dxf>
    </rfmt>
    <rfmt sheetId="6" sqref="M17" start="0" length="0">
      <dxf>
        <alignment horizontal="center" vertical="center" wrapText="1"/>
      </dxf>
    </rfmt>
  </rm>
  <rcc rId="7691" sId="6" odxf="1" dxf="1">
    <nc r="O17" t="inlineStr">
      <is>
        <t xml:space="preserve"> Pesquisa e busca por 
processo do MESP.</t>
      </is>
    </nc>
    <odxf>
      <alignment wrapText="0"/>
    </odxf>
    <ndxf>
      <alignment wrapText="1"/>
    </ndxf>
  </rcc>
  <rcc rId="7692" sId="6" odxf="1" dxf="1">
    <nc r="P17" t="inlineStr">
      <is>
        <t xml:space="preserve"> Pesquisa e busca por 
processo do MESP.</t>
      </is>
    </nc>
    <odxf>
      <alignment wrapText="0"/>
    </odxf>
    <ndxf>
      <alignment wrapText="1"/>
    </ndxf>
  </rcc>
  <rcc rId="7693" sId="6" odxf="1" dxf="1">
    <nc r="Q17" t="inlineStr">
      <is>
        <t xml:space="preserve"> Pesquisa e busca por 
processo do MESP.</t>
      </is>
    </nc>
    <odxf>
      <alignment wrapText="0"/>
    </odxf>
    <ndxf>
      <alignment wrapText="1"/>
    </ndxf>
  </rcc>
  <rcc rId="7694" sId="6" odxf="1" dxf="1">
    <nc r="R17" t="inlineStr">
      <is>
        <t xml:space="preserve"> Pesquisa e busca por 
processo do MESP.</t>
      </is>
    </nc>
    <odxf>
      <alignment wrapText="0"/>
    </odxf>
    <ndxf>
      <alignment wrapText="1"/>
    </ndxf>
  </rcc>
  <rcc rId="7695" sId="6" odxf="1" dxf="1">
    <nc r="S17" t="inlineStr">
      <is>
        <t xml:space="preserve"> Pesquisa e busca por 
processo do MESP.</t>
      </is>
    </nc>
    <odxf>
      <alignment wrapText="0"/>
    </odxf>
    <ndxf>
      <alignment wrapText="1"/>
    </ndxf>
  </rcc>
  <rcv guid="{9B623083-AA7B-440B-95EA-C33E1AB3D963}" action="delete"/>
  <rdn rId="0" localSheetId="1" customView="1" name="Z_9B623083_AA7B_440B_95EA_C33E1AB3D963_.wvu.FilterData" hidden="1" oldHidden="1">
    <formula>Patrícia!$A$1:$A$18</formula>
    <oldFormula>Patrícia!$A$1:$A$18</oldFormula>
  </rdn>
  <rdn rId="0" localSheetId="2" customView="1" name="Z_9B623083_AA7B_440B_95EA_C33E1AB3D963_.wvu.FilterData" hidden="1" oldHidden="1">
    <formula>Marcelo!$A$1:$A$18</formula>
    <oldFormula>Marcelo!$A$1:$A$18</oldFormula>
  </rdn>
  <rdn rId="0" localSheetId="3" customView="1" name="Z_9B623083_AA7B_440B_95EA_C33E1AB3D963_.wvu.FilterData" hidden="1" oldHidden="1">
    <formula>TOTAL!$A$1:$A$18</formula>
    <oldFormula>TOTAL!$A$1:$A$18</oldFormula>
  </rdn>
  <rdn rId="0" localSheetId="4" customView="1" name="Z_9B623083_AA7B_440B_95EA_C33E1AB3D963_.wvu.FilterData" hidden="1" oldHidden="1">
    <formula>Diego!$A$1:$A$19</formula>
    <oldFormula>Diego!$A$1:$A$18</oldFormula>
  </rdn>
  <rdn rId="0" localSheetId="5" customView="1" name="Z_9B623083_AA7B_440B_95EA_C33E1AB3D963_.wvu.FilterData" hidden="1" oldHidden="1">
    <formula>Aelton!$A$1:$A$18</formula>
    <oldFormula>Aelton!$A$1:$A$18</oldFormula>
  </rdn>
  <rdn rId="0" localSheetId="6" customView="1" name="Z_9B623083_AA7B_440B_95EA_C33E1AB3D963_.wvu.FilterData" hidden="1" oldHidden="1">
    <formula>Leonam!$A$1:$BD$18</formula>
    <oldFormula>Leonam!$A$1:$BD$18</oldFormula>
  </rdn>
  <rdn rId="0" localSheetId="7" customView="1" name="Z_9B623083_AA7B_440B_95EA_C33E1AB3D963_.wvu.FilterData" hidden="1" oldHidden="1">
    <formula>Danilo!$A$1:$A$18</formula>
    <oldFormula>Danilo!$A$1:$A$18</oldFormula>
  </rdn>
  <rdn rId="0" localSheetId="8" customView="1" name="Z_9B623083_AA7B_440B_95EA_C33E1AB3D963_.wvu.FilterData" hidden="1" oldHidden="1">
    <formula>Marcos!$A$1:$A$18</formula>
    <oldFormula>Marcos!$A$1:$A$18</oldFormula>
  </rdn>
  <rdn rId="0" localSheetId="10" customView="1" name="Z_9B623083_AA7B_440B_95EA_C33E1AB3D963_.wvu.FilterData" hidden="1" oldHidden="1">
    <formula>Alessandro!$A$1:$A$18</formula>
    <oldFormula>Alessandro!$A$1:$A$18</oldFormula>
  </rdn>
  <rdn rId="0" localSheetId="9" customView="1" name="Z_9B623083_AA7B_440B_95EA_C33E1AB3D963_.wvu.FilterData" hidden="1" oldHidden="1">
    <formula>Carlos!$A$1:$A$18</formula>
    <oldFormula>Carlos!$A$1:$A$18</oldFormula>
  </rdn>
  <rcv guid="{9B623083-AA7B-440B-95EA-C33E1AB3D963}" action="add"/>
</revisions>
</file>

<file path=xl/revisions/revisionLog3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706" sId="4">
    <nc r="P17" t="inlineStr">
      <is>
        <t xml:space="preserve"> Pesquisa e busca por 
processo do MESP.</t>
      </is>
    </nc>
  </rcc>
  <rcc rId="7707" sId="4">
    <nc r="Q17" t="inlineStr">
      <is>
        <t xml:space="preserve"> Pesquisa e busca por 
processo do MESP.</t>
      </is>
    </nc>
  </rcc>
  <rcc rId="7708" sId="4">
    <nc r="R17" t="inlineStr">
      <is>
        <t xml:space="preserve"> Pesquisa e busca por 
processo do MESP.</t>
      </is>
    </nc>
  </rcc>
  <rcc rId="7709" sId="4">
    <nc r="S17" t="inlineStr">
      <is>
        <t xml:space="preserve"> Pesquisa e busca por 
processo do MESP.</t>
      </is>
    </nc>
  </rcc>
  <rcc rId="7710" sId="4">
    <nc r="U17" t="inlineStr">
      <is>
        <t>FERIADO</t>
      </is>
    </nc>
  </rcc>
  <rcc rId="7711" sId="4">
    <nc r="V17" t="inlineStr">
      <is>
        <t xml:space="preserve"> Pesquisa e busca por 
processo do MESP.</t>
      </is>
    </nc>
  </rcc>
  <rcc rId="7712" sId="4">
    <nc r="W17" t="inlineStr">
      <is>
        <t xml:space="preserve"> Pesquisa e busca por 
processo do MESP.</t>
      </is>
    </nc>
  </rcc>
  <rcv guid="{20CB6D8F-C24D-4D4B-A424-AF380F620455}" action="delete"/>
  <rdn rId="0" localSheetId="1" customView="1" name="Z_20CB6D8F_C24D_4D4B_A424_AF380F620455_.wvu.FilterData" hidden="1" oldHidden="1">
    <formula>Patrícia!$A$1:$A$18</formula>
    <oldFormula>Patrícia!$A$1:$A$18</oldFormula>
  </rdn>
  <rdn rId="0" localSheetId="2" customView="1" name="Z_20CB6D8F_C24D_4D4B_A424_AF380F620455_.wvu.FilterData" hidden="1" oldHidden="1">
    <formula>Marcelo!$A$1:$A$18</formula>
    <oldFormula>Marcelo!$A$1:$A$18</oldFormula>
  </rdn>
  <rdn rId="0" localSheetId="3" customView="1" name="Z_20CB6D8F_C24D_4D4B_A424_AF380F620455_.wvu.FilterData" hidden="1" oldHidden="1">
    <formula>TOTAL!$A$1:$A$18</formula>
    <oldFormula>TOTAL!$A$1:$A$18</oldFormula>
  </rdn>
  <rdn rId="0" localSheetId="4" customView="1" name="Z_20CB6D8F_C24D_4D4B_A424_AF380F620455_.wvu.FilterData" hidden="1" oldHidden="1">
    <formula>Diego!$A$1:$A$19</formula>
    <oldFormula>Diego!$A$1:$A$18</oldFormula>
  </rdn>
  <rdn rId="0" localSheetId="5" customView="1" name="Z_20CB6D8F_C24D_4D4B_A424_AF380F620455_.wvu.FilterData" hidden="1" oldHidden="1">
    <formula>Aelton!$A$1:$A$18</formula>
    <oldFormula>Aelton!$A$1:$A$18</oldFormula>
  </rdn>
  <rdn rId="0" localSheetId="6" customView="1" name="Z_20CB6D8F_C24D_4D4B_A424_AF380F620455_.wvu.FilterData" hidden="1" oldHidden="1">
    <formula>Leonam!$A$1:$BD$18</formula>
    <oldFormula>Leonam!$A$1:$BD$18</oldFormula>
  </rdn>
  <rdn rId="0" localSheetId="7" customView="1" name="Z_20CB6D8F_C24D_4D4B_A424_AF380F620455_.wvu.FilterData" hidden="1" oldHidden="1">
    <formula>Danilo!$A$1:$A$18</formula>
    <oldFormula>Danilo!$A$1:$A$18</oldFormula>
  </rdn>
  <rdn rId="0" localSheetId="8" customView="1" name="Z_20CB6D8F_C24D_4D4B_A424_AF380F620455_.wvu.FilterData" hidden="1" oldHidden="1">
    <formula>Marcos!$A$1:$A$18</formula>
    <oldFormula>Marcos!$A$1:$A$18</oldFormula>
  </rdn>
  <rdn rId="0" localSheetId="10" customView="1" name="Z_20CB6D8F_C24D_4D4B_A424_AF380F620455_.wvu.FilterData" hidden="1" oldHidden="1">
    <formula>Alessandro!$A$1:$A$18</formula>
    <oldFormula>Alessandro!$A$1:$A$18</oldFormula>
  </rdn>
  <rdn rId="0" localSheetId="9" customView="1" name="Z_20CB6D8F_C24D_4D4B_A424_AF380F620455_.wvu.FilterData" hidden="1" oldHidden="1">
    <formula>Carlos!$A$1:$A$18</formula>
    <oldFormula>Carlos!$A$1:$A$18</oldFormula>
  </rdn>
  <rcv guid="{20CB6D8F-C24D-4D4B-A424-AF380F620455}" action="add"/>
</revisions>
</file>

<file path=xl/revisions/revisionLog3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723" sId="4">
    <oc r="W17" t="inlineStr">
      <is>
        <t xml:space="preserve"> Pesquisa e busca por 
processo do MESP.</t>
      </is>
    </oc>
    <nc r="W17" t="inlineStr">
      <is>
        <t>ARQUIVANDO PROCESSOS DO ESPORTE E MDS</t>
      </is>
    </nc>
  </rcc>
</revisions>
</file>

<file path=xl/revisions/revisionLog3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20CB6D8F-C24D-4D4B-A424-AF380F620455}" action="delete"/>
  <rdn rId="0" localSheetId="1" customView="1" name="Z_20CB6D8F_C24D_4D4B_A424_AF380F620455_.wvu.FilterData" hidden="1" oldHidden="1">
    <formula>Patrícia!$A$1:$A$18</formula>
    <oldFormula>Patrícia!$A$1:$A$18</oldFormula>
  </rdn>
  <rdn rId="0" localSheetId="2" customView="1" name="Z_20CB6D8F_C24D_4D4B_A424_AF380F620455_.wvu.FilterData" hidden="1" oldHidden="1">
    <formula>Marcelo!$A$1:$A$18</formula>
    <oldFormula>Marcelo!$A$1:$A$18</oldFormula>
  </rdn>
  <rdn rId="0" localSheetId="3" customView="1" name="Z_20CB6D8F_C24D_4D4B_A424_AF380F620455_.wvu.FilterData" hidden="1" oldHidden="1">
    <formula>TOTAL!$A$1:$A$18</formula>
    <oldFormula>TOTAL!$A$1:$A$18</oldFormula>
  </rdn>
  <rdn rId="0" localSheetId="4" customView="1" name="Z_20CB6D8F_C24D_4D4B_A424_AF380F620455_.wvu.FilterData" hidden="1" oldHidden="1">
    <formula>Diego!$A$1:$A$19</formula>
    <oldFormula>Diego!$A$1:$A$19</oldFormula>
  </rdn>
  <rdn rId="0" localSheetId="5" customView="1" name="Z_20CB6D8F_C24D_4D4B_A424_AF380F620455_.wvu.FilterData" hidden="1" oldHidden="1">
    <formula>Aelton!$A$1:$A$18</formula>
    <oldFormula>Aelton!$A$1:$A$18</oldFormula>
  </rdn>
  <rdn rId="0" localSheetId="6" customView="1" name="Z_20CB6D8F_C24D_4D4B_A424_AF380F620455_.wvu.FilterData" hidden="1" oldHidden="1">
    <formula>Leonam!$A$1:$BD$18</formula>
    <oldFormula>Leonam!$A$1:$BD$18</oldFormula>
  </rdn>
  <rdn rId="0" localSheetId="7" customView="1" name="Z_20CB6D8F_C24D_4D4B_A424_AF380F620455_.wvu.FilterData" hidden="1" oldHidden="1">
    <formula>Danilo!$A$1:$A$18</formula>
    <oldFormula>Danilo!$A$1:$A$18</oldFormula>
  </rdn>
  <rdn rId="0" localSheetId="8" customView="1" name="Z_20CB6D8F_C24D_4D4B_A424_AF380F620455_.wvu.FilterData" hidden="1" oldHidden="1">
    <formula>Marcos!$A$1:$A$18</formula>
    <oldFormula>Marcos!$A$1:$A$18</oldFormula>
  </rdn>
  <rdn rId="0" localSheetId="10" customView="1" name="Z_20CB6D8F_C24D_4D4B_A424_AF380F620455_.wvu.FilterData" hidden="1" oldHidden="1">
    <formula>Alessandro!$A$1:$A$18</formula>
    <oldFormula>Alessandro!$A$1:$A$18</oldFormula>
  </rdn>
  <rdn rId="0" localSheetId="9" customView="1" name="Z_20CB6D8F_C24D_4D4B_A424_AF380F620455_.wvu.FilterData" hidden="1" oldHidden="1">
    <formula>Carlos!$A$1:$A$18</formula>
    <oldFormula>Carlos!$A$1:$A$18</oldFormula>
  </rdn>
  <rcv guid="{20CB6D8F-C24D-4D4B-A424-AF380F620455}" action="add"/>
</revisions>
</file>

<file path=xl/revisions/revisionLog3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734" sId="4">
    <nc r="J16">
      <v>150</v>
    </nc>
  </rcc>
  <rcc rId="7735" sId="4">
    <nc r="K16">
      <v>150</v>
    </nc>
  </rcc>
  <rcc rId="7736" sId="4">
    <nc r="L16">
      <v>150</v>
    </nc>
  </rcc>
  <rcc rId="7737" sId="4">
    <nc r="M16">
      <v>150</v>
    </nc>
  </rcc>
  <rcc rId="7738" sId="4">
    <nc r="P16">
      <v>150</v>
    </nc>
  </rcc>
  <rcc rId="7739" sId="4">
    <oc r="O17" t="inlineStr">
      <is>
        <t xml:space="preserve">SOLICITAÇÃO DO CARRO PRA LEVAR OS PROCESSOS </t>
      </is>
    </oc>
    <nc r="O17" t="inlineStr">
      <is>
        <t xml:space="preserve">SOLICITAÇÃO DO CARRO PRA LEVAR OS PROCESSOS(107 processos) </t>
      </is>
    </nc>
  </rcc>
  <rcc rId="7740" sId="4" odxf="1" dxf="1">
    <nc r="I16">
      <v>150</v>
    </nc>
    <odxf>
      <numFmt numFmtId="3" formatCode="#,##0"/>
    </odxf>
    <ndxf>
      <numFmt numFmtId="0" formatCode="General"/>
    </ndxf>
  </rcc>
  <rcc rId="7741" sId="4">
    <nc r="Q16">
      <v>150</v>
    </nc>
  </rcc>
  <rcc rId="7742" sId="4">
    <nc r="R16">
      <v>150</v>
    </nc>
  </rcc>
  <rcc rId="7743" sId="4">
    <nc r="S16">
      <v>150</v>
    </nc>
  </rcc>
  <rcc rId="7744" sId="4">
    <oc r="V17" t="inlineStr">
      <is>
        <t xml:space="preserve"> Pesquisa e busca por 
processo do MESP.</t>
      </is>
    </oc>
    <nc r="V17" t="inlineStr">
      <is>
        <t xml:space="preserve">trocando caixas do arquivo </t>
      </is>
    </nc>
  </rcc>
  <rcv guid="{20CB6D8F-C24D-4D4B-A424-AF380F620455}" action="delete"/>
  <rdn rId="0" localSheetId="1" customView="1" name="Z_20CB6D8F_C24D_4D4B_A424_AF380F620455_.wvu.FilterData" hidden="1" oldHidden="1">
    <formula>Patrícia!$A$1:$A$18</formula>
    <oldFormula>Patrícia!$A$1:$A$18</oldFormula>
  </rdn>
  <rdn rId="0" localSheetId="2" customView="1" name="Z_20CB6D8F_C24D_4D4B_A424_AF380F620455_.wvu.FilterData" hidden="1" oldHidden="1">
    <formula>Marcelo!$A$1:$A$18</formula>
    <oldFormula>Marcelo!$A$1:$A$18</oldFormula>
  </rdn>
  <rdn rId="0" localSheetId="3" customView="1" name="Z_20CB6D8F_C24D_4D4B_A424_AF380F620455_.wvu.FilterData" hidden="1" oldHidden="1">
    <formula>TOTAL!$A$1:$A$18</formula>
    <oldFormula>TOTAL!$A$1:$A$18</oldFormula>
  </rdn>
  <rdn rId="0" localSheetId="4" customView="1" name="Z_20CB6D8F_C24D_4D4B_A424_AF380F620455_.wvu.FilterData" hidden="1" oldHidden="1">
    <formula>Diego!$A$1:$A$19</formula>
    <oldFormula>Diego!$A$1:$A$19</oldFormula>
  </rdn>
  <rdn rId="0" localSheetId="5" customView="1" name="Z_20CB6D8F_C24D_4D4B_A424_AF380F620455_.wvu.FilterData" hidden="1" oldHidden="1">
    <formula>Aelton!$A$1:$A$18</formula>
    <oldFormula>Aelton!$A$1:$A$18</oldFormula>
  </rdn>
  <rdn rId="0" localSheetId="6" customView="1" name="Z_20CB6D8F_C24D_4D4B_A424_AF380F620455_.wvu.FilterData" hidden="1" oldHidden="1">
    <formula>Leonam!$A$1:$BD$18</formula>
    <oldFormula>Leonam!$A$1:$BD$18</oldFormula>
  </rdn>
  <rdn rId="0" localSheetId="7" customView="1" name="Z_20CB6D8F_C24D_4D4B_A424_AF380F620455_.wvu.FilterData" hidden="1" oldHidden="1">
    <formula>Danilo!$A$1:$A$18</formula>
    <oldFormula>Danilo!$A$1:$A$18</oldFormula>
  </rdn>
  <rdn rId="0" localSheetId="8" customView="1" name="Z_20CB6D8F_C24D_4D4B_A424_AF380F620455_.wvu.FilterData" hidden="1" oldHidden="1">
    <formula>Marcos!$A$1:$A$18</formula>
    <oldFormula>Marcos!$A$1:$A$18</oldFormula>
  </rdn>
  <rdn rId="0" localSheetId="10" customView="1" name="Z_20CB6D8F_C24D_4D4B_A424_AF380F620455_.wvu.FilterData" hidden="1" oldHidden="1">
    <formula>Alessandro!$A$1:$A$18</formula>
    <oldFormula>Alessandro!$A$1:$A$18</oldFormula>
  </rdn>
  <rdn rId="0" localSheetId="9" customView="1" name="Z_20CB6D8F_C24D_4D4B_A424_AF380F620455_.wvu.FilterData" hidden="1" oldHidden="1">
    <formula>Carlos!$A$1:$A$18</formula>
    <oldFormula>Carlos!$A$1:$A$18</oldFormula>
  </rdn>
  <rcv guid="{20CB6D8F-C24D-4D4B-A424-AF380F620455}" action="add"/>
</revisions>
</file>

<file path=xl/revisions/revisionLog3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755" sId="6" odxf="1" dxf="1">
    <nc r="I16">
      <v>150</v>
    </nc>
    <odxf>
      <numFmt numFmtId="3" formatCode="#,##0"/>
    </odxf>
    <ndxf>
      <numFmt numFmtId="0" formatCode="General"/>
    </ndxf>
  </rcc>
  <rcc rId="7756" sId="6">
    <nc r="J16">
      <v>150</v>
    </nc>
  </rcc>
  <rcc rId="7757" sId="6">
    <nc r="K16">
      <v>150</v>
    </nc>
  </rcc>
  <rcc rId="7758" sId="6">
    <nc r="L16">
      <v>150</v>
    </nc>
  </rcc>
  <rcc rId="7759" sId="6">
    <nc r="M16">
      <v>150</v>
    </nc>
  </rcc>
  <rcc rId="7760" sId="6" odxf="1" dxf="1">
    <oc r="N16">
      <f>SUM(I16:M16)</f>
    </oc>
    <nc r="N16">
      <v>150</v>
    </nc>
    <odxf>
      <fill>
        <patternFill patternType="solid">
          <bgColor theme="0" tint="-0.14999847407452621"/>
        </patternFill>
      </fill>
    </odxf>
    <ndxf>
      <fill>
        <patternFill patternType="none">
          <bgColor indexed="65"/>
        </patternFill>
      </fill>
    </ndxf>
  </rcc>
  <rcc rId="7761" sId="6">
    <nc r="O16">
      <v>150</v>
    </nc>
  </rcc>
  <rcc rId="7762" sId="6">
    <nc r="P16">
      <v>150</v>
    </nc>
  </rcc>
  <rcc rId="7763" sId="6">
    <nc r="Q16">
      <v>150</v>
    </nc>
  </rcc>
  <rcc rId="7764" sId="6">
    <nc r="R16">
      <v>150</v>
    </nc>
  </rcc>
  <rcc rId="7765" sId="6">
    <nc r="S16">
      <v>150</v>
    </nc>
  </rcc>
</revisions>
</file>

<file path=xl/revisions/revisionLog3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766" sId="7" numFmtId="4">
    <nc r="I16">
      <v>150</v>
    </nc>
  </rcc>
  <rcc rId="7767" sId="7" odxf="1" dxf="1" numFmtId="4">
    <nc r="J16">
      <v>150</v>
    </nc>
    <odxf>
      <numFmt numFmtId="0" formatCode="General"/>
    </odxf>
    <ndxf>
      <numFmt numFmtId="3" formatCode="#,##0"/>
    </ndxf>
  </rcc>
  <rcc rId="7768" sId="7" odxf="1" dxf="1" numFmtId="4">
    <nc r="K16">
      <v>150</v>
    </nc>
    <odxf>
      <numFmt numFmtId="0" formatCode="General"/>
    </odxf>
    <ndxf>
      <numFmt numFmtId="3" formatCode="#,##0"/>
    </ndxf>
  </rcc>
  <rcc rId="7769" sId="7" odxf="1" dxf="1" numFmtId="4">
    <nc r="L16">
      <v>150</v>
    </nc>
    <odxf>
      <numFmt numFmtId="0" formatCode="General"/>
    </odxf>
    <ndxf>
      <numFmt numFmtId="3" formatCode="#,##0"/>
    </ndxf>
  </rcc>
  <rcc rId="7770" sId="7" odxf="1" dxf="1" numFmtId="4">
    <nc r="M16">
      <v>150</v>
    </nc>
    <odxf>
      <numFmt numFmtId="0" formatCode="General"/>
    </odxf>
    <ndxf>
      <numFmt numFmtId="3" formatCode="#,##0"/>
    </ndxf>
  </rcc>
  <rcc rId="7771" sId="7" odxf="1" dxf="1" numFmtId="4">
    <oc r="N16">
      <f>SUM(I16:M16)</f>
    </oc>
    <nc r="N16">
      <v>150</v>
    </nc>
    <odxf>
      <numFmt numFmtId="0" formatCode="General"/>
      <fill>
        <patternFill patternType="solid">
          <bgColor theme="0" tint="-0.14999847407452621"/>
        </patternFill>
      </fill>
    </odxf>
    <ndxf>
      <numFmt numFmtId="3" formatCode="#,##0"/>
      <fill>
        <patternFill patternType="none">
          <bgColor indexed="65"/>
        </patternFill>
      </fill>
    </ndxf>
  </rcc>
  <rcc rId="7772" sId="7" odxf="1" dxf="1" numFmtId="4">
    <nc r="O16">
      <v>150</v>
    </nc>
    <odxf>
      <numFmt numFmtId="0" formatCode="General"/>
    </odxf>
    <ndxf>
      <numFmt numFmtId="3" formatCode="#,##0"/>
    </ndxf>
  </rcc>
  <rcc rId="7773" sId="7" odxf="1" dxf="1" numFmtId="4">
    <nc r="P16">
      <v>150</v>
    </nc>
    <odxf>
      <numFmt numFmtId="0" formatCode="General"/>
    </odxf>
    <ndxf>
      <numFmt numFmtId="3" formatCode="#,##0"/>
    </ndxf>
  </rcc>
  <rcc rId="7774" sId="7" odxf="1" dxf="1" numFmtId="4">
    <nc r="Q16">
      <v>150</v>
    </nc>
    <odxf>
      <numFmt numFmtId="0" formatCode="General"/>
    </odxf>
    <ndxf>
      <numFmt numFmtId="3" formatCode="#,##0"/>
    </ndxf>
  </rcc>
  <rcc rId="7775" sId="7" odxf="1" dxf="1" numFmtId="4">
    <nc r="R16">
      <v>150</v>
    </nc>
    <odxf>
      <numFmt numFmtId="0" formatCode="General"/>
    </odxf>
    <ndxf>
      <numFmt numFmtId="3" formatCode="#,##0"/>
    </ndxf>
  </rcc>
  <rcc rId="7776" sId="7" odxf="1" dxf="1" numFmtId="4">
    <nc r="S16">
      <v>150</v>
    </nc>
    <odxf>
      <numFmt numFmtId="0" formatCode="General"/>
    </odxf>
    <ndxf>
      <numFmt numFmtId="3" formatCode="#,##0"/>
    </ndxf>
  </rcc>
</revisions>
</file>

<file path=xl/revisions/revisionLog3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777" sId="8" numFmtId="4">
    <nc r="I16">
      <v>150</v>
    </nc>
  </rcc>
  <rcc rId="7778" sId="8" odxf="1" dxf="1" numFmtId="4">
    <nc r="J16">
      <v>150</v>
    </nc>
    <odxf>
      <numFmt numFmtId="0" formatCode="General"/>
    </odxf>
    <ndxf>
      <numFmt numFmtId="3" formatCode="#,##0"/>
    </ndxf>
  </rcc>
  <rcc rId="7779" sId="8" odxf="1" dxf="1" numFmtId="4">
    <nc r="K16">
      <v>150</v>
    </nc>
    <odxf>
      <numFmt numFmtId="0" formatCode="General"/>
    </odxf>
    <ndxf>
      <numFmt numFmtId="3" formatCode="#,##0"/>
    </ndxf>
  </rcc>
  <rcc rId="7780" sId="8" odxf="1" dxf="1" numFmtId="4">
    <nc r="L16">
      <v>150</v>
    </nc>
    <odxf>
      <numFmt numFmtId="0" formatCode="General"/>
    </odxf>
    <ndxf>
      <numFmt numFmtId="3" formatCode="#,##0"/>
    </ndxf>
  </rcc>
  <rcc rId="7781" sId="8" odxf="1" dxf="1" numFmtId="4">
    <nc r="M16">
      <v>150</v>
    </nc>
    <odxf>
      <numFmt numFmtId="0" formatCode="General"/>
    </odxf>
    <ndxf>
      <numFmt numFmtId="3" formatCode="#,##0"/>
    </ndxf>
  </rcc>
  <rcc rId="7782" sId="8" odxf="1" dxf="1" numFmtId="4">
    <oc r="N16">
      <f>SUM(I16:M16)</f>
    </oc>
    <nc r="N16">
      <v>150</v>
    </nc>
    <odxf>
      <numFmt numFmtId="0" formatCode="General"/>
      <fill>
        <patternFill patternType="solid">
          <bgColor theme="0" tint="-0.14999847407452621"/>
        </patternFill>
      </fill>
    </odxf>
    <ndxf>
      <numFmt numFmtId="3" formatCode="#,##0"/>
      <fill>
        <patternFill patternType="none">
          <bgColor indexed="65"/>
        </patternFill>
      </fill>
    </ndxf>
  </rcc>
  <rcc rId="7783" sId="8" odxf="1" dxf="1" numFmtId="4">
    <nc r="O16">
      <v>150</v>
    </nc>
    <odxf>
      <numFmt numFmtId="0" formatCode="General"/>
    </odxf>
    <ndxf>
      <numFmt numFmtId="3" formatCode="#,##0"/>
    </ndxf>
  </rcc>
  <rcc rId="7784" sId="8" odxf="1" dxf="1" numFmtId="4">
    <nc r="P16">
      <v>150</v>
    </nc>
    <odxf>
      <numFmt numFmtId="0" formatCode="General"/>
    </odxf>
    <ndxf>
      <numFmt numFmtId="3" formatCode="#,##0"/>
    </ndxf>
  </rcc>
  <rcc rId="7785" sId="8" odxf="1" dxf="1" numFmtId="4">
    <nc r="Q16">
      <v>150</v>
    </nc>
    <odxf>
      <numFmt numFmtId="0" formatCode="General"/>
    </odxf>
    <ndxf>
      <numFmt numFmtId="3" formatCode="#,##0"/>
    </ndxf>
  </rcc>
  <rcc rId="7786" sId="8" odxf="1" dxf="1" numFmtId="4">
    <nc r="R16">
      <v>150</v>
    </nc>
    <odxf>
      <numFmt numFmtId="0" formatCode="General"/>
    </odxf>
    <ndxf>
      <numFmt numFmtId="3" formatCode="#,##0"/>
    </ndxf>
  </rcc>
  <rcc rId="7787" sId="8" odxf="1" dxf="1" numFmtId="4">
    <nc r="S16">
      <v>150</v>
    </nc>
    <odxf>
      <numFmt numFmtId="0" formatCode="General"/>
    </odxf>
    <ndxf>
      <numFmt numFmtId="3" formatCode="#,##0"/>
    </ndxf>
  </rcc>
</revisions>
</file>

<file path=xl/revisions/revisionLog3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788" sId="6">
    <nc r="C17" t="inlineStr">
      <is>
        <t>Conferência do patrimônio salas 3.25,3.60,3.47,3.11</t>
      </is>
    </nc>
  </rcc>
  <rcc rId="7789" sId="6">
    <nc r="D17" t="inlineStr">
      <is>
        <t>Conferência do patrimônio salas 3.25,3.60,3.47,3.11</t>
      </is>
    </nc>
  </rcc>
  <rcc rId="7790" sId="6">
    <nc r="E17" t="inlineStr">
      <is>
        <t>Conferência do patrimônio salas 3.25,3.60,3.47,3.11</t>
      </is>
    </nc>
  </rcc>
  <rcc rId="7791" sId="6" odxf="1" dxf="1">
    <nc r="F17" t="inlineStr">
      <is>
        <t>Conferência do patrimônio salas 3.25,3.60,3.47,3.11</t>
      </is>
    </nc>
    <odxf>
      <alignment wrapText="0"/>
    </odxf>
    <ndxf>
      <alignment wrapText="1"/>
    </ndxf>
  </rcc>
  <rcc rId="7792" sId="6">
    <nc r="G17" t="inlineStr">
      <is>
        <t>Conferência do patrimônio salas 3.25,3.60,3.47,3.11</t>
      </is>
    </nc>
  </rcc>
</revisions>
</file>

<file path=xl/revisions/revisionLog3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3" xfDxf="1" sqref="C17" start="0" length="0"/>
  <rfmt sheetId="3" sqref="C17">
    <dxf>
      <alignment horizontal="left" vertical="center" wrapText="1"/>
    </dxf>
  </rfmt>
  <rfmt sheetId="3" sqref="C17">
    <dxf>
      <alignment horizontal="center"/>
    </dxf>
  </rfmt>
  <rcc rId="7793" sId="3">
    <nc r="C17" t="inlineStr">
      <is>
        <r>
          <t xml:space="preserve">Levantamento  patrimonial anual das salas 1º subsolo DNIT </t>
        </r>
        <r>
          <rPr>
            <b/>
            <sz val="11"/>
            <color theme="1"/>
            <rFont val="Aptos Narrow"/>
            <family val="2"/>
          </rPr>
          <t>(1.20, 3.25, 3.60, 3.47, 3.11)</t>
        </r>
      </is>
    </nc>
  </rcc>
  <rcv guid="{3D987F8E-A6EA-454D-9537-6BFC5053CB00}" action="delete"/>
  <rdn rId="0" localSheetId="1" customView="1" name="Z_3D987F8E_A6EA_454D_9537_6BFC5053CB00_.wvu.FilterData" hidden="1" oldHidden="1">
    <formula>Patrícia!$A$1:$A$18</formula>
    <oldFormula>Patrícia!$A$1:$A$18</oldFormula>
  </rdn>
  <rdn rId="0" localSheetId="2" customView="1" name="Z_3D987F8E_A6EA_454D_9537_6BFC5053CB00_.wvu.FilterData" hidden="1" oldHidden="1">
    <formula>Marcelo!$A$1:$A$18</formula>
    <oldFormula>Marcelo!$A$1:$A$18</oldFormula>
  </rdn>
  <rdn rId="0" localSheetId="3" customView="1" name="Z_3D987F8E_A6EA_454D_9537_6BFC5053CB00_.wvu.FilterData" hidden="1" oldHidden="1">
    <formula>TOTAL!$A$1:$A$18</formula>
    <oldFormula>TOTAL!$A$1:$A$18</oldFormula>
  </rdn>
  <rdn rId="0" localSheetId="4" customView="1" name="Z_3D987F8E_A6EA_454D_9537_6BFC5053CB00_.wvu.FilterData" hidden="1" oldHidden="1">
    <formula>Diego!$A$1:$A$19</formula>
    <oldFormula>Diego!$A$1:$A$18</oldFormula>
  </rdn>
  <rdn rId="0" localSheetId="5" customView="1" name="Z_3D987F8E_A6EA_454D_9537_6BFC5053CB00_.wvu.FilterData" hidden="1" oldHidden="1">
    <formula>Aelton!$A$1:$A$18</formula>
    <oldFormula>Aelton!$A$1:$A$18</oldFormula>
  </rdn>
  <rdn rId="0" localSheetId="6" customView="1" name="Z_3D987F8E_A6EA_454D_9537_6BFC5053CB00_.wvu.FilterData" hidden="1" oldHidden="1">
    <formula>Leonam!$A$1:$BD$18</formula>
    <oldFormula>Leonam!$A$1:$BD$18</oldFormula>
  </rdn>
  <rdn rId="0" localSheetId="7" customView="1" name="Z_3D987F8E_A6EA_454D_9537_6BFC5053CB00_.wvu.FilterData" hidden="1" oldHidden="1">
    <formula>Danilo!$A$1:$A$18</formula>
    <oldFormula>Danilo!$A$1:$A$18</oldFormula>
  </rdn>
  <rdn rId="0" localSheetId="8" customView="1" name="Z_3D987F8E_A6EA_454D_9537_6BFC5053CB00_.wvu.FilterData" hidden="1" oldHidden="1">
    <formula>Marcos!$A$1:$A$18</formula>
    <oldFormula>Marcos!$A$1:$A$18</oldFormula>
  </rdn>
  <rdn rId="0" localSheetId="10" customView="1" name="Z_3D987F8E_A6EA_454D_9537_6BFC5053CB00_.wvu.FilterData" hidden="1" oldHidden="1">
    <formula>Alessandro!$A$1:$A$18</formula>
    <oldFormula>Alessandro!$A$1:$A$18</oldFormula>
  </rdn>
  <rdn rId="0" localSheetId="9" customView="1" name="Z_3D987F8E_A6EA_454D_9537_6BFC5053CB00_.wvu.FilterData" hidden="1" oldHidden="1">
    <formula>Carlos!$A$1:$A$18</formula>
    <oldFormula>Carlos!$A$1:$A$18</oldFormula>
  </rdn>
  <rcv guid="{3D987F8E-A6EA-454D-9537-6BFC5053CB00}" action="add"/>
</revisions>
</file>

<file path=xl/revisions/revisionLog3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804" sId="8">
    <nc r="O17" t="inlineStr">
      <is>
        <t xml:space="preserve"> Pesquisa e busca por 
processo do MESP.</t>
      </is>
    </nc>
  </rcc>
  <rcc rId="7805" sId="8">
    <nc r="P17" t="inlineStr">
      <is>
        <t xml:space="preserve"> Pesquisa e busca por 
processo do MESP.</t>
      </is>
    </nc>
  </rcc>
  <rcc rId="7806" sId="8">
    <nc r="Q17" t="inlineStr">
      <is>
        <t xml:space="preserve"> Pesquisa e busca por 
processo do MESP.</t>
      </is>
    </nc>
  </rcc>
  <rcc rId="7807" sId="8">
    <nc r="R17" t="inlineStr">
      <is>
        <t xml:space="preserve"> Pesquisa e busca por 
processo do MESP.</t>
      </is>
    </nc>
  </rcc>
  <rcc rId="7808" sId="8">
    <nc r="S17" t="inlineStr">
      <is>
        <t xml:space="preserve"> Pesquisa e busca por 
processo do MESP.</t>
      </is>
    </nc>
  </rcc>
  <rcc rId="7809" sId="8">
    <oc r="H2">
      <f>SUM(C2:G2)</f>
    </oc>
    <nc r="H2">
      <f>SUM(C2:G2)</f>
    </nc>
  </rcc>
  <rcc rId="7810" sId="6">
    <oc r="N2">
      <f>SUM(I2:M2)</f>
    </oc>
    <nc r="N2">
      <f>SUM(I2:M2)</f>
    </nc>
  </rcc>
  <rcc rId="7811" sId="3">
    <oc r="C13">
      <f>Diego!H13+Aelton!AF13+Leonam!H13+Danilo!H13+Marcos!H13+Alessandro!H13+Carlos!H13</f>
    </oc>
    <nc r="C13">
      <f>Diego!H13+Aelton!H13</f>
    </nc>
  </rcc>
  <rcc rId="7812" sId="3">
    <oc r="D13">
      <f>Diego!N13+Aelton!N13+Leonam!N13+Danilo!N13+Marcos!N13+Carlos!N13+Alessandro!N13</f>
    </oc>
    <nc r="D13">
      <f>Diego!N13+Aelton!N13+Leonam!N13+Danilo!N13+Marcos!N13+Alessandro!N13+Carlos!N13</f>
    </nc>
  </rcc>
  <rcc rId="7813" sId="3">
    <oc r="E13">
      <f>Diego!T13+Aelton!T13+Leonam!T13+Danilo!T13+Marcos!T13+Carlos!T13+Alessandro!T13</f>
    </oc>
    <nc r="E13">
      <f>Diego!T13+Aelton!T13+Leonam!T13+Danilo!T13+Marcos!T13+Alessandro!T13+Carlos!T13</f>
    </nc>
  </rcc>
  <rcc rId="7814" sId="3">
    <oc r="C15">
      <f>Diego!H15+Aelton!AF15+Leonam!H15+Danilo!H15+Marcos!H15+Alessandro!H15+Carlos!H15</f>
    </oc>
    <nc r="C15">
      <f>Diego!H15+Aelton!H15+Leonam!H15+Danilo!H15+Marcos!H15+Alessandro!H15+Carlos!H15</f>
    </nc>
  </rcc>
  <rcc rId="7815" sId="3">
    <oc r="D15">
      <f>Diego!N15+Aelton!N15+Leonam!N15+Danilo!N15+Marcos!N15+Carlos!N15+Alessandro!N15</f>
    </oc>
    <nc r="D15">
      <f>Diego!N15+Aelton!N15+Leonam!N15+Danilo!N15+Marcos!N15+Alessandro!N15+Carlos!N15</f>
    </nc>
  </rcc>
  <rcc rId="7816" sId="3">
    <oc r="E15">
      <f>Diego!T15+Aelton!T15+Leonam!T15+Danilo!T15+Marcos!T15+Carlos!T15+Alessandro!T15</f>
    </oc>
    <nc r="E15">
      <f>Diego!T15+Aelton!T15+Leonam!T15+Danilo!T15+Marcos!T15+Alessandro!T15+Carlos!T15</f>
    </nc>
  </rcc>
  <rcc rId="7817" sId="3">
    <oc r="C16">
      <f>Diego!H16+Aelton!AF16+Leonam!H16+Danilo!H16+Marcos!H16+Alessandro!H16+Carlos!H16</f>
    </oc>
    <nc r="C16">
      <f>Diego!H16+Aelton!H16+Leonam!H16+Danilo!H16+Marcos!H16+Alessandro!H16+Carlos!H16</f>
    </nc>
  </rcc>
  <rcc rId="7818" sId="3">
    <oc r="D16">
      <f>Diego!N16+Aelton!N16+Leonam!N16+Danilo!N16+Marcos!N16+Carlos!N16+Alessandro!N16</f>
    </oc>
    <nc r="D16">
      <f>Diego!N16+Aelton!N16+Leonam!N16+Danilo!N16+Marcos!N16+Alessandro!N16+Carlos!N16</f>
    </nc>
  </rcc>
  <rfmt sheetId="3" sqref="D17" start="0" length="0">
    <dxf>
      <alignment horizontal="center" vertical="center" wrapText="1"/>
    </dxf>
  </rfmt>
  <rfmt sheetId="3" sqref="D17" start="0" length="2147483647">
    <dxf>
      <font>
        <b/>
      </font>
    </dxf>
  </rfmt>
  <rfmt sheetId="3" sqref="D17" start="0" length="2147483647">
    <dxf>
      <font>
        <b val="0"/>
      </font>
    </dxf>
  </rfmt>
  <rcc rId="7819" sId="3">
    <nc r="D17" t="inlineStr">
      <is>
        <r>
          <t xml:space="preserve"> Pesquisa e busca por 
processo do </t>
        </r>
        <r>
          <rPr>
            <b/>
            <sz val="11"/>
            <color theme="1"/>
            <rFont val="Aptos Narrow"/>
            <family val="2"/>
          </rPr>
          <t>MESP</t>
        </r>
        <r>
          <rPr>
            <sz val="11"/>
            <color theme="1"/>
            <rFont val="Aptos Narrow"/>
            <family val="2"/>
          </rPr>
          <t xml:space="preserve"> </t>
        </r>
        <r>
          <rPr>
            <b/>
            <sz val="11"/>
            <color theme="1"/>
            <rFont val="Aptos Narrow"/>
            <family val="2"/>
          </rPr>
          <t>(104 volumes)</t>
        </r>
      </is>
    </nc>
  </rcc>
  <rcc rId="7820" sId="3" odxf="1" dxf="1">
    <nc r="E17" t="inlineStr">
      <is>
        <r>
          <t xml:space="preserve"> Pesquisa e busca por 
processo do </t>
        </r>
        <r>
          <rPr>
            <b/>
            <sz val="11"/>
            <color theme="1"/>
            <rFont val="Aptos Narrow"/>
            <family val="2"/>
          </rPr>
          <t>MESP</t>
        </r>
        <r>
          <rPr>
            <sz val="11"/>
            <color theme="1"/>
            <rFont val="Aptos Narrow"/>
            <family val="2"/>
          </rPr>
          <t xml:space="preserve"> </t>
        </r>
        <r>
          <rPr>
            <b/>
            <sz val="11"/>
            <color theme="1"/>
            <rFont val="Aptos Narrow"/>
            <family val="2"/>
          </rPr>
          <t>(104 volumes)</t>
        </r>
      </is>
    </nc>
    <odxf>
      <alignment horizontal="general" vertical="bottom" wrapText="0"/>
    </odxf>
    <ndxf>
      <alignment horizontal="center" vertical="center" wrapText="1"/>
    </ndxf>
  </rcc>
  <rcc rId="7821" sId="3">
    <oc r="E16">
      <f>Diego!T16+Aelton!T16+Leonam!T16+Danilo!T16+Marcos!T16+Carlos!T16+Alessandro!T16</f>
    </oc>
    <nc r="E16">
      <f>Diego!T16+Aelton!T16+Leonam!T16+Danilo!T16+Marcos!T16+Alessandro!T16+Carlos!T16</f>
    </nc>
  </rcc>
</revisions>
</file>

<file path=xl/revisions/revisionLog4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4" sqref="R5" start="0" length="2147483647">
    <dxf>
      <font>
        <b/>
      </font>
    </dxf>
  </rfmt>
  <rfmt sheetId="4" sqref="R6" start="0" length="0">
    <dxf>
      <font>
        <b/>
        <sz val="11"/>
        <color theme="1"/>
        <name val="Aptos Narrow"/>
        <family val="2"/>
        <scheme val="minor"/>
      </font>
    </dxf>
  </rfmt>
  <rcc rId="7822" sId="10">
    <nc r="R17" t="inlineStr">
      <is>
        <t xml:space="preserve"> 1. Pesquisa e busca por processo 
71000.009460/2005-64.
2. Relatório quantidade de módulos, estantes e prateleiras dos Arquivos Deslizantes do DNIT.</t>
      </is>
    </nc>
  </rcc>
  <rcc rId="7823" sId="10">
    <nc r="S17" t="inlineStr">
      <is>
        <t xml:space="preserve">1. Desarquivamento 
71000.009460/2005-64
Total 32 volumes.
2. Relatório sobre o estado dos Arquivos Deslizantes lotados no DNIT.
</t>
      </is>
    </nc>
  </rcc>
</revisions>
</file>

<file path=xl/revisions/revisionLog4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824" sId="10">
    <nc r="P17" t="inlineStr">
      <is>
        <t>Guarda, organização e contagem de material de consumo de escritório</t>
      </is>
    </nc>
  </rcc>
  <rcc rId="7825" sId="10">
    <nc r="Q17" t="inlineStr">
      <is>
        <t>Guarda, organização e contagem de material de consumo de escritório</t>
      </is>
    </nc>
  </rcc>
  <rcc rId="7826" sId="10">
    <oc r="M17" t="inlineStr">
      <is>
        <r>
          <t xml:space="preserve">Guarda e organização de </t>
        </r>
        <r>
          <rPr>
            <b/>
            <sz val="11"/>
            <color theme="1"/>
            <rFont val="Aptos Narrow"/>
            <family val="2"/>
          </rPr>
          <t>70 caixas</t>
        </r>
        <r>
          <rPr>
            <sz val="11"/>
            <color theme="1"/>
            <rFont val="Aptos Narrow"/>
            <family val="2"/>
          </rPr>
          <t xml:space="preserve"> da CGPC, sala 1S3.25</t>
        </r>
      </is>
    </oc>
    <nc r="M17" t="inlineStr">
      <is>
        <r>
          <t xml:space="preserve">Guarda e organização de </t>
        </r>
        <r>
          <rPr>
            <b/>
            <sz val="11"/>
            <color theme="1"/>
            <rFont val="Aptos Narrow"/>
            <family val="2"/>
          </rPr>
          <t>70 caixas</t>
        </r>
        <r>
          <rPr>
            <sz val="11"/>
            <color theme="1"/>
            <rFont val="Aptos Narrow"/>
            <family val="2"/>
          </rPr>
          <t xml:space="preserve"> da CGPC, sala </t>
        </r>
        <r>
          <rPr>
            <b/>
            <sz val="11"/>
            <color theme="1"/>
            <rFont val="Aptos Narrow"/>
            <family val="2"/>
          </rPr>
          <t>1S3.25</t>
        </r>
      </is>
    </nc>
  </rcc>
  <rcc rId="7827" sId="10">
    <nc r="U2" t="inlineStr">
      <is>
        <t>FERIADO</t>
      </is>
    </nc>
  </rcc>
  <rcc rId="7828" sId="10">
    <nc r="U3" t="inlineStr">
      <is>
        <t>FERIADO</t>
      </is>
    </nc>
  </rcc>
  <rcc rId="7829" sId="10">
    <nc r="U4" t="inlineStr">
      <is>
        <t>FERIADO</t>
      </is>
    </nc>
  </rcc>
  <rcc rId="7830" sId="10">
    <nc r="U5" t="inlineStr">
      <is>
        <t>FERIADO</t>
      </is>
    </nc>
  </rcc>
  <rcc rId="7831" sId="10">
    <nc r="U6" t="inlineStr">
      <is>
        <t>FERIADO</t>
      </is>
    </nc>
  </rcc>
  <rcc rId="7832" sId="10">
    <nc r="U7" t="inlineStr">
      <is>
        <t>FERIADO</t>
      </is>
    </nc>
  </rcc>
  <rcc rId="7833" sId="10">
    <nc r="U8" t="inlineStr">
      <is>
        <t>FERIADO</t>
      </is>
    </nc>
  </rcc>
  <rcc rId="7834" sId="10">
    <nc r="U9" t="inlineStr">
      <is>
        <t>FERIADO</t>
      </is>
    </nc>
  </rcc>
  <rcc rId="7835" sId="10">
    <nc r="U10" t="inlineStr">
      <is>
        <t>FERIADO</t>
      </is>
    </nc>
  </rcc>
  <rcc rId="7836" sId="10">
    <nc r="U11" t="inlineStr">
      <is>
        <t>FERIADO</t>
      </is>
    </nc>
  </rcc>
  <rcc rId="7837" sId="10">
    <nc r="U12" t="inlineStr">
      <is>
        <t>FERIADO</t>
      </is>
    </nc>
  </rcc>
  <rcc rId="7838" sId="10">
    <nc r="U13" t="inlineStr">
      <is>
        <t>FERIADO</t>
      </is>
    </nc>
  </rcc>
  <rcc rId="7839" sId="10">
    <nc r="U14" t="inlineStr">
      <is>
        <t>FERIADO</t>
      </is>
    </nc>
  </rcc>
  <rcc rId="7840" sId="10">
    <nc r="U15" t="inlineStr">
      <is>
        <t>FERIADO</t>
      </is>
    </nc>
  </rcc>
  <rcc rId="7841" sId="10" odxf="1" dxf="1">
    <nc r="U16" t="inlineStr">
      <is>
        <t>FERIADO</t>
      </is>
    </nc>
    <odxf>
      <border outline="0">
        <bottom style="thin">
          <color indexed="64"/>
        </bottom>
      </border>
    </odxf>
    <ndxf>
      <border outline="0">
        <bottom/>
      </border>
    </ndxf>
  </rcc>
  <rfmt sheetId="10" sqref="U2:U17">
    <dxf>
      <fill>
        <patternFill patternType="solid">
          <bgColor theme="0" tint="-0.14999847407452621"/>
        </patternFill>
      </fill>
    </dxf>
  </rfmt>
  <rfmt sheetId="10" sqref="T1:T16" start="0" length="0">
    <dxf>
      <border>
        <left style="thin">
          <color indexed="64"/>
        </left>
      </border>
    </dxf>
  </rfmt>
  <rfmt sheetId="10" sqref="T1:T16" start="0" length="0">
    <dxf>
      <border>
        <right style="thin">
          <color indexed="64"/>
        </right>
      </border>
    </dxf>
  </rfmt>
  <rfmt sheetId="10" sqref="Y17" start="0" length="0">
    <dxf>
      <border>
        <left/>
        <right/>
        <top/>
        <bottom/>
      </border>
    </dxf>
  </rfmt>
  <rfmt sheetId="10" sqref="Y17" start="0" length="0">
    <dxf>
      <border>
        <left/>
        <right/>
        <top style="thin">
          <color indexed="64"/>
        </top>
        <bottom/>
      </border>
    </dxf>
  </rfmt>
  <rfmt sheetId="10" sqref="U17" start="0" length="0">
    <dxf>
      <border>
        <left/>
        <right/>
        <top style="thin">
          <color indexed="64"/>
        </top>
        <bottom/>
      </border>
    </dxf>
  </rfmt>
  <rfmt sheetId="10" sqref="AL1:AL16" start="0" length="0">
    <dxf>
      <border>
        <left style="thin">
          <color indexed="64"/>
        </left>
      </border>
    </dxf>
  </rfmt>
  <rfmt sheetId="10" sqref="AL1:AL16" start="0" length="0">
    <dxf>
      <border>
        <right style="thin">
          <color indexed="64"/>
        </right>
      </border>
    </dxf>
  </rfmt>
  <rfmt sheetId="10" sqref="AF1:AF16" start="0" length="0">
    <dxf>
      <border>
        <left style="thin">
          <color indexed="64"/>
        </left>
      </border>
    </dxf>
  </rfmt>
  <rfmt sheetId="10" sqref="AF1:AF16" start="0" length="0">
    <dxf>
      <border>
        <right style="thin">
          <color indexed="64"/>
        </right>
      </border>
    </dxf>
  </rfmt>
  <rfmt sheetId="10" sqref="AR1:AR16" start="0" length="0">
    <dxf>
      <border>
        <left style="thin">
          <color indexed="64"/>
        </left>
      </border>
    </dxf>
  </rfmt>
  <rfmt sheetId="10" sqref="AR1:AR16" start="0" length="0">
    <dxf>
      <border>
        <right style="thin">
          <color indexed="64"/>
        </right>
      </border>
    </dxf>
  </rfmt>
  <rcc rId="7842" sId="10">
    <oc r="AR7">
      <f>SUM(AM7:AQ7)</f>
    </oc>
    <nc r="AR7">
      <f>SUM(AM7:AQ7)</f>
    </nc>
  </rcc>
  <rfmt sheetId="10" sqref="AR1:AR16">
    <dxf>
      <fill>
        <patternFill>
          <bgColor theme="0" tint="-0.14999847407452621"/>
        </patternFill>
      </fill>
    </dxf>
  </rfmt>
  <rfmt sheetId="10" sqref="AX1:AX16">
    <dxf>
      <fill>
        <patternFill>
          <bgColor theme="0" tint="-0.14999847407452621"/>
        </patternFill>
      </fill>
    </dxf>
  </rfmt>
  <rfmt sheetId="10" sqref="AX1:AX16" start="0" length="0">
    <dxf>
      <border>
        <left style="thin">
          <color indexed="64"/>
        </left>
      </border>
    </dxf>
  </rfmt>
  <rfmt sheetId="10" sqref="AX1:AX16" start="0" length="0">
    <dxf>
      <border>
        <right style="thin">
          <color indexed="64"/>
        </right>
      </border>
    </dxf>
  </rfmt>
  <rfmt sheetId="10" sqref="BD1:BD16">
    <dxf>
      <fill>
        <patternFill>
          <bgColor theme="0" tint="-0.14999847407452621"/>
        </patternFill>
      </fill>
    </dxf>
  </rfmt>
  <rfmt sheetId="10" sqref="BD1:BD16" start="0" length="0">
    <dxf>
      <border>
        <left style="thin">
          <color indexed="64"/>
        </left>
      </border>
    </dxf>
  </rfmt>
  <rfmt sheetId="10" sqref="BJ1:BJ16">
    <dxf>
      <fill>
        <patternFill>
          <bgColor theme="0" tint="-0.14999847407452621"/>
        </patternFill>
      </fill>
    </dxf>
  </rfmt>
  <rfmt sheetId="10" sqref="BJ1:BJ16" start="0" length="0">
    <dxf>
      <border>
        <left style="thin">
          <color indexed="64"/>
        </left>
      </border>
    </dxf>
  </rfmt>
  <rfmt sheetId="10" sqref="BP1:BP16">
    <dxf>
      <fill>
        <patternFill>
          <bgColor theme="0" tint="-0.14999847407452621"/>
        </patternFill>
      </fill>
    </dxf>
  </rfmt>
  <rfmt sheetId="10" sqref="BP1:BP16" start="0" length="0">
    <dxf>
      <border>
        <left style="thin">
          <color indexed="64"/>
        </left>
      </border>
    </dxf>
  </rfmt>
  <rfmt sheetId="10" sqref="BV1:BV16">
    <dxf>
      <fill>
        <patternFill>
          <bgColor theme="0" tint="-0.14999847407452621"/>
        </patternFill>
      </fill>
    </dxf>
  </rfmt>
  <rfmt sheetId="10" sqref="BV1:BV16" start="0" length="0">
    <dxf>
      <border>
        <left style="thin">
          <color indexed="64"/>
        </left>
      </border>
    </dxf>
  </rfmt>
  <rcc rId="7843" sId="10">
    <oc r="CB3">
      <f>SUM(BW3:CA3)</f>
    </oc>
    <nc r="CB3">
      <f>SUM(BW3:CA3)</f>
    </nc>
  </rcc>
  <rfmt sheetId="10" sqref="CB1:CB16">
    <dxf>
      <fill>
        <patternFill>
          <bgColor theme="0" tint="-0.14999847407452621"/>
        </patternFill>
      </fill>
    </dxf>
  </rfmt>
  <rfmt sheetId="10" sqref="CB1:CB16" start="0" length="0">
    <dxf>
      <border>
        <left style="thin">
          <color indexed="64"/>
        </left>
      </border>
    </dxf>
  </rfmt>
  <rfmt sheetId="10" sqref="Z1:Z16" start="0" length="0">
    <dxf>
      <border>
        <left style="thin">
          <color indexed="64"/>
        </left>
      </border>
    </dxf>
  </rfmt>
  <rfmt sheetId="10" sqref="Z1:Z16" start="0" length="0">
    <dxf>
      <border>
        <right style="thin">
          <color indexed="64"/>
        </right>
      </border>
    </dxf>
  </rfmt>
  <rfmt sheetId="10" sqref="N1:N16" start="0" length="0">
    <dxf>
      <border>
        <left style="thin">
          <color indexed="64"/>
        </left>
      </border>
    </dxf>
  </rfmt>
  <rfmt sheetId="10" sqref="N1:N16" start="0" length="0">
    <dxf>
      <border>
        <right style="thin">
          <color indexed="64"/>
        </right>
      </border>
    </dxf>
  </rfmt>
  <rfmt sheetId="10" sqref="H1:H16" start="0" length="0">
    <dxf>
      <border>
        <left style="thin">
          <color indexed="64"/>
        </left>
      </border>
    </dxf>
  </rfmt>
  <rfmt sheetId="10" sqref="H1:H16" start="0" length="0">
    <dxf>
      <border>
        <right style="thin">
          <color indexed="64"/>
        </right>
      </border>
    </dxf>
  </rfmt>
  <rfmt sheetId="10" sqref="U17">
    <dxf>
      <fill>
        <patternFill>
          <bgColor theme="0"/>
        </patternFill>
      </fill>
    </dxf>
  </rfmt>
  <rcc rId="7844" sId="10">
    <nc r="O17" t="inlineStr">
      <is>
        <r>
          <t xml:space="preserve">Continuação Revisão planilha do Inventário do </t>
        </r>
        <r>
          <rPr>
            <b/>
            <sz val="11"/>
            <color theme="1"/>
            <rFont val="Aptos Narrow"/>
            <family val="2"/>
          </rPr>
          <t>ARCEN</t>
        </r>
        <r>
          <rPr>
            <sz val="11"/>
            <color theme="1"/>
            <rFont val="Aptos Narrow"/>
            <family val="2"/>
          </rPr>
          <t xml:space="preserve">
e Consolidação
(</t>
        </r>
        <r>
          <rPr>
            <b/>
            <sz val="11"/>
            <color theme="1"/>
            <rFont val="Aptos Narrow"/>
            <family val="2"/>
          </rPr>
          <t>Continuação</t>
        </r>
        <r>
          <rPr>
            <sz val="11"/>
            <color theme="1"/>
            <rFont val="Aptos Narrow"/>
            <family val="2"/>
          </rPr>
          <t>)</t>
        </r>
      </is>
    </nc>
  </rcc>
  <rcv guid="{3D987F8E-A6EA-454D-9537-6BFC5053CB00}" action="delete"/>
  <rdn rId="0" localSheetId="1" customView="1" name="Z_3D987F8E_A6EA_454D_9537_6BFC5053CB00_.wvu.FilterData" hidden="1" oldHidden="1">
    <formula>Patrícia!$A$1:$A$18</formula>
    <oldFormula>Patrícia!$A$1:$A$18</oldFormula>
  </rdn>
  <rdn rId="0" localSheetId="2" customView="1" name="Z_3D987F8E_A6EA_454D_9537_6BFC5053CB00_.wvu.FilterData" hidden="1" oldHidden="1">
    <formula>Marcelo!$A$1:$A$18</formula>
    <oldFormula>Marcelo!$A$1:$A$18</oldFormula>
  </rdn>
  <rdn rId="0" localSheetId="3" customView="1" name="Z_3D987F8E_A6EA_454D_9537_6BFC5053CB00_.wvu.FilterData" hidden="1" oldHidden="1">
    <formula>TOTAL!$A$1:$A$18</formula>
    <oldFormula>TOTAL!$A$1:$A$18</oldFormula>
  </rdn>
  <rdn rId="0" localSheetId="4" customView="1" name="Z_3D987F8E_A6EA_454D_9537_6BFC5053CB00_.wvu.FilterData" hidden="1" oldHidden="1">
    <formula>Diego!$A$1:$A$19</formula>
    <oldFormula>Diego!$A$1:$A$19</oldFormula>
  </rdn>
  <rdn rId="0" localSheetId="5" customView="1" name="Z_3D987F8E_A6EA_454D_9537_6BFC5053CB00_.wvu.FilterData" hidden="1" oldHidden="1">
    <formula>Aelton!$A$1:$A$18</formula>
    <oldFormula>Aelton!$A$1:$A$18</oldFormula>
  </rdn>
  <rdn rId="0" localSheetId="6" customView="1" name="Z_3D987F8E_A6EA_454D_9537_6BFC5053CB00_.wvu.FilterData" hidden="1" oldHidden="1">
    <formula>Leonam!$A$1:$BD$18</formula>
    <oldFormula>Leonam!$A$1:$BD$18</oldFormula>
  </rdn>
  <rdn rId="0" localSheetId="7" customView="1" name="Z_3D987F8E_A6EA_454D_9537_6BFC5053CB00_.wvu.FilterData" hidden="1" oldHidden="1">
    <formula>Danilo!$A$1:$A$18</formula>
    <oldFormula>Danilo!$A$1:$A$18</oldFormula>
  </rdn>
  <rdn rId="0" localSheetId="8" customView="1" name="Z_3D987F8E_A6EA_454D_9537_6BFC5053CB00_.wvu.FilterData" hidden="1" oldHidden="1">
    <formula>Marcos!$A$1:$A$18</formula>
    <oldFormula>Marcos!$A$1:$A$18</oldFormula>
  </rdn>
  <rdn rId="0" localSheetId="10" customView="1" name="Z_3D987F8E_A6EA_454D_9537_6BFC5053CB00_.wvu.FilterData" hidden="1" oldHidden="1">
    <formula>Alessandro!$A$1:$A$18</formula>
    <oldFormula>Alessandro!$A$1:$A$18</oldFormula>
  </rdn>
  <rdn rId="0" localSheetId="9" customView="1" name="Z_3D987F8E_A6EA_454D_9537_6BFC5053CB00_.wvu.FilterData" hidden="1" oldHidden="1">
    <formula>Carlos!$A$1:$A$18</formula>
    <oldFormula>Carlos!$A$1:$A$18</oldFormula>
  </rdn>
  <rcv guid="{3D987F8E-A6EA-454D-9537-6BFC5053CB00}" action="add"/>
</revisions>
</file>

<file path=xl/revisions/revisionLog4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855" sId="5">
    <nc r="W4">
      <v>3</v>
    </nc>
  </rcc>
  <rcc rId="7856" sId="5">
    <nc r="X4">
      <v>158</v>
    </nc>
  </rcc>
  <rcc rId="7857" sId="5">
    <nc r="V13">
      <v>1</v>
    </nc>
  </rcc>
  <rcc rId="7858" sId="5">
    <nc r="W13">
      <v>1</v>
    </nc>
  </rcc>
  <rcc rId="7859" sId="5">
    <nc r="X13">
      <v>3</v>
    </nc>
  </rcc>
  <rcc rId="7860" sId="5">
    <nc r="Y14">
      <v>1</v>
    </nc>
  </rcc>
  <rfmt sheetId="5" sqref="U16" start="0" length="0">
    <dxf>
      <border outline="0">
        <bottom/>
      </border>
    </dxf>
  </rfmt>
  <rfmt sheetId="5" sqref="V16" start="0" length="0">
    <dxf>
      <border outline="0">
        <bottom/>
      </border>
    </dxf>
  </rfmt>
  <rfmt sheetId="5" sqref="W16" start="0" length="0">
    <dxf>
      <border outline="0">
        <bottom/>
      </border>
    </dxf>
  </rfmt>
  <rfmt sheetId="5" sqref="X16" start="0" length="0">
    <dxf>
      <border outline="0">
        <bottom/>
      </border>
    </dxf>
  </rfmt>
  <rfmt sheetId="5" sqref="Y16" start="0" length="0">
    <dxf>
      <border outline="0">
        <bottom/>
      </border>
    </dxf>
  </rfmt>
  <rcc rId="7861" sId="5" odxf="1" dxf="1">
    <nc r="U17" t="inlineStr">
      <is>
        <t>Ponto Facultativo.
Dia do servidor que é 28 foi movido para este dia.</t>
      </is>
    </nc>
    <odxf>
      <fill>
        <patternFill patternType="none">
          <bgColor indexed="65"/>
        </patternFill>
      </fill>
      <border outline="0">
        <left/>
        <right/>
        <top/>
        <bottom/>
      </border>
    </odxf>
    <ndxf>
      <fill>
        <patternFill patternType="solid">
          <bgColor theme="9" tint="0.59999389629810485"/>
        </patternFill>
      </fill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ndxf>
  </rcc>
  <rcc rId="7862" sId="5" odxf="1" dxf="1">
    <nc r="V17" t="inlineStr">
      <is>
        <t>Pesquisa e busca por processo 
MESP
58701.000350/2007-33</t>
      </is>
    </nc>
    <odxf>
      <border outline="0">
        <left/>
        <right/>
        <top/>
        <bottom/>
      </border>
    </odxf>
    <n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ndxf>
  </rcc>
  <rcc rId="7863" sId="5" odxf="1" dxf="1">
    <nc r="W17" t="inlineStr">
      <is>
        <t>1. Preparação de 39 processos do MESP para serem levados para arquivar no Bloco A.
2. Documento produzido: 
E-mail solicitação autorização de saída de 39 processos.</t>
      </is>
    </nc>
    <odxf>
      <border outline="0">
        <left/>
        <right/>
        <top/>
        <bottom/>
      </border>
    </odxf>
    <n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ndxf>
  </rcc>
  <rcc rId="7864" sId="5">
    <nc r="X17" t="inlineStr">
      <is>
        <t xml:space="preserve">Arquivamento de 70 caixas do 
DAPDEFNAS </t>
      </is>
    </nc>
  </rcc>
  <rcc rId="7865" sId="5" odxf="1" dxf="1">
    <nc r="Y17" t="inlineStr">
      <is>
        <t>1. Reunião pela manhã com a 
chefe Patrícia.
2. Ligação para a COSEG para tratar do envio das caixas para o Bloco A  e o agendamento do carro.</t>
      </is>
    </nc>
    <o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odxf>
    <ndxf>
      <border outline="0">
        <left/>
        <right/>
        <top/>
        <bottom/>
      </border>
    </ndxf>
  </rcc>
</revisions>
</file>

<file path=xl/revisions/revisionLog4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866" sId="4">
    <oc r="V17" t="inlineStr">
      <is>
        <t xml:space="preserve">trocando caixas do arquivo </t>
      </is>
    </oc>
    <nc r="V17" t="inlineStr">
      <is>
        <t>trocando caixas do arquivo 10</t>
      </is>
    </nc>
  </rcc>
  <rcc rId="7867" sId="4">
    <nc r="Y17" t="inlineStr">
      <is>
        <t xml:space="preserve">TROCANDO CAIXAS NO ARQUIVO 10 , PROCURANDO PROCESSOS </t>
      </is>
    </nc>
  </rcc>
  <rcc rId="7868" sId="4">
    <nc r="X17" t="inlineStr">
      <is>
        <t xml:space="preserve">TROCANDO CAIXAS NO ARQUIVO 10 , PROCURANDO PROCESSOS </t>
      </is>
    </nc>
  </rcc>
  <rcv guid="{20CB6D8F-C24D-4D4B-A424-AF380F620455}" action="delete"/>
  <rdn rId="0" localSheetId="1" customView="1" name="Z_20CB6D8F_C24D_4D4B_A424_AF380F620455_.wvu.FilterData" hidden="1" oldHidden="1">
    <formula>Patrícia!$A$1:$A$18</formula>
    <oldFormula>Patrícia!$A$1:$A$18</oldFormula>
  </rdn>
  <rdn rId="0" localSheetId="2" customView="1" name="Z_20CB6D8F_C24D_4D4B_A424_AF380F620455_.wvu.FilterData" hidden="1" oldHidden="1">
    <formula>Marcelo!$A$1:$A$18</formula>
    <oldFormula>Marcelo!$A$1:$A$18</oldFormula>
  </rdn>
  <rdn rId="0" localSheetId="3" customView="1" name="Z_20CB6D8F_C24D_4D4B_A424_AF380F620455_.wvu.FilterData" hidden="1" oldHidden="1">
    <formula>TOTAL!$A$1:$A$18</formula>
    <oldFormula>TOTAL!$A$1:$A$18</oldFormula>
  </rdn>
  <rdn rId="0" localSheetId="4" customView="1" name="Z_20CB6D8F_C24D_4D4B_A424_AF380F620455_.wvu.FilterData" hidden="1" oldHidden="1">
    <formula>Diego!$A$1:$A$19</formula>
    <oldFormula>Diego!$A$1:$A$19</oldFormula>
  </rdn>
  <rdn rId="0" localSheetId="5" customView="1" name="Z_20CB6D8F_C24D_4D4B_A424_AF380F620455_.wvu.FilterData" hidden="1" oldHidden="1">
    <formula>Aelton!$A$1:$A$18</formula>
    <oldFormula>Aelton!$A$1:$A$18</oldFormula>
  </rdn>
  <rdn rId="0" localSheetId="6" customView="1" name="Z_20CB6D8F_C24D_4D4B_A424_AF380F620455_.wvu.FilterData" hidden="1" oldHidden="1">
    <formula>Leonam!$A$1:$BD$18</formula>
    <oldFormula>Leonam!$A$1:$BD$18</oldFormula>
  </rdn>
  <rdn rId="0" localSheetId="7" customView="1" name="Z_20CB6D8F_C24D_4D4B_A424_AF380F620455_.wvu.FilterData" hidden="1" oldHidden="1">
    <formula>Danilo!$A$1:$A$18</formula>
    <oldFormula>Danilo!$A$1:$A$18</oldFormula>
  </rdn>
  <rdn rId="0" localSheetId="8" customView="1" name="Z_20CB6D8F_C24D_4D4B_A424_AF380F620455_.wvu.FilterData" hidden="1" oldHidden="1">
    <formula>Marcos!$A$1:$A$18</formula>
    <oldFormula>Marcos!$A$1:$A$18</oldFormula>
  </rdn>
  <rdn rId="0" localSheetId="10" customView="1" name="Z_20CB6D8F_C24D_4D4B_A424_AF380F620455_.wvu.FilterData" hidden="1" oldHidden="1">
    <formula>Alessandro!$A$1:$A$18</formula>
    <oldFormula>Alessandro!$A$1:$A$18</oldFormula>
  </rdn>
  <rdn rId="0" localSheetId="9" customView="1" name="Z_20CB6D8F_C24D_4D4B_A424_AF380F620455_.wvu.FilterData" hidden="1" oldHidden="1">
    <formula>Carlos!$A$1:$A$18</formula>
    <oldFormula>Carlos!$A$1:$A$18</oldFormula>
  </rdn>
  <rcv guid="{20CB6D8F-C24D-4D4B-A424-AF380F620455}" action="add"/>
</revisions>
</file>

<file path=xl/revisions/revisionLog4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879" sId="4">
    <oc r="W17" t="inlineStr">
      <is>
        <t>ARQUIVANDO PROCESSOS DO ESPORTE E MDS</t>
      </is>
    </oc>
    <nc r="W17" t="inlineStr">
      <is>
        <t>ARQUIVANDO PROCESSOS DO ESPORTE E MDS 15</t>
      </is>
    </nc>
  </rcc>
</revisions>
</file>

<file path=xl/revisions/revisionLog4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880" sId="6">
    <nc r="U17" t="inlineStr">
      <is>
        <t>feriado</t>
      </is>
    </nc>
  </rcc>
  <rcc rId="7881" sId="4">
    <oc r="Y17" t="inlineStr">
      <is>
        <t xml:space="preserve">TROCANDO CAIXAS NO ARQUIVO 10 , PROCURANDO PROCESSOS </t>
      </is>
    </oc>
    <nc r="Y17" t="inlineStr">
      <is>
        <t xml:space="preserve">REUNIÃO NO PERIODO DA MANHÃ , TROCANDO CAIXAS NO ARQUIVO 10 , PROCURANDO PROCESSOS </t>
      </is>
    </nc>
  </rcc>
  <rcc rId="7882" sId="6">
    <nc r="V17" t="inlineStr">
      <is>
        <t>trocando caixas do arquivo 10</t>
      </is>
    </nc>
  </rcc>
  <rcc rId="7883" sId="6">
    <nc r="W17" t="inlineStr">
      <is>
        <t>ARQUIVANDO PROCESSOS DO ESPORTE E MDS 15</t>
      </is>
    </nc>
  </rcc>
  <rcc rId="7884" sId="6">
    <nc r="X17" t="inlineStr">
      <is>
        <t xml:space="preserve">TROCANDO CAIXAS NO ARQUIVO 10 , PROCURANDO PROCESSOS </t>
      </is>
    </nc>
  </rcc>
  <rcc rId="7885" sId="6" odxf="1" dxf="1">
    <nc r="Y17" t="inlineStr">
      <is>
        <t xml:space="preserve">REUNIÃO NO PERIODO DA MANHÃ , TROCANDO CAIXAS NO ARQUIVO 10 , PROCURANDO PROCESSOS </t>
      </is>
    </nc>
    <o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odxf>
    <ndxf>
      <border outline="0">
        <left/>
        <right/>
        <top/>
        <bottom/>
      </border>
    </ndxf>
  </rcc>
  <rcc rId="7886" sId="7">
    <nc r="V17" t="inlineStr">
      <is>
        <t>trocando caixas do arquivo 10</t>
      </is>
    </nc>
  </rcc>
  <rcc rId="7887" sId="7">
    <nc r="W17" t="inlineStr">
      <is>
        <t>ARQUIVANDO PROCESSOS DO ESPORTE E MDS 15</t>
      </is>
    </nc>
  </rcc>
  <rcc rId="7888" sId="7">
    <nc r="X17" t="inlineStr">
      <is>
        <t xml:space="preserve">TROCANDO CAIXAS NO ARQUIVO 10 , PROCURANDO PROCESSOS </t>
      </is>
    </nc>
  </rcc>
  <rcc rId="7889" sId="7" odxf="1" dxf="1">
    <nc r="Y17" t="inlineStr">
      <is>
        <t xml:space="preserve">REUNIÃO NO PERIODO DA MANHÃ , TROCANDO CAIXAS NO ARQUIVO 10 , PROCURANDO PROCESSOS </t>
      </is>
    </nc>
    <o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odxf>
    <ndxf>
      <border outline="0">
        <left/>
        <right/>
        <top/>
        <bottom/>
      </border>
    </ndxf>
  </rcc>
  <rcc rId="7890" sId="7">
    <nc r="U17" t="inlineStr">
      <is>
        <t>FERIADO</t>
      </is>
    </nc>
  </rcc>
  <rcc rId="7891" sId="8">
    <nc r="X17" t="inlineStr">
      <is>
        <t xml:space="preserve">TROCANDO CAIXAS NO ARQUIVO 10 , PROCURANDO PROCESSOS </t>
      </is>
    </nc>
  </rcc>
  <rcc rId="7892" sId="8" odxf="1" dxf="1">
    <nc r="Y17" t="inlineStr">
      <is>
        <t xml:space="preserve">REUNIÃO NO PERIODO DA MANHÃ , TROCANDO CAIXAS NO ARQUIVO 10 , PROCURANDO PROCESSOS </t>
      </is>
    </nc>
    <o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odxf>
    <ndxf>
      <border outline="0">
        <left/>
        <right/>
        <top/>
        <bottom/>
      </border>
    </ndxf>
  </rcc>
  <rcc rId="7893" sId="8">
    <nc r="U17" t="inlineStr">
      <is>
        <t>FERIADO</t>
      </is>
    </nc>
  </rcc>
  <rcc rId="7894" sId="8">
    <nc r="V17" t="inlineStr">
      <is>
        <t>FOLGA</t>
      </is>
    </nc>
  </rcc>
  <rcc rId="7895" sId="8">
    <nc r="W17" t="inlineStr">
      <is>
        <t>FOLGA</t>
      </is>
    </nc>
  </rcc>
  <rcv guid="{9B623083-AA7B-440B-95EA-C33E1AB3D963}" action="delete"/>
  <rdn rId="0" localSheetId="1" customView="1" name="Z_9B623083_AA7B_440B_95EA_C33E1AB3D963_.wvu.FilterData" hidden="1" oldHidden="1">
    <formula>Patrícia!$A$1:$A$18</formula>
    <oldFormula>Patrícia!$A$1:$A$18</oldFormula>
  </rdn>
  <rdn rId="0" localSheetId="2" customView="1" name="Z_9B623083_AA7B_440B_95EA_C33E1AB3D963_.wvu.FilterData" hidden="1" oldHidden="1">
    <formula>Marcelo!$A$1:$A$18</formula>
    <oldFormula>Marcelo!$A$1:$A$18</oldFormula>
  </rdn>
  <rdn rId="0" localSheetId="3" customView="1" name="Z_9B623083_AA7B_440B_95EA_C33E1AB3D963_.wvu.FilterData" hidden="1" oldHidden="1">
    <formula>TOTAL!$A$1:$A$18</formula>
    <oldFormula>TOTAL!$A$1:$A$18</oldFormula>
  </rdn>
  <rdn rId="0" localSheetId="4" customView="1" name="Z_9B623083_AA7B_440B_95EA_C33E1AB3D963_.wvu.FilterData" hidden="1" oldHidden="1">
    <formula>Diego!$A$1:$A$19</formula>
    <oldFormula>Diego!$A$1:$A$19</oldFormula>
  </rdn>
  <rdn rId="0" localSheetId="5" customView="1" name="Z_9B623083_AA7B_440B_95EA_C33E1AB3D963_.wvu.FilterData" hidden="1" oldHidden="1">
    <formula>Aelton!$A$1:$A$18</formula>
    <oldFormula>Aelton!$A$1:$A$18</oldFormula>
  </rdn>
  <rdn rId="0" localSheetId="6" customView="1" name="Z_9B623083_AA7B_440B_95EA_C33E1AB3D963_.wvu.FilterData" hidden="1" oldHidden="1">
    <formula>Leonam!$A$1:$BD$18</formula>
    <oldFormula>Leonam!$A$1:$BD$18</oldFormula>
  </rdn>
  <rdn rId="0" localSheetId="7" customView="1" name="Z_9B623083_AA7B_440B_95EA_C33E1AB3D963_.wvu.FilterData" hidden="1" oldHidden="1">
    <formula>Danilo!$A$1:$A$18</formula>
    <oldFormula>Danilo!$A$1:$A$18</oldFormula>
  </rdn>
  <rdn rId="0" localSheetId="8" customView="1" name="Z_9B623083_AA7B_440B_95EA_C33E1AB3D963_.wvu.FilterData" hidden="1" oldHidden="1">
    <formula>Marcos!$A$1:$A$18</formula>
    <oldFormula>Marcos!$A$1:$A$18</oldFormula>
  </rdn>
  <rdn rId="0" localSheetId="10" customView="1" name="Z_9B623083_AA7B_440B_95EA_C33E1AB3D963_.wvu.FilterData" hidden="1" oldHidden="1">
    <formula>Alessandro!$A$1:$A$18</formula>
    <oldFormula>Alessandro!$A$1:$A$18</oldFormula>
  </rdn>
  <rdn rId="0" localSheetId="9" customView="1" name="Z_9B623083_AA7B_440B_95EA_C33E1AB3D963_.wvu.FilterData" hidden="1" oldHidden="1">
    <formula>Carlos!$A$1:$A$18</formula>
    <oldFormula>Carlos!$A$1:$A$18</oldFormula>
  </rdn>
  <rcv guid="{9B623083-AA7B-440B-95EA-C33E1AB3D963}" action="add"/>
</revisions>
</file>

<file path=xl/revisions/revisionLog4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906" sId="10">
    <nc r="V17" t="inlineStr">
      <is>
        <r>
          <t xml:space="preserve">Conclusão da conferência do patrimônio salas </t>
        </r>
        <r>
          <rPr>
            <b/>
            <sz val="11"/>
            <color theme="1"/>
            <rFont val="Aptos Narrow"/>
            <family val="2"/>
          </rPr>
          <t>1S3.25 e 1S1.20</t>
        </r>
        <r>
          <rPr>
            <sz val="11"/>
            <color theme="1"/>
            <rFont val="Aptos Narrow"/>
            <family val="2"/>
          </rPr>
          <t xml:space="preserve">
</t>
        </r>
      </is>
    </nc>
  </rcc>
  <rcc rId="7907" sId="10">
    <nc r="W17" t="inlineStr">
      <is>
        <t>Conferência e atualização da planilha de indicadores de atividades</t>
      </is>
    </nc>
  </rcc>
  <rcc rId="7908" sId="10">
    <nc r="X17" t="inlineStr">
      <is>
        <r>
          <t>Atualização planilha de atividades</t>
        </r>
        <r>
          <rPr>
            <b/>
            <sz val="11"/>
            <color theme="1"/>
            <rFont val="Aptos Narrow"/>
            <family val="2"/>
          </rPr>
          <t xml:space="preserve">
(Geral/Gustavo)</t>
        </r>
      </is>
    </nc>
  </rcc>
  <rcc rId="7909" sId="10">
    <nc r="Y18" t="inlineStr">
      <is>
        <t>Reunião de equipe com Patricia
(manhã)</t>
      </is>
    </nc>
  </rcc>
  <rfmt sheetId="10" sqref="Y17" start="0" length="0">
    <dxf>
      <border outline="0">
        <top/>
      </border>
    </dxf>
  </rfmt>
  <rcc rId="7910" sId="10">
    <nc r="Y17" t="inlineStr">
      <is>
        <r>
          <t>Finalização da planilha de atividades</t>
        </r>
        <r>
          <rPr>
            <b/>
            <sz val="11"/>
            <color theme="1"/>
            <rFont val="Aptos Narrow"/>
            <family val="2"/>
          </rPr>
          <t xml:space="preserve">
(Geral/Gustavo)</t>
        </r>
      </is>
    </nc>
  </rcc>
  <rcc rId="7911" sId="3">
    <oc r="A15" t="inlineStr">
      <is>
        <t>Caixas remanejada</t>
      </is>
    </oc>
    <nc r="A15" t="inlineStr">
      <is>
        <t>Caixas remanejadas</t>
      </is>
    </nc>
  </rcc>
  <rcc rId="7912" sId="8" odxf="1" dxf="1">
    <nc r="U2" t="inlineStr">
      <is>
        <t>FERIADO</t>
      </is>
    </nc>
    <odxf>
      <fill>
        <patternFill patternType="none">
          <bgColor indexed="65"/>
        </patternFill>
      </fill>
    </odxf>
    <ndxf>
      <fill>
        <patternFill patternType="solid">
          <bgColor theme="0" tint="-0.14999847407452621"/>
        </patternFill>
      </fill>
    </ndxf>
  </rcc>
  <rcc rId="7913" sId="8" odxf="1" dxf="1">
    <nc r="U3" t="inlineStr">
      <is>
        <t>FERIADO</t>
      </is>
    </nc>
    <odxf>
      <fill>
        <patternFill patternType="none">
          <bgColor indexed="65"/>
        </patternFill>
      </fill>
    </odxf>
    <ndxf>
      <fill>
        <patternFill patternType="solid">
          <bgColor theme="0" tint="-0.14999847407452621"/>
        </patternFill>
      </fill>
    </ndxf>
  </rcc>
  <rcc rId="7914" sId="8" odxf="1" dxf="1">
    <nc r="U4" t="inlineStr">
      <is>
        <t>FERIADO</t>
      </is>
    </nc>
    <odxf>
      <fill>
        <patternFill patternType="none">
          <bgColor indexed="65"/>
        </patternFill>
      </fill>
    </odxf>
    <ndxf>
      <fill>
        <patternFill patternType="solid">
          <bgColor theme="0" tint="-0.14999847407452621"/>
        </patternFill>
      </fill>
    </ndxf>
  </rcc>
  <rcc rId="7915" sId="8" odxf="1" dxf="1">
    <nc r="U5" t="inlineStr">
      <is>
        <t>FERIADO</t>
      </is>
    </nc>
    <odxf>
      <fill>
        <patternFill patternType="none">
          <bgColor indexed="65"/>
        </patternFill>
      </fill>
    </odxf>
    <ndxf>
      <fill>
        <patternFill patternType="solid">
          <bgColor theme="0" tint="-0.14999847407452621"/>
        </patternFill>
      </fill>
    </ndxf>
  </rcc>
  <rcc rId="7916" sId="8" odxf="1" dxf="1">
    <nc r="U6" t="inlineStr">
      <is>
        <t>FERIADO</t>
      </is>
    </nc>
    <odxf>
      <fill>
        <patternFill patternType="none">
          <bgColor indexed="65"/>
        </patternFill>
      </fill>
    </odxf>
    <ndxf>
      <fill>
        <patternFill patternType="solid">
          <bgColor theme="0" tint="-0.14999847407452621"/>
        </patternFill>
      </fill>
    </ndxf>
  </rcc>
  <rcc rId="7917" sId="8" odxf="1" dxf="1">
    <nc r="U7" t="inlineStr">
      <is>
        <t>FERIADO</t>
      </is>
    </nc>
    <odxf>
      <fill>
        <patternFill patternType="none">
          <bgColor indexed="65"/>
        </patternFill>
      </fill>
    </odxf>
    <ndxf>
      <fill>
        <patternFill patternType="solid">
          <bgColor theme="0" tint="-0.14999847407452621"/>
        </patternFill>
      </fill>
    </ndxf>
  </rcc>
  <rcc rId="7918" sId="8" odxf="1" dxf="1">
    <nc r="U8" t="inlineStr">
      <is>
        <t>FERIADO</t>
      </is>
    </nc>
    <odxf>
      <fill>
        <patternFill patternType="none">
          <bgColor indexed="65"/>
        </patternFill>
      </fill>
    </odxf>
    <ndxf>
      <fill>
        <patternFill patternType="solid">
          <bgColor theme="0" tint="-0.14999847407452621"/>
        </patternFill>
      </fill>
    </ndxf>
  </rcc>
  <rcc rId="7919" sId="8" odxf="1" dxf="1">
    <nc r="U9" t="inlineStr">
      <is>
        <t>FERIADO</t>
      </is>
    </nc>
    <odxf>
      <fill>
        <patternFill patternType="none">
          <bgColor indexed="65"/>
        </patternFill>
      </fill>
    </odxf>
    <ndxf>
      <fill>
        <patternFill patternType="solid">
          <bgColor theme="0" tint="-0.14999847407452621"/>
        </patternFill>
      </fill>
    </ndxf>
  </rcc>
  <rcc rId="7920" sId="8" odxf="1" dxf="1">
    <nc r="U10" t="inlineStr">
      <is>
        <t>FERIADO</t>
      </is>
    </nc>
    <odxf>
      <fill>
        <patternFill patternType="none">
          <bgColor indexed="65"/>
        </patternFill>
      </fill>
    </odxf>
    <ndxf>
      <fill>
        <patternFill patternType="solid">
          <bgColor theme="0" tint="-0.14999847407452621"/>
        </patternFill>
      </fill>
    </ndxf>
  </rcc>
  <rcc rId="7921" sId="8" odxf="1" dxf="1">
    <nc r="U11" t="inlineStr">
      <is>
        <t>FERIADO</t>
      </is>
    </nc>
    <odxf>
      <fill>
        <patternFill patternType="none">
          <bgColor indexed="65"/>
        </patternFill>
      </fill>
    </odxf>
    <ndxf>
      <fill>
        <patternFill patternType="solid">
          <bgColor theme="0" tint="-0.14999847407452621"/>
        </patternFill>
      </fill>
    </ndxf>
  </rcc>
  <rcc rId="7922" sId="8" odxf="1" dxf="1">
    <nc r="U12" t="inlineStr">
      <is>
        <t>FERIADO</t>
      </is>
    </nc>
    <odxf>
      <fill>
        <patternFill patternType="none">
          <bgColor indexed="65"/>
        </patternFill>
      </fill>
    </odxf>
    <ndxf>
      <fill>
        <patternFill patternType="solid">
          <bgColor theme="0" tint="-0.14999847407452621"/>
        </patternFill>
      </fill>
    </ndxf>
  </rcc>
  <rcc rId="7923" sId="8" odxf="1" dxf="1">
    <nc r="U13" t="inlineStr">
      <is>
        <t>FERIADO</t>
      </is>
    </nc>
    <odxf>
      <fill>
        <patternFill patternType="none">
          <bgColor indexed="65"/>
        </patternFill>
      </fill>
    </odxf>
    <ndxf>
      <fill>
        <patternFill patternType="solid">
          <bgColor theme="0" tint="-0.14999847407452621"/>
        </patternFill>
      </fill>
    </ndxf>
  </rcc>
  <rcc rId="7924" sId="8" odxf="1" dxf="1">
    <nc r="U14" t="inlineStr">
      <is>
        <t>FERIADO</t>
      </is>
    </nc>
    <odxf>
      <fill>
        <patternFill patternType="none">
          <bgColor indexed="65"/>
        </patternFill>
      </fill>
    </odxf>
    <ndxf>
      <fill>
        <patternFill patternType="solid">
          <bgColor theme="0" tint="-0.14999847407452621"/>
        </patternFill>
      </fill>
    </ndxf>
  </rcc>
  <rcc rId="7925" sId="8" odxf="1" dxf="1">
    <nc r="U15" t="inlineStr">
      <is>
        <t>FERIADO</t>
      </is>
    </nc>
    <odxf>
      <fill>
        <patternFill patternType="none">
          <bgColor indexed="65"/>
        </patternFill>
      </fill>
    </odxf>
    <ndxf>
      <fill>
        <patternFill patternType="solid">
          <bgColor theme="0" tint="-0.14999847407452621"/>
        </patternFill>
      </fill>
    </ndxf>
  </rcc>
  <rcc rId="7926" sId="8" odxf="1" dxf="1">
    <nc r="U16" t="inlineStr">
      <is>
        <t>FERIADO</t>
      </is>
    </nc>
    <odxf>
      <fill>
        <patternFill patternType="none">
          <bgColor indexed="65"/>
        </patternFill>
      </fill>
      <border outline="0">
        <bottom style="thin">
          <color indexed="64"/>
        </bottom>
      </border>
    </odxf>
    <ndxf>
      <fill>
        <patternFill patternType="solid">
          <bgColor theme="0" tint="-0.14999847407452621"/>
        </patternFill>
      </fill>
      <border outline="0">
        <bottom/>
      </border>
    </ndxf>
  </rcc>
  <rcc rId="7927" sId="7" odxf="1" dxf="1">
    <nc r="U2" t="inlineStr">
      <is>
        <t>FERIADO</t>
      </is>
    </nc>
    <odxf>
      <fill>
        <patternFill patternType="none">
          <bgColor indexed="65"/>
        </patternFill>
      </fill>
    </odxf>
    <ndxf>
      <fill>
        <patternFill patternType="solid">
          <bgColor theme="0" tint="-0.14999847407452621"/>
        </patternFill>
      </fill>
    </ndxf>
  </rcc>
  <rcc rId="7928" sId="7" odxf="1" dxf="1">
    <nc r="U3" t="inlineStr">
      <is>
        <t>FERIADO</t>
      </is>
    </nc>
    <odxf>
      <fill>
        <patternFill patternType="none">
          <bgColor indexed="65"/>
        </patternFill>
      </fill>
    </odxf>
    <ndxf>
      <fill>
        <patternFill patternType="solid">
          <bgColor theme="0" tint="-0.14999847407452621"/>
        </patternFill>
      </fill>
    </ndxf>
  </rcc>
  <rcc rId="7929" sId="7" odxf="1" dxf="1">
    <nc r="U4" t="inlineStr">
      <is>
        <t>FERIADO</t>
      </is>
    </nc>
    <odxf>
      <fill>
        <patternFill patternType="none">
          <bgColor indexed="65"/>
        </patternFill>
      </fill>
    </odxf>
    <ndxf>
      <fill>
        <patternFill patternType="solid">
          <bgColor theme="0" tint="-0.14999847407452621"/>
        </patternFill>
      </fill>
    </ndxf>
  </rcc>
  <rcc rId="7930" sId="7" odxf="1" dxf="1">
    <nc r="U5" t="inlineStr">
      <is>
        <t>FERIADO</t>
      </is>
    </nc>
    <odxf>
      <fill>
        <patternFill patternType="none">
          <bgColor indexed="65"/>
        </patternFill>
      </fill>
    </odxf>
    <ndxf>
      <fill>
        <patternFill patternType="solid">
          <bgColor theme="0" tint="-0.14999847407452621"/>
        </patternFill>
      </fill>
    </ndxf>
  </rcc>
  <rcc rId="7931" sId="7" odxf="1" dxf="1">
    <nc r="U6" t="inlineStr">
      <is>
        <t>FERIADO</t>
      </is>
    </nc>
    <odxf>
      <fill>
        <patternFill patternType="none">
          <bgColor indexed="65"/>
        </patternFill>
      </fill>
    </odxf>
    <ndxf>
      <fill>
        <patternFill patternType="solid">
          <bgColor theme="0" tint="-0.14999847407452621"/>
        </patternFill>
      </fill>
    </ndxf>
  </rcc>
  <rcc rId="7932" sId="7" odxf="1" dxf="1">
    <nc r="U7" t="inlineStr">
      <is>
        <t>FERIADO</t>
      </is>
    </nc>
    <odxf>
      <fill>
        <patternFill patternType="none">
          <bgColor indexed="65"/>
        </patternFill>
      </fill>
    </odxf>
    <ndxf>
      <fill>
        <patternFill patternType="solid">
          <bgColor theme="0" tint="-0.14999847407452621"/>
        </patternFill>
      </fill>
    </ndxf>
  </rcc>
  <rcc rId="7933" sId="7" odxf="1" dxf="1">
    <nc r="U8" t="inlineStr">
      <is>
        <t>FERIADO</t>
      </is>
    </nc>
    <odxf>
      <fill>
        <patternFill patternType="none">
          <bgColor indexed="65"/>
        </patternFill>
      </fill>
    </odxf>
    <ndxf>
      <fill>
        <patternFill patternType="solid">
          <bgColor theme="0" tint="-0.14999847407452621"/>
        </patternFill>
      </fill>
    </ndxf>
  </rcc>
  <rcc rId="7934" sId="7" odxf="1" dxf="1">
    <nc r="U9" t="inlineStr">
      <is>
        <t>FERIADO</t>
      </is>
    </nc>
    <odxf>
      <fill>
        <patternFill patternType="none">
          <bgColor indexed="65"/>
        </patternFill>
      </fill>
    </odxf>
    <ndxf>
      <fill>
        <patternFill patternType="solid">
          <bgColor theme="0" tint="-0.14999847407452621"/>
        </patternFill>
      </fill>
    </ndxf>
  </rcc>
  <rcc rId="7935" sId="7" odxf="1" dxf="1">
    <nc r="U10" t="inlineStr">
      <is>
        <t>FERIADO</t>
      </is>
    </nc>
    <odxf>
      <fill>
        <patternFill patternType="none">
          <bgColor indexed="65"/>
        </patternFill>
      </fill>
    </odxf>
    <ndxf>
      <fill>
        <patternFill patternType="solid">
          <bgColor theme="0" tint="-0.14999847407452621"/>
        </patternFill>
      </fill>
    </ndxf>
  </rcc>
  <rcc rId="7936" sId="7" odxf="1" dxf="1">
    <nc r="U11" t="inlineStr">
      <is>
        <t>FERIADO</t>
      </is>
    </nc>
    <odxf>
      <fill>
        <patternFill patternType="none">
          <bgColor indexed="65"/>
        </patternFill>
      </fill>
    </odxf>
    <ndxf>
      <fill>
        <patternFill patternType="solid">
          <bgColor theme="0" tint="-0.14999847407452621"/>
        </patternFill>
      </fill>
    </ndxf>
  </rcc>
  <rcc rId="7937" sId="7" odxf="1" dxf="1">
    <nc r="U12" t="inlineStr">
      <is>
        <t>FERIADO</t>
      </is>
    </nc>
    <odxf>
      <fill>
        <patternFill patternType="none">
          <bgColor indexed="65"/>
        </patternFill>
      </fill>
    </odxf>
    <ndxf>
      <fill>
        <patternFill patternType="solid">
          <bgColor theme="0" tint="-0.14999847407452621"/>
        </patternFill>
      </fill>
    </ndxf>
  </rcc>
  <rcc rId="7938" sId="7" odxf="1" dxf="1">
    <nc r="U13" t="inlineStr">
      <is>
        <t>FERIADO</t>
      </is>
    </nc>
    <odxf>
      <fill>
        <patternFill patternType="none">
          <bgColor indexed="65"/>
        </patternFill>
      </fill>
    </odxf>
    <ndxf>
      <fill>
        <patternFill patternType="solid">
          <bgColor theme="0" tint="-0.14999847407452621"/>
        </patternFill>
      </fill>
    </ndxf>
  </rcc>
  <rcc rId="7939" sId="7" odxf="1" dxf="1">
    <nc r="U14" t="inlineStr">
      <is>
        <t>FERIADO</t>
      </is>
    </nc>
    <odxf>
      <fill>
        <patternFill patternType="none">
          <bgColor indexed="65"/>
        </patternFill>
      </fill>
    </odxf>
    <ndxf>
      <fill>
        <patternFill patternType="solid">
          <bgColor theme="0" tint="-0.14999847407452621"/>
        </patternFill>
      </fill>
    </ndxf>
  </rcc>
  <rcc rId="7940" sId="7" odxf="1" dxf="1">
    <nc r="U15" t="inlineStr">
      <is>
        <t>FERIADO</t>
      </is>
    </nc>
    <odxf>
      <fill>
        <patternFill patternType="none">
          <bgColor indexed="65"/>
        </patternFill>
      </fill>
    </odxf>
    <ndxf>
      <fill>
        <patternFill patternType="solid">
          <bgColor theme="0" tint="-0.14999847407452621"/>
        </patternFill>
      </fill>
    </ndxf>
  </rcc>
  <rcc rId="7941" sId="7" odxf="1" dxf="1">
    <nc r="U16" t="inlineStr">
      <is>
        <t>FERIADO</t>
      </is>
    </nc>
    <odxf>
      <fill>
        <patternFill patternType="none">
          <bgColor indexed="65"/>
        </patternFill>
      </fill>
      <border outline="0">
        <bottom style="thin">
          <color indexed="64"/>
        </bottom>
      </border>
    </odxf>
    <ndxf>
      <fill>
        <patternFill patternType="solid">
          <bgColor theme="0" tint="-0.14999847407452621"/>
        </patternFill>
      </fill>
      <border outline="0">
        <bottom/>
      </border>
    </ndxf>
  </rcc>
  <rcc rId="7942" sId="6" odxf="1" dxf="1">
    <nc r="U2" t="inlineStr">
      <is>
        <t>FERIADO</t>
      </is>
    </nc>
    <odxf>
      <fill>
        <patternFill patternType="none">
          <bgColor indexed="65"/>
        </patternFill>
      </fill>
    </odxf>
    <ndxf>
      <fill>
        <patternFill patternType="solid">
          <bgColor theme="0" tint="-0.14999847407452621"/>
        </patternFill>
      </fill>
    </ndxf>
  </rcc>
  <rcc rId="7943" sId="6" odxf="1" dxf="1">
    <nc r="U3" t="inlineStr">
      <is>
        <t>FERIADO</t>
      </is>
    </nc>
    <odxf>
      <fill>
        <patternFill patternType="none">
          <bgColor indexed="65"/>
        </patternFill>
      </fill>
    </odxf>
    <ndxf>
      <fill>
        <patternFill patternType="solid">
          <bgColor theme="0" tint="-0.14999847407452621"/>
        </patternFill>
      </fill>
    </ndxf>
  </rcc>
  <rcc rId="7944" sId="6" odxf="1" dxf="1">
    <nc r="U4" t="inlineStr">
      <is>
        <t>FERIADO</t>
      </is>
    </nc>
    <odxf>
      <fill>
        <patternFill patternType="none">
          <bgColor indexed="65"/>
        </patternFill>
      </fill>
    </odxf>
    <ndxf>
      <fill>
        <patternFill patternType="solid">
          <bgColor theme="0" tint="-0.14999847407452621"/>
        </patternFill>
      </fill>
    </ndxf>
  </rcc>
  <rcc rId="7945" sId="6" odxf="1" dxf="1">
    <nc r="U5" t="inlineStr">
      <is>
        <t>FERIADO</t>
      </is>
    </nc>
    <odxf>
      <fill>
        <patternFill patternType="none">
          <bgColor indexed="65"/>
        </patternFill>
      </fill>
    </odxf>
    <ndxf>
      <fill>
        <patternFill patternType="solid">
          <bgColor theme="0" tint="-0.14999847407452621"/>
        </patternFill>
      </fill>
    </ndxf>
  </rcc>
  <rcc rId="7946" sId="6" odxf="1" dxf="1">
    <nc r="U6" t="inlineStr">
      <is>
        <t>FERIADO</t>
      </is>
    </nc>
    <odxf>
      <fill>
        <patternFill patternType="none">
          <bgColor indexed="65"/>
        </patternFill>
      </fill>
    </odxf>
    <ndxf>
      <fill>
        <patternFill patternType="solid">
          <bgColor theme="0" tint="-0.14999847407452621"/>
        </patternFill>
      </fill>
    </ndxf>
  </rcc>
  <rcc rId="7947" sId="6" odxf="1" dxf="1">
    <nc r="U7" t="inlineStr">
      <is>
        <t>FERIADO</t>
      </is>
    </nc>
    <odxf>
      <fill>
        <patternFill patternType="none">
          <bgColor indexed="65"/>
        </patternFill>
      </fill>
    </odxf>
    <ndxf>
      <fill>
        <patternFill patternType="solid">
          <bgColor theme="0" tint="-0.14999847407452621"/>
        </patternFill>
      </fill>
    </ndxf>
  </rcc>
  <rcc rId="7948" sId="6" odxf="1" dxf="1">
    <nc r="U8" t="inlineStr">
      <is>
        <t>FERIADO</t>
      </is>
    </nc>
    <odxf>
      <fill>
        <patternFill patternType="none">
          <bgColor indexed="65"/>
        </patternFill>
      </fill>
    </odxf>
    <ndxf>
      <fill>
        <patternFill patternType="solid">
          <bgColor theme="0" tint="-0.14999847407452621"/>
        </patternFill>
      </fill>
    </ndxf>
  </rcc>
  <rcc rId="7949" sId="6" odxf="1" dxf="1">
    <nc r="U9" t="inlineStr">
      <is>
        <t>FERIADO</t>
      </is>
    </nc>
    <odxf>
      <fill>
        <patternFill patternType="none">
          <bgColor indexed="65"/>
        </patternFill>
      </fill>
    </odxf>
    <ndxf>
      <fill>
        <patternFill patternType="solid">
          <bgColor theme="0" tint="-0.14999847407452621"/>
        </patternFill>
      </fill>
    </ndxf>
  </rcc>
  <rcc rId="7950" sId="6" odxf="1" dxf="1">
    <nc r="U10" t="inlineStr">
      <is>
        <t>FERIADO</t>
      </is>
    </nc>
    <odxf>
      <fill>
        <patternFill patternType="none">
          <bgColor indexed="65"/>
        </patternFill>
      </fill>
    </odxf>
    <ndxf>
      <fill>
        <patternFill patternType="solid">
          <bgColor theme="0" tint="-0.14999847407452621"/>
        </patternFill>
      </fill>
    </ndxf>
  </rcc>
  <rcc rId="7951" sId="6" odxf="1" dxf="1">
    <nc r="U11" t="inlineStr">
      <is>
        <t>FERIADO</t>
      </is>
    </nc>
    <odxf>
      <fill>
        <patternFill patternType="none">
          <bgColor indexed="65"/>
        </patternFill>
      </fill>
    </odxf>
    <ndxf>
      <fill>
        <patternFill patternType="solid">
          <bgColor theme="0" tint="-0.14999847407452621"/>
        </patternFill>
      </fill>
    </ndxf>
  </rcc>
  <rcc rId="7952" sId="6" odxf="1" dxf="1">
    <nc r="U12" t="inlineStr">
      <is>
        <t>FERIADO</t>
      </is>
    </nc>
    <odxf>
      <fill>
        <patternFill patternType="none">
          <bgColor indexed="65"/>
        </patternFill>
      </fill>
    </odxf>
    <ndxf>
      <fill>
        <patternFill patternType="solid">
          <bgColor theme="0" tint="-0.14999847407452621"/>
        </patternFill>
      </fill>
    </ndxf>
  </rcc>
  <rcc rId="7953" sId="6" odxf="1" dxf="1">
    <nc r="U13" t="inlineStr">
      <is>
        <t>FERIADO</t>
      </is>
    </nc>
    <odxf>
      <fill>
        <patternFill patternType="none">
          <bgColor indexed="65"/>
        </patternFill>
      </fill>
    </odxf>
    <ndxf>
      <fill>
        <patternFill patternType="solid">
          <bgColor theme="0" tint="-0.14999847407452621"/>
        </patternFill>
      </fill>
    </ndxf>
  </rcc>
  <rcc rId="7954" sId="6" odxf="1" dxf="1">
    <nc r="U14" t="inlineStr">
      <is>
        <t>FERIADO</t>
      </is>
    </nc>
    <odxf>
      <fill>
        <patternFill patternType="none">
          <bgColor indexed="65"/>
        </patternFill>
      </fill>
    </odxf>
    <ndxf>
      <fill>
        <patternFill patternType="solid">
          <bgColor theme="0" tint="-0.14999847407452621"/>
        </patternFill>
      </fill>
    </ndxf>
  </rcc>
  <rcc rId="7955" sId="6" odxf="1" dxf="1">
    <nc r="U15" t="inlineStr">
      <is>
        <t>FERIADO</t>
      </is>
    </nc>
    <odxf>
      <fill>
        <patternFill patternType="none">
          <bgColor indexed="65"/>
        </patternFill>
      </fill>
    </odxf>
    <ndxf>
      <fill>
        <patternFill patternType="solid">
          <bgColor theme="0" tint="-0.14999847407452621"/>
        </patternFill>
      </fill>
    </ndxf>
  </rcc>
  <rcc rId="7956" sId="6" odxf="1" dxf="1">
    <nc r="U16" t="inlineStr">
      <is>
        <t>FERIADO</t>
      </is>
    </nc>
    <odxf>
      <fill>
        <patternFill patternType="none">
          <bgColor indexed="65"/>
        </patternFill>
      </fill>
      <border outline="0">
        <bottom style="thin">
          <color indexed="64"/>
        </bottom>
      </border>
    </odxf>
    <ndxf>
      <fill>
        <patternFill patternType="solid">
          <bgColor theme="0" tint="-0.14999847407452621"/>
        </patternFill>
      </fill>
      <border outline="0">
        <bottom/>
      </border>
    </ndxf>
  </rcc>
  <rcc rId="7957" sId="4" odxf="1" dxf="1">
    <nc r="U2" t="inlineStr">
      <is>
        <t>FERIADO</t>
      </is>
    </nc>
    <odxf>
      <fill>
        <patternFill patternType="none">
          <bgColor indexed="65"/>
        </patternFill>
      </fill>
    </odxf>
    <ndxf>
      <fill>
        <patternFill patternType="solid">
          <bgColor theme="0" tint="-0.14999847407452621"/>
        </patternFill>
      </fill>
    </ndxf>
  </rcc>
  <rcc rId="7958" sId="4" odxf="1" dxf="1">
    <nc r="U3" t="inlineStr">
      <is>
        <t>FERIADO</t>
      </is>
    </nc>
    <odxf>
      <fill>
        <patternFill patternType="none">
          <bgColor indexed="65"/>
        </patternFill>
      </fill>
    </odxf>
    <ndxf>
      <fill>
        <patternFill patternType="solid">
          <bgColor theme="0" tint="-0.14999847407452621"/>
        </patternFill>
      </fill>
    </ndxf>
  </rcc>
  <rcc rId="7959" sId="4" odxf="1" dxf="1">
    <nc r="U4" t="inlineStr">
      <is>
        <t>FERIADO</t>
      </is>
    </nc>
    <odxf>
      <fill>
        <patternFill patternType="none">
          <bgColor indexed="65"/>
        </patternFill>
      </fill>
    </odxf>
    <ndxf>
      <fill>
        <patternFill patternType="solid">
          <bgColor theme="0" tint="-0.14999847407452621"/>
        </patternFill>
      </fill>
    </ndxf>
  </rcc>
  <rcc rId="7960" sId="4" odxf="1" dxf="1">
    <nc r="U5" t="inlineStr">
      <is>
        <t>FERIADO</t>
      </is>
    </nc>
    <odxf>
      <fill>
        <patternFill patternType="none">
          <bgColor indexed="65"/>
        </patternFill>
      </fill>
    </odxf>
    <ndxf>
      <fill>
        <patternFill patternType="solid">
          <bgColor theme="0" tint="-0.14999847407452621"/>
        </patternFill>
      </fill>
    </ndxf>
  </rcc>
  <rcc rId="7961" sId="4" odxf="1" dxf="1">
    <nc r="U6" t="inlineStr">
      <is>
        <t>FERIADO</t>
      </is>
    </nc>
    <odxf>
      <fill>
        <patternFill patternType="none">
          <bgColor indexed="65"/>
        </patternFill>
      </fill>
    </odxf>
    <ndxf>
      <fill>
        <patternFill patternType="solid">
          <bgColor theme="0" tint="-0.14999847407452621"/>
        </patternFill>
      </fill>
    </ndxf>
  </rcc>
  <rcc rId="7962" sId="4" odxf="1" dxf="1">
    <nc r="U7" t="inlineStr">
      <is>
        <t>FERIADO</t>
      </is>
    </nc>
    <odxf>
      <fill>
        <patternFill patternType="none">
          <bgColor indexed="65"/>
        </patternFill>
      </fill>
    </odxf>
    <ndxf>
      <fill>
        <patternFill patternType="solid">
          <bgColor theme="0" tint="-0.14999847407452621"/>
        </patternFill>
      </fill>
    </ndxf>
  </rcc>
  <rcc rId="7963" sId="4" odxf="1" dxf="1">
    <nc r="U8" t="inlineStr">
      <is>
        <t>FERIADO</t>
      </is>
    </nc>
    <odxf>
      <fill>
        <patternFill patternType="none">
          <bgColor indexed="65"/>
        </patternFill>
      </fill>
    </odxf>
    <ndxf>
      <fill>
        <patternFill patternType="solid">
          <bgColor theme="0" tint="-0.14999847407452621"/>
        </patternFill>
      </fill>
    </ndxf>
  </rcc>
  <rcc rId="7964" sId="4" odxf="1" dxf="1">
    <nc r="U9" t="inlineStr">
      <is>
        <t>FERIADO</t>
      </is>
    </nc>
    <odxf>
      <fill>
        <patternFill patternType="none">
          <bgColor indexed="65"/>
        </patternFill>
      </fill>
    </odxf>
    <ndxf>
      <fill>
        <patternFill patternType="solid">
          <bgColor theme="0" tint="-0.14999847407452621"/>
        </patternFill>
      </fill>
    </ndxf>
  </rcc>
  <rcc rId="7965" sId="4" odxf="1" dxf="1">
    <nc r="U10" t="inlineStr">
      <is>
        <t>FERIADO</t>
      </is>
    </nc>
    <odxf>
      <fill>
        <patternFill patternType="none">
          <bgColor indexed="65"/>
        </patternFill>
      </fill>
    </odxf>
    <ndxf>
      <fill>
        <patternFill patternType="solid">
          <bgColor theme="0" tint="-0.14999847407452621"/>
        </patternFill>
      </fill>
    </ndxf>
  </rcc>
  <rcc rId="7966" sId="4" odxf="1" dxf="1">
    <nc r="U11" t="inlineStr">
      <is>
        <t>FERIADO</t>
      </is>
    </nc>
    <odxf>
      <fill>
        <patternFill patternType="none">
          <bgColor indexed="65"/>
        </patternFill>
      </fill>
    </odxf>
    <ndxf>
      <fill>
        <patternFill patternType="solid">
          <bgColor theme="0" tint="-0.14999847407452621"/>
        </patternFill>
      </fill>
    </ndxf>
  </rcc>
  <rcc rId="7967" sId="4" odxf="1" dxf="1">
    <nc r="U12" t="inlineStr">
      <is>
        <t>FERIADO</t>
      </is>
    </nc>
    <odxf>
      <fill>
        <patternFill patternType="none">
          <bgColor indexed="65"/>
        </patternFill>
      </fill>
    </odxf>
    <ndxf>
      <fill>
        <patternFill patternType="solid">
          <bgColor theme="0" tint="-0.14999847407452621"/>
        </patternFill>
      </fill>
    </ndxf>
  </rcc>
  <rcc rId="7968" sId="4" odxf="1" dxf="1">
    <nc r="U13" t="inlineStr">
      <is>
        <t>FERIADO</t>
      </is>
    </nc>
    <odxf>
      <fill>
        <patternFill patternType="none">
          <bgColor indexed="65"/>
        </patternFill>
      </fill>
    </odxf>
    <ndxf>
      <fill>
        <patternFill patternType="solid">
          <bgColor theme="0" tint="-0.14999847407452621"/>
        </patternFill>
      </fill>
    </ndxf>
  </rcc>
  <rcc rId="7969" sId="4" odxf="1" dxf="1">
    <nc r="U14" t="inlineStr">
      <is>
        <t>FERIADO</t>
      </is>
    </nc>
    <odxf>
      <fill>
        <patternFill patternType="none">
          <bgColor indexed="65"/>
        </patternFill>
      </fill>
    </odxf>
    <ndxf>
      <fill>
        <patternFill patternType="solid">
          <bgColor theme="0" tint="-0.14999847407452621"/>
        </patternFill>
      </fill>
    </ndxf>
  </rcc>
  <rcc rId="7970" sId="4" odxf="1" dxf="1">
    <nc r="U15" t="inlineStr">
      <is>
        <t>FERIADO</t>
      </is>
    </nc>
    <odxf>
      <fill>
        <patternFill patternType="none">
          <bgColor indexed="65"/>
        </patternFill>
      </fill>
    </odxf>
    <ndxf>
      <fill>
        <patternFill patternType="solid">
          <bgColor theme="0" tint="-0.14999847407452621"/>
        </patternFill>
      </fill>
    </ndxf>
  </rcc>
  <rcc rId="7971" sId="4" odxf="1" dxf="1">
    <nc r="U16" t="inlineStr">
      <is>
        <t>FERIADO</t>
      </is>
    </nc>
    <odxf>
      <fill>
        <patternFill patternType="none">
          <bgColor indexed="65"/>
        </patternFill>
      </fill>
      <border outline="0">
        <bottom style="thin">
          <color indexed="64"/>
        </bottom>
      </border>
    </odxf>
    <ndxf>
      <fill>
        <patternFill patternType="solid">
          <bgColor theme="0" tint="-0.14999847407452621"/>
        </patternFill>
      </fill>
      <border outline="0">
        <bottom/>
      </border>
    </ndxf>
  </rcc>
  <rfmt sheetId="4" sqref="H1:H16" start="0" length="0">
    <dxf>
      <border>
        <left style="thin">
          <color indexed="64"/>
        </left>
      </border>
    </dxf>
  </rfmt>
  <rfmt sheetId="4" sqref="H1:H16" start="0" length="0">
    <dxf>
      <border>
        <right style="thin">
          <color indexed="64"/>
        </right>
      </border>
    </dxf>
  </rfmt>
  <rfmt sheetId="4" sqref="N1:N16" start="0" length="0">
    <dxf>
      <border>
        <left style="thin">
          <color indexed="64"/>
        </left>
      </border>
    </dxf>
  </rfmt>
  <rfmt sheetId="4" sqref="N1:N16" start="0" length="0">
    <dxf>
      <border>
        <right style="thin">
          <color indexed="64"/>
        </right>
      </border>
    </dxf>
  </rfmt>
  <rfmt sheetId="4" sqref="T1:T16" start="0" length="0">
    <dxf>
      <border>
        <left style="thin">
          <color indexed="64"/>
        </left>
      </border>
    </dxf>
  </rfmt>
  <rfmt sheetId="4" sqref="T1:T16" start="0" length="0">
    <dxf>
      <border>
        <right style="thin">
          <color indexed="64"/>
        </right>
      </border>
    </dxf>
  </rfmt>
  <rfmt sheetId="4" sqref="U16" start="0" length="0">
    <dxf>
      <border>
        <left style="thin">
          <color indexed="64"/>
        </left>
        <right/>
        <top/>
        <bottom style="thin">
          <color indexed="64"/>
        </bottom>
      </border>
    </dxf>
  </rfmt>
  <rfmt sheetId="4" sqref="Z1:Z16" start="0" length="0">
    <dxf>
      <border>
        <left style="thin">
          <color indexed="64"/>
        </left>
      </border>
    </dxf>
  </rfmt>
  <rfmt sheetId="4" sqref="Z1:Z16" start="0" length="0">
    <dxf>
      <border>
        <right style="thin">
          <color indexed="64"/>
        </right>
      </border>
    </dxf>
  </rfmt>
  <rfmt sheetId="4" sqref="AF1:AF16" start="0" length="0">
    <dxf>
      <border>
        <left style="thin">
          <color indexed="64"/>
        </left>
      </border>
    </dxf>
  </rfmt>
  <rfmt sheetId="4" sqref="AF1:AF16" start="0" length="0">
    <dxf>
      <border>
        <right style="thin">
          <color indexed="64"/>
        </right>
      </border>
    </dxf>
  </rfmt>
  <rfmt sheetId="4" sqref="AL1:AL16" start="0" length="0">
    <dxf>
      <border>
        <left style="thin">
          <color indexed="64"/>
        </left>
      </border>
    </dxf>
  </rfmt>
  <rfmt sheetId="4" sqref="AL1:AL16" start="0" length="0">
    <dxf>
      <border>
        <right style="thin">
          <color indexed="64"/>
        </right>
      </border>
    </dxf>
  </rfmt>
  <rfmt sheetId="4" sqref="AR1:AR16" start="0" length="0">
    <dxf>
      <border>
        <left style="thin">
          <color indexed="64"/>
        </left>
      </border>
    </dxf>
  </rfmt>
  <rfmt sheetId="4" sqref="AR1:AR16" start="0" length="0">
    <dxf>
      <border>
        <right style="thin">
          <color indexed="64"/>
        </right>
      </border>
    </dxf>
  </rfmt>
  <rfmt sheetId="4" sqref="AR1" start="0" length="0">
    <dxf>
      <fill>
        <patternFill>
          <bgColor theme="0" tint="-0.14999847407452621"/>
        </patternFill>
      </fill>
    </dxf>
  </rfmt>
  <rcc rId="7972" sId="4" odxf="1" dxf="1">
    <oc r="AR2">
      <f>SUM(AM2:AQ2)</f>
    </oc>
    <nc r="AR2">
      <f>SUM(AM2:AQ2)</f>
    </nc>
    <odxf>
      <fill>
        <patternFill>
          <bgColor theme="0" tint="-0.249977111117893"/>
        </patternFill>
      </fill>
    </odxf>
    <ndxf>
      <fill>
        <patternFill>
          <bgColor theme="0" tint="-0.14999847407452621"/>
        </patternFill>
      </fill>
    </ndxf>
  </rcc>
  <rcc rId="7973" sId="4" odxf="1" dxf="1">
    <oc r="AR3">
      <f>SUM(AM3:AQ3)</f>
    </oc>
    <nc r="AR3">
      <f>SUM(AM3:AQ3)</f>
    </nc>
    <odxf>
      <fill>
        <patternFill>
          <bgColor theme="0" tint="-0.249977111117893"/>
        </patternFill>
      </fill>
    </odxf>
    <ndxf>
      <fill>
        <patternFill>
          <bgColor theme="0" tint="-0.14999847407452621"/>
        </patternFill>
      </fill>
    </ndxf>
  </rcc>
  <rcc rId="7974" sId="4" odxf="1" dxf="1">
    <oc r="AR4">
      <f>SUM(AM4:AQ4)</f>
    </oc>
    <nc r="AR4">
      <f>SUM(AM4:AQ4)</f>
    </nc>
    <odxf>
      <fill>
        <patternFill>
          <bgColor theme="0" tint="-0.249977111117893"/>
        </patternFill>
      </fill>
    </odxf>
    <ndxf>
      <fill>
        <patternFill>
          <bgColor theme="0" tint="-0.14999847407452621"/>
        </patternFill>
      </fill>
    </ndxf>
  </rcc>
  <rcc rId="7975" sId="4" odxf="1" dxf="1">
    <oc r="AR5">
      <f>SUM(AM5:AQ5)</f>
    </oc>
    <nc r="AR5">
      <f>SUM(AM5:AQ5)</f>
    </nc>
    <odxf>
      <fill>
        <patternFill>
          <bgColor theme="0" tint="-0.249977111117893"/>
        </patternFill>
      </fill>
    </odxf>
    <ndxf>
      <fill>
        <patternFill>
          <bgColor theme="0" tint="-0.14999847407452621"/>
        </patternFill>
      </fill>
    </ndxf>
  </rcc>
  <rcc rId="7976" sId="4" odxf="1" dxf="1">
    <oc r="AR6">
      <f>SUM(AM6:AQ6)</f>
    </oc>
    <nc r="AR6">
      <f>SUM(AM6:AQ6)</f>
    </nc>
    <odxf>
      <fill>
        <patternFill>
          <bgColor theme="0" tint="-0.249977111117893"/>
        </patternFill>
      </fill>
    </odxf>
    <ndxf>
      <fill>
        <patternFill>
          <bgColor theme="0" tint="-0.14999847407452621"/>
        </patternFill>
      </fill>
    </ndxf>
  </rcc>
  <rcc rId="7977" sId="4" odxf="1" dxf="1">
    <oc r="AR7">
      <f>SUM(AM7:AQ7)</f>
    </oc>
    <nc r="AR7">
      <f>SUM(AM7:AQ7)</f>
    </nc>
    <odxf>
      <fill>
        <patternFill>
          <bgColor theme="0" tint="-0.249977111117893"/>
        </patternFill>
      </fill>
    </odxf>
    <ndxf>
      <fill>
        <patternFill>
          <bgColor theme="0" tint="-0.14999847407452621"/>
        </patternFill>
      </fill>
    </ndxf>
  </rcc>
  <rcc rId="7978" sId="4" odxf="1" dxf="1">
    <oc r="AR8">
      <f>SUM(AM8:AQ8)</f>
    </oc>
    <nc r="AR8">
      <f>SUM(AM8:AQ8)</f>
    </nc>
    <odxf>
      <fill>
        <patternFill>
          <bgColor theme="0" tint="-0.249977111117893"/>
        </patternFill>
      </fill>
    </odxf>
    <ndxf>
      <fill>
        <patternFill>
          <bgColor theme="0" tint="-0.14999847407452621"/>
        </patternFill>
      </fill>
    </ndxf>
  </rcc>
  <rcc rId="7979" sId="4" odxf="1" dxf="1">
    <oc r="AR9">
      <f>SUM(AM9:AQ9)</f>
    </oc>
    <nc r="AR9">
      <f>SUM(AM9:AQ9)</f>
    </nc>
    <odxf>
      <fill>
        <patternFill>
          <bgColor theme="0" tint="-0.249977111117893"/>
        </patternFill>
      </fill>
    </odxf>
    <ndxf>
      <fill>
        <patternFill>
          <bgColor theme="0" tint="-0.14999847407452621"/>
        </patternFill>
      </fill>
    </ndxf>
  </rcc>
  <rcc rId="7980" sId="4" odxf="1" dxf="1">
    <oc r="AR10">
      <f>SUM(AM10:AQ10)</f>
    </oc>
    <nc r="AR10">
      <f>SUM(AM10:AQ10)</f>
    </nc>
    <odxf>
      <fill>
        <patternFill>
          <bgColor theme="0" tint="-0.249977111117893"/>
        </patternFill>
      </fill>
    </odxf>
    <ndxf>
      <fill>
        <patternFill>
          <bgColor theme="0" tint="-0.14999847407452621"/>
        </patternFill>
      </fill>
    </ndxf>
  </rcc>
  <rcc rId="7981" sId="4" odxf="1" dxf="1">
    <oc r="AR11">
      <f>SUM(AM11:AQ11)</f>
    </oc>
    <nc r="AR11">
      <f>SUM(AM11:AQ11)</f>
    </nc>
    <odxf>
      <fill>
        <patternFill>
          <bgColor theme="0" tint="-0.249977111117893"/>
        </patternFill>
      </fill>
    </odxf>
    <ndxf>
      <fill>
        <patternFill>
          <bgColor theme="0" tint="-0.14999847407452621"/>
        </patternFill>
      </fill>
    </ndxf>
  </rcc>
  <rcc rId="7982" sId="4" odxf="1" dxf="1">
    <oc r="AR12">
      <f>SUM(AM12:AQ12)</f>
    </oc>
    <nc r="AR12">
      <f>SUM(AM12:AQ12)</f>
    </nc>
    <odxf>
      <fill>
        <patternFill>
          <bgColor theme="0" tint="-0.249977111117893"/>
        </patternFill>
      </fill>
    </odxf>
    <ndxf>
      <fill>
        <patternFill>
          <bgColor theme="0" tint="-0.14999847407452621"/>
        </patternFill>
      </fill>
    </ndxf>
  </rcc>
  <rcc rId="7983" sId="4" odxf="1" dxf="1">
    <oc r="AR13">
      <f>SUM(AM13:AQ13)</f>
    </oc>
    <nc r="AR13">
      <f>SUM(AM13:AQ13)</f>
    </nc>
    <odxf>
      <fill>
        <patternFill>
          <bgColor theme="0" tint="-0.249977111117893"/>
        </patternFill>
      </fill>
    </odxf>
    <ndxf>
      <fill>
        <patternFill>
          <bgColor theme="0" tint="-0.14999847407452621"/>
        </patternFill>
      </fill>
    </ndxf>
  </rcc>
  <rcc rId="7984" sId="4" odxf="1" dxf="1">
    <oc r="AR14">
      <f>SUM(AM14:AQ14)</f>
    </oc>
    <nc r="AR14">
      <f>SUM(AM14:AQ14)</f>
    </nc>
    <odxf>
      <fill>
        <patternFill>
          <bgColor theme="0" tint="-0.249977111117893"/>
        </patternFill>
      </fill>
    </odxf>
    <ndxf>
      <fill>
        <patternFill>
          <bgColor theme="0" tint="-0.14999847407452621"/>
        </patternFill>
      </fill>
    </ndxf>
  </rcc>
  <rcc rId="7985" sId="4" odxf="1" dxf="1">
    <oc r="AR15">
      <f>SUM(AM15:AQ15)</f>
    </oc>
    <nc r="AR15">
      <f>SUM(AM15:AQ15)</f>
    </nc>
    <odxf>
      <fill>
        <patternFill>
          <bgColor theme="0" tint="-0.249977111117893"/>
        </patternFill>
      </fill>
    </odxf>
    <ndxf>
      <fill>
        <patternFill>
          <bgColor theme="0" tint="-0.14999847407452621"/>
        </patternFill>
      </fill>
    </ndxf>
  </rcc>
  <rcc rId="7986" sId="4" odxf="1" dxf="1">
    <oc r="AR16">
      <f>SUM(AM16:AQ16)</f>
    </oc>
    <nc r="AR16">
      <f>SUM(AM16:AQ16)</f>
    </nc>
    <odxf>
      <fill>
        <patternFill>
          <bgColor theme="0" tint="-0.249977111117893"/>
        </patternFill>
      </fill>
    </odxf>
    <ndxf>
      <fill>
        <patternFill>
          <bgColor theme="0" tint="-0.14999847407452621"/>
        </patternFill>
      </fill>
    </ndxf>
  </rcc>
  <rfmt sheetId="4" sqref="AX1" start="0" length="0">
    <dxf>
      <fill>
        <patternFill>
          <bgColor theme="0" tint="-0.14999847407452621"/>
        </patternFill>
      </fill>
      <border outline="0">
        <left style="thin">
          <color auto="1"/>
        </left>
        <right style="thin">
          <color auto="1"/>
        </right>
      </border>
    </dxf>
  </rfmt>
  <rcc rId="7987" sId="4" odxf="1" dxf="1">
    <oc r="AX2">
      <f>SUM(AS2:AW2)</f>
    </oc>
    <nc r="AX2">
      <f>SUM(AS2:AW2)</f>
    </nc>
    <odxf>
      <fill>
        <patternFill>
          <bgColor theme="0" tint="-0.249977111117893"/>
        </patternFill>
      </fill>
      <border outline="0">
        <left/>
        <right/>
      </border>
    </odxf>
    <ndxf>
      <fill>
        <patternFill>
          <bgColor theme="0" tint="-0.14999847407452621"/>
        </patternFill>
      </fill>
      <border outline="0">
        <left style="thin">
          <color indexed="64"/>
        </left>
        <right style="thin">
          <color indexed="64"/>
        </right>
      </border>
    </ndxf>
  </rcc>
  <rcc rId="7988" sId="4" odxf="1" dxf="1">
    <oc r="AX3">
      <f>SUM(AS3:AW3)</f>
    </oc>
    <nc r="AX3">
      <f>SUM(AS3:AW3)</f>
    </nc>
    <odxf>
      <fill>
        <patternFill>
          <bgColor theme="0" tint="-0.249977111117893"/>
        </patternFill>
      </fill>
      <border outline="0">
        <left/>
        <right/>
      </border>
    </odxf>
    <ndxf>
      <fill>
        <patternFill>
          <bgColor theme="0" tint="-0.14999847407452621"/>
        </patternFill>
      </fill>
      <border outline="0">
        <left style="thin">
          <color indexed="64"/>
        </left>
        <right style="thin">
          <color indexed="64"/>
        </right>
      </border>
    </ndxf>
  </rcc>
  <rcc rId="7989" sId="4" odxf="1" dxf="1">
    <oc r="AX4">
      <f>SUM(AS4:AW4)</f>
    </oc>
    <nc r="AX4">
      <f>SUM(AS4:AW4)</f>
    </nc>
    <odxf>
      <fill>
        <patternFill>
          <bgColor theme="0" tint="-0.249977111117893"/>
        </patternFill>
      </fill>
      <border outline="0">
        <left/>
        <right/>
      </border>
    </odxf>
    <ndxf>
      <fill>
        <patternFill>
          <bgColor theme="0" tint="-0.14999847407452621"/>
        </patternFill>
      </fill>
      <border outline="0">
        <left style="thin">
          <color indexed="64"/>
        </left>
        <right style="thin">
          <color indexed="64"/>
        </right>
      </border>
    </ndxf>
  </rcc>
  <rcc rId="7990" sId="4" odxf="1" dxf="1">
    <oc r="AX5">
      <f>SUM(AS5:AW5)</f>
    </oc>
    <nc r="AX5">
      <f>SUM(AS5:AW5)</f>
    </nc>
    <odxf>
      <fill>
        <patternFill>
          <bgColor theme="0" tint="-0.249977111117893"/>
        </patternFill>
      </fill>
      <border outline="0">
        <left/>
        <right/>
      </border>
    </odxf>
    <ndxf>
      <fill>
        <patternFill>
          <bgColor theme="0" tint="-0.14999847407452621"/>
        </patternFill>
      </fill>
      <border outline="0">
        <left style="thin">
          <color indexed="64"/>
        </left>
        <right style="thin">
          <color indexed="64"/>
        </right>
      </border>
    </ndxf>
  </rcc>
  <rcc rId="7991" sId="4" odxf="1" dxf="1">
    <oc r="AX6">
      <f>SUM(AS6:AW6)</f>
    </oc>
    <nc r="AX6">
      <f>SUM(AS6:AW6)</f>
    </nc>
    <odxf>
      <fill>
        <patternFill>
          <bgColor theme="0" tint="-0.249977111117893"/>
        </patternFill>
      </fill>
      <border outline="0">
        <left/>
        <right/>
      </border>
    </odxf>
    <ndxf>
      <fill>
        <patternFill>
          <bgColor theme="0" tint="-0.14999847407452621"/>
        </patternFill>
      </fill>
      <border outline="0">
        <left style="thin">
          <color indexed="64"/>
        </left>
        <right style="thin">
          <color indexed="64"/>
        </right>
      </border>
    </ndxf>
  </rcc>
  <rcc rId="7992" sId="4" odxf="1" dxf="1">
    <oc r="AX7">
      <f>SUM(AS7:AW7)</f>
    </oc>
    <nc r="AX7">
      <f>SUM(AS7:AW7)</f>
    </nc>
    <odxf>
      <fill>
        <patternFill>
          <bgColor theme="0" tint="-0.249977111117893"/>
        </patternFill>
      </fill>
      <border outline="0">
        <left/>
        <right/>
      </border>
    </odxf>
    <ndxf>
      <fill>
        <patternFill>
          <bgColor theme="0" tint="-0.14999847407452621"/>
        </patternFill>
      </fill>
      <border outline="0">
        <left style="thin">
          <color indexed="64"/>
        </left>
        <right style="thin">
          <color indexed="64"/>
        </right>
      </border>
    </ndxf>
  </rcc>
  <rcc rId="7993" sId="4" odxf="1" dxf="1">
    <oc r="AX8">
      <f>SUM(AS8:AW8)</f>
    </oc>
    <nc r="AX8">
      <f>SUM(AS8:AW8)</f>
    </nc>
    <odxf>
      <fill>
        <patternFill>
          <bgColor theme="0" tint="-0.249977111117893"/>
        </patternFill>
      </fill>
      <border outline="0">
        <left/>
        <right/>
      </border>
    </odxf>
    <ndxf>
      <fill>
        <patternFill>
          <bgColor theme="0" tint="-0.14999847407452621"/>
        </patternFill>
      </fill>
      <border outline="0">
        <left style="thin">
          <color indexed="64"/>
        </left>
        <right style="thin">
          <color indexed="64"/>
        </right>
      </border>
    </ndxf>
  </rcc>
  <rcc rId="7994" sId="4" odxf="1" dxf="1">
    <oc r="AX9">
      <f>SUM(AS9:AW9)</f>
    </oc>
    <nc r="AX9">
      <f>SUM(AS9:AW9)</f>
    </nc>
    <odxf>
      <fill>
        <patternFill>
          <bgColor theme="0" tint="-0.249977111117893"/>
        </patternFill>
      </fill>
      <border outline="0">
        <left/>
        <right/>
      </border>
    </odxf>
    <ndxf>
      <fill>
        <patternFill>
          <bgColor theme="0" tint="-0.14999847407452621"/>
        </patternFill>
      </fill>
      <border outline="0">
        <left style="thin">
          <color indexed="64"/>
        </left>
        <right style="thin">
          <color indexed="64"/>
        </right>
      </border>
    </ndxf>
  </rcc>
  <rcc rId="7995" sId="4" odxf="1" dxf="1">
    <oc r="AX10">
      <f>SUM(AS10:AW10)</f>
    </oc>
    <nc r="AX10">
      <f>SUM(AS10:AW10)</f>
    </nc>
    <odxf>
      <fill>
        <patternFill>
          <bgColor theme="0" tint="-0.249977111117893"/>
        </patternFill>
      </fill>
      <border outline="0">
        <left/>
        <right/>
      </border>
    </odxf>
    <ndxf>
      <fill>
        <patternFill>
          <bgColor theme="0" tint="-0.14999847407452621"/>
        </patternFill>
      </fill>
      <border outline="0">
        <left style="thin">
          <color indexed="64"/>
        </left>
        <right style="thin">
          <color indexed="64"/>
        </right>
      </border>
    </ndxf>
  </rcc>
  <rcc rId="7996" sId="4" odxf="1" dxf="1">
    <oc r="AX11">
      <f>SUM(AS11:AW11)</f>
    </oc>
    <nc r="AX11">
      <f>SUM(AS11:AW11)</f>
    </nc>
    <odxf>
      <fill>
        <patternFill>
          <bgColor theme="0" tint="-0.249977111117893"/>
        </patternFill>
      </fill>
      <border outline="0">
        <left/>
        <right/>
      </border>
    </odxf>
    <ndxf>
      <fill>
        <patternFill>
          <bgColor theme="0" tint="-0.14999847407452621"/>
        </patternFill>
      </fill>
      <border outline="0">
        <left style="thin">
          <color indexed="64"/>
        </left>
        <right style="thin">
          <color indexed="64"/>
        </right>
      </border>
    </ndxf>
  </rcc>
  <rcc rId="7997" sId="4" odxf="1" dxf="1">
    <oc r="AX12">
      <f>SUM(AS12:AW12)</f>
    </oc>
    <nc r="AX12">
      <f>SUM(AS12:AW12)</f>
    </nc>
    <odxf>
      <fill>
        <patternFill>
          <bgColor theme="0" tint="-0.249977111117893"/>
        </patternFill>
      </fill>
      <border outline="0">
        <left/>
        <right/>
      </border>
    </odxf>
    <ndxf>
      <fill>
        <patternFill>
          <bgColor theme="0" tint="-0.14999847407452621"/>
        </patternFill>
      </fill>
      <border outline="0">
        <left style="thin">
          <color indexed="64"/>
        </left>
        <right style="thin">
          <color indexed="64"/>
        </right>
      </border>
    </ndxf>
  </rcc>
  <rcc rId="7998" sId="4" odxf="1" dxf="1">
    <oc r="AX13">
      <f>SUM(AS13:AW13)</f>
    </oc>
    <nc r="AX13">
      <f>SUM(AS13:AW13)</f>
    </nc>
    <odxf>
      <fill>
        <patternFill>
          <bgColor theme="0" tint="-0.249977111117893"/>
        </patternFill>
      </fill>
      <border outline="0">
        <left/>
        <right/>
      </border>
    </odxf>
    <ndxf>
      <fill>
        <patternFill>
          <bgColor theme="0" tint="-0.14999847407452621"/>
        </patternFill>
      </fill>
      <border outline="0">
        <left style="thin">
          <color indexed="64"/>
        </left>
        <right style="thin">
          <color indexed="64"/>
        </right>
      </border>
    </ndxf>
  </rcc>
  <rcc rId="7999" sId="4" odxf="1" dxf="1">
    <oc r="AX14">
      <f>SUM(AS14:AW14)</f>
    </oc>
    <nc r="AX14">
      <f>SUM(AS14:AW14)</f>
    </nc>
    <odxf>
      <fill>
        <patternFill>
          <bgColor theme="0" tint="-0.249977111117893"/>
        </patternFill>
      </fill>
      <border outline="0">
        <left/>
        <right/>
      </border>
    </odxf>
    <ndxf>
      <fill>
        <patternFill>
          <bgColor theme="0" tint="-0.14999847407452621"/>
        </patternFill>
      </fill>
      <border outline="0">
        <left style="thin">
          <color indexed="64"/>
        </left>
        <right style="thin">
          <color indexed="64"/>
        </right>
      </border>
    </ndxf>
  </rcc>
  <rcc rId="8000" sId="4" odxf="1" dxf="1">
    <oc r="AX15">
      <f>SUM(AS15:AW15)</f>
    </oc>
    <nc r="AX15">
      <f>SUM(AS15:AW15)</f>
    </nc>
    <odxf>
      <fill>
        <patternFill>
          <bgColor theme="0" tint="-0.249977111117893"/>
        </patternFill>
      </fill>
      <border outline="0">
        <left/>
        <right/>
      </border>
    </odxf>
    <ndxf>
      <fill>
        <patternFill>
          <bgColor theme="0" tint="-0.14999847407452621"/>
        </patternFill>
      </fill>
      <border outline="0">
        <left style="thin">
          <color indexed="64"/>
        </left>
        <right style="thin">
          <color indexed="64"/>
        </right>
      </border>
    </ndxf>
  </rcc>
  <rcc rId="8001" sId="4" odxf="1" dxf="1">
    <oc r="AX16">
      <f>SUM(AS16:AW16)</f>
    </oc>
    <nc r="AX16">
      <f>SUM(AS16:AW16)</f>
    </nc>
    <odxf>
      <fill>
        <patternFill>
          <bgColor theme="0" tint="-0.249977111117893"/>
        </patternFill>
      </fill>
      <border outline="0">
        <left/>
        <right/>
      </border>
    </odxf>
    <ndxf>
      <fill>
        <patternFill>
          <bgColor theme="0" tint="-0.14999847407452621"/>
        </patternFill>
      </fill>
      <border outline="0">
        <left style="thin">
          <color indexed="64"/>
        </left>
        <right style="thin">
          <color indexed="64"/>
        </right>
      </border>
    </ndxf>
  </rcc>
  <rfmt sheetId="4" sqref="BD1" start="0" length="0">
    <dxf>
      <fill>
        <patternFill>
          <bgColor theme="0" tint="-0.14999847407452621"/>
        </patternFill>
      </fill>
      <border outline="0">
        <left style="thin">
          <color auto="1"/>
        </left>
      </border>
    </dxf>
  </rfmt>
  <rcc rId="8002" sId="4" odxf="1" dxf="1">
    <oc r="BD2">
      <f>SUM(AY2:BC2)</f>
    </oc>
    <nc r="BD2">
      <f>SUM(AY2:BC2)</f>
    </nc>
    <odxf>
      <fill>
        <patternFill>
          <bgColor theme="0" tint="-0.249977111117893"/>
        </patternFill>
      </fill>
      <border outline="0">
        <left/>
      </border>
    </odxf>
    <ndxf>
      <fill>
        <patternFill>
          <bgColor theme="0" tint="-0.14999847407452621"/>
        </patternFill>
      </fill>
      <border outline="0">
        <left style="thin">
          <color indexed="64"/>
        </left>
      </border>
    </ndxf>
  </rcc>
  <rcc rId="8003" sId="4" odxf="1" dxf="1">
    <oc r="BD3">
      <f>SUM(AY3:BC3)</f>
    </oc>
    <nc r="BD3">
      <f>SUM(AY3:BC3)</f>
    </nc>
    <odxf>
      <fill>
        <patternFill>
          <bgColor theme="0" tint="-0.249977111117893"/>
        </patternFill>
      </fill>
      <border outline="0">
        <left/>
      </border>
    </odxf>
    <ndxf>
      <fill>
        <patternFill>
          <bgColor theme="0" tint="-0.14999847407452621"/>
        </patternFill>
      </fill>
      <border outline="0">
        <left style="thin">
          <color indexed="64"/>
        </left>
      </border>
    </ndxf>
  </rcc>
  <rcc rId="8004" sId="4" odxf="1" dxf="1">
    <oc r="BD4">
      <f>SUM(AY4:BC4)</f>
    </oc>
    <nc r="BD4">
      <f>SUM(AY4:BC4)</f>
    </nc>
    <odxf>
      <fill>
        <patternFill>
          <bgColor theme="0" tint="-0.249977111117893"/>
        </patternFill>
      </fill>
      <border outline="0">
        <left/>
      </border>
    </odxf>
    <ndxf>
      <fill>
        <patternFill>
          <bgColor theme="0" tint="-0.14999847407452621"/>
        </patternFill>
      </fill>
      <border outline="0">
        <left style="thin">
          <color indexed="64"/>
        </left>
      </border>
    </ndxf>
  </rcc>
  <rcc rId="8005" sId="4" odxf="1" dxf="1">
    <oc r="BD5">
      <f>SUM(AY5:BC5)</f>
    </oc>
    <nc r="BD5">
      <f>SUM(AY5:BC5)</f>
    </nc>
    <odxf>
      <fill>
        <patternFill>
          <bgColor theme="0" tint="-0.249977111117893"/>
        </patternFill>
      </fill>
      <border outline="0">
        <left/>
      </border>
    </odxf>
    <ndxf>
      <fill>
        <patternFill>
          <bgColor theme="0" tint="-0.14999847407452621"/>
        </patternFill>
      </fill>
      <border outline="0">
        <left style="thin">
          <color indexed="64"/>
        </left>
      </border>
    </ndxf>
  </rcc>
  <rcc rId="8006" sId="4" odxf="1" dxf="1">
    <oc r="BD6">
      <f>SUM(AY6:BC6)</f>
    </oc>
    <nc r="BD6">
      <f>SUM(AY6:BC6)</f>
    </nc>
    <odxf>
      <fill>
        <patternFill>
          <bgColor theme="0" tint="-0.249977111117893"/>
        </patternFill>
      </fill>
      <border outline="0">
        <left/>
      </border>
    </odxf>
    <ndxf>
      <fill>
        <patternFill>
          <bgColor theme="0" tint="-0.14999847407452621"/>
        </patternFill>
      </fill>
      <border outline="0">
        <left style="thin">
          <color indexed="64"/>
        </left>
      </border>
    </ndxf>
  </rcc>
  <rcc rId="8007" sId="4" odxf="1" dxf="1">
    <oc r="BD7">
      <f>SUM(AY7:BC7)</f>
    </oc>
    <nc r="BD7">
      <f>SUM(AY7:BC7)</f>
    </nc>
    <odxf>
      <fill>
        <patternFill>
          <bgColor theme="0" tint="-0.249977111117893"/>
        </patternFill>
      </fill>
      <border outline="0">
        <left/>
      </border>
    </odxf>
    <ndxf>
      <fill>
        <patternFill>
          <bgColor theme="0" tint="-0.14999847407452621"/>
        </patternFill>
      </fill>
      <border outline="0">
        <left style="thin">
          <color indexed="64"/>
        </left>
      </border>
    </ndxf>
  </rcc>
  <rcc rId="8008" sId="4" odxf="1" dxf="1">
    <oc r="BD8">
      <f>SUM(AY8:BC8)</f>
    </oc>
    <nc r="BD8">
      <f>SUM(AY8:BC8)</f>
    </nc>
    <odxf>
      <fill>
        <patternFill>
          <bgColor theme="0" tint="-0.249977111117893"/>
        </patternFill>
      </fill>
      <border outline="0">
        <left/>
      </border>
    </odxf>
    <ndxf>
      <fill>
        <patternFill>
          <bgColor theme="0" tint="-0.14999847407452621"/>
        </patternFill>
      </fill>
      <border outline="0">
        <left style="thin">
          <color indexed="64"/>
        </left>
      </border>
    </ndxf>
  </rcc>
  <rcc rId="8009" sId="4" odxf="1" dxf="1">
    <oc r="BD9">
      <f>SUM(AY9:BC9)</f>
    </oc>
    <nc r="BD9">
      <f>SUM(AY9:BC9)</f>
    </nc>
    <odxf>
      <fill>
        <patternFill>
          <bgColor theme="0" tint="-0.249977111117893"/>
        </patternFill>
      </fill>
      <border outline="0">
        <left/>
      </border>
    </odxf>
    <ndxf>
      <fill>
        <patternFill>
          <bgColor theme="0" tint="-0.14999847407452621"/>
        </patternFill>
      </fill>
      <border outline="0">
        <left style="thin">
          <color indexed="64"/>
        </left>
      </border>
    </ndxf>
  </rcc>
  <rcc rId="8010" sId="4" odxf="1" dxf="1">
    <oc r="BD10">
      <f>SUM(AY10:BC10)</f>
    </oc>
    <nc r="BD10">
      <f>SUM(AY10:BC10)</f>
    </nc>
    <odxf>
      <fill>
        <patternFill>
          <bgColor theme="0" tint="-0.249977111117893"/>
        </patternFill>
      </fill>
      <border outline="0">
        <left/>
      </border>
    </odxf>
    <ndxf>
      <fill>
        <patternFill>
          <bgColor theme="0" tint="-0.14999847407452621"/>
        </patternFill>
      </fill>
      <border outline="0">
        <left style="thin">
          <color indexed="64"/>
        </left>
      </border>
    </ndxf>
  </rcc>
  <rcc rId="8011" sId="4" odxf="1" dxf="1">
    <oc r="BD11">
      <f>SUM(AY11:BC11)</f>
    </oc>
    <nc r="BD11">
      <f>SUM(AY11:BC11)</f>
    </nc>
    <odxf>
      <fill>
        <patternFill>
          <bgColor theme="0" tint="-0.249977111117893"/>
        </patternFill>
      </fill>
      <border outline="0">
        <left/>
      </border>
    </odxf>
    <ndxf>
      <fill>
        <patternFill>
          <bgColor theme="0" tint="-0.14999847407452621"/>
        </patternFill>
      </fill>
      <border outline="0">
        <left style="thin">
          <color indexed="64"/>
        </left>
      </border>
    </ndxf>
  </rcc>
  <rcc rId="8012" sId="4" odxf="1" dxf="1">
    <oc r="BD12">
      <f>SUM(AY12:BC12)</f>
    </oc>
    <nc r="BD12">
      <f>SUM(AY12:BC12)</f>
    </nc>
    <odxf>
      <fill>
        <patternFill>
          <bgColor theme="0" tint="-0.249977111117893"/>
        </patternFill>
      </fill>
      <border outline="0">
        <left/>
      </border>
    </odxf>
    <ndxf>
      <fill>
        <patternFill>
          <bgColor theme="0" tint="-0.14999847407452621"/>
        </patternFill>
      </fill>
      <border outline="0">
        <left style="thin">
          <color indexed="64"/>
        </left>
      </border>
    </ndxf>
  </rcc>
  <rcc rId="8013" sId="4" odxf="1" dxf="1">
    <oc r="BD13">
      <f>SUM(AY13:BC13)</f>
    </oc>
    <nc r="BD13">
      <f>SUM(AY13:BC13)</f>
    </nc>
    <odxf>
      <fill>
        <patternFill>
          <bgColor theme="0" tint="-0.249977111117893"/>
        </patternFill>
      </fill>
      <border outline="0">
        <left/>
      </border>
    </odxf>
    <ndxf>
      <fill>
        <patternFill>
          <bgColor theme="0" tint="-0.14999847407452621"/>
        </patternFill>
      </fill>
      <border outline="0">
        <left style="thin">
          <color indexed="64"/>
        </left>
      </border>
    </ndxf>
  </rcc>
  <rcc rId="8014" sId="4" odxf="1" dxf="1">
    <oc r="BD14">
      <f>SUM(AY14:BC14)</f>
    </oc>
    <nc r="BD14">
      <f>SUM(AY14:BC14)</f>
    </nc>
    <odxf>
      <fill>
        <patternFill>
          <bgColor theme="0" tint="-0.249977111117893"/>
        </patternFill>
      </fill>
      <border outline="0">
        <left/>
      </border>
    </odxf>
    <ndxf>
      <fill>
        <patternFill>
          <bgColor theme="0" tint="-0.14999847407452621"/>
        </patternFill>
      </fill>
      <border outline="0">
        <left style="thin">
          <color indexed="64"/>
        </left>
      </border>
    </ndxf>
  </rcc>
  <rcc rId="8015" sId="4" odxf="1" dxf="1">
    <oc r="BD15">
      <f>SUM(AY15:BC15)</f>
    </oc>
    <nc r="BD15">
      <f>SUM(AY15:BC15)</f>
    </nc>
    <odxf>
      <fill>
        <patternFill>
          <bgColor theme="0" tint="-0.249977111117893"/>
        </patternFill>
      </fill>
      <border outline="0">
        <left/>
      </border>
    </odxf>
    <ndxf>
      <fill>
        <patternFill>
          <bgColor theme="0" tint="-0.14999847407452621"/>
        </patternFill>
      </fill>
      <border outline="0">
        <left style="thin">
          <color indexed="64"/>
        </left>
      </border>
    </ndxf>
  </rcc>
  <rcc rId="8016" sId="4" odxf="1" dxf="1">
    <oc r="BD16">
      <f>SUM(AY16:BC16)</f>
    </oc>
    <nc r="BD16">
      <f>SUM(AY16:BC16)</f>
    </nc>
    <odxf>
      <fill>
        <patternFill>
          <bgColor theme="0" tint="-0.249977111117893"/>
        </patternFill>
      </fill>
      <border outline="0">
        <left/>
      </border>
    </odxf>
    <ndxf>
      <fill>
        <patternFill>
          <bgColor theme="0" tint="-0.14999847407452621"/>
        </patternFill>
      </fill>
      <border outline="0">
        <left style="thin">
          <color indexed="64"/>
        </left>
      </border>
    </ndxf>
  </rcc>
  <rfmt sheetId="4" sqref="BJ1" start="0" length="0">
    <dxf>
      <fill>
        <patternFill>
          <bgColor theme="0" tint="-0.14999847407452621"/>
        </patternFill>
      </fill>
      <border outline="0">
        <left style="thin">
          <color auto="1"/>
        </left>
      </border>
    </dxf>
  </rfmt>
  <rcc rId="8017" sId="4" odxf="1" dxf="1">
    <oc r="BJ2">
      <f>SUM(BE2:BI2)</f>
    </oc>
    <nc r="BJ2">
      <f>SUM(BE2:BI2)</f>
    </nc>
    <odxf>
      <fill>
        <patternFill>
          <bgColor theme="0" tint="-0.249977111117893"/>
        </patternFill>
      </fill>
      <border outline="0">
        <left/>
      </border>
    </odxf>
    <ndxf>
      <fill>
        <patternFill>
          <bgColor theme="0" tint="-0.14999847407452621"/>
        </patternFill>
      </fill>
      <border outline="0">
        <left style="thin">
          <color indexed="64"/>
        </left>
      </border>
    </ndxf>
  </rcc>
  <rcc rId="8018" sId="4" odxf="1" dxf="1">
    <oc r="BJ3">
      <f>SUM(BE3:BI3)</f>
    </oc>
    <nc r="BJ3">
      <f>SUM(BE3:BI3)</f>
    </nc>
    <odxf>
      <fill>
        <patternFill>
          <bgColor theme="0" tint="-0.249977111117893"/>
        </patternFill>
      </fill>
      <border outline="0">
        <left/>
      </border>
    </odxf>
    <ndxf>
      <fill>
        <patternFill>
          <bgColor theme="0" tint="-0.14999847407452621"/>
        </patternFill>
      </fill>
      <border outline="0">
        <left style="thin">
          <color indexed="64"/>
        </left>
      </border>
    </ndxf>
  </rcc>
  <rcc rId="8019" sId="4" odxf="1" dxf="1">
    <oc r="BJ4">
      <f>SUM(BE4:BI4)</f>
    </oc>
    <nc r="BJ4">
      <f>SUM(BE4:BI4)</f>
    </nc>
    <odxf>
      <fill>
        <patternFill>
          <bgColor theme="0" tint="-0.249977111117893"/>
        </patternFill>
      </fill>
      <border outline="0">
        <left/>
      </border>
    </odxf>
    <ndxf>
      <fill>
        <patternFill>
          <bgColor theme="0" tint="-0.14999847407452621"/>
        </patternFill>
      </fill>
      <border outline="0">
        <left style="thin">
          <color indexed="64"/>
        </left>
      </border>
    </ndxf>
  </rcc>
  <rcc rId="8020" sId="4" odxf="1" dxf="1">
    <oc r="BJ5">
      <f>SUM(BE5:BI5)</f>
    </oc>
    <nc r="BJ5">
      <f>SUM(BE5:BI5)</f>
    </nc>
    <odxf>
      <fill>
        <patternFill>
          <bgColor theme="0" tint="-0.249977111117893"/>
        </patternFill>
      </fill>
      <border outline="0">
        <left/>
      </border>
    </odxf>
    <ndxf>
      <fill>
        <patternFill>
          <bgColor theme="0" tint="-0.14999847407452621"/>
        </patternFill>
      </fill>
      <border outline="0">
        <left style="thin">
          <color indexed="64"/>
        </left>
      </border>
    </ndxf>
  </rcc>
  <rcc rId="8021" sId="4" odxf="1" dxf="1">
    <oc r="BJ6">
      <f>SUM(BE6:BI6)</f>
    </oc>
    <nc r="BJ6">
      <f>SUM(BE6:BI6)</f>
    </nc>
    <odxf>
      <fill>
        <patternFill>
          <bgColor theme="0" tint="-0.249977111117893"/>
        </patternFill>
      </fill>
      <border outline="0">
        <left/>
      </border>
    </odxf>
    <ndxf>
      <fill>
        <patternFill>
          <bgColor theme="0" tint="-0.14999847407452621"/>
        </patternFill>
      </fill>
      <border outline="0">
        <left style="thin">
          <color indexed="64"/>
        </left>
      </border>
    </ndxf>
  </rcc>
  <rcc rId="8022" sId="4" odxf="1" dxf="1">
    <oc r="BJ7">
      <f>SUM(BE7:BI7)</f>
    </oc>
    <nc r="BJ7">
      <f>SUM(BE7:BI7)</f>
    </nc>
    <odxf>
      <fill>
        <patternFill>
          <bgColor theme="0" tint="-0.249977111117893"/>
        </patternFill>
      </fill>
      <border outline="0">
        <left/>
      </border>
    </odxf>
    <ndxf>
      <fill>
        <patternFill>
          <bgColor theme="0" tint="-0.14999847407452621"/>
        </patternFill>
      </fill>
      <border outline="0">
        <left style="thin">
          <color indexed="64"/>
        </left>
      </border>
    </ndxf>
  </rcc>
  <rcc rId="8023" sId="4" odxf="1" dxf="1">
    <oc r="BJ8">
      <f>SUM(BE8:BI8)</f>
    </oc>
    <nc r="BJ8">
      <f>SUM(BE8:BI8)</f>
    </nc>
    <odxf>
      <fill>
        <patternFill>
          <bgColor theme="0" tint="-0.249977111117893"/>
        </patternFill>
      </fill>
      <border outline="0">
        <left/>
      </border>
    </odxf>
    <ndxf>
      <fill>
        <patternFill>
          <bgColor theme="0" tint="-0.14999847407452621"/>
        </patternFill>
      </fill>
      <border outline="0">
        <left style="thin">
          <color indexed="64"/>
        </left>
      </border>
    </ndxf>
  </rcc>
  <rcc rId="8024" sId="4" odxf="1" dxf="1">
    <oc r="BJ9">
      <f>SUM(BE9:BI9)</f>
    </oc>
    <nc r="BJ9">
      <f>SUM(BE9:BI9)</f>
    </nc>
    <odxf>
      <fill>
        <patternFill>
          <bgColor theme="0" tint="-0.249977111117893"/>
        </patternFill>
      </fill>
      <border outline="0">
        <left/>
      </border>
    </odxf>
    <ndxf>
      <fill>
        <patternFill>
          <bgColor theme="0" tint="-0.14999847407452621"/>
        </patternFill>
      </fill>
      <border outline="0">
        <left style="thin">
          <color indexed="64"/>
        </left>
      </border>
    </ndxf>
  </rcc>
  <rcc rId="8025" sId="4" odxf="1" dxf="1">
    <oc r="BJ10">
      <f>SUM(BE10:BI10)</f>
    </oc>
    <nc r="BJ10">
      <f>SUM(BE10:BI10)</f>
    </nc>
    <odxf>
      <fill>
        <patternFill>
          <bgColor theme="0" tint="-0.249977111117893"/>
        </patternFill>
      </fill>
      <border outline="0">
        <left/>
      </border>
    </odxf>
    <ndxf>
      <fill>
        <patternFill>
          <bgColor theme="0" tint="-0.14999847407452621"/>
        </patternFill>
      </fill>
      <border outline="0">
        <left style="thin">
          <color indexed="64"/>
        </left>
      </border>
    </ndxf>
  </rcc>
  <rcc rId="8026" sId="4" odxf="1" dxf="1">
    <oc r="BJ11">
      <f>SUM(BE11:BI11)</f>
    </oc>
    <nc r="BJ11">
      <f>SUM(BE11:BI11)</f>
    </nc>
    <odxf>
      <fill>
        <patternFill>
          <bgColor theme="0" tint="-0.249977111117893"/>
        </patternFill>
      </fill>
      <border outline="0">
        <left/>
      </border>
    </odxf>
    <ndxf>
      <fill>
        <patternFill>
          <bgColor theme="0" tint="-0.14999847407452621"/>
        </patternFill>
      </fill>
      <border outline="0">
        <left style="thin">
          <color indexed="64"/>
        </left>
      </border>
    </ndxf>
  </rcc>
  <rcc rId="8027" sId="4" odxf="1" dxf="1">
    <oc r="BJ12">
      <f>SUM(BE12:BI12)</f>
    </oc>
    <nc r="BJ12">
      <f>SUM(BE12:BI12)</f>
    </nc>
    <odxf>
      <fill>
        <patternFill>
          <bgColor theme="0" tint="-0.249977111117893"/>
        </patternFill>
      </fill>
      <border outline="0">
        <left/>
      </border>
    </odxf>
    <ndxf>
      <fill>
        <patternFill>
          <bgColor theme="0" tint="-0.14999847407452621"/>
        </patternFill>
      </fill>
      <border outline="0">
        <left style="thin">
          <color indexed="64"/>
        </left>
      </border>
    </ndxf>
  </rcc>
  <rcc rId="8028" sId="4" odxf="1" dxf="1">
    <oc r="BJ13">
      <f>SUM(BE13:BI13)</f>
    </oc>
    <nc r="BJ13">
      <f>SUM(BE13:BI13)</f>
    </nc>
    <odxf>
      <fill>
        <patternFill>
          <bgColor theme="0" tint="-0.249977111117893"/>
        </patternFill>
      </fill>
      <border outline="0">
        <left/>
      </border>
    </odxf>
    <ndxf>
      <fill>
        <patternFill>
          <bgColor theme="0" tint="-0.14999847407452621"/>
        </patternFill>
      </fill>
      <border outline="0">
        <left style="thin">
          <color indexed="64"/>
        </left>
      </border>
    </ndxf>
  </rcc>
  <rcc rId="8029" sId="4" odxf="1" dxf="1">
    <oc r="BJ14">
      <f>SUM(BE14:BI14)</f>
    </oc>
    <nc r="BJ14">
      <f>SUM(BE14:BI14)</f>
    </nc>
    <odxf>
      <fill>
        <patternFill>
          <bgColor theme="0" tint="-0.249977111117893"/>
        </patternFill>
      </fill>
      <border outline="0">
        <left/>
      </border>
    </odxf>
    <ndxf>
      <fill>
        <patternFill>
          <bgColor theme="0" tint="-0.14999847407452621"/>
        </patternFill>
      </fill>
      <border outline="0">
        <left style="thin">
          <color indexed="64"/>
        </left>
      </border>
    </ndxf>
  </rcc>
  <rcc rId="8030" sId="4" odxf="1" dxf="1">
    <oc r="BJ15">
      <f>SUM(BE15:BI15)</f>
    </oc>
    <nc r="BJ15">
      <f>SUM(BE15:BI15)</f>
    </nc>
    <odxf>
      <fill>
        <patternFill>
          <bgColor theme="0" tint="-0.249977111117893"/>
        </patternFill>
      </fill>
      <border outline="0">
        <left/>
      </border>
    </odxf>
    <ndxf>
      <fill>
        <patternFill>
          <bgColor theme="0" tint="-0.14999847407452621"/>
        </patternFill>
      </fill>
      <border outline="0">
        <left style="thin">
          <color indexed="64"/>
        </left>
      </border>
    </ndxf>
  </rcc>
  <rcc rId="8031" sId="4" odxf="1" dxf="1">
    <oc r="BJ16">
      <f>SUM(BE16:BI16)</f>
    </oc>
    <nc r="BJ16">
      <f>SUM(BE16:BI16)</f>
    </nc>
    <odxf>
      <fill>
        <patternFill>
          <bgColor theme="0" tint="-0.249977111117893"/>
        </patternFill>
      </fill>
      <border outline="0">
        <left/>
      </border>
    </odxf>
    <ndxf>
      <fill>
        <patternFill>
          <bgColor theme="0" tint="-0.14999847407452621"/>
        </patternFill>
      </fill>
      <border outline="0">
        <left style="thin">
          <color indexed="64"/>
        </left>
      </border>
    </ndxf>
  </rcc>
  <rfmt sheetId="4" sqref="BP1" start="0" length="0">
    <dxf>
      <fill>
        <patternFill>
          <bgColor theme="0" tint="-0.14999847407452621"/>
        </patternFill>
      </fill>
      <border outline="0">
        <left style="thin">
          <color auto="1"/>
        </left>
      </border>
    </dxf>
  </rfmt>
  <rcc rId="8032" sId="4" odxf="1" dxf="1">
    <oc r="BP2">
      <f>SUM(BK2:BO2)</f>
    </oc>
    <nc r="BP2">
      <f>SUM(BK2:BO2)</f>
    </nc>
    <odxf>
      <fill>
        <patternFill>
          <bgColor theme="0" tint="-0.249977111117893"/>
        </patternFill>
      </fill>
      <border outline="0">
        <left/>
      </border>
    </odxf>
    <ndxf>
      <fill>
        <patternFill>
          <bgColor theme="0" tint="-0.14999847407452621"/>
        </patternFill>
      </fill>
      <border outline="0">
        <left style="thin">
          <color indexed="64"/>
        </left>
      </border>
    </ndxf>
  </rcc>
  <rcc rId="8033" sId="4" odxf="1" dxf="1">
    <oc r="BP3">
      <f>SUM(BK3:BO3)</f>
    </oc>
    <nc r="BP3">
      <f>SUM(BK3:BO3)</f>
    </nc>
    <odxf>
      <fill>
        <patternFill>
          <bgColor theme="0" tint="-0.249977111117893"/>
        </patternFill>
      </fill>
      <border outline="0">
        <left/>
      </border>
    </odxf>
    <ndxf>
      <fill>
        <patternFill>
          <bgColor theme="0" tint="-0.14999847407452621"/>
        </patternFill>
      </fill>
      <border outline="0">
        <left style="thin">
          <color indexed="64"/>
        </left>
      </border>
    </ndxf>
  </rcc>
  <rcc rId="8034" sId="4" odxf="1" dxf="1">
    <oc r="BP4">
      <f>SUM(BK4:BO4)</f>
    </oc>
    <nc r="BP4">
      <f>SUM(BK4:BO4)</f>
    </nc>
    <odxf>
      <fill>
        <patternFill>
          <bgColor theme="0" tint="-0.249977111117893"/>
        </patternFill>
      </fill>
      <border outline="0">
        <left/>
      </border>
    </odxf>
    <ndxf>
      <fill>
        <patternFill>
          <bgColor theme="0" tint="-0.14999847407452621"/>
        </patternFill>
      </fill>
      <border outline="0">
        <left style="thin">
          <color indexed="64"/>
        </left>
      </border>
    </ndxf>
  </rcc>
  <rcc rId="8035" sId="4" odxf="1" dxf="1">
    <oc r="BP5">
      <f>SUM(BK5:BO5)</f>
    </oc>
    <nc r="BP5">
      <f>SUM(BK5:BO5)</f>
    </nc>
    <odxf>
      <fill>
        <patternFill>
          <bgColor theme="0" tint="-0.249977111117893"/>
        </patternFill>
      </fill>
      <border outline="0">
        <left/>
      </border>
    </odxf>
    <ndxf>
      <fill>
        <patternFill>
          <bgColor theme="0" tint="-0.14999847407452621"/>
        </patternFill>
      </fill>
      <border outline="0">
        <left style="thin">
          <color indexed="64"/>
        </left>
      </border>
    </ndxf>
  </rcc>
  <rcc rId="8036" sId="4" odxf="1" dxf="1">
    <oc r="BP6">
      <f>SUM(BK6:BO6)</f>
    </oc>
    <nc r="BP6">
      <f>SUM(BK6:BO6)</f>
    </nc>
    <odxf>
      <fill>
        <patternFill>
          <bgColor theme="0" tint="-0.249977111117893"/>
        </patternFill>
      </fill>
      <border outline="0">
        <left/>
      </border>
    </odxf>
    <ndxf>
      <fill>
        <patternFill>
          <bgColor theme="0" tint="-0.14999847407452621"/>
        </patternFill>
      </fill>
      <border outline="0">
        <left style="thin">
          <color indexed="64"/>
        </left>
      </border>
    </ndxf>
  </rcc>
  <rcc rId="8037" sId="4" odxf="1" dxf="1">
    <oc r="BP7">
      <f>SUM(BK7:BO7)</f>
    </oc>
    <nc r="BP7">
      <f>SUM(BK7:BO7)</f>
    </nc>
    <odxf>
      <fill>
        <patternFill>
          <bgColor theme="0" tint="-0.249977111117893"/>
        </patternFill>
      </fill>
      <border outline="0">
        <left/>
      </border>
    </odxf>
    <ndxf>
      <fill>
        <patternFill>
          <bgColor theme="0" tint="-0.14999847407452621"/>
        </patternFill>
      </fill>
      <border outline="0">
        <left style="thin">
          <color indexed="64"/>
        </left>
      </border>
    </ndxf>
  </rcc>
  <rcc rId="8038" sId="4" odxf="1" dxf="1">
    <oc r="BP8">
      <f>SUM(BK8:BO8)</f>
    </oc>
    <nc r="BP8">
      <f>SUM(BK8:BO8)</f>
    </nc>
    <odxf>
      <fill>
        <patternFill>
          <bgColor theme="0" tint="-0.249977111117893"/>
        </patternFill>
      </fill>
      <border outline="0">
        <left/>
      </border>
    </odxf>
    <ndxf>
      <fill>
        <patternFill>
          <bgColor theme="0" tint="-0.14999847407452621"/>
        </patternFill>
      </fill>
      <border outline="0">
        <left style="thin">
          <color indexed="64"/>
        </left>
      </border>
    </ndxf>
  </rcc>
  <rcc rId="8039" sId="4" odxf="1" dxf="1">
    <oc r="BP9">
      <f>SUM(BK9:BO9)</f>
    </oc>
    <nc r="BP9">
      <f>SUM(BK9:BO9)</f>
    </nc>
    <odxf>
      <fill>
        <patternFill>
          <bgColor theme="0" tint="-0.249977111117893"/>
        </patternFill>
      </fill>
      <border outline="0">
        <left/>
      </border>
    </odxf>
    <ndxf>
      <fill>
        <patternFill>
          <bgColor theme="0" tint="-0.14999847407452621"/>
        </patternFill>
      </fill>
      <border outline="0">
        <left style="thin">
          <color indexed="64"/>
        </left>
      </border>
    </ndxf>
  </rcc>
  <rcc rId="8040" sId="4" odxf="1" dxf="1">
    <oc r="BP10">
      <f>SUM(BK10:BO10)</f>
    </oc>
    <nc r="BP10">
      <f>SUM(BK10:BO10)</f>
    </nc>
    <odxf>
      <fill>
        <patternFill>
          <bgColor theme="0" tint="-0.249977111117893"/>
        </patternFill>
      </fill>
      <border outline="0">
        <left/>
      </border>
    </odxf>
    <ndxf>
      <fill>
        <patternFill>
          <bgColor theme="0" tint="-0.14999847407452621"/>
        </patternFill>
      </fill>
      <border outline="0">
        <left style="thin">
          <color indexed="64"/>
        </left>
      </border>
    </ndxf>
  </rcc>
  <rcc rId="8041" sId="4" odxf="1" dxf="1">
    <oc r="BP11">
      <f>SUM(BK11:BO11)</f>
    </oc>
    <nc r="BP11">
      <f>SUM(BK11:BO11)</f>
    </nc>
    <odxf>
      <fill>
        <patternFill>
          <bgColor theme="0" tint="-0.249977111117893"/>
        </patternFill>
      </fill>
      <border outline="0">
        <left/>
      </border>
    </odxf>
    <ndxf>
      <fill>
        <patternFill>
          <bgColor theme="0" tint="-0.14999847407452621"/>
        </patternFill>
      </fill>
      <border outline="0">
        <left style="thin">
          <color indexed="64"/>
        </left>
      </border>
    </ndxf>
  </rcc>
  <rcc rId="8042" sId="4" odxf="1" dxf="1">
    <oc r="BP12">
      <f>SUM(BK12:BO12)</f>
    </oc>
    <nc r="BP12">
      <f>SUM(BK12:BO12)</f>
    </nc>
    <odxf>
      <fill>
        <patternFill>
          <bgColor theme="0" tint="-0.249977111117893"/>
        </patternFill>
      </fill>
      <border outline="0">
        <left/>
      </border>
    </odxf>
    <ndxf>
      <fill>
        <patternFill>
          <bgColor theme="0" tint="-0.14999847407452621"/>
        </patternFill>
      </fill>
      <border outline="0">
        <left style="thin">
          <color indexed="64"/>
        </left>
      </border>
    </ndxf>
  </rcc>
  <rcc rId="8043" sId="4" odxf="1" dxf="1">
    <oc r="BP13">
      <f>SUM(BK13:BO13)</f>
    </oc>
    <nc r="BP13">
      <f>SUM(BK13:BO13)</f>
    </nc>
    <odxf>
      <fill>
        <patternFill>
          <bgColor theme="0" tint="-0.249977111117893"/>
        </patternFill>
      </fill>
      <border outline="0">
        <left/>
      </border>
    </odxf>
    <ndxf>
      <fill>
        <patternFill>
          <bgColor theme="0" tint="-0.14999847407452621"/>
        </patternFill>
      </fill>
      <border outline="0">
        <left style="thin">
          <color indexed="64"/>
        </left>
      </border>
    </ndxf>
  </rcc>
  <rcc rId="8044" sId="4" odxf="1" dxf="1">
    <oc r="BP14">
      <f>SUM(BK14:BO14)</f>
    </oc>
    <nc r="BP14">
      <f>SUM(BK14:BO14)</f>
    </nc>
    <odxf>
      <fill>
        <patternFill>
          <bgColor theme="0" tint="-0.249977111117893"/>
        </patternFill>
      </fill>
      <border outline="0">
        <left/>
      </border>
    </odxf>
    <ndxf>
      <fill>
        <patternFill>
          <bgColor theme="0" tint="-0.14999847407452621"/>
        </patternFill>
      </fill>
      <border outline="0">
        <left style="thin">
          <color indexed="64"/>
        </left>
      </border>
    </ndxf>
  </rcc>
  <rcc rId="8045" sId="4" odxf="1" dxf="1">
    <oc r="BP15">
      <f>SUM(BK15:BO15)</f>
    </oc>
    <nc r="BP15">
      <f>SUM(BK15:BO15)</f>
    </nc>
    <odxf>
      <fill>
        <patternFill>
          <bgColor theme="0" tint="-0.249977111117893"/>
        </patternFill>
      </fill>
      <border outline="0">
        <left/>
      </border>
    </odxf>
    <ndxf>
      <fill>
        <patternFill>
          <bgColor theme="0" tint="-0.14999847407452621"/>
        </patternFill>
      </fill>
      <border outline="0">
        <left style="thin">
          <color indexed="64"/>
        </left>
      </border>
    </ndxf>
  </rcc>
  <rcc rId="8046" sId="4" odxf="1" dxf="1">
    <oc r="BP16">
      <f>SUM(BK16:BO16)</f>
    </oc>
    <nc r="BP16">
      <f>SUM(BK16:BO16)</f>
    </nc>
    <odxf>
      <fill>
        <patternFill>
          <bgColor theme="0" tint="-0.249977111117893"/>
        </patternFill>
      </fill>
      <border outline="0">
        <left/>
      </border>
    </odxf>
    <ndxf>
      <fill>
        <patternFill>
          <bgColor theme="0" tint="-0.14999847407452621"/>
        </patternFill>
      </fill>
      <border outline="0">
        <left style="thin">
          <color indexed="64"/>
        </left>
      </border>
    </ndxf>
  </rcc>
  <rfmt sheetId="4" sqref="BV1" start="0" length="0">
    <dxf>
      <fill>
        <patternFill>
          <bgColor theme="0" tint="-0.14999847407452621"/>
        </patternFill>
      </fill>
      <border outline="0">
        <left style="thin">
          <color auto="1"/>
        </left>
      </border>
    </dxf>
  </rfmt>
  <rcc rId="8047" sId="4" odxf="1" dxf="1">
    <oc r="BV2">
      <f>SUM(BQ2:BU2)</f>
    </oc>
    <nc r="BV2">
      <f>SUM(BQ2:BU2)</f>
    </nc>
    <odxf>
      <fill>
        <patternFill>
          <bgColor theme="0" tint="-0.249977111117893"/>
        </patternFill>
      </fill>
      <border outline="0">
        <left/>
      </border>
    </odxf>
    <ndxf>
      <fill>
        <patternFill>
          <bgColor theme="0" tint="-0.14999847407452621"/>
        </patternFill>
      </fill>
      <border outline="0">
        <left style="thin">
          <color indexed="64"/>
        </left>
      </border>
    </ndxf>
  </rcc>
  <rcc rId="8048" sId="4" odxf="1" dxf="1">
    <oc r="BV3">
      <f>SUM(BQ3:BU3)</f>
    </oc>
    <nc r="BV3">
      <f>SUM(BQ3:BU3)</f>
    </nc>
    <odxf>
      <fill>
        <patternFill>
          <bgColor theme="0" tint="-0.249977111117893"/>
        </patternFill>
      </fill>
      <border outline="0">
        <left/>
      </border>
    </odxf>
    <ndxf>
      <fill>
        <patternFill>
          <bgColor theme="0" tint="-0.14999847407452621"/>
        </patternFill>
      </fill>
      <border outline="0">
        <left style="thin">
          <color indexed="64"/>
        </left>
      </border>
    </ndxf>
  </rcc>
  <rcc rId="8049" sId="4" odxf="1" dxf="1">
    <oc r="BV4">
      <f>SUM(BQ4:BU4)</f>
    </oc>
    <nc r="BV4">
      <f>SUM(BQ4:BU4)</f>
    </nc>
    <odxf>
      <fill>
        <patternFill>
          <bgColor theme="0" tint="-0.249977111117893"/>
        </patternFill>
      </fill>
      <border outline="0">
        <left/>
      </border>
    </odxf>
    <ndxf>
      <fill>
        <patternFill>
          <bgColor theme="0" tint="-0.14999847407452621"/>
        </patternFill>
      </fill>
      <border outline="0">
        <left style="thin">
          <color indexed="64"/>
        </left>
      </border>
    </ndxf>
  </rcc>
  <rcc rId="8050" sId="4" odxf="1" dxf="1">
    <oc r="BV5">
      <f>SUM(BQ5:BU5)</f>
    </oc>
    <nc r="BV5">
      <f>SUM(BQ5:BU5)</f>
    </nc>
    <odxf>
      <fill>
        <patternFill>
          <bgColor theme="0" tint="-0.249977111117893"/>
        </patternFill>
      </fill>
      <border outline="0">
        <left/>
      </border>
    </odxf>
    <ndxf>
      <fill>
        <patternFill>
          <bgColor theme="0" tint="-0.14999847407452621"/>
        </patternFill>
      </fill>
      <border outline="0">
        <left style="thin">
          <color indexed="64"/>
        </left>
      </border>
    </ndxf>
  </rcc>
  <rcc rId="8051" sId="4" odxf="1" dxf="1">
    <oc r="BV6">
      <f>SUM(BQ6:BU6)</f>
    </oc>
    <nc r="BV6">
      <f>SUM(BQ6:BU6)</f>
    </nc>
    <odxf>
      <fill>
        <patternFill>
          <bgColor theme="0" tint="-0.249977111117893"/>
        </patternFill>
      </fill>
      <border outline="0">
        <left/>
      </border>
    </odxf>
    <ndxf>
      <fill>
        <patternFill>
          <bgColor theme="0" tint="-0.14999847407452621"/>
        </patternFill>
      </fill>
      <border outline="0">
        <left style="thin">
          <color indexed="64"/>
        </left>
      </border>
    </ndxf>
  </rcc>
  <rcc rId="8052" sId="4" odxf="1" dxf="1">
    <oc r="BV7">
      <f>SUM(BQ7:BU7)</f>
    </oc>
    <nc r="BV7">
      <f>SUM(BQ7:BU7)</f>
    </nc>
    <odxf>
      <fill>
        <patternFill>
          <bgColor theme="0" tint="-0.249977111117893"/>
        </patternFill>
      </fill>
      <border outline="0">
        <left/>
      </border>
    </odxf>
    <ndxf>
      <fill>
        <patternFill>
          <bgColor theme="0" tint="-0.14999847407452621"/>
        </patternFill>
      </fill>
      <border outline="0">
        <left style="thin">
          <color indexed="64"/>
        </left>
      </border>
    </ndxf>
  </rcc>
  <rcc rId="8053" sId="4" odxf="1" dxf="1">
    <oc r="BV8">
      <f>SUM(BQ8:BU8)</f>
    </oc>
    <nc r="BV8">
      <f>SUM(BQ8:BU8)</f>
    </nc>
    <odxf>
      <fill>
        <patternFill>
          <bgColor theme="0" tint="-0.249977111117893"/>
        </patternFill>
      </fill>
      <border outline="0">
        <left/>
      </border>
    </odxf>
    <ndxf>
      <fill>
        <patternFill>
          <bgColor theme="0" tint="-0.14999847407452621"/>
        </patternFill>
      </fill>
      <border outline="0">
        <left style="thin">
          <color indexed="64"/>
        </left>
      </border>
    </ndxf>
  </rcc>
  <rcc rId="8054" sId="4" odxf="1" dxf="1">
    <oc r="BV9">
      <f>SUM(BQ9:BU9)</f>
    </oc>
    <nc r="BV9">
      <f>SUM(BQ9:BU9)</f>
    </nc>
    <odxf>
      <fill>
        <patternFill>
          <bgColor theme="0" tint="-0.249977111117893"/>
        </patternFill>
      </fill>
      <border outline="0">
        <left/>
      </border>
    </odxf>
    <ndxf>
      <fill>
        <patternFill>
          <bgColor theme="0" tint="-0.14999847407452621"/>
        </patternFill>
      </fill>
      <border outline="0">
        <left style="thin">
          <color indexed="64"/>
        </left>
      </border>
    </ndxf>
  </rcc>
  <rcc rId="8055" sId="4" odxf="1" dxf="1">
    <oc r="BV10">
      <f>SUM(BQ10:BU10)</f>
    </oc>
    <nc r="BV10">
      <f>SUM(BQ10:BU10)</f>
    </nc>
    <odxf>
      <fill>
        <patternFill>
          <bgColor theme="0" tint="-0.249977111117893"/>
        </patternFill>
      </fill>
      <border outline="0">
        <left/>
      </border>
    </odxf>
    <ndxf>
      <fill>
        <patternFill>
          <bgColor theme="0" tint="-0.14999847407452621"/>
        </patternFill>
      </fill>
      <border outline="0">
        <left style="thin">
          <color indexed="64"/>
        </left>
      </border>
    </ndxf>
  </rcc>
  <rcc rId="8056" sId="4" odxf="1" dxf="1">
    <oc r="BV11">
      <f>SUM(BQ11:BU11)</f>
    </oc>
    <nc r="BV11">
      <f>SUM(BQ11:BU11)</f>
    </nc>
    <odxf>
      <fill>
        <patternFill>
          <bgColor theme="0" tint="-0.249977111117893"/>
        </patternFill>
      </fill>
      <border outline="0">
        <left/>
      </border>
    </odxf>
    <ndxf>
      <fill>
        <patternFill>
          <bgColor theme="0" tint="-0.14999847407452621"/>
        </patternFill>
      </fill>
      <border outline="0">
        <left style="thin">
          <color indexed="64"/>
        </left>
      </border>
    </ndxf>
  </rcc>
  <rcc rId="8057" sId="4" odxf="1" dxf="1">
    <oc r="BV12">
      <f>SUM(BQ12:BU12)</f>
    </oc>
    <nc r="BV12">
      <f>SUM(BQ12:BU12)</f>
    </nc>
    <odxf>
      <fill>
        <patternFill>
          <bgColor theme="0" tint="-0.249977111117893"/>
        </patternFill>
      </fill>
      <border outline="0">
        <left/>
      </border>
    </odxf>
    <ndxf>
      <fill>
        <patternFill>
          <bgColor theme="0" tint="-0.14999847407452621"/>
        </patternFill>
      </fill>
      <border outline="0">
        <left style="thin">
          <color indexed="64"/>
        </left>
      </border>
    </ndxf>
  </rcc>
  <rcc rId="8058" sId="4" odxf="1" dxf="1">
    <oc r="BV13">
      <f>SUM(BQ13:BU13)</f>
    </oc>
    <nc r="BV13">
      <f>SUM(BQ13:BU13)</f>
    </nc>
    <odxf>
      <fill>
        <patternFill>
          <bgColor theme="0" tint="-0.249977111117893"/>
        </patternFill>
      </fill>
      <border outline="0">
        <left/>
      </border>
    </odxf>
    <ndxf>
      <fill>
        <patternFill>
          <bgColor theme="0" tint="-0.14999847407452621"/>
        </patternFill>
      </fill>
      <border outline="0">
        <left style="thin">
          <color indexed="64"/>
        </left>
      </border>
    </ndxf>
  </rcc>
  <rcc rId="8059" sId="4" odxf="1" dxf="1">
    <oc r="BV14">
      <f>SUM(BQ14:BU14)</f>
    </oc>
    <nc r="BV14">
      <f>SUM(BQ14:BU14)</f>
    </nc>
    <odxf>
      <fill>
        <patternFill>
          <bgColor theme="0" tint="-0.249977111117893"/>
        </patternFill>
      </fill>
      <border outline="0">
        <left/>
      </border>
    </odxf>
    <ndxf>
      <fill>
        <patternFill>
          <bgColor theme="0" tint="-0.14999847407452621"/>
        </patternFill>
      </fill>
      <border outline="0">
        <left style="thin">
          <color indexed="64"/>
        </left>
      </border>
    </ndxf>
  </rcc>
  <rcc rId="8060" sId="4" odxf="1" dxf="1">
    <oc r="BV15">
      <f>SUM(BQ15:BU15)</f>
    </oc>
    <nc r="BV15">
      <f>SUM(BQ15:BU15)</f>
    </nc>
    <odxf>
      <fill>
        <patternFill>
          <bgColor theme="0" tint="-0.249977111117893"/>
        </patternFill>
      </fill>
      <border outline="0">
        <left/>
      </border>
    </odxf>
    <ndxf>
      <fill>
        <patternFill>
          <bgColor theme="0" tint="-0.14999847407452621"/>
        </patternFill>
      </fill>
      <border outline="0">
        <left style="thin">
          <color indexed="64"/>
        </left>
      </border>
    </ndxf>
  </rcc>
  <rcc rId="8061" sId="4" odxf="1" dxf="1">
    <oc r="BV16">
      <f>SUM(BQ16:BU16)</f>
    </oc>
    <nc r="BV16">
      <f>SUM(BQ16:BU16)</f>
    </nc>
    <odxf>
      <fill>
        <patternFill>
          <bgColor theme="0" tint="-0.249977111117893"/>
        </patternFill>
      </fill>
      <border outline="0">
        <left/>
      </border>
    </odxf>
    <ndxf>
      <fill>
        <patternFill>
          <bgColor theme="0" tint="-0.14999847407452621"/>
        </patternFill>
      </fill>
      <border outline="0">
        <left style="thin">
          <color indexed="64"/>
        </left>
      </border>
    </ndxf>
  </rcc>
  <rfmt sheetId="4" sqref="CB1" start="0" length="0">
    <dxf>
      <fill>
        <patternFill>
          <bgColor theme="0" tint="-0.14999847407452621"/>
        </patternFill>
      </fill>
      <border outline="0">
        <left style="thin">
          <color auto="1"/>
        </left>
      </border>
    </dxf>
  </rfmt>
  <rcc rId="8062" sId="4" odxf="1" dxf="1">
    <oc r="CB2">
      <f>SUM(BW2:CA2)</f>
    </oc>
    <nc r="CB2">
      <f>SUM(BW2:CA2)</f>
    </nc>
    <odxf>
      <fill>
        <patternFill>
          <bgColor theme="0" tint="-0.249977111117893"/>
        </patternFill>
      </fill>
      <border outline="0">
        <left/>
      </border>
    </odxf>
    <ndxf>
      <fill>
        <patternFill>
          <bgColor theme="0" tint="-0.14999847407452621"/>
        </patternFill>
      </fill>
      <border outline="0">
        <left style="thin">
          <color indexed="64"/>
        </left>
      </border>
    </ndxf>
  </rcc>
  <rcc rId="8063" sId="4" odxf="1" dxf="1">
    <oc r="CB3">
      <f>SUM(BW3:CA3)</f>
    </oc>
    <nc r="CB3">
      <f>SUM(BW3:CA3)</f>
    </nc>
    <odxf>
      <fill>
        <patternFill>
          <bgColor theme="0" tint="-0.249977111117893"/>
        </patternFill>
      </fill>
      <border outline="0">
        <left/>
      </border>
    </odxf>
    <ndxf>
      <fill>
        <patternFill>
          <bgColor theme="0" tint="-0.14999847407452621"/>
        </patternFill>
      </fill>
      <border outline="0">
        <left style="thin">
          <color indexed="64"/>
        </left>
      </border>
    </ndxf>
  </rcc>
  <rcc rId="8064" sId="4" odxf="1" dxf="1">
    <oc r="CB4">
      <f>SUM(BW4:CA4)</f>
    </oc>
    <nc r="CB4">
      <f>SUM(BW4:CA4)</f>
    </nc>
    <odxf>
      <fill>
        <patternFill>
          <bgColor theme="0" tint="-0.249977111117893"/>
        </patternFill>
      </fill>
      <border outline="0">
        <left/>
      </border>
    </odxf>
    <ndxf>
      <fill>
        <patternFill>
          <bgColor theme="0" tint="-0.14999847407452621"/>
        </patternFill>
      </fill>
      <border outline="0">
        <left style="thin">
          <color indexed="64"/>
        </left>
      </border>
    </ndxf>
  </rcc>
  <rcc rId="8065" sId="4" odxf="1" dxf="1">
    <oc r="CB5">
      <f>SUM(BW5:CA5)</f>
    </oc>
    <nc r="CB5">
      <f>SUM(BW5:CA5)</f>
    </nc>
    <odxf>
      <fill>
        <patternFill>
          <bgColor theme="0" tint="-0.249977111117893"/>
        </patternFill>
      </fill>
      <border outline="0">
        <left/>
      </border>
    </odxf>
    <ndxf>
      <fill>
        <patternFill>
          <bgColor theme="0" tint="-0.14999847407452621"/>
        </patternFill>
      </fill>
      <border outline="0">
        <left style="thin">
          <color indexed="64"/>
        </left>
      </border>
    </ndxf>
  </rcc>
  <rcc rId="8066" sId="4" odxf="1" dxf="1">
    <oc r="CB6">
      <f>SUM(BW6:CA6)</f>
    </oc>
    <nc r="CB6">
      <f>SUM(BW6:CA6)</f>
    </nc>
    <odxf>
      <fill>
        <patternFill>
          <bgColor theme="0" tint="-0.249977111117893"/>
        </patternFill>
      </fill>
      <border outline="0">
        <left/>
      </border>
    </odxf>
    <ndxf>
      <fill>
        <patternFill>
          <bgColor theme="0" tint="-0.14999847407452621"/>
        </patternFill>
      </fill>
      <border outline="0">
        <left style="thin">
          <color indexed="64"/>
        </left>
      </border>
    </ndxf>
  </rcc>
  <rcc rId="8067" sId="4" odxf="1" dxf="1">
    <oc r="CB7">
      <f>SUM(BW7:CA7)</f>
    </oc>
    <nc r="CB7">
      <f>SUM(BW7:CA7)</f>
    </nc>
    <odxf>
      <fill>
        <patternFill>
          <bgColor theme="0" tint="-0.249977111117893"/>
        </patternFill>
      </fill>
      <border outline="0">
        <left/>
      </border>
    </odxf>
    <ndxf>
      <fill>
        <patternFill>
          <bgColor theme="0" tint="-0.14999847407452621"/>
        </patternFill>
      </fill>
      <border outline="0">
        <left style="thin">
          <color indexed="64"/>
        </left>
      </border>
    </ndxf>
  </rcc>
  <rcc rId="8068" sId="4" odxf="1" dxf="1">
    <oc r="CB8">
      <f>SUM(BW8:CA8)</f>
    </oc>
    <nc r="CB8">
      <f>SUM(BW8:CA8)</f>
    </nc>
    <odxf>
      <fill>
        <patternFill>
          <bgColor theme="0" tint="-0.249977111117893"/>
        </patternFill>
      </fill>
      <border outline="0">
        <left/>
      </border>
    </odxf>
    <ndxf>
      <fill>
        <patternFill>
          <bgColor theme="0" tint="-0.14999847407452621"/>
        </patternFill>
      </fill>
      <border outline="0">
        <left style="thin">
          <color indexed="64"/>
        </left>
      </border>
    </ndxf>
  </rcc>
  <rcc rId="8069" sId="4" odxf="1" dxf="1">
    <oc r="CB9">
      <f>SUM(BW9:CA9)</f>
    </oc>
    <nc r="CB9">
      <f>SUM(BW9:CA9)</f>
    </nc>
    <odxf>
      <fill>
        <patternFill>
          <bgColor theme="0" tint="-0.249977111117893"/>
        </patternFill>
      </fill>
      <border outline="0">
        <left/>
      </border>
    </odxf>
    <ndxf>
      <fill>
        <patternFill>
          <bgColor theme="0" tint="-0.14999847407452621"/>
        </patternFill>
      </fill>
      <border outline="0">
        <left style="thin">
          <color indexed="64"/>
        </left>
      </border>
    </ndxf>
  </rcc>
  <rcc rId="8070" sId="4" odxf="1" dxf="1">
    <oc r="CB10">
      <f>SUM(BW10:CA10)</f>
    </oc>
    <nc r="CB10">
      <f>SUM(BW10:CA10)</f>
    </nc>
    <odxf>
      <fill>
        <patternFill>
          <bgColor theme="0" tint="-0.249977111117893"/>
        </patternFill>
      </fill>
      <border outline="0">
        <left/>
      </border>
    </odxf>
    <ndxf>
      <fill>
        <patternFill>
          <bgColor theme="0" tint="-0.14999847407452621"/>
        </patternFill>
      </fill>
      <border outline="0">
        <left style="thin">
          <color indexed="64"/>
        </left>
      </border>
    </ndxf>
  </rcc>
  <rcc rId="8071" sId="4" odxf="1" dxf="1">
    <oc r="CB11">
      <f>SUM(BW11:CA11)</f>
    </oc>
    <nc r="CB11">
      <f>SUM(BW11:CA11)</f>
    </nc>
    <odxf>
      <fill>
        <patternFill>
          <bgColor theme="0" tint="-0.249977111117893"/>
        </patternFill>
      </fill>
      <border outline="0">
        <left/>
      </border>
    </odxf>
    <ndxf>
      <fill>
        <patternFill>
          <bgColor theme="0" tint="-0.14999847407452621"/>
        </patternFill>
      </fill>
      <border outline="0">
        <left style="thin">
          <color indexed="64"/>
        </left>
      </border>
    </ndxf>
  </rcc>
  <rcc rId="8072" sId="4" odxf="1" dxf="1">
    <oc r="CB12">
      <f>SUM(BW12:CA12)</f>
    </oc>
    <nc r="CB12">
      <f>SUM(BW12:CA12)</f>
    </nc>
    <odxf>
      <fill>
        <patternFill>
          <bgColor theme="0" tint="-0.249977111117893"/>
        </patternFill>
      </fill>
      <border outline="0">
        <left/>
      </border>
    </odxf>
    <ndxf>
      <fill>
        <patternFill>
          <bgColor theme="0" tint="-0.14999847407452621"/>
        </patternFill>
      </fill>
      <border outline="0">
        <left style="thin">
          <color indexed="64"/>
        </left>
      </border>
    </ndxf>
  </rcc>
  <rcc rId="8073" sId="4" odxf="1" dxf="1">
    <oc r="CB13">
      <f>SUM(BW13:CA13)</f>
    </oc>
    <nc r="CB13">
      <f>SUM(BW13:CA13)</f>
    </nc>
    <odxf>
      <fill>
        <patternFill>
          <bgColor theme="0" tint="-0.249977111117893"/>
        </patternFill>
      </fill>
      <border outline="0">
        <left/>
      </border>
    </odxf>
    <ndxf>
      <fill>
        <patternFill>
          <bgColor theme="0" tint="-0.14999847407452621"/>
        </patternFill>
      </fill>
      <border outline="0">
        <left style="thin">
          <color indexed="64"/>
        </left>
      </border>
    </ndxf>
  </rcc>
  <rcc rId="8074" sId="4" odxf="1" dxf="1">
    <oc r="CB14">
      <f>SUM(BW14:CA14)</f>
    </oc>
    <nc r="CB14">
      <f>SUM(BW14:CA14)</f>
    </nc>
    <odxf>
      <fill>
        <patternFill>
          <bgColor theme="0" tint="-0.249977111117893"/>
        </patternFill>
      </fill>
      <border outline="0">
        <left/>
      </border>
    </odxf>
    <ndxf>
      <fill>
        <patternFill>
          <bgColor theme="0" tint="-0.14999847407452621"/>
        </patternFill>
      </fill>
      <border outline="0">
        <left style="thin">
          <color indexed="64"/>
        </left>
      </border>
    </ndxf>
  </rcc>
  <rcc rId="8075" sId="4" odxf="1" dxf="1">
    <oc r="CB15">
      <f>SUM(BW15:CA15)</f>
    </oc>
    <nc r="CB15">
      <f>SUM(BW15:CA15)</f>
    </nc>
    <odxf>
      <fill>
        <patternFill>
          <bgColor theme="0" tint="-0.249977111117893"/>
        </patternFill>
      </fill>
      <border outline="0">
        <left/>
      </border>
    </odxf>
    <ndxf>
      <fill>
        <patternFill>
          <bgColor theme="0" tint="-0.14999847407452621"/>
        </patternFill>
      </fill>
      <border outline="0">
        <left style="thin">
          <color indexed="64"/>
        </left>
      </border>
    </ndxf>
  </rcc>
  <rcc rId="8076" sId="4" odxf="1" dxf="1">
    <oc r="CB16">
      <f>SUM(BW16:CA16)</f>
    </oc>
    <nc r="CB16">
      <f>SUM(BW16:CA16)</f>
    </nc>
    <odxf>
      <fill>
        <patternFill>
          <bgColor theme="0" tint="-0.249977111117893"/>
        </patternFill>
      </fill>
      <border outline="0">
        <left/>
      </border>
    </odxf>
    <ndxf>
      <fill>
        <patternFill>
          <bgColor theme="0" tint="-0.14999847407452621"/>
        </patternFill>
      </fill>
      <border outline="0">
        <left style="thin">
          <color indexed="64"/>
        </left>
      </border>
    </ndxf>
  </rcc>
  <rfmt sheetId="5" sqref="Z1" start="0" length="0">
    <dxf>
      <border outline="0">
        <left style="thin">
          <color auto="1"/>
        </left>
        <right style="thin">
          <color auto="1"/>
        </right>
      </border>
    </dxf>
  </rfmt>
  <rfmt sheetId="5" sqref="AA1" start="0" length="0">
    <dxf>
      <border outline="0">
        <left/>
      </border>
    </dxf>
  </rfmt>
  <rfmt sheetId="5" sqref="AF1" start="0" length="0">
    <dxf>
      <border outline="0">
        <left style="thin">
          <color auto="1"/>
        </left>
        <right style="thin">
          <color auto="1"/>
        </right>
      </border>
    </dxf>
  </rfmt>
  <rfmt sheetId="5" sqref="AG1" start="0" length="0">
    <dxf>
      <border outline="0">
        <left/>
      </border>
    </dxf>
  </rfmt>
  <rfmt sheetId="5" sqref="AL1" start="0" length="0">
    <dxf>
      <border outline="0">
        <left style="thin">
          <color auto="1"/>
        </left>
        <right style="thin">
          <color auto="1"/>
        </right>
      </border>
    </dxf>
  </rfmt>
  <rfmt sheetId="5" sqref="AM1" start="0" length="0">
    <dxf>
      <border outline="0">
        <left/>
      </border>
    </dxf>
  </rfmt>
  <rfmt sheetId="5" sqref="AR1" start="0" length="0">
    <dxf>
      <fill>
        <patternFill>
          <bgColor theme="0" tint="-0.14999847407452621"/>
        </patternFill>
      </fill>
      <border outline="0">
        <left style="thin">
          <color auto="1"/>
        </left>
        <right style="thin">
          <color auto="1"/>
        </right>
      </border>
    </dxf>
  </rfmt>
  <rfmt sheetId="5" sqref="AS1" start="0" length="0">
    <dxf>
      <border outline="0">
        <left/>
      </border>
    </dxf>
  </rfmt>
  <rfmt sheetId="5" sqref="AX1" start="0" length="0">
    <dxf>
      <fill>
        <patternFill>
          <bgColor theme="0" tint="-0.14999847407452621"/>
        </patternFill>
      </fill>
      <border outline="0">
        <left style="thin">
          <color auto="1"/>
        </left>
        <right style="thin">
          <color auto="1"/>
        </right>
      </border>
    </dxf>
  </rfmt>
  <rfmt sheetId="5" sqref="BD1" start="0" length="0">
    <dxf>
      <fill>
        <patternFill>
          <bgColor theme="0" tint="-0.14999847407452621"/>
        </patternFill>
      </fill>
      <border outline="0">
        <left style="thin">
          <color auto="1"/>
        </left>
      </border>
    </dxf>
  </rfmt>
  <rfmt sheetId="5" sqref="BJ1" start="0" length="0">
    <dxf>
      <fill>
        <patternFill>
          <bgColor theme="0" tint="-0.14999847407452621"/>
        </patternFill>
      </fill>
      <border outline="0">
        <left style="thin">
          <color auto="1"/>
        </left>
      </border>
    </dxf>
  </rfmt>
  <rfmt sheetId="5" sqref="BP1" start="0" length="0">
    <dxf>
      <fill>
        <patternFill>
          <bgColor theme="0" tint="-0.14999847407452621"/>
        </patternFill>
      </fill>
      <border outline="0">
        <left style="thin">
          <color auto="1"/>
        </left>
      </border>
    </dxf>
  </rfmt>
  <rfmt sheetId="5" sqref="BV1" start="0" length="0">
    <dxf>
      <fill>
        <patternFill>
          <bgColor theme="0" tint="-0.14999847407452621"/>
        </patternFill>
      </fill>
      <border outline="0">
        <left style="thin">
          <color auto="1"/>
        </left>
      </border>
    </dxf>
  </rfmt>
  <rfmt sheetId="5" sqref="CB1" start="0" length="0">
    <dxf>
      <fill>
        <patternFill>
          <bgColor theme="0" tint="-0.14999847407452621"/>
        </patternFill>
      </fill>
      <border outline="0">
        <left style="thin">
          <color auto="1"/>
        </left>
      </border>
    </dxf>
  </rfmt>
  <rcc rId="8077" sId="5" odxf="1" dxf="1">
    <oc r="Z2">
      <f>SUM(U2:Y2)</f>
    </oc>
    <nc r="Z2">
      <f>SUM(U2:Y2)</f>
    </nc>
    <odxf>
      <border outline="0">
        <left/>
        <right/>
      </border>
    </odxf>
    <ndxf>
      <border outline="0">
        <left style="thin">
          <color indexed="64"/>
        </left>
        <right style="thin">
          <color indexed="64"/>
        </right>
      </border>
    </ndxf>
  </rcc>
  <rcc rId="8078" sId="5" odxf="1" dxf="1">
    <oc r="AF2">
      <f>SUM(AA2:AE2)</f>
    </oc>
    <nc r="AF2">
      <f>SUM(AA2:AE2)</f>
    </nc>
    <odxf>
      <border outline="0">
        <left/>
        <right/>
      </border>
    </odxf>
    <ndxf>
      <border outline="0">
        <left style="thin">
          <color indexed="64"/>
        </left>
        <right style="thin">
          <color indexed="64"/>
        </right>
      </border>
    </ndxf>
  </rcc>
  <rcc rId="8079" sId="5" odxf="1" dxf="1">
    <oc r="AL2">
      <f>SUM(AG2:AK2)</f>
    </oc>
    <nc r="AL2">
      <f>SUM(AG2:AK2)</f>
    </nc>
    <odxf>
      <border outline="0">
        <left/>
        <right/>
      </border>
    </odxf>
    <ndxf>
      <border outline="0">
        <left style="thin">
          <color indexed="64"/>
        </left>
        <right style="thin">
          <color indexed="64"/>
        </right>
      </border>
    </ndxf>
  </rcc>
  <rcc rId="8080" sId="5" odxf="1" dxf="1">
    <oc r="AR2">
      <f>SUM(AM2:AQ2)</f>
    </oc>
    <nc r="AR2">
      <f>SUM(AM2:AQ2)</f>
    </nc>
    <odxf>
      <fill>
        <patternFill>
          <bgColor theme="0" tint="-0.249977111117893"/>
        </patternFill>
      </fill>
      <border outline="0">
        <left/>
        <right/>
      </border>
    </odxf>
    <ndxf>
      <fill>
        <patternFill>
          <bgColor theme="0" tint="-0.14999847407452621"/>
        </patternFill>
      </fill>
      <border outline="0">
        <left style="thin">
          <color indexed="64"/>
        </left>
        <right style="thin">
          <color indexed="64"/>
        </right>
      </border>
    </ndxf>
  </rcc>
  <rcc rId="8081" sId="5" odxf="1" dxf="1">
    <oc r="AX2">
      <f>SUM(AS2:AW2)</f>
    </oc>
    <nc r="AX2">
      <f>SUM(AS2:AW2)</f>
    </nc>
    <odxf>
      <fill>
        <patternFill>
          <bgColor theme="0" tint="-0.249977111117893"/>
        </patternFill>
      </fill>
      <border outline="0">
        <left/>
        <right/>
      </border>
    </odxf>
    <ndxf>
      <fill>
        <patternFill>
          <bgColor theme="0" tint="-0.14999847407452621"/>
        </patternFill>
      </fill>
      <border outline="0">
        <left style="thin">
          <color indexed="64"/>
        </left>
        <right style="thin">
          <color indexed="64"/>
        </right>
      </border>
    </ndxf>
  </rcc>
  <rcc rId="8082" sId="5" odxf="1" dxf="1">
    <oc r="BD2">
      <f>SUM(AY2:BC2)</f>
    </oc>
    <nc r="BD2">
      <f>SUM(AY2:BC2)</f>
    </nc>
    <odxf>
      <fill>
        <patternFill>
          <bgColor theme="0" tint="-0.249977111117893"/>
        </patternFill>
      </fill>
      <border outline="0">
        <left/>
      </border>
    </odxf>
    <ndxf>
      <fill>
        <patternFill>
          <bgColor theme="0" tint="-0.14999847407452621"/>
        </patternFill>
      </fill>
      <border outline="0">
        <left style="thin">
          <color indexed="64"/>
        </left>
      </border>
    </ndxf>
  </rcc>
  <rcc rId="8083" sId="5" odxf="1" dxf="1">
    <oc r="BJ2">
      <f>SUM(BE2:BI2)</f>
    </oc>
    <nc r="BJ2">
      <f>SUM(BE2:BI2)</f>
    </nc>
    <odxf>
      <fill>
        <patternFill>
          <bgColor theme="0" tint="-0.249977111117893"/>
        </patternFill>
      </fill>
      <border outline="0">
        <left/>
      </border>
    </odxf>
    <ndxf>
      <fill>
        <patternFill>
          <bgColor theme="0" tint="-0.14999847407452621"/>
        </patternFill>
      </fill>
      <border outline="0">
        <left style="thin">
          <color indexed="64"/>
        </left>
      </border>
    </ndxf>
  </rcc>
  <rcc rId="8084" sId="5" odxf="1" dxf="1">
    <oc r="BP2">
      <f>SUM(BK2:BO2)</f>
    </oc>
    <nc r="BP2">
      <f>SUM(BK2:BO2)</f>
    </nc>
    <odxf>
      <fill>
        <patternFill>
          <bgColor theme="0" tint="-0.249977111117893"/>
        </patternFill>
      </fill>
      <border outline="0">
        <left/>
      </border>
    </odxf>
    <ndxf>
      <fill>
        <patternFill>
          <bgColor theme="0" tint="-0.14999847407452621"/>
        </patternFill>
      </fill>
      <border outline="0">
        <left style="thin">
          <color indexed="64"/>
        </left>
      </border>
    </ndxf>
  </rcc>
  <rcc rId="8085" sId="5" odxf="1" dxf="1">
    <oc r="BV2">
      <f>SUM(BQ2:BU2)</f>
    </oc>
    <nc r="BV2">
      <f>SUM(BQ2:BU2)</f>
    </nc>
    <odxf>
      <fill>
        <patternFill>
          <bgColor theme="0" tint="-0.249977111117893"/>
        </patternFill>
      </fill>
      <border outline="0">
        <left/>
      </border>
    </odxf>
    <ndxf>
      <fill>
        <patternFill>
          <bgColor theme="0" tint="-0.14999847407452621"/>
        </patternFill>
      </fill>
      <border outline="0">
        <left style="thin">
          <color indexed="64"/>
        </left>
      </border>
    </ndxf>
  </rcc>
  <rcc rId="8086" sId="5" odxf="1" dxf="1">
    <oc r="CB2">
      <f>SUM(BW2:CA2)</f>
    </oc>
    <nc r="CB2">
      <f>SUM(BW2:CA2)</f>
    </nc>
    <odxf>
      <fill>
        <patternFill>
          <bgColor theme="0" tint="-0.249977111117893"/>
        </patternFill>
      </fill>
      <border outline="0">
        <left/>
      </border>
    </odxf>
    <ndxf>
      <fill>
        <patternFill>
          <bgColor theme="0" tint="-0.14999847407452621"/>
        </patternFill>
      </fill>
      <border outline="0">
        <left style="thin">
          <color indexed="64"/>
        </left>
      </border>
    </ndxf>
  </rcc>
  <rcc rId="8087" sId="5" odxf="1" dxf="1">
    <oc r="Z3">
      <f>SUM(U3:Y3)</f>
    </oc>
    <nc r="Z3">
      <f>SUM(U3:Y3)</f>
    </nc>
    <odxf>
      <border outline="0">
        <left/>
        <right/>
      </border>
    </odxf>
    <ndxf>
      <border outline="0">
        <left style="thin">
          <color indexed="64"/>
        </left>
        <right style="thin">
          <color indexed="64"/>
        </right>
      </border>
    </ndxf>
  </rcc>
  <rcc rId="8088" sId="5" odxf="1" dxf="1">
    <oc r="AF3">
      <f>SUM(AA3:AE3)</f>
    </oc>
    <nc r="AF3">
      <f>SUM(AA3:AE3)</f>
    </nc>
    <odxf>
      <border outline="0">
        <left/>
        <right/>
      </border>
    </odxf>
    <ndxf>
      <border outline="0">
        <left style="thin">
          <color indexed="64"/>
        </left>
        <right style="thin">
          <color indexed="64"/>
        </right>
      </border>
    </ndxf>
  </rcc>
  <rcc rId="8089" sId="5" odxf="1" dxf="1">
    <oc r="AL3">
      <f>SUM(AG3:AK3)</f>
    </oc>
    <nc r="AL3">
      <f>SUM(AG3:AK3)</f>
    </nc>
    <odxf>
      <border outline="0">
        <left/>
        <right/>
      </border>
    </odxf>
    <ndxf>
      <border outline="0">
        <left style="thin">
          <color indexed="64"/>
        </left>
        <right style="thin">
          <color indexed="64"/>
        </right>
      </border>
    </ndxf>
  </rcc>
  <rcc rId="8090" sId="5" odxf="1" dxf="1">
    <oc r="AR3">
      <f>SUM(AM3:AQ3)</f>
    </oc>
    <nc r="AR3">
      <f>SUM(AM3:AQ3)</f>
    </nc>
    <odxf>
      <fill>
        <patternFill>
          <bgColor theme="0" tint="-0.249977111117893"/>
        </patternFill>
      </fill>
      <border outline="0">
        <left/>
        <right/>
      </border>
    </odxf>
    <ndxf>
      <fill>
        <patternFill>
          <bgColor theme="0" tint="-0.14999847407452621"/>
        </patternFill>
      </fill>
      <border outline="0">
        <left style="thin">
          <color indexed="64"/>
        </left>
        <right style="thin">
          <color indexed="64"/>
        </right>
      </border>
    </ndxf>
  </rcc>
  <rcc rId="8091" sId="5" odxf="1" dxf="1">
    <oc r="AX3">
      <f>SUM(AS3:AW3)</f>
    </oc>
    <nc r="AX3">
      <f>SUM(AS3:AW3)</f>
    </nc>
    <odxf>
      <fill>
        <patternFill>
          <bgColor theme="0" tint="-0.249977111117893"/>
        </patternFill>
      </fill>
      <border outline="0">
        <left/>
        <right/>
      </border>
    </odxf>
    <ndxf>
      <fill>
        <patternFill>
          <bgColor theme="0" tint="-0.14999847407452621"/>
        </patternFill>
      </fill>
      <border outline="0">
        <left style="thin">
          <color indexed="64"/>
        </left>
        <right style="thin">
          <color indexed="64"/>
        </right>
      </border>
    </ndxf>
  </rcc>
  <rcc rId="8092" sId="5" odxf="1" dxf="1">
    <oc r="BD3">
      <f>SUM(AY3:BC3)</f>
    </oc>
    <nc r="BD3">
      <f>SUM(AY3:BC3)</f>
    </nc>
    <odxf>
      <fill>
        <patternFill>
          <bgColor theme="0" tint="-0.249977111117893"/>
        </patternFill>
      </fill>
      <border outline="0">
        <left/>
      </border>
    </odxf>
    <ndxf>
      <fill>
        <patternFill>
          <bgColor theme="0" tint="-0.14999847407452621"/>
        </patternFill>
      </fill>
      <border outline="0">
        <left style="thin">
          <color indexed="64"/>
        </left>
      </border>
    </ndxf>
  </rcc>
  <rcc rId="8093" sId="5" odxf="1" dxf="1">
    <oc r="BJ3">
      <f>SUM(BE3:BI3)</f>
    </oc>
    <nc r="BJ3">
      <f>SUM(BE3:BI3)</f>
    </nc>
    <odxf>
      <fill>
        <patternFill>
          <bgColor theme="0" tint="-0.249977111117893"/>
        </patternFill>
      </fill>
      <border outline="0">
        <left/>
      </border>
    </odxf>
    <ndxf>
      <fill>
        <patternFill>
          <bgColor theme="0" tint="-0.14999847407452621"/>
        </patternFill>
      </fill>
      <border outline="0">
        <left style="thin">
          <color indexed="64"/>
        </left>
      </border>
    </ndxf>
  </rcc>
  <rcc rId="8094" sId="5" odxf="1" dxf="1">
    <oc r="BP3">
      <f>SUM(BK3:BO3)</f>
    </oc>
    <nc r="BP3">
      <f>SUM(BK3:BO3)</f>
    </nc>
    <odxf>
      <fill>
        <patternFill>
          <bgColor theme="0" tint="-0.249977111117893"/>
        </patternFill>
      </fill>
      <border outline="0">
        <left/>
      </border>
    </odxf>
    <ndxf>
      <fill>
        <patternFill>
          <bgColor theme="0" tint="-0.14999847407452621"/>
        </patternFill>
      </fill>
      <border outline="0">
        <left style="thin">
          <color indexed="64"/>
        </left>
      </border>
    </ndxf>
  </rcc>
  <rcc rId="8095" sId="5" odxf="1" dxf="1">
    <oc r="BV3">
      <f>SUM(BQ3:BU3)</f>
    </oc>
    <nc r="BV3">
      <f>SUM(BQ3:BU3)</f>
    </nc>
    <odxf>
      <fill>
        <patternFill>
          <bgColor theme="0" tint="-0.249977111117893"/>
        </patternFill>
      </fill>
      <border outline="0">
        <left/>
      </border>
    </odxf>
    <ndxf>
      <fill>
        <patternFill>
          <bgColor theme="0" tint="-0.14999847407452621"/>
        </patternFill>
      </fill>
      <border outline="0">
        <left style="thin">
          <color indexed="64"/>
        </left>
      </border>
    </ndxf>
  </rcc>
  <rcc rId="8096" sId="5" odxf="1" dxf="1">
    <oc r="CB3">
      <f>SUM(BW3:CA3)</f>
    </oc>
    <nc r="CB3">
      <f>SUM(BW3:CA3)</f>
    </nc>
    <odxf>
      <fill>
        <patternFill>
          <bgColor theme="0" tint="-0.249977111117893"/>
        </patternFill>
      </fill>
      <border outline="0">
        <left/>
      </border>
    </odxf>
    <ndxf>
      <fill>
        <patternFill>
          <bgColor theme="0" tint="-0.14999847407452621"/>
        </patternFill>
      </fill>
      <border outline="0">
        <left style="thin">
          <color indexed="64"/>
        </left>
      </border>
    </ndxf>
  </rcc>
  <rcc rId="8097" sId="5" odxf="1" dxf="1">
    <oc r="Z4">
      <f>SUM(U4:Y4)</f>
    </oc>
    <nc r="Z4">
      <f>SUM(U4:Y4)</f>
    </nc>
    <odxf>
      <border outline="0">
        <left/>
        <right/>
      </border>
    </odxf>
    <ndxf>
      <border outline="0">
        <left style="thin">
          <color indexed="64"/>
        </left>
        <right style="thin">
          <color indexed="64"/>
        </right>
      </border>
    </ndxf>
  </rcc>
  <rcc rId="8098" sId="5" odxf="1" dxf="1">
    <oc r="AF4">
      <f>SUM(AA4:AE4)</f>
    </oc>
    <nc r="AF4">
      <f>SUM(AA4:AE4)</f>
    </nc>
    <odxf>
      <border outline="0">
        <left/>
        <right/>
      </border>
    </odxf>
    <ndxf>
      <border outline="0">
        <left style="thin">
          <color indexed="64"/>
        </left>
        <right style="thin">
          <color indexed="64"/>
        </right>
      </border>
    </ndxf>
  </rcc>
  <rcc rId="8099" sId="5" odxf="1" dxf="1">
    <oc r="AL4">
      <f>SUM(AG4:AK4)</f>
    </oc>
    <nc r="AL4">
      <f>SUM(AG4:AK4)</f>
    </nc>
    <odxf>
      <border outline="0">
        <left/>
        <right/>
      </border>
    </odxf>
    <ndxf>
      <border outline="0">
        <left style="thin">
          <color indexed="64"/>
        </left>
        <right style="thin">
          <color indexed="64"/>
        </right>
      </border>
    </ndxf>
  </rcc>
  <rcc rId="8100" sId="5" odxf="1" dxf="1">
    <oc r="AR4">
      <f>SUM(AM4:AQ4)</f>
    </oc>
    <nc r="AR4">
      <f>SUM(AM4:AQ4)</f>
    </nc>
    <odxf>
      <fill>
        <patternFill>
          <bgColor theme="0" tint="-0.249977111117893"/>
        </patternFill>
      </fill>
      <border outline="0">
        <left/>
        <right/>
      </border>
    </odxf>
    <ndxf>
      <fill>
        <patternFill>
          <bgColor theme="0" tint="-0.14999847407452621"/>
        </patternFill>
      </fill>
      <border outline="0">
        <left style="thin">
          <color indexed="64"/>
        </left>
        <right style="thin">
          <color indexed="64"/>
        </right>
      </border>
    </ndxf>
  </rcc>
  <rcc rId="8101" sId="5" odxf="1" dxf="1">
    <oc r="AX4">
      <f>SUM(AS4:AW4)</f>
    </oc>
    <nc r="AX4">
      <f>SUM(AS4:AW4)</f>
    </nc>
    <odxf>
      <fill>
        <patternFill>
          <bgColor theme="0" tint="-0.249977111117893"/>
        </patternFill>
      </fill>
      <border outline="0">
        <left/>
        <right/>
      </border>
    </odxf>
    <ndxf>
      <fill>
        <patternFill>
          <bgColor theme="0" tint="-0.14999847407452621"/>
        </patternFill>
      </fill>
      <border outline="0">
        <left style="thin">
          <color indexed="64"/>
        </left>
        <right style="thin">
          <color indexed="64"/>
        </right>
      </border>
    </ndxf>
  </rcc>
  <rcc rId="8102" sId="5" odxf="1" dxf="1">
    <oc r="BD4">
      <f>SUM(AY4:BC4)</f>
    </oc>
    <nc r="BD4">
      <f>SUM(AY4:BC4)</f>
    </nc>
    <odxf>
      <fill>
        <patternFill>
          <bgColor theme="0" tint="-0.249977111117893"/>
        </patternFill>
      </fill>
      <border outline="0">
        <left/>
      </border>
    </odxf>
    <ndxf>
      <fill>
        <patternFill>
          <bgColor theme="0" tint="-0.14999847407452621"/>
        </patternFill>
      </fill>
      <border outline="0">
        <left style="thin">
          <color indexed="64"/>
        </left>
      </border>
    </ndxf>
  </rcc>
  <rcc rId="8103" sId="5" odxf="1" dxf="1">
    <oc r="BJ4">
      <f>SUM(BE4:BI4)</f>
    </oc>
    <nc r="BJ4">
      <f>SUM(BE4:BI4)</f>
    </nc>
    <odxf>
      <fill>
        <patternFill>
          <bgColor theme="0" tint="-0.249977111117893"/>
        </patternFill>
      </fill>
      <border outline="0">
        <left/>
      </border>
    </odxf>
    <ndxf>
      <fill>
        <patternFill>
          <bgColor theme="0" tint="-0.14999847407452621"/>
        </patternFill>
      </fill>
      <border outline="0">
        <left style="thin">
          <color indexed="64"/>
        </left>
      </border>
    </ndxf>
  </rcc>
  <rcc rId="8104" sId="5" odxf="1" dxf="1">
    <oc r="BP4">
      <f>SUM(BK4:BO4)</f>
    </oc>
    <nc r="BP4">
      <f>SUM(BK4:BO4)</f>
    </nc>
    <odxf>
      <fill>
        <patternFill>
          <bgColor theme="0" tint="-0.249977111117893"/>
        </patternFill>
      </fill>
      <border outline="0">
        <left/>
      </border>
    </odxf>
    <ndxf>
      <fill>
        <patternFill>
          <bgColor theme="0" tint="-0.14999847407452621"/>
        </patternFill>
      </fill>
      <border outline="0">
        <left style="thin">
          <color indexed="64"/>
        </left>
      </border>
    </ndxf>
  </rcc>
  <rcc rId="8105" sId="5" odxf="1" dxf="1">
    <oc r="BV4">
      <f>SUM(BQ4:BU4)</f>
    </oc>
    <nc r="BV4">
      <f>SUM(BQ4:BU4)</f>
    </nc>
    <odxf>
      <fill>
        <patternFill>
          <bgColor theme="0" tint="-0.249977111117893"/>
        </patternFill>
      </fill>
      <border outline="0">
        <left/>
      </border>
    </odxf>
    <ndxf>
      <fill>
        <patternFill>
          <bgColor theme="0" tint="-0.14999847407452621"/>
        </patternFill>
      </fill>
      <border outline="0">
        <left style="thin">
          <color indexed="64"/>
        </left>
      </border>
    </ndxf>
  </rcc>
  <rcc rId="8106" sId="5" odxf="1" dxf="1">
    <oc r="CB4">
      <f>SUM(BW4:CA4)</f>
    </oc>
    <nc r="CB4">
      <f>SUM(BW4:CA4)</f>
    </nc>
    <odxf>
      <fill>
        <patternFill>
          <bgColor theme="0" tint="-0.249977111117893"/>
        </patternFill>
      </fill>
      <border outline="0">
        <left/>
      </border>
    </odxf>
    <ndxf>
      <fill>
        <patternFill>
          <bgColor theme="0" tint="-0.14999847407452621"/>
        </patternFill>
      </fill>
      <border outline="0">
        <left style="thin">
          <color indexed="64"/>
        </left>
      </border>
    </ndxf>
  </rcc>
  <rcc rId="8107" sId="5" odxf="1" dxf="1">
    <oc r="Z5">
      <f>SUM(U5:Y5)</f>
    </oc>
    <nc r="Z5">
      <f>SUM(U5:Y5)</f>
    </nc>
    <odxf>
      <border outline="0">
        <left/>
        <right/>
      </border>
    </odxf>
    <ndxf>
      <border outline="0">
        <left style="thin">
          <color indexed="64"/>
        </left>
        <right style="thin">
          <color indexed="64"/>
        </right>
      </border>
    </ndxf>
  </rcc>
  <rcc rId="8108" sId="5" odxf="1" dxf="1">
    <oc r="AF5">
      <f>SUM(AA5:AE5)</f>
    </oc>
    <nc r="AF5">
      <f>SUM(AA5:AE5)</f>
    </nc>
    <odxf>
      <border outline="0">
        <left/>
        <right/>
      </border>
    </odxf>
    <ndxf>
      <border outline="0">
        <left style="thin">
          <color indexed="64"/>
        </left>
        <right style="thin">
          <color indexed="64"/>
        </right>
      </border>
    </ndxf>
  </rcc>
  <rcc rId="8109" sId="5" odxf="1" dxf="1">
    <oc r="AL5">
      <f>SUM(AG5:AK5)</f>
    </oc>
    <nc r="AL5">
      <f>SUM(AG5:AK5)</f>
    </nc>
    <odxf>
      <border outline="0">
        <left/>
        <right/>
      </border>
    </odxf>
    <ndxf>
      <border outline="0">
        <left style="thin">
          <color indexed="64"/>
        </left>
        <right style="thin">
          <color indexed="64"/>
        </right>
      </border>
    </ndxf>
  </rcc>
  <rcc rId="8110" sId="5" odxf="1" dxf="1">
    <oc r="AR5">
      <f>SUM(AM5:AQ5)</f>
    </oc>
    <nc r="AR5">
      <f>SUM(AM5:AQ5)</f>
    </nc>
    <odxf>
      <fill>
        <patternFill>
          <bgColor theme="0" tint="-0.249977111117893"/>
        </patternFill>
      </fill>
      <border outline="0">
        <left/>
        <right/>
      </border>
    </odxf>
    <ndxf>
      <fill>
        <patternFill>
          <bgColor theme="0" tint="-0.14999847407452621"/>
        </patternFill>
      </fill>
      <border outline="0">
        <left style="thin">
          <color indexed="64"/>
        </left>
        <right style="thin">
          <color indexed="64"/>
        </right>
      </border>
    </ndxf>
  </rcc>
  <rcc rId="8111" sId="5" odxf="1" dxf="1">
    <oc r="AX5">
      <f>SUM(AS5:AW5)</f>
    </oc>
    <nc r="AX5">
      <f>SUM(AS5:AW5)</f>
    </nc>
    <odxf>
      <fill>
        <patternFill>
          <bgColor theme="0" tint="-0.249977111117893"/>
        </patternFill>
      </fill>
      <border outline="0">
        <left/>
        <right/>
      </border>
    </odxf>
    <ndxf>
      <fill>
        <patternFill>
          <bgColor theme="0" tint="-0.14999847407452621"/>
        </patternFill>
      </fill>
      <border outline="0">
        <left style="thin">
          <color indexed="64"/>
        </left>
        <right style="thin">
          <color indexed="64"/>
        </right>
      </border>
    </ndxf>
  </rcc>
  <rcc rId="8112" sId="5" odxf="1" dxf="1">
    <oc r="BD5">
      <f>SUM(AY5:BC5)</f>
    </oc>
    <nc r="BD5">
      <f>SUM(AY5:BC5)</f>
    </nc>
    <odxf>
      <fill>
        <patternFill>
          <bgColor theme="0" tint="-0.249977111117893"/>
        </patternFill>
      </fill>
      <border outline="0">
        <left/>
      </border>
    </odxf>
    <ndxf>
      <fill>
        <patternFill>
          <bgColor theme="0" tint="-0.14999847407452621"/>
        </patternFill>
      </fill>
      <border outline="0">
        <left style="thin">
          <color indexed="64"/>
        </left>
      </border>
    </ndxf>
  </rcc>
  <rcc rId="8113" sId="5" odxf="1" dxf="1">
    <oc r="BJ5">
      <f>SUM(BE5:BI5)</f>
    </oc>
    <nc r="BJ5">
      <f>SUM(BE5:BI5)</f>
    </nc>
    <odxf>
      <fill>
        <patternFill>
          <bgColor theme="0" tint="-0.249977111117893"/>
        </patternFill>
      </fill>
      <border outline="0">
        <left/>
      </border>
    </odxf>
    <ndxf>
      <fill>
        <patternFill>
          <bgColor theme="0" tint="-0.14999847407452621"/>
        </patternFill>
      </fill>
      <border outline="0">
        <left style="thin">
          <color indexed="64"/>
        </left>
      </border>
    </ndxf>
  </rcc>
  <rcc rId="8114" sId="5" odxf="1" dxf="1">
    <oc r="BP5">
      <f>SUM(BK5:BO5)</f>
    </oc>
    <nc r="BP5">
      <f>SUM(BK5:BO5)</f>
    </nc>
    <odxf>
      <fill>
        <patternFill>
          <bgColor theme="0" tint="-0.249977111117893"/>
        </patternFill>
      </fill>
      <border outline="0">
        <left/>
      </border>
    </odxf>
    <ndxf>
      <fill>
        <patternFill>
          <bgColor theme="0" tint="-0.14999847407452621"/>
        </patternFill>
      </fill>
      <border outline="0">
        <left style="thin">
          <color indexed="64"/>
        </left>
      </border>
    </ndxf>
  </rcc>
  <rcc rId="8115" sId="5" odxf="1" dxf="1">
    <oc r="BV5">
      <f>SUM(BQ5:BU5)</f>
    </oc>
    <nc r="BV5">
      <f>SUM(BQ5:BU5)</f>
    </nc>
    <odxf>
      <fill>
        <patternFill>
          <bgColor theme="0" tint="-0.249977111117893"/>
        </patternFill>
      </fill>
      <border outline="0">
        <left/>
      </border>
    </odxf>
    <ndxf>
      <fill>
        <patternFill>
          <bgColor theme="0" tint="-0.14999847407452621"/>
        </patternFill>
      </fill>
      <border outline="0">
        <left style="thin">
          <color indexed="64"/>
        </left>
      </border>
    </ndxf>
  </rcc>
  <rcc rId="8116" sId="5" odxf="1" dxf="1">
    <oc r="CB5">
      <f>SUM(BW5:CA5)</f>
    </oc>
    <nc r="CB5">
      <f>SUM(BW5:CA5)</f>
    </nc>
    <odxf>
      <fill>
        <patternFill>
          <bgColor theme="0" tint="-0.249977111117893"/>
        </patternFill>
      </fill>
      <border outline="0">
        <left/>
      </border>
    </odxf>
    <ndxf>
      <fill>
        <patternFill>
          <bgColor theme="0" tint="-0.14999847407452621"/>
        </patternFill>
      </fill>
      <border outline="0">
        <left style="thin">
          <color indexed="64"/>
        </left>
      </border>
    </ndxf>
  </rcc>
  <rcc rId="8117" sId="5" odxf="1" dxf="1">
    <oc r="Z6">
      <f>SUM(U6:Y6)</f>
    </oc>
    <nc r="Z6">
      <f>SUM(U6:Y6)</f>
    </nc>
    <odxf>
      <border outline="0">
        <left/>
        <right/>
      </border>
    </odxf>
    <ndxf>
      <border outline="0">
        <left style="thin">
          <color indexed="64"/>
        </left>
        <right style="thin">
          <color indexed="64"/>
        </right>
      </border>
    </ndxf>
  </rcc>
  <rcc rId="8118" sId="5" odxf="1" dxf="1">
    <oc r="AF6">
      <f>SUM(AA6:AE6)</f>
    </oc>
    <nc r="AF6">
      <f>SUM(AA6:AE6)</f>
    </nc>
    <odxf>
      <border outline="0">
        <left/>
        <right/>
      </border>
    </odxf>
    <ndxf>
      <border outline="0">
        <left style="thin">
          <color indexed="64"/>
        </left>
        <right style="thin">
          <color indexed="64"/>
        </right>
      </border>
    </ndxf>
  </rcc>
  <rcc rId="8119" sId="5" odxf="1" dxf="1">
    <oc r="AL6">
      <f>SUM(AG6:AK6)</f>
    </oc>
    <nc r="AL6">
      <f>SUM(AG6:AK6)</f>
    </nc>
    <odxf>
      <border outline="0">
        <left/>
        <right/>
      </border>
    </odxf>
    <ndxf>
      <border outline="0">
        <left style="thin">
          <color indexed="64"/>
        </left>
        <right style="thin">
          <color indexed="64"/>
        </right>
      </border>
    </ndxf>
  </rcc>
  <rcc rId="8120" sId="5" odxf="1" dxf="1">
    <oc r="AR6">
      <f>SUM(AM6:AQ6)</f>
    </oc>
    <nc r="AR6">
      <f>SUM(AM6:AQ6)</f>
    </nc>
    <odxf>
      <fill>
        <patternFill>
          <bgColor theme="0" tint="-0.249977111117893"/>
        </patternFill>
      </fill>
      <border outline="0">
        <left/>
        <right/>
      </border>
    </odxf>
    <ndxf>
      <fill>
        <patternFill>
          <bgColor theme="0" tint="-0.14999847407452621"/>
        </patternFill>
      </fill>
      <border outline="0">
        <left style="thin">
          <color indexed="64"/>
        </left>
        <right style="thin">
          <color indexed="64"/>
        </right>
      </border>
    </ndxf>
  </rcc>
  <rcc rId="8121" sId="5" odxf="1" dxf="1">
    <oc r="AX6">
      <f>SUM(AS6:AW6)</f>
    </oc>
    <nc r="AX6">
      <f>SUM(AS6:AW6)</f>
    </nc>
    <odxf>
      <fill>
        <patternFill>
          <bgColor theme="0" tint="-0.249977111117893"/>
        </patternFill>
      </fill>
      <border outline="0">
        <left/>
        <right/>
      </border>
    </odxf>
    <ndxf>
      <fill>
        <patternFill>
          <bgColor theme="0" tint="-0.14999847407452621"/>
        </patternFill>
      </fill>
      <border outline="0">
        <left style="thin">
          <color indexed="64"/>
        </left>
        <right style="thin">
          <color indexed="64"/>
        </right>
      </border>
    </ndxf>
  </rcc>
  <rcc rId="8122" sId="5" odxf="1" dxf="1">
    <oc r="BD6">
      <f>SUM(AY6:BC6)</f>
    </oc>
    <nc r="BD6">
      <f>SUM(AY6:BC6)</f>
    </nc>
    <odxf>
      <fill>
        <patternFill>
          <bgColor theme="0" tint="-0.249977111117893"/>
        </patternFill>
      </fill>
      <border outline="0">
        <left/>
      </border>
    </odxf>
    <ndxf>
      <fill>
        <patternFill>
          <bgColor theme="0" tint="-0.14999847407452621"/>
        </patternFill>
      </fill>
      <border outline="0">
        <left style="thin">
          <color indexed="64"/>
        </left>
      </border>
    </ndxf>
  </rcc>
  <rcc rId="8123" sId="5" odxf="1" dxf="1">
    <oc r="BJ6">
      <f>SUM(BE6:BI6)</f>
    </oc>
    <nc r="BJ6">
      <f>SUM(BE6:BI6)</f>
    </nc>
    <odxf>
      <fill>
        <patternFill>
          <bgColor theme="0" tint="-0.249977111117893"/>
        </patternFill>
      </fill>
      <border outline="0">
        <left/>
      </border>
    </odxf>
    <ndxf>
      <fill>
        <patternFill>
          <bgColor theme="0" tint="-0.14999847407452621"/>
        </patternFill>
      </fill>
      <border outline="0">
        <left style="thin">
          <color indexed="64"/>
        </left>
      </border>
    </ndxf>
  </rcc>
  <rcc rId="8124" sId="5" odxf="1" dxf="1">
    <oc r="BP6">
      <f>SUM(BK6:BO6)</f>
    </oc>
    <nc r="BP6">
      <f>SUM(BK6:BO6)</f>
    </nc>
    <odxf>
      <fill>
        <patternFill>
          <bgColor theme="0" tint="-0.249977111117893"/>
        </patternFill>
      </fill>
      <border outline="0">
        <left/>
      </border>
    </odxf>
    <ndxf>
      <fill>
        <patternFill>
          <bgColor theme="0" tint="-0.14999847407452621"/>
        </patternFill>
      </fill>
      <border outline="0">
        <left style="thin">
          <color indexed="64"/>
        </left>
      </border>
    </ndxf>
  </rcc>
  <rcc rId="8125" sId="5" odxf="1" dxf="1">
    <oc r="BV6">
      <f>SUM(BQ6:BU6)</f>
    </oc>
    <nc r="BV6">
      <f>SUM(BQ6:BU6)</f>
    </nc>
    <odxf>
      <fill>
        <patternFill>
          <bgColor theme="0" tint="-0.249977111117893"/>
        </patternFill>
      </fill>
      <border outline="0">
        <left/>
      </border>
    </odxf>
    <ndxf>
      <fill>
        <patternFill>
          <bgColor theme="0" tint="-0.14999847407452621"/>
        </patternFill>
      </fill>
      <border outline="0">
        <left style="thin">
          <color indexed="64"/>
        </left>
      </border>
    </ndxf>
  </rcc>
  <rcc rId="8126" sId="5" odxf="1" dxf="1">
    <oc r="CB6">
      <f>SUM(BW6:CA6)</f>
    </oc>
    <nc r="CB6">
      <f>SUM(BW6:CA6)</f>
    </nc>
    <odxf>
      <fill>
        <patternFill>
          <bgColor theme="0" tint="-0.249977111117893"/>
        </patternFill>
      </fill>
      <border outline="0">
        <left/>
      </border>
    </odxf>
    <ndxf>
      <fill>
        <patternFill>
          <bgColor theme="0" tint="-0.14999847407452621"/>
        </patternFill>
      </fill>
      <border outline="0">
        <left style="thin">
          <color indexed="64"/>
        </left>
      </border>
    </ndxf>
  </rcc>
  <rcc rId="8127" sId="5" odxf="1" dxf="1">
    <oc r="Z7">
      <f>SUM(U7:Y7)</f>
    </oc>
    <nc r="Z7">
      <f>SUM(U7:Y7)</f>
    </nc>
    <odxf>
      <border outline="0">
        <left/>
        <right/>
      </border>
    </odxf>
    <ndxf>
      <border outline="0">
        <left style="thin">
          <color indexed="64"/>
        </left>
        <right style="thin">
          <color indexed="64"/>
        </right>
      </border>
    </ndxf>
  </rcc>
  <rcc rId="8128" sId="5" odxf="1" dxf="1">
    <oc r="AF7">
      <f>SUM(AA7:AE7)</f>
    </oc>
    <nc r="AF7">
      <f>SUM(AA7:AE7)</f>
    </nc>
    <odxf>
      <border outline="0">
        <left/>
        <right/>
      </border>
    </odxf>
    <ndxf>
      <border outline="0">
        <left style="thin">
          <color indexed="64"/>
        </left>
        <right style="thin">
          <color indexed="64"/>
        </right>
      </border>
    </ndxf>
  </rcc>
  <rcc rId="8129" sId="5" odxf="1" dxf="1">
    <oc r="AL7">
      <f>SUM(AG7:AK7)</f>
    </oc>
    <nc r="AL7">
      <f>SUM(AG7:AK7)</f>
    </nc>
    <odxf>
      <border outline="0">
        <left/>
        <right/>
      </border>
    </odxf>
    <ndxf>
      <border outline="0">
        <left style="thin">
          <color indexed="64"/>
        </left>
        <right style="thin">
          <color indexed="64"/>
        </right>
      </border>
    </ndxf>
  </rcc>
  <rcc rId="8130" sId="5" odxf="1" dxf="1">
    <oc r="AR7">
      <f>SUM(AM7:AQ7)</f>
    </oc>
    <nc r="AR7">
      <f>SUM(AM7:AQ7)</f>
    </nc>
    <odxf>
      <fill>
        <patternFill>
          <bgColor theme="0" tint="-0.249977111117893"/>
        </patternFill>
      </fill>
      <border outline="0">
        <left/>
        <right/>
      </border>
    </odxf>
    <ndxf>
      <fill>
        <patternFill>
          <bgColor theme="0" tint="-0.14999847407452621"/>
        </patternFill>
      </fill>
      <border outline="0">
        <left style="thin">
          <color indexed="64"/>
        </left>
        <right style="thin">
          <color indexed="64"/>
        </right>
      </border>
    </ndxf>
  </rcc>
  <rcc rId="8131" sId="5" odxf="1" dxf="1">
    <oc r="AX7">
      <f>SUM(AS7:AW7)</f>
    </oc>
    <nc r="AX7">
      <f>SUM(AS7:AW7)</f>
    </nc>
    <odxf>
      <fill>
        <patternFill>
          <bgColor theme="0" tint="-0.249977111117893"/>
        </patternFill>
      </fill>
      <border outline="0">
        <left/>
        <right/>
      </border>
    </odxf>
    <ndxf>
      <fill>
        <patternFill>
          <bgColor theme="0" tint="-0.14999847407452621"/>
        </patternFill>
      </fill>
      <border outline="0">
        <left style="thin">
          <color indexed="64"/>
        </left>
        <right style="thin">
          <color indexed="64"/>
        </right>
      </border>
    </ndxf>
  </rcc>
  <rcc rId="8132" sId="5" odxf="1" dxf="1">
    <oc r="BD7">
      <f>SUM(AY7:BC7)</f>
    </oc>
    <nc r="BD7">
      <f>SUM(AY7:BC7)</f>
    </nc>
    <odxf>
      <fill>
        <patternFill>
          <bgColor theme="0" tint="-0.249977111117893"/>
        </patternFill>
      </fill>
      <border outline="0">
        <left/>
      </border>
    </odxf>
    <ndxf>
      <fill>
        <patternFill>
          <bgColor theme="0" tint="-0.14999847407452621"/>
        </patternFill>
      </fill>
      <border outline="0">
        <left style="thin">
          <color indexed="64"/>
        </left>
      </border>
    </ndxf>
  </rcc>
  <rcc rId="8133" sId="5" odxf="1" dxf="1">
    <oc r="BJ7">
      <f>SUM(BE7:BI7)</f>
    </oc>
    <nc r="BJ7">
      <f>SUM(BE7:BI7)</f>
    </nc>
    <odxf>
      <fill>
        <patternFill>
          <bgColor theme="0" tint="-0.249977111117893"/>
        </patternFill>
      </fill>
      <border outline="0">
        <left/>
      </border>
    </odxf>
    <ndxf>
      <fill>
        <patternFill>
          <bgColor theme="0" tint="-0.14999847407452621"/>
        </patternFill>
      </fill>
      <border outline="0">
        <left style="thin">
          <color indexed="64"/>
        </left>
      </border>
    </ndxf>
  </rcc>
  <rcc rId="8134" sId="5" odxf="1" dxf="1">
    <oc r="BP7">
      <f>SUM(BK7:BO7)</f>
    </oc>
    <nc r="BP7">
      <f>SUM(BK7:BO7)</f>
    </nc>
    <odxf>
      <fill>
        <patternFill>
          <bgColor theme="0" tint="-0.249977111117893"/>
        </patternFill>
      </fill>
      <border outline="0">
        <left/>
      </border>
    </odxf>
    <ndxf>
      <fill>
        <patternFill>
          <bgColor theme="0" tint="-0.14999847407452621"/>
        </patternFill>
      </fill>
      <border outline="0">
        <left style="thin">
          <color indexed="64"/>
        </left>
      </border>
    </ndxf>
  </rcc>
  <rcc rId="8135" sId="5" odxf="1" dxf="1">
    <oc r="BV7">
      <f>SUM(BQ7:BU7)</f>
    </oc>
    <nc r="BV7">
      <f>SUM(BQ7:BU7)</f>
    </nc>
    <odxf>
      <fill>
        <patternFill>
          <bgColor theme="0" tint="-0.249977111117893"/>
        </patternFill>
      </fill>
      <border outline="0">
        <left/>
      </border>
    </odxf>
    <ndxf>
      <fill>
        <patternFill>
          <bgColor theme="0" tint="-0.14999847407452621"/>
        </patternFill>
      </fill>
      <border outline="0">
        <left style="thin">
          <color indexed="64"/>
        </left>
      </border>
    </ndxf>
  </rcc>
  <rcc rId="8136" sId="5" odxf="1" dxf="1">
    <oc r="CB7">
      <f>SUM(BW7:CA7)</f>
    </oc>
    <nc r="CB7">
      <f>SUM(BW7:CA7)</f>
    </nc>
    <odxf>
      <fill>
        <patternFill>
          <bgColor theme="0" tint="-0.249977111117893"/>
        </patternFill>
      </fill>
      <border outline="0">
        <left/>
      </border>
    </odxf>
    <ndxf>
      <fill>
        <patternFill>
          <bgColor theme="0" tint="-0.14999847407452621"/>
        </patternFill>
      </fill>
      <border outline="0">
        <left style="thin">
          <color indexed="64"/>
        </left>
      </border>
    </ndxf>
  </rcc>
  <rcc rId="8137" sId="5" odxf="1" dxf="1">
    <oc r="Z8">
      <f>SUM(U8:Y8)</f>
    </oc>
    <nc r="Z8">
      <f>SUM(U8:Y8)</f>
    </nc>
    <odxf>
      <border outline="0">
        <left/>
        <right/>
      </border>
    </odxf>
    <ndxf>
      <border outline="0">
        <left style="thin">
          <color indexed="64"/>
        </left>
        <right style="thin">
          <color indexed="64"/>
        </right>
      </border>
    </ndxf>
  </rcc>
  <rcc rId="8138" sId="5" odxf="1" dxf="1">
    <oc r="AF8">
      <f>SUM(AA8:AE8)</f>
    </oc>
    <nc r="AF8">
      <f>SUM(AA8:AE8)</f>
    </nc>
    <odxf>
      <border outline="0">
        <left/>
        <right/>
      </border>
    </odxf>
    <ndxf>
      <border outline="0">
        <left style="thin">
          <color indexed="64"/>
        </left>
        <right style="thin">
          <color indexed="64"/>
        </right>
      </border>
    </ndxf>
  </rcc>
  <rcc rId="8139" sId="5" odxf="1" dxf="1">
    <oc r="AL8">
      <f>SUM(AG8:AK8)</f>
    </oc>
    <nc r="AL8">
      <f>SUM(AG8:AK8)</f>
    </nc>
    <odxf>
      <border outline="0">
        <left/>
        <right/>
      </border>
    </odxf>
    <ndxf>
      <border outline="0">
        <left style="thin">
          <color indexed="64"/>
        </left>
        <right style="thin">
          <color indexed="64"/>
        </right>
      </border>
    </ndxf>
  </rcc>
  <rcc rId="8140" sId="5" odxf="1" dxf="1">
    <oc r="AR8">
      <f>SUM(AM8:AQ8)</f>
    </oc>
    <nc r="AR8">
      <f>SUM(AM8:AQ8)</f>
    </nc>
    <odxf>
      <fill>
        <patternFill>
          <bgColor theme="0" tint="-0.249977111117893"/>
        </patternFill>
      </fill>
      <border outline="0">
        <left/>
        <right/>
      </border>
    </odxf>
    <ndxf>
      <fill>
        <patternFill>
          <bgColor theme="0" tint="-0.14999847407452621"/>
        </patternFill>
      </fill>
      <border outline="0">
        <left style="thin">
          <color indexed="64"/>
        </left>
        <right style="thin">
          <color indexed="64"/>
        </right>
      </border>
    </ndxf>
  </rcc>
  <rcc rId="8141" sId="5" odxf="1" dxf="1">
    <oc r="AX8">
      <f>SUM(AS8:AW8)</f>
    </oc>
    <nc r="AX8">
      <f>SUM(AS8:AW8)</f>
    </nc>
    <odxf>
      <fill>
        <patternFill>
          <bgColor theme="0" tint="-0.249977111117893"/>
        </patternFill>
      </fill>
      <border outline="0">
        <left/>
        <right/>
      </border>
    </odxf>
    <ndxf>
      <fill>
        <patternFill>
          <bgColor theme="0" tint="-0.14999847407452621"/>
        </patternFill>
      </fill>
      <border outline="0">
        <left style="thin">
          <color indexed="64"/>
        </left>
        <right style="thin">
          <color indexed="64"/>
        </right>
      </border>
    </ndxf>
  </rcc>
  <rcc rId="8142" sId="5" odxf="1" dxf="1">
    <oc r="BD8">
      <f>SUM(AY8:BC8)</f>
    </oc>
    <nc r="BD8">
      <f>SUM(AY8:BC8)</f>
    </nc>
    <odxf>
      <fill>
        <patternFill>
          <bgColor theme="0" tint="-0.249977111117893"/>
        </patternFill>
      </fill>
      <border outline="0">
        <left/>
      </border>
    </odxf>
    <ndxf>
      <fill>
        <patternFill>
          <bgColor theme="0" tint="-0.14999847407452621"/>
        </patternFill>
      </fill>
      <border outline="0">
        <left style="thin">
          <color indexed="64"/>
        </left>
      </border>
    </ndxf>
  </rcc>
  <rcc rId="8143" sId="5" odxf="1" dxf="1">
    <oc r="BJ8">
      <f>SUM(BE8:BI8)</f>
    </oc>
    <nc r="BJ8">
      <f>SUM(BE8:BI8)</f>
    </nc>
    <odxf>
      <fill>
        <patternFill>
          <bgColor theme="0" tint="-0.249977111117893"/>
        </patternFill>
      </fill>
      <border outline="0">
        <left/>
      </border>
    </odxf>
    <ndxf>
      <fill>
        <patternFill>
          <bgColor theme="0" tint="-0.14999847407452621"/>
        </patternFill>
      </fill>
      <border outline="0">
        <left style="thin">
          <color indexed="64"/>
        </left>
      </border>
    </ndxf>
  </rcc>
  <rcc rId="8144" sId="5" odxf="1" dxf="1">
    <oc r="BP8">
      <f>SUM(BK8:BO8)</f>
    </oc>
    <nc r="BP8">
      <f>SUM(BK8:BO8)</f>
    </nc>
    <odxf>
      <fill>
        <patternFill>
          <bgColor theme="0" tint="-0.249977111117893"/>
        </patternFill>
      </fill>
      <border outline="0">
        <left/>
      </border>
    </odxf>
    <ndxf>
      <fill>
        <patternFill>
          <bgColor theme="0" tint="-0.14999847407452621"/>
        </patternFill>
      </fill>
      <border outline="0">
        <left style="thin">
          <color indexed="64"/>
        </left>
      </border>
    </ndxf>
  </rcc>
  <rcc rId="8145" sId="5" odxf="1" dxf="1">
    <oc r="BV8">
      <f>SUM(BQ8:BU8)</f>
    </oc>
    <nc r="BV8">
      <f>SUM(BQ8:BU8)</f>
    </nc>
    <odxf>
      <fill>
        <patternFill>
          <bgColor theme="0" tint="-0.249977111117893"/>
        </patternFill>
      </fill>
      <border outline="0">
        <left/>
      </border>
    </odxf>
    <ndxf>
      <fill>
        <patternFill>
          <bgColor theme="0" tint="-0.14999847407452621"/>
        </patternFill>
      </fill>
      <border outline="0">
        <left style="thin">
          <color indexed="64"/>
        </left>
      </border>
    </ndxf>
  </rcc>
  <rcc rId="8146" sId="5" odxf="1" dxf="1">
    <oc r="CB8">
      <f>SUM(BW8:CA8)</f>
    </oc>
    <nc r="CB8">
      <f>SUM(BW8:CA8)</f>
    </nc>
    <odxf>
      <fill>
        <patternFill>
          <bgColor theme="0" tint="-0.249977111117893"/>
        </patternFill>
      </fill>
      <border outline="0">
        <left/>
      </border>
    </odxf>
    <ndxf>
      <fill>
        <patternFill>
          <bgColor theme="0" tint="-0.14999847407452621"/>
        </patternFill>
      </fill>
      <border outline="0">
        <left style="thin">
          <color indexed="64"/>
        </left>
      </border>
    </ndxf>
  </rcc>
  <rcc rId="8147" sId="5" odxf="1" dxf="1">
    <oc r="Z9">
      <f>SUM(U9:Y9)</f>
    </oc>
    <nc r="Z9">
      <f>SUM(U9:Y9)</f>
    </nc>
    <odxf>
      <border outline="0">
        <left/>
        <right/>
      </border>
    </odxf>
    <ndxf>
      <border outline="0">
        <left style="thin">
          <color indexed="64"/>
        </left>
        <right style="thin">
          <color indexed="64"/>
        </right>
      </border>
    </ndxf>
  </rcc>
  <rcc rId="8148" sId="5" odxf="1" dxf="1">
    <oc r="AF9">
      <f>SUM(AA9:AE9)</f>
    </oc>
    <nc r="AF9">
      <f>SUM(AA9:AE9)</f>
    </nc>
    <odxf>
      <border outline="0">
        <left/>
        <right/>
      </border>
    </odxf>
    <ndxf>
      <border outline="0">
        <left style="thin">
          <color indexed="64"/>
        </left>
        <right style="thin">
          <color indexed="64"/>
        </right>
      </border>
    </ndxf>
  </rcc>
  <rcc rId="8149" sId="5" odxf="1" dxf="1">
    <oc r="AL9">
      <f>SUM(AG9:AK9)</f>
    </oc>
    <nc r="AL9">
      <f>SUM(AG9:AK9)</f>
    </nc>
    <odxf>
      <border outline="0">
        <left/>
        <right/>
      </border>
    </odxf>
    <ndxf>
      <border outline="0">
        <left style="thin">
          <color indexed="64"/>
        </left>
        <right style="thin">
          <color indexed="64"/>
        </right>
      </border>
    </ndxf>
  </rcc>
  <rcc rId="8150" sId="5" odxf="1" dxf="1">
    <oc r="AR9">
      <f>SUM(AM9:AQ9)</f>
    </oc>
    <nc r="AR9">
      <f>SUM(AM9:AQ9)</f>
    </nc>
    <odxf>
      <fill>
        <patternFill>
          <bgColor theme="0" tint="-0.249977111117893"/>
        </patternFill>
      </fill>
      <border outline="0">
        <left/>
        <right/>
      </border>
    </odxf>
    <ndxf>
      <fill>
        <patternFill>
          <bgColor theme="0" tint="-0.14999847407452621"/>
        </patternFill>
      </fill>
      <border outline="0">
        <left style="thin">
          <color indexed="64"/>
        </left>
        <right style="thin">
          <color indexed="64"/>
        </right>
      </border>
    </ndxf>
  </rcc>
  <rcc rId="8151" sId="5" odxf="1" dxf="1">
    <oc r="AX9">
      <f>SUM(AS9:AW9)</f>
    </oc>
    <nc r="AX9">
      <f>SUM(AS9:AW9)</f>
    </nc>
    <odxf>
      <fill>
        <patternFill>
          <bgColor theme="0" tint="-0.249977111117893"/>
        </patternFill>
      </fill>
      <border outline="0">
        <left/>
        <right/>
      </border>
    </odxf>
    <ndxf>
      <fill>
        <patternFill>
          <bgColor theme="0" tint="-0.14999847407452621"/>
        </patternFill>
      </fill>
      <border outline="0">
        <left style="thin">
          <color indexed="64"/>
        </left>
        <right style="thin">
          <color indexed="64"/>
        </right>
      </border>
    </ndxf>
  </rcc>
  <rcc rId="8152" sId="5" odxf="1" dxf="1">
    <oc r="BD9">
      <f>SUM(AY9:BC9)</f>
    </oc>
    <nc r="BD9">
      <f>SUM(AY9:BC9)</f>
    </nc>
    <odxf>
      <fill>
        <patternFill>
          <bgColor theme="0" tint="-0.249977111117893"/>
        </patternFill>
      </fill>
      <border outline="0">
        <left/>
      </border>
    </odxf>
    <ndxf>
      <fill>
        <patternFill>
          <bgColor theme="0" tint="-0.14999847407452621"/>
        </patternFill>
      </fill>
      <border outline="0">
        <left style="thin">
          <color indexed="64"/>
        </left>
      </border>
    </ndxf>
  </rcc>
  <rcc rId="8153" sId="5" odxf="1" dxf="1">
    <oc r="BJ9">
      <f>SUM(BE9:BI9)</f>
    </oc>
    <nc r="BJ9">
      <f>SUM(BE9:BI9)</f>
    </nc>
    <odxf>
      <fill>
        <patternFill>
          <bgColor theme="0" tint="-0.249977111117893"/>
        </patternFill>
      </fill>
      <border outline="0">
        <left/>
      </border>
    </odxf>
    <ndxf>
      <fill>
        <patternFill>
          <bgColor theme="0" tint="-0.14999847407452621"/>
        </patternFill>
      </fill>
      <border outline="0">
        <left style="thin">
          <color indexed="64"/>
        </left>
      </border>
    </ndxf>
  </rcc>
  <rcc rId="8154" sId="5" odxf="1" dxf="1">
    <oc r="BP9">
      <f>SUM(BK9:BO9)</f>
    </oc>
    <nc r="BP9">
      <f>SUM(BK9:BO9)</f>
    </nc>
    <odxf>
      <fill>
        <patternFill>
          <bgColor theme="0" tint="-0.249977111117893"/>
        </patternFill>
      </fill>
      <border outline="0">
        <left/>
      </border>
    </odxf>
    <ndxf>
      <fill>
        <patternFill>
          <bgColor theme="0" tint="-0.14999847407452621"/>
        </patternFill>
      </fill>
      <border outline="0">
        <left style="thin">
          <color indexed="64"/>
        </left>
      </border>
    </ndxf>
  </rcc>
  <rcc rId="8155" sId="5" odxf="1" dxf="1">
    <oc r="BV9">
      <f>SUM(BQ9:BU9)</f>
    </oc>
    <nc r="BV9">
      <f>SUM(BQ9:BU9)</f>
    </nc>
    <odxf>
      <fill>
        <patternFill>
          <bgColor theme="0" tint="-0.249977111117893"/>
        </patternFill>
      </fill>
      <border outline="0">
        <left/>
      </border>
    </odxf>
    <ndxf>
      <fill>
        <patternFill>
          <bgColor theme="0" tint="-0.14999847407452621"/>
        </patternFill>
      </fill>
      <border outline="0">
        <left style="thin">
          <color indexed="64"/>
        </left>
      </border>
    </ndxf>
  </rcc>
  <rcc rId="8156" sId="5" odxf="1" dxf="1">
    <oc r="CB9">
      <f>SUM(BW9:CA9)</f>
    </oc>
    <nc r="CB9">
      <f>SUM(BW9:CA9)</f>
    </nc>
    <odxf>
      <fill>
        <patternFill>
          <bgColor theme="0" tint="-0.249977111117893"/>
        </patternFill>
      </fill>
      <border outline="0">
        <left/>
      </border>
    </odxf>
    <ndxf>
      <fill>
        <patternFill>
          <bgColor theme="0" tint="-0.14999847407452621"/>
        </patternFill>
      </fill>
      <border outline="0">
        <left style="thin">
          <color indexed="64"/>
        </left>
      </border>
    </ndxf>
  </rcc>
  <rcc rId="8157" sId="5" odxf="1" dxf="1">
    <oc r="Z10">
      <f>SUM(U10:Y10)</f>
    </oc>
    <nc r="Z10">
      <f>SUM(U10:Y10)</f>
    </nc>
    <odxf>
      <border outline="0">
        <left/>
        <right/>
      </border>
    </odxf>
    <ndxf>
      <border outline="0">
        <left style="thin">
          <color indexed="64"/>
        </left>
        <right style="thin">
          <color indexed="64"/>
        </right>
      </border>
    </ndxf>
  </rcc>
  <rcc rId="8158" sId="5" odxf="1" dxf="1">
    <oc r="AF10">
      <f>SUM(AA10:AE10)</f>
    </oc>
    <nc r="AF10">
      <f>SUM(AA10:AE10)</f>
    </nc>
    <odxf>
      <border outline="0">
        <left/>
        <right/>
      </border>
    </odxf>
    <ndxf>
      <border outline="0">
        <left style="thin">
          <color indexed="64"/>
        </left>
        <right style="thin">
          <color indexed="64"/>
        </right>
      </border>
    </ndxf>
  </rcc>
  <rcc rId="8159" sId="5" odxf="1" dxf="1">
    <oc r="AL10">
      <f>SUM(AG10:AK10)</f>
    </oc>
    <nc r="AL10">
      <f>SUM(AG10:AK10)</f>
    </nc>
    <odxf>
      <border outline="0">
        <left/>
        <right/>
      </border>
    </odxf>
    <ndxf>
      <border outline="0">
        <left style="thin">
          <color indexed="64"/>
        </left>
        <right style="thin">
          <color indexed="64"/>
        </right>
      </border>
    </ndxf>
  </rcc>
  <rcc rId="8160" sId="5" odxf="1" dxf="1">
    <oc r="AR10">
      <f>SUM(AM10:AQ10)</f>
    </oc>
    <nc r="AR10">
      <f>SUM(AM10:AQ10)</f>
    </nc>
    <odxf>
      <fill>
        <patternFill>
          <bgColor theme="0" tint="-0.249977111117893"/>
        </patternFill>
      </fill>
      <border outline="0">
        <left/>
        <right/>
      </border>
    </odxf>
    <ndxf>
      <fill>
        <patternFill>
          <bgColor theme="0" tint="-0.14999847407452621"/>
        </patternFill>
      </fill>
      <border outline="0">
        <left style="thin">
          <color indexed="64"/>
        </left>
        <right style="thin">
          <color indexed="64"/>
        </right>
      </border>
    </ndxf>
  </rcc>
  <rcc rId="8161" sId="5" odxf="1" dxf="1">
    <oc r="AX10">
      <f>SUM(AS10:AW10)</f>
    </oc>
    <nc r="AX10">
      <f>SUM(AS10:AW10)</f>
    </nc>
    <odxf>
      <fill>
        <patternFill>
          <bgColor theme="0" tint="-0.249977111117893"/>
        </patternFill>
      </fill>
      <border outline="0">
        <left/>
        <right/>
      </border>
    </odxf>
    <ndxf>
      <fill>
        <patternFill>
          <bgColor theme="0" tint="-0.14999847407452621"/>
        </patternFill>
      </fill>
      <border outline="0">
        <left style="thin">
          <color indexed="64"/>
        </left>
        <right style="thin">
          <color indexed="64"/>
        </right>
      </border>
    </ndxf>
  </rcc>
  <rcc rId="8162" sId="5" odxf="1" dxf="1">
    <oc r="BD10">
      <f>SUM(AY10:BC10)</f>
    </oc>
    <nc r="BD10">
      <f>SUM(AY10:BC10)</f>
    </nc>
    <odxf>
      <fill>
        <patternFill>
          <bgColor theme="0" tint="-0.249977111117893"/>
        </patternFill>
      </fill>
      <border outline="0">
        <left/>
      </border>
    </odxf>
    <ndxf>
      <fill>
        <patternFill>
          <bgColor theme="0" tint="-0.14999847407452621"/>
        </patternFill>
      </fill>
      <border outline="0">
        <left style="thin">
          <color indexed="64"/>
        </left>
      </border>
    </ndxf>
  </rcc>
  <rcc rId="8163" sId="5" odxf="1" dxf="1">
    <oc r="BJ10">
      <f>SUM(BE10:BI10)</f>
    </oc>
    <nc r="BJ10">
      <f>SUM(BE10:BI10)</f>
    </nc>
    <odxf>
      <fill>
        <patternFill>
          <bgColor theme="0" tint="-0.249977111117893"/>
        </patternFill>
      </fill>
      <border outline="0">
        <left/>
      </border>
    </odxf>
    <ndxf>
      <fill>
        <patternFill>
          <bgColor theme="0" tint="-0.14999847407452621"/>
        </patternFill>
      </fill>
      <border outline="0">
        <left style="thin">
          <color indexed="64"/>
        </left>
      </border>
    </ndxf>
  </rcc>
  <rcc rId="8164" sId="5" odxf="1" dxf="1">
    <oc r="BP10">
      <f>SUM(BK10:BO10)</f>
    </oc>
    <nc r="BP10">
      <f>SUM(BK10:BO10)</f>
    </nc>
    <odxf>
      <fill>
        <patternFill>
          <bgColor theme="0" tint="-0.249977111117893"/>
        </patternFill>
      </fill>
      <border outline="0">
        <left/>
      </border>
    </odxf>
    <ndxf>
      <fill>
        <patternFill>
          <bgColor theme="0" tint="-0.14999847407452621"/>
        </patternFill>
      </fill>
      <border outline="0">
        <left style="thin">
          <color indexed="64"/>
        </left>
      </border>
    </ndxf>
  </rcc>
  <rcc rId="8165" sId="5" odxf="1" dxf="1">
    <oc r="BV10">
      <f>SUM(BQ10:BU10)</f>
    </oc>
    <nc r="BV10">
      <f>SUM(BQ10:BU10)</f>
    </nc>
    <odxf>
      <fill>
        <patternFill>
          <bgColor theme="0" tint="-0.249977111117893"/>
        </patternFill>
      </fill>
      <border outline="0">
        <left/>
      </border>
    </odxf>
    <ndxf>
      <fill>
        <patternFill>
          <bgColor theme="0" tint="-0.14999847407452621"/>
        </patternFill>
      </fill>
      <border outline="0">
        <left style="thin">
          <color indexed="64"/>
        </left>
      </border>
    </ndxf>
  </rcc>
  <rcc rId="8166" sId="5" odxf="1" dxf="1">
    <oc r="CB10">
      <f>SUM(BW10:CA10)</f>
    </oc>
    <nc r="CB10">
      <f>SUM(BW10:CA10)</f>
    </nc>
    <odxf>
      <fill>
        <patternFill>
          <bgColor theme="0" tint="-0.249977111117893"/>
        </patternFill>
      </fill>
      <border outline="0">
        <left/>
      </border>
    </odxf>
    <ndxf>
      <fill>
        <patternFill>
          <bgColor theme="0" tint="-0.14999847407452621"/>
        </patternFill>
      </fill>
      <border outline="0">
        <left style="thin">
          <color indexed="64"/>
        </left>
      </border>
    </ndxf>
  </rcc>
  <rcc rId="8167" sId="5" odxf="1" dxf="1">
    <oc r="Z11">
      <f>SUM(U11:Y11)</f>
    </oc>
    <nc r="Z11">
      <f>SUM(U11:Y11)</f>
    </nc>
    <odxf>
      <border outline="0">
        <left/>
        <right/>
      </border>
    </odxf>
    <ndxf>
      <border outline="0">
        <left style="thin">
          <color indexed="64"/>
        </left>
        <right style="thin">
          <color indexed="64"/>
        </right>
      </border>
    </ndxf>
  </rcc>
  <rcc rId="8168" sId="5" odxf="1" dxf="1">
    <oc r="AF11">
      <f>SUM(AA11:AE11)</f>
    </oc>
    <nc r="AF11">
      <f>SUM(AA11:AE11)</f>
    </nc>
    <odxf>
      <border outline="0">
        <left/>
        <right/>
      </border>
    </odxf>
    <ndxf>
      <border outline="0">
        <left style="thin">
          <color indexed="64"/>
        </left>
        <right style="thin">
          <color indexed="64"/>
        </right>
      </border>
    </ndxf>
  </rcc>
  <rcc rId="8169" sId="5" odxf="1" dxf="1">
    <oc r="AL11">
      <f>SUM(AG11:AK11)</f>
    </oc>
    <nc r="AL11">
      <f>SUM(AG11:AK11)</f>
    </nc>
    <odxf>
      <border outline="0">
        <left/>
        <right/>
      </border>
    </odxf>
    <ndxf>
      <border outline="0">
        <left style="thin">
          <color indexed="64"/>
        </left>
        <right style="thin">
          <color indexed="64"/>
        </right>
      </border>
    </ndxf>
  </rcc>
  <rcc rId="8170" sId="5" odxf="1" dxf="1">
    <oc r="AR11">
      <f>SUM(AM11:AQ11)</f>
    </oc>
    <nc r="AR11">
      <f>SUM(AM11:AQ11)</f>
    </nc>
    <odxf>
      <fill>
        <patternFill>
          <bgColor theme="0" tint="-0.249977111117893"/>
        </patternFill>
      </fill>
      <border outline="0">
        <left/>
        <right/>
      </border>
    </odxf>
    <ndxf>
      <fill>
        <patternFill>
          <bgColor theme="0" tint="-0.14999847407452621"/>
        </patternFill>
      </fill>
      <border outline="0">
        <left style="thin">
          <color indexed="64"/>
        </left>
        <right style="thin">
          <color indexed="64"/>
        </right>
      </border>
    </ndxf>
  </rcc>
  <rcc rId="8171" sId="5" odxf="1" dxf="1">
    <oc r="AX11">
      <f>SUM(AS11:AW11)</f>
    </oc>
    <nc r="AX11">
      <f>SUM(AS11:AW11)</f>
    </nc>
    <odxf>
      <fill>
        <patternFill>
          <bgColor theme="0" tint="-0.249977111117893"/>
        </patternFill>
      </fill>
      <border outline="0">
        <left/>
        <right/>
      </border>
    </odxf>
    <ndxf>
      <fill>
        <patternFill>
          <bgColor theme="0" tint="-0.14999847407452621"/>
        </patternFill>
      </fill>
      <border outline="0">
        <left style="thin">
          <color indexed="64"/>
        </left>
        <right style="thin">
          <color indexed="64"/>
        </right>
      </border>
    </ndxf>
  </rcc>
  <rcc rId="8172" sId="5" odxf="1" dxf="1">
    <oc r="BD11">
      <f>SUM(AY11:BC11)</f>
    </oc>
    <nc r="BD11">
      <f>SUM(AY11:BC11)</f>
    </nc>
    <odxf>
      <fill>
        <patternFill>
          <bgColor theme="0" tint="-0.249977111117893"/>
        </patternFill>
      </fill>
      <border outline="0">
        <left/>
      </border>
    </odxf>
    <ndxf>
      <fill>
        <patternFill>
          <bgColor theme="0" tint="-0.14999847407452621"/>
        </patternFill>
      </fill>
      <border outline="0">
        <left style="thin">
          <color indexed="64"/>
        </left>
      </border>
    </ndxf>
  </rcc>
  <rcc rId="8173" sId="5" odxf="1" dxf="1">
    <oc r="BJ11">
      <f>SUM(BE11:BI11)</f>
    </oc>
    <nc r="BJ11">
      <f>SUM(BE11:BI11)</f>
    </nc>
    <odxf>
      <fill>
        <patternFill>
          <bgColor theme="0" tint="-0.249977111117893"/>
        </patternFill>
      </fill>
      <border outline="0">
        <left/>
      </border>
    </odxf>
    <ndxf>
      <fill>
        <patternFill>
          <bgColor theme="0" tint="-0.14999847407452621"/>
        </patternFill>
      </fill>
      <border outline="0">
        <left style="thin">
          <color indexed="64"/>
        </left>
      </border>
    </ndxf>
  </rcc>
  <rcc rId="8174" sId="5" odxf="1" dxf="1">
    <oc r="BP11">
      <f>SUM(BK11:BO11)</f>
    </oc>
    <nc r="BP11">
      <f>SUM(BK11:BO11)</f>
    </nc>
    <odxf>
      <fill>
        <patternFill>
          <bgColor theme="0" tint="-0.249977111117893"/>
        </patternFill>
      </fill>
      <border outline="0">
        <left/>
      </border>
    </odxf>
    <ndxf>
      <fill>
        <patternFill>
          <bgColor theme="0" tint="-0.14999847407452621"/>
        </patternFill>
      </fill>
      <border outline="0">
        <left style="thin">
          <color indexed="64"/>
        </left>
      </border>
    </ndxf>
  </rcc>
  <rcc rId="8175" sId="5" odxf="1" dxf="1">
    <oc r="BV11">
      <f>SUM(BQ11:BU11)</f>
    </oc>
    <nc r="BV11">
      <f>SUM(BQ11:BU11)</f>
    </nc>
    <odxf>
      <fill>
        <patternFill>
          <bgColor theme="0" tint="-0.249977111117893"/>
        </patternFill>
      </fill>
      <border outline="0">
        <left/>
      </border>
    </odxf>
    <ndxf>
      <fill>
        <patternFill>
          <bgColor theme="0" tint="-0.14999847407452621"/>
        </patternFill>
      </fill>
      <border outline="0">
        <left style="thin">
          <color indexed="64"/>
        </left>
      </border>
    </ndxf>
  </rcc>
  <rcc rId="8176" sId="5" odxf="1" dxf="1">
    <oc r="CB11">
      <f>SUM(BW11:CA11)</f>
    </oc>
    <nc r="CB11">
      <f>SUM(BW11:CA11)</f>
    </nc>
    <odxf>
      <fill>
        <patternFill>
          <bgColor theme="0" tint="-0.249977111117893"/>
        </patternFill>
      </fill>
      <border outline="0">
        <left/>
      </border>
    </odxf>
    <ndxf>
      <fill>
        <patternFill>
          <bgColor theme="0" tint="-0.14999847407452621"/>
        </patternFill>
      </fill>
      <border outline="0">
        <left style="thin">
          <color indexed="64"/>
        </left>
      </border>
    </ndxf>
  </rcc>
  <rcc rId="8177" sId="5" odxf="1" dxf="1">
    <oc r="Z12">
      <f>SUM(U12:Y12)</f>
    </oc>
    <nc r="Z12">
      <f>SUM(U12:Y12)</f>
    </nc>
    <odxf>
      <border outline="0">
        <left/>
        <right/>
      </border>
    </odxf>
    <ndxf>
      <border outline="0">
        <left style="thin">
          <color indexed="64"/>
        </left>
        <right style="thin">
          <color indexed="64"/>
        </right>
      </border>
    </ndxf>
  </rcc>
  <rcc rId="8178" sId="5" odxf="1" dxf="1">
    <oc r="AF12">
      <f>SUM(AA12:AE12)</f>
    </oc>
    <nc r="AF12">
      <f>SUM(AA12:AE12)</f>
    </nc>
    <odxf>
      <border outline="0">
        <left/>
        <right/>
      </border>
    </odxf>
    <ndxf>
      <border outline="0">
        <left style="thin">
          <color indexed="64"/>
        </left>
        <right style="thin">
          <color indexed="64"/>
        </right>
      </border>
    </ndxf>
  </rcc>
  <rcc rId="8179" sId="5" odxf="1" dxf="1">
    <oc r="AL12">
      <f>SUM(AG12:AK12)</f>
    </oc>
    <nc r="AL12">
      <f>SUM(AG12:AK12)</f>
    </nc>
    <odxf>
      <border outline="0">
        <left/>
        <right/>
      </border>
    </odxf>
    <ndxf>
      <border outline="0">
        <left style="thin">
          <color indexed="64"/>
        </left>
        <right style="thin">
          <color indexed="64"/>
        </right>
      </border>
    </ndxf>
  </rcc>
  <rcc rId="8180" sId="5" odxf="1" dxf="1">
    <oc r="AR12">
      <f>SUM(AM12:AQ12)</f>
    </oc>
    <nc r="AR12">
      <f>SUM(AM12:AQ12)</f>
    </nc>
    <odxf>
      <fill>
        <patternFill>
          <bgColor theme="0" tint="-0.249977111117893"/>
        </patternFill>
      </fill>
      <border outline="0">
        <left/>
        <right/>
      </border>
    </odxf>
    <ndxf>
      <fill>
        <patternFill>
          <bgColor theme="0" tint="-0.14999847407452621"/>
        </patternFill>
      </fill>
      <border outline="0">
        <left style="thin">
          <color indexed="64"/>
        </left>
        <right style="thin">
          <color indexed="64"/>
        </right>
      </border>
    </ndxf>
  </rcc>
  <rcc rId="8181" sId="5" odxf="1" dxf="1">
    <oc r="AX12">
      <f>SUM(AS12:AW12)</f>
    </oc>
    <nc r="AX12">
      <f>SUM(AS12:AW12)</f>
    </nc>
    <odxf>
      <fill>
        <patternFill>
          <bgColor theme="0" tint="-0.249977111117893"/>
        </patternFill>
      </fill>
      <border outline="0">
        <left/>
        <right/>
      </border>
    </odxf>
    <ndxf>
      <fill>
        <patternFill>
          <bgColor theme="0" tint="-0.14999847407452621"/>
        </patternFill>
      </fill>
      <border outline="0">
        <left style="thin">
          <color indexed="64"/>
        </left>
        <right style="thin">
          <color indexed="64"/>
        </right>
      </border>
    </ndxf>
  </rcc>
  <rcc rId="8182" sId="5" odxf="1" dxf="1">
    <oc r="BD12">
      <f>SUM(AY12:BC12)</f>
    </oc>
    <nc r="BD12">
      <f>SUM(AY12:BC12)</f>
    </nc>
    <odxf>
      <fill>
        <patternFill>
          <bgColor theme="0" tint="-0.249977111117893"/>
        </patternFill>
      </fill>
      <border outline="0">
        <left/>
      </border>
    </odxf>
    <ndxf>
      <fill>
        <patternFill>
          <bgColor theme="0" tint="-0.14999847407452621"/>
        </patternFill>
      </fill>
      <border outline="0">
        <left style="thin">
          <color indexed="64"/>
        </left>
      </border>
    </ndxf>
  </rcc>
  <rcc rId="8183" sId="5" odxf="1" dxf="1">
    <oc r="BJ12">
      <f>SUM(BE12:BI12)</f>
    </oc>
    <nc r="BJ12">
      <f>SUM(BE12:BI12)</f>
    </nc>
    <odxf>
      <fill>
        <patternFill>
          <bgColor theme="0" tint="-0.249977111117893"/>
        </patternFill>
      </fill>
      <border outline="0">
        <left/>
      </border>
    </odxf>
    <ndxf>
      <fill>
        <patternFill>
          <bgColor theme="0" tint="-0.14999847407452621"/>
        </patternFill>
      </fill>
      <border outline="0">
        <left style="thin">
          <color indexed="64"/>
        </left>
      </border>
    </ndxf>
  </rcc>
  <rcc rId="8184" sId="5" odxf="1" dxf="1">
    <oc r="BP12">
      <f>SUM(BK12:BO12)</f>
    </oc>
    <nc r="BP12">
      <f>SUM(BK12:BO12)</f>
    </nc>
    <odxf>
      <fill>
        <patternFill>
          <bgColor theme="0" tint="-0.249977111117893"/>
        </patternFill>
      </fill>
      <border outline="0">
        <left/>
      </border>
    </odxf>
    <ndxf>
      <fill>
        <patternFill>
          <bgColor theme="0" tint="-0.14999847407452621"/>
        </patternFill>
      </fill>
      <border outline="0">
        <left style="thin">
          <color indexed="64"/>
        </left>
      </border>
    </ndxf>
  </rcc>
  <rcc rId="8185" sId="5" odxf="1" dxf="1">
    <oc r="BV12">
      <f>SUM(BQ12:BU12)</f>
    </oc>
    <nc r="BV12">
      <f>SUM(BQ12:BU12)</f>
    </nc>
    <odxf>
      <fill>
        <patternFill>
          <bgColor theme="0" tint="-0.249977111117893"/>
        </patternFill>
      </fill>
      <border outline="0">
        <left/>
      </border>
    </odxf>
    <ndxf>
      <fill>
        <patternFill>
          <bgColor theme="0" tint="-0.14999847407452621"/>
        </patternFill>
      </fill>
      <border outline="0">
        <left style="thin">
          <color indexed="64"/>
        </left>
      </border>
    </ndxf>
  </rcc>
  <rcc rId="8186" sId="5" odxf="1" dxf="1">
    <oc r="CB12">
      <f>SUM(BW12:CA12)</f>
    </oc>
    <nc r="CB12">
      <f>SUM(BW12:CA12)</f>
    </nc>
    <odxf>
      <fill>
        <patternFill>
          <bgColor theme="0" tint="-0.249977111117893"/>
        </patternFill>
      </fill>
      <border outline="0">
        <left/>
      </border>
    </odxf>
    <ndxf>
      <fill>
        <patternFill>
          <bgColor theme="0" tint="-0.14999847407452621"/>
        </patternFill>
      </fill>
      <border outline="0">
        <left style="thin">
          <color indexed="64"/>
        </left>
      </border>
    </ndxf>
  </rcc>
  <rcc rId="8187" sId="5" odxf="1" dxf="1">
    <oc r="Z13">
      <f>SUM(U13:Y13)</f>
    </oc>
    <nc r="Z13">
      <f>SUM(U13:Y13)</f>
    </nc>
    <odxf>
      <border outline="0">
        <left/>
        <right/>
      </border>
    </odxf>
    <ndxf>
      <border outline="0">
        <left style="thin">
          <color indexed="64"/>
        </left>
        <right style="thin">
          <color indexed="64"/>
        </right>
      </border>
    </ndxf>
  </rcc>
  <rcc rId="8188" sId="5" odxf="1" dxf="1">
    <oc r="AF13">
      <f>SUM(AA13:AE13)</f>
    </oc>
    <nc r="AF13">
      <f>SUM(AA13:AE13)</f>
    </nc>
    <odxf>
      <border outline="0">
        <left/>
        <right/>
      </border>
    </odxf>
    <ndxf>
      <border outline="0">
        <left style="thin">
          <color indexed="64"/>
        </left>
        <right style="thin">
          <color indexed="64"/>
        </right>
      </border>
    </ndxf>
  </rcc>
  <rcc rId="8189" sId="5" odxf="1" dxf="1">
    <oc r="AL13">
      <f>SUM(AG13:AK13)</f>
    </oc>
    <nc r="AL13">
      <f>SUM(AG13:AK13)</f>
    </nc>
    <odxf>
      <border outline="0">
        <left/>
        <right/>
      </border>
    </odxf>
    <ndxf>
      <border outline="0">
        <left style="thin">
          <color indexed="64"/>
        </left>
        <right style="thin">
          <color indexed="64"/>
        </right>
      </border>
    </ndxf>
  </rcc>
  <rcc rId="8190" sId="5" odxf="1" dxf="1">
    <oc r="AR13">
      <f>SUM(AM13:AQ13)</f>
    </oc>
    <nc r="AR13">
      <f>SUM(AM13:AQ13)</f>
    </nc>
    <odxf>
      <fill>
        <patternFill>
          <bgColor theme="0" tint="-0.249977111117893"/>
        </patternFill>
      </fill>
      <border outline="0">
        <left/>
        <right/>
      </border>
    </odxf>
    <ndxf>
      <fill>
        <patternFill>
          <bgColor theme="0" tint="-0.14999847407452621"/>
        </patternFill>
      </fill>
      <border outline="0">
        <left style="thin">
          <color indexed="64"/>
        </left>
        <right style="thin">
          <color indexed="64"/>
        </right>
      </border>
    </ndxf>
  </rcc>
  <rcc rId="8191" sId="5" odxf="1" dxf="1">
    <oc r="AX13">
      <f>SUM(AS13:AW13)</f>
    </oc>
    <nc r="AX13">
      <f>SUM(AS13:AW13)</f>
    </nc>
    <odxf>
      <fill>
        <patternFill>
          <bgColor theme="0" tint="-0.249977111117893"/>
        </patternFill>
      </fill>
      <border outline="0">
        <left/>
        <right/>
      </border>
    </odxf>
    <ndxf>
      <fill>
        <patternFill>
          <bgColor theme="0" tint="-0.14999847407452621"/>
        </patternFill>
      </fill>
      <border outline="0">
        <left style="thin">
          <color indexed="64"/>
        </left>
        <right style="thin">
          <color indexed="64"/>
        </right>
      </border>
    </ndxf>
  </rcc>
  <rcc rId="8192" sId="5" odxf="1" dxf="1">
    <oc r="BD13">
      <f>SUM(AY13:BC13)</f>
    </oc>
    <nc r="BD13">
      <f>SUM(AY13:BC13)</f>
    </nc>
    <odxf>
      <fill>
        <patternFill>
          <bgColor theme="0" tint="-0.249977111117893"/>
        </patternFill>
      </fill>
      <border outline="0">
        <left/>
      </border>
    </odxf>
    <ndxf>
      <fill>
        <patternFill>
          <bgColor theme="0" tint="-0.14999847407452621"/>
        </patternFill>
      </fill>
      <border outline="0">
        <left style="thin">
          <color indexed="64"/>
        </left>
      </border>
    </ndxf>
  </rcc>
  <rcc rId="8193" sId="5" odxf="1" dxf="1">
    <oc r="BJ13">
      <f>SUM(BE13:BI13)</f>
    </oc>
    <nc r="BJ13">
      <f>SUM(BE13:BI13)</f>
    </nc>
    <odxf>
      <fill>
        <patternFill>
          <bgColor theme="0" tint="-0.249977111117893"/>
        </patternFill>
      </fill>
      <border outline="0">
        <left/>
      </border>
    </odxf>
    <ndxf>
      <fill>
        <patternFill>
          <bgColor theme="0" tint="-0.14999847407452621"/>
        </patternFill>
      </fill>
      <border outline="0">
        <left style="thin">
          <color indexed="64"/>
        </left>
      </border>
    </ndxf>
  </rcc>
  <rcc rId="8194" sId="5" odxf="1" dxf="1">
    <oc r="BP13">
      <f>SUM(BK13:BO13)</f>
    </oc>
    <nc r="BP13">
      <f>SUM(BK13:BO13)</f>
    </nc>
    <odxf>
      <fill>
        <patternFill>
          <bgColor theme="0" tint="-0.249977111117893"/>
        </patternFill>
      </fill>
      <border outline="0">
        <left/>
      </border>
    </odxf>
    <ndxf>
      <fill>
        <patternFill>
          <bgColor theme="0" tint="-0.14999847407452621"/>
        </patternFill>
      </fill>
      <border outline="0">
        <left style="thin">
          <color indexed="64"/>
        </left>
      </border>
    </ndxf>
  </rcc>
  <rcc rId="8195" sId="5" odxf="1" dxf="1">
    <oc r="BV13">
      <f>SUM(BQ13:BU13)</f>
    </oc>
    <nc r="BV13">
      <f>SUM(BQ13:BU13)</f>
    </nc>
    <odxf>
      <fill>
        <patternFill>
          <bgColor theme="0" tint="-0.249977111117893"/>
        </patternFill>
      </fill>
      <border outline="0">
        <left/>
      </border>
    </odxf>
    <ndxf>
      <fill>
        <patternFill>
          <bgColor theme="0" tint="-0.14999847407452621"/>
        </patternFill>
      </fill>
      <border outline="0">
        <left style="thin">
          <color indexed="64"/>
        </left>
      </border>
    </ndxf>
  </rcc>
  <rcc rId="8196" sId="5" odxf="1" dxf="1">
    <oc r="CB13">
      <f>SUM(BW13:CA13)</f>
    </oc>
    <nc r="CB13">
      <f>SUM(BW13:CA13)</f>
    </nc>
    <odxf>
      <fill>
        <patternFill>
          <bgColor theme="0" tint="-0.249977111117893"/>
        </patternFill>
      </fill>
      <border outline="0">
        <left/>
      </border>
    </odxf>
    <ndxf>
      <fill>
        <patternFill>
          <bgColor theme="0" tint="-0.14999847407452621"/>
        </patternFill>
      </fill>
      <border outline="0">
        <left style="thin">
          <color indexed="64"/>
        </left>
      </border>
    </ndxf>
  </rcc>
  <rcc rId="8197" sId="5" odxf="1" dxf="1">
    <oc r="Z14">
      <f>SUM(U14:Y14)</f>
    </oc>
    <nc r="Z14">
      <f>SUM(U14:Y14)</f>
    </nc>
    <odxf>
      <border outline="0">
        <left/>
        <right/>
      </border>
    </odxf>
    <ndxf>
      <border outline="0">
        <left style="thin">
          <color indexed="64"/>
        </left>
        <right style="thin">
          <color indexed="64"/>
        </right>
      </border>
    </ndxf>
  </rcc>
  <rcc rId="8198" sId="5" odxf="1" dxf="1">
    <oc r="AF14">
      <f>SUM(AA14:AE14)</f>
    </oc>
    <nc r="AF14">
      <f>SUM(AA14:AE14)</f>
    </nc>
    <odxf>
      <border outline="0">
        <left/>
        <right/>
      </border>
    </odxf>
    <ndxf>
      <border outline="0">
        <left style="thin">
          <color indexed="64"/>
        </left>
        <right style="thin">
          <color indexed="64"/>
        </right>
      </border>
    </ndxf>
  </rcc>
  <rcc rId="8199" sId="5" odxf="1" dxf="1">
    <oc r="AL14">
      <f>SUM(AG14:AK14)</f>
    </oc>
    <nc r="AL14">
      <f>SUM(AG14:AK14)</f>
    </nc>
    <odxf>
      <border outline="0">
        <left/>
        <right/>
      </border>
    </odxf>
    <ndxf>
      <border outline="0">
        <left style="thin">
          <color indexed="64"/>
        </left>
        <right style="thin">
          <color indexed="64"/>
        </right>
      </border>
    </ndxf>
  </rcc>
  <rcc rId="8200" sId="5" odxf="1" dxf="1">
    <oc r="AR14">
      <f>SUM(AM14:AQ14)</f>
    </oc>
    <nc r="AR14">
      <f>SUM(AM14:AQ14)</f>
    </nc>
    <odxf>
      <fill>
        <patternFill>
          <bgColor theme="0" tint="-0.249977111117893"/>
        </patternFill>
      </fill>
      <border outline="0">
        <left/>
        <right/>
      </border>
    </odxf>
    <ndxf>
      <fill>
        <patternFill>
          <bgColor theme="0" tint="-0.14999847407452621"/>
        </patternFill>
      </fill>
      <border outline="0">
        <left style="thin">
          <color indexed="64"/>
        </left>
        <right style="thin">
          <color indexed="64"/>
        </right>
      </border>
    </ndxf>
  </rcc>
  <rcc rId="8201" sId="5" odxf="1" dxf="1">
    <oc r="AX14">
      <f>SUM(AS14:AW14)</f>
    </oc>
    <nc r="AX14">
      <f>SUM(AS14:AW14)</f>
    </nc>
    <odxf>
      <fill>
        <patternFill>
          <bgColor theme="0" tint="-0.249977111117893"/>
        </patternFill>
      </fill>
      <border outline="0">
        <left/>
        <right/>
      </border>
    </odxf>
    <ndxf>
      <fill>
        <patternFill>
          <bgColor theme="0" tint="-0.14999847407452621"/>
        </patternFill>
      </fill>
      <border outline="0">
        <left style="thin">
          <color indexed="64"/>
        </left>
        <right style="thin">
          <color indexed="64"/>
        </right>
      </border>
    </ndxf>
  </rcc>
  <rcc rId="8202" sId="5" odxf="1" dxf="1">
    <oc r="BD14">
      <f>SUM(AY14:BC14)</f>
    </oc>
    <nc r="BD14">
      <f>SUM(AY14:BC14)</f>
    </nc>
    <odxf>
      <fill>
        <patternFill>
          <bgColor theme="0" tint="-0.249977111117893"/>
        </patternFill>
      </fill>
      <border outline="0">
        <left/>
      </border>
    </odxf>
    <ndxf>
      <fill>
        <patternFill>
          <bgColor theme="0" tint="-0.14999847407452621"/>
        </patternFill>
      </fill>
      <border outline="0">
        <left style="thin">
          <color indexed="64"/>
        </left>
      </border>
    </ndxf>
  </rcc>
  <rcc rId="8203" sId="5" odxf="1" dxf="1">
    <oc r="BJ14">
      <f>SUM(BE14:BI14)</f>
    </oc>
    <nc r="BJ14">
      <f>SUM(BE14:BI14)</f>
    </nc>
    <odxf>
      <fill>
        <patternFill>
          <bgColor theme="0" tint="-0.249977111117893"/>
        </patternFill>
      </fill>
      <border outline="0">
        <left/>
      </border>
    </odxf>
    <ndxf>
      <fill>
        <patternFill>
          <bgColor theme="0" tint="-0.14999847407452621"/>
        </patternFill>
      </fill>
      <border outline="0">
        <left style="thin">
          <color indexed="64"/>
        </left>
      </border>
    </ndxf>
  </rcc>
  <rcc rId="8204" sId="5" odxf="1" dxf="1">
    <oc r="BP14">
      <f>SUM(BK14:BO14)</f>
    </oc>
    <nc r="BP14">
      <f>SUM(BK14:BO14)</f>
    </nc>
    <odxf>
      <fill>
        <patternFill>
          <bgColor theme="0" tint="-0.249977111117893"/>
        </patternFill>
      </fill>
      <border outline="0">
        <left/>
      </border>
    </odxf>
    <ndxf>
      <fill>
        <patternFill>
          <bgColor theme="0" tint="-0.14999847407452621"/>
        </patternFill>
      </fill>
      <border outline="0">
        <left style="thin">
          <color indexed="64"/>
        </left>
      </border>
    </ndxf>
  </rcc>
  <rcc rId="8205" sId="5" odxf="1" dxf="1">
    <oc r="BV14">
      <f>SUM(BQ14:BU14)</f>
    </oc>
    <nc r="BV14">
      <f>SUM(BQ14:BU14)</f>
    </nc>
    <odxf>
      <fill>
        <patternFill>
          <bgColor theme="0" tint="-0.249977111117893"/>
        </patternFill>
      </fill>
      <border outline="0">
        <left/>
      </border>
    </odxf>
    <ndxf>
      <fill>
        <patternFill>
          <bgColor theme="0" tint="-0.14999847407452621"/>
        </patternFill>
      </fill>
      <border outline="0">
        <left style="thin">
          <color indexed="64"/>
        </left>
      </border>
    </ndxf>
  </rcc>
  <rcc rId="8206" sId="5" odxf="1" dxf="1">
    <oc r="CB14">
      <f>SUM(BW14:CA14)</f>
    </oc>
    <nc r="CB14">
      <f>SUM(BW14:CA14)</f>
    </nc>
    <odxf>
      <fill>
        <patternFill>
          <bgColor theme="0" tint="-0.249977111117893"/>
        </patternFill>
      </fill>
      <border outline="0">
        <left/>
      </border>
    </odxf>
    <ndxf>
      <fill>
        <patternFill>
          <bgColor theme="0" tint="-0.14999847407452621"/>
        </patternFill>
      </fill>
      <border outline="0">
        <left style="thin">
          <color indexed="64"/>
        </left>
      </border>
    </ndxf>
  </rcc>
  <rcc rId="8207" sId="5" odxf="1" dxf="1">
    <oc r="Z15">
      <f>SUM(U15:Y15)</f>
    </oc>
    <nc r="Z15">
      <f>SUM(U15:Y15)</f>
    </nc>
    <odxf>
      <border outline="0">
        <left/>
        <right/>
      </border>
    </odxf>
    <ndxf>
      <border outline="0">
        <left style="thin">
          <color indexed="64"/>
        </left>
        <right style="thin">
          <color indexed="64"/>
        </right>
      </border>
    </ndxf>
  </rcc>
  <rcc rId="8208" sId="5" odxf="1" dxf="1">
    <oc r="AF15">
      <f>SUM(AA15:AE15)</f>
    </oc>
    <nc r="AF15">
      <f>SUM(AA15:AE15)</f>
    </nc>
    <odxf>
      <border outline="0">
        <left/>
        <right/>
      </border>
    </odxf>
    <ndxf>
      <border outline="0">
        <left style="thin">
          <color indexed="64"/>
        </left>
        <right style="thin">
          <color indexed="64"/>
        </right>
      </border>
    </ndxf>
  </rcc>
  <rcc rId="8209" sId="5" odxf="1" dxf="1">
    <oc r="AL15">
      <f>SUM(AG15:AK15)</f>
    </oc>
    <nc r="AL15">
      <f>SUM(AG15:AK15)</f>
    </nc>
    <odxf>
      <border outline="0">
        <left/>
        <right/>
      </border>
    </odxf>
    <ndxf>
      <border outline="0">
        <left style="thin">
          <color indexed="64"/>
        </left>
        <right style="thin">
          <color indexed="64"/>
        </right>
      </border>
    </ndxf>
  </rcc>
  <rcc rId="8210" sId="5" odxf="1" dxf="1">
    <oc r="AR15">
      <f>SUM(AM15:AQ15)</f>
    </oc>
    <nc r="AR15">
      <f>SUM(AM15:AQ15)</f>
    </nc>
    <odxf>
      <fill>
        <patternFill>
          <bgColor theme="0" tint="-0.249977111117893"/>
        </patternFill>
      </fill>
      <border outline="0">
        <left/>
        <right/>
      </border>
    </odxf>
    <ndxf>
      <fill>
        <patternFill>
          <bgColor theme="0" tint="-0.14999847407452621"/>
        </patternFill>
      </fill>
      <border outline="0">
        <left style="thin">
          <color indexed="64"/>
        </left>
        <right style="thin">
          <color indexed="64"/>
        </right>
      </border>
    </ndxf>
  </rcc>
  <rcc rId="8211" sId="5" odxf="1" dxf="1">
    <oc r="AX15">
      <f>SUM(AS15:AW15)</f>
    </oc>
    <nc r="AX15">
      <f>SUM(AS15:AW15)</f>
    </nc>
    <odxf>
      <fill>
        <patternFill>
          <bgColor theme="0" tint="-0.249977111117893"/>
        </patternFill>
      </fill>
      <border outline="0">
        <left/>
        <right/>
      </border>
    </odxf>
    <ndxf>
      <fill>
        <patternFill>
          <bgColor theme="0" tint="-0.14999847407452621"/>
        </patternFill>
      </fill>
      <border outline="0">
        <left style="thin">
          <color indexed="64"/>
        </left>
        <right style="thin">
          <color indexed="64"/>
        </right>
      </border>
    </ndxf>
  </rcc>
  <rcc rId="8212" sId="5" odxf="1" dxf="1">
    <oc r="BD15">
      <f>SUM(AY15:BC15)</f>
    </oc>
    <nc r="BD15">
      <f>SUM(AY15:BC15)</f>
    </nc>
    <odxf>
      <fill>
        <patternFill>
          <bgColor theme="0" tint="-0.249977111117893"/>
        </patternFill>
      </fill>
      <border outline="0">
        <left/>
      </border>
    </odxf>
    <ndxf>
      <fill>
        <patternFill>
          <bgColor theme="0" tint="-0.14999847407452621"/>
        </patternFill>
      </fill>
      <border outline="0">
        <left style="thin">
          <color indexed="64"/>
        </left>
      </border>
    </ndxf>
  </rcc>
  <rcc rId="8213" sId="5" odxf="1" dxf="1">
    <oc r="BJ15">
      <f>SUM(BE15:BI15)</f>
    </oc>
    <nc r="BJ15">
      <f>SUM(BE15:BI15)</f>
    </nc>
    <odxf>
      <fill>
        <patternFill>
          <bgColor theme="0" tint="-0.249977111117893"/>
        </patternFill>
      </fill>
      <border outline="0">
        <left/>
      </border>
    </odxf>
    <ndxf>
      <fill>
        <patternFill>
          <bgColor theme="0" tint="-0.14999847407452621"/>
        </patternFill>
      </fill>
      <border outline="0">
        <left style="thin">
          <color indexed="64"/>
        </left>
      </border>
    </ndxf>
  </rcc>
  <rcc rId="8214" sId="5" odxf="1" dxf="1">
    <oc r="BP15">
      <f>SUM(BK15:BO15)</f>
    </oc>
    <nc r="BP15">
      <f>SUM(BK15:BO15)</f>
    </nc>
    <odxf>
      <fill>
        <patternFill>
          <bgColor theme="0" tint="-0.249977111117893"/>
        </patternFill>
      </fill>
      <border outline="0">
        <left/>
      </border>
    </odxf>
    <ndxf>
      <fill>
        <patternFill>
          <bgColor theme="0" tint="-0.14999847407452621"/>
        </patternFill>
      </fill>
      <border outline="0">
        <left style="thin">
          <color indexed="64"/>
        </left>
      </border>
    </ndxf>
  </rcc>
  <rcc rId="8215" sId="5" odxf="1" dxf="1">
    <oc r="BV15">
      <f>SUM(BQ15:BU15)</f>
    </oc>
    <nc r="BV15">
      <f>SUM(BQ15:BU15)</f>
    </nc>
    <odxf>
      <fill>
        <patternFill>
          <bgColor theme="0" tint="-0.249977111117893"/>
        </patternFill>
      </fill>
      <border outline="0">
        <left/>
      </border>
    </odxf>
    <ndxf>
      <fill>
        <patternFill>
          <bgColor theme="0" tint="-0.14999847407452621"/>
        </patternFill>
      </fill>
      <border outline="0">
        <left style="thin">
          <color indexed="64"/>
        </left>
      </border>
    </ndxf>
  </rcc>
  <rcc rId="8216" sId="5" odxf="1" dxf="1">
    <oc r="CB15">
      <f>SUM(BW15:CA15)</f>
    </oc>
    <nc r="CB15">
      <f>SUM(BW15:CA15)</f>
    </nc>
    <odxf>
      <fill>
        <patternFill>
          <bgColor theme="0" tint="-0.249977111117893"/>
        </patternFill>
      </fill>
      <border outline="0">
        <left/>
      </border>
    </odxf>
    <ndxf>
      <fill>
        <patternFill>
          <bgColor theme="0" tint="-0.14999847407452621"/>
        </patternFill>
      </fill>
      <border outline="0">
        <left style="thin">
          <color indexed="64"/>
        </left>
      </border>
    </ndxf>
  </rcc>
  <rcc rId="8217" sId="5" odxf="1" dxf="1">
    <oc r="Z16">
      <f>SUM(U16:Y16)</f>
    </oc>
    <nc r="Z16">
      <f>SUM(U16:Y16)</f>
    </nc>
    <odxf>
      <border outline="0">
        <left/>
        <right/>
      </border>
    </odxf>
    <ndxf>
      <border outline="0">
        <left style="thin">
          <color indexed="64"/>
        </left>
        <right style="thin">
          <color indexed="64"/>
        </right>
      </border>
    </ndxf>
  </rcc>
  <rcc rId="8218" sId="5" odxf="1" dxf="1">
    <oc r="AF16">
      <f>SUM(AA16:AE16)</f>
    </oc>
    <nc r="AF16">
      <f>SUM(AA16:AE16)</f>
    </nc>
    <odxf>
      <border outline="0">
        <left/>
        <right/>
      </border>
    </odxf>
    <ndxf>
      <border outline="0">
        <left style="thin">
          <color indexed="64"/>
        </left>
        <right style="thin">
          <color indexed="64"/>
        </right>
      </border>
    </ndxf>
  </rcc>
  <rcc rId="8219" sId="5" odxf="1" dxf="1">
    <oc r="AL16">
      <f>SUM(AG16:AK16)</f>
    </oc>
    <nc r="AL16">
      <f>SUM(AG16:AK16)</f>
    </nc>
    <odxf>
      <border outline="0">
        <left/>
        <right/>
      </border>
    </odxf>
    <ndxf>
      <border outline="0">
        <left style="thin">
          <color indexed="64"/>
        </left>
        <right style="thin">
          <color indexed="64"/>
        </right>
      </border>
    </ndxf>
  </rcc>
  <rcc rId="8220" sId="5" odxf="1" dxf="1">
    <oc r="AR16">
      <f>SUM(AM16:AQ16)</f>
    </oc>
    <nc r="AR16">
      <f>SUM(AM16:AQ16)</f>
    </nc>
    <odxf>
      <fill>
        <patternFill>
          <bgColor theme="0" tint="-0.249977111117893"/>
        </patternFill>
      </fill>
      <border outline="0">
        <left/>
        <right/>
      </border>
    </odxf>
    <ndxf>
      <fill>
        <patternFill>
          <bgColor theme="0" tint="-0.14999847407452621"/>
        </patternFill>
      </fill>
      <border outline="0">
        <left style="thin">
          <color indexed="64"/>
        </left>
        <right style="thin">
          <color indexed="64"/>
        </right>
      </border>
    </ndxf>
  </rcc>
  <rcc rId="8221" sId="5" odxf="1" dxf="1">
    <oc r="AX16">
      <f>SUM(AS16:AW16)</f>
    </oc>
    <nc r="AX16">
      <f>SUM(AS16:AW16)</f>
    </nc>
    <odxf>
      <fill>
        <patternFill>
          <bgColor theme="0" tint="-0.249977111117893"/>
        </patternFill>
      </fill>
      <border outline="0">
        <left/>
        <right/>
      </border>
    </odxf>
    <ndxf>
      <fill>
        <patternFill>
          <bgColor theme="0" tint="-0.14999847407452621"/>
        </patternFill>
      </fill>
      <border outline="0">
        <left style="thin">
          <color indexed="64"/>
        </left>
        <right style="thin">
          <color indexed="64"/>
        </right>
      </border>
    </ndxf>
  </rcc>
  <rcc rId="8222" sId="5" odxf="1" dxf="1">
    <oc r="BD16">
      <f>SUM(AY16:BC16)</f>
    </oc>
    <nc r="BD16">
      <f>SUM(AY16:BC16)</f>
    </nc>
    <odxf>
      <fill>
        <patternFill>
          <bgColor theme="0" tint="-0.249977111117893"/>
        </patternFill>
      </fill>
      <border outline="0">
        <left/>
      </border>
    </odxf>
    <ndxf>
      <fill>
        <patternFill>
          <bgColor theme="0" tint="-0.14999847407452621"/>
        </patternFill>
      </fill>
      <border outline="0">
        <left style="thin">
          <color indexed="64"/>
        </left>
      </border>
    </ndxf>
  </rcc>
  <rcc rId="8223" sId="5" odxf="1" dxf="1">
    <oc r="BJ16">
      <f>SUM(BE16:BI16)</f>
    </oc>
    <nc r="BJ16">
      <f>SUM(BE16:BI16)</f>
    </nc>
    <odxf>
      <fill>
        <patternFill>
          <bgColor theme="0" tint="-0.249977111117893"/>
        </patternFill>
      </fill>
      <border outline="0">
        <left/>
      </border>
    </odxf>
    <ndxf>
      <fill>
        <patternFill>
          <bgColor theme="0" tint="-0.14999847407452621"/>
        </patternFill>
      </fill>
      <border outline="0">
        <left style="thin">
          <color indexed="64"/>
        </left>
      </border>
    </ndxf>
  </rcc>
  <rcc rId="8224" sId="5" odxf="1" dxf="1">
    <oc r="BP16">
      <f>SUM(BK16:BO16)</f>
    </oc>
    <nc r="BP16">
      <f>SUM(BK16:BO16)</f>
    </nc>
    <odxf>
      <fill>
        <patternFill>
          <bgColor theme="0" tint="-0.249977111117893"/>
        </patternFill>
      </fill>
      <border outline="0">
        <left/>
      </border>
    </odxf>
    <ndxf>
      <fill>
        <patternFill>
          <bgColor theme="0" tint="-0.14999847407452621"/>
        </patternFill>
      </fill>
      <border outline="0">
        <left style="thin">
          <color indexed="64"/>
        </left>
      </border>
    </ndxf>
  </rcc>
  <rcc rId="8225" sId="5" odxf="1" dxf="1">
    <oc r="BV16">
      <f>SUM(BQ16:BU16)</f>
    </oc>
    <nc r="BV16">
      <f>SUM(BQ16:BU16)</f>
    </nc>
    <odxf>
      <fill>
        <patternFill>
          <bgColor theme="0" tint="-0.249977111117893"/>
        </patternFill>
      </fill>
      <border outline="0">
        <left/>
      </border>
    </odxf>
    <ndxf>
      <fill>
        <patternFill>
          <bgColor theme="0" tint="-0.14999847407452621"/>
        </patternFill>
      </fill>
      <border outline="0">
        <left style="thin">
          <color indexed="64"/>
        </left>
      </border>
    </ndxf>
  </rcc>
  <rcc rId="8226" sId="5" odxf="1" dxf="1">
    <oc r="CB16">
      <f>SUM(BW16:CA16)</f>
    </oc>
    <nc r="CB16">
      <f>SUM(BW16:CA16)</f>
    </nc>
    <odxf>
      <fill>
        <patternFill>
          <bgColor theme="0" tint="-0.249977111117893"/>
        </patternFill>
      </fill>
      <border outline="0">
        <left/>
      </border>
    </odxf>
    <ndxf>
      <fill>
        <patternFill>
          <bgColor theme="0" tint="-0.14999847407452621"/>
        </patternFill>
      </fill>
      <border outline="0">
        <left style="thin">
          <color indexed="64"/>
        </left>
      </border>
    </ndxf>
  </rcc>
  <rfmt sheetId="5" sqref="C16:CB16" start="0" length="0">
    <dxf>
      <border>
        <bottom style="thin">
          <color indexed="64"/>
        </bottom>
      </border>
    </dxf>
  </rfmt>
  <rfmt sheetId="5" sqref="H1:H16" start="0" length="0">
    <dxf>
      <border>
        <left style="thin">
          <color indexed="64"/>
        </left>
      </border>
    </dxf>
  </rfmt>
  <rfmt sheetId="5" sqref="H1:H16" start="0" length="0">
    <dxf>
      <border>
        <right style="thin">
          <color indexed="64"/>
        </right>
      </border>
    </dxf>
  </rfmt>
  <rfmt sheetId="5" sqref="N1:N16" start="0" length="0">
    <dxf>
      <border>
        <left style="thin">
          <color indexed="64"/>
        </left>
      </border>
    </dxf>
  </rfmt>
  <rfmt sheetId="5" sqref="N1:N16" start="0" length="0">
    <dxf>
      <border>
        <right style="thin">
          <color indexed="64"/>
        </right>
      </border>
    </dxf>
  </rfmt>
  <rfmt sheetId="5" sqref="T1:T16" start="0" length="0">
    <dxf>
      <border>
        <left style="thin">
          <color indexed="64"/>
        </left>
      </border>
    </dxf>
  </rfmt>
  <rfmt sheetId="5" sqref="T1:T16" start="0" length="0">
    <dxf>
      <border>
        <right style="thin">
          <color indexed="64"/>
        </right>
      </border>
    </dxf>
  </rfmt>
  <rfmt sheetId="10" sqref="Y16" start="0" length="0">
    <dxf>
      <border>
        <left/>
        <right style="thin">
          <color indexed="64"/>
        </right>
        <top/>
        <bottom style="thin">
          <color indexed="64"/>
        </bottom>
      </border>
    </dxf>
  </rfmt>
  <rfmt sheetId="6" sqref="Z1" start="0" length="0">
    <dxf>
      <border outline="0">
        <left style="thin">
          <color auto="1"/>
        </left>
        <right style="thin">
          <color auto="1"/>
        </right>
      </border>
    </dxf>
  </rfmt>
  <rfmt sheetId="6" sqref="AA1" start="0" length="0">
    <dxf>
      <border outline="0">
        <left/>
      </border>
    </dxf>
  </rfmt>
  <rfmt sheetId="6" sqref="AF1" start="0" length="0">
    <dxf>
      <border outline="0">
        <left style="thin">
          <color auto="1"/>
        </left>
        <right style="thin">
          <color auto="1"/>
        </right>
      </border>
    </dxf>
  </rfmt>
  <rfmt sheetId="6" sqref="AG1" start="0" length="0">
    <dxf>
      <border outline="0">
        <left/>
      </border>
    </dxf>
  </rfmt>
  <rfmt sheetId="6" sqref="AL1" start="0" length="0">
    <dxf>
      <border outline="0">
        <left style="thin">
          <color auto="1"/>
        </left>
        <right style="thin">
          <color auto="1"/>
        </right>
      </border>
    </dxf>
  </rfmt>
  <rfmt sheetId="6" sqref="AM1" start="0" length="0">
    <dxf>
      <border outline="0">
        <left/>
      </border>
    </dxf>
  </rfmt>
  <rfmt sheetId="6" sqref="AR1" start="0" length="0">
    <dxf>
      <fill>
        <patternFill>
          <bgColor theme="0" tint="-0.14999847407452621"/>
        </patternFill>
      </fill>
      <border outline="0">
        <left style="thin">
          <color auto="1"/>
        </left>
        <right style="thin">
          <color auto="1"/>
        </right>
      </border>
    </dxf>
  </rfmt>
  <rfmt sheetId="6" sqref="AS1" start="0" length="0">
    <dxf>
      <border outline="0">
        <left/>
      </border>
    </dxf>
  </rfmt>
  <rfmt sheetId="6" sqref="AX1" start="0" length="0">
    <dxf>
      <fill>
        <patternFill>
          <bgColor theme="0" tint="-0.14999847407452621"/>
        </patternFill>
      </fill>
      <border outline="0">
        <left style="thin">
          <color auto="1"/>
        </left>
        <right style="thin">
          <color auto="1"/>
        </right>
      </border>
    </dxf>
  </rfmt>
  <rfmt sheetId="6" sqref="AY1" start="0" length="0">
    <dxf>
      <border outline="0">
        <left/>
      </border>
    </dxf>
  </rfmt>
  <rfmt sheetId="6" sqref="BD1" start="0" length="0">
    <dxf>
      <fill>
        <patternFill>
          <bgColor theme="0" tint="-0.14999847407452621"/>
        </patternFill>
      </fill>
      <border outline="0">
        <left style="thin">
          <color auto="1"/>
        </left>
      </border>
    </dxf>
  </rfmt>
  <rfmt sheetId="6" sqref="BJ1" start="0" length="0">
    <dxf>
      <fill>
        <patternFill>
          <bgColor theme="0" tint="-0.14999847407452621"/>
        </patternFill>
      </fill>
      <border outline="0">
        <left style="thin">
          <color auto="1"/>
        </left>
      </border>
    </dxf>
  </rfmt>
  <rfmt sheetId="6" sqref="BP1" start="0" length="0">
    <dxf>
      <fill>
        <patternFill>
          <bgColor theme="0" tint="-0.14999847407452621"/>
        </patternFill>
      </fill>
      <border outline="0">
        <left style="thin">
          <color auto="1"/>
        </left>
      </border>
    </dxf>
  </rfmt>
  <rfmt sheetId="6" sqref="BV1" start="0" length="0">
    <dxf>
      <fill>
        <patternFill>
          <bgColor theme="0" tint="-0.14999847407452621"/>
        </patternFill>
      </fill>
      <border outline="0">
        <left style="thin">
          <color auto="1"/>
        </left>
      </border>
    </dxf>
  </rfmt>
  <rfmt sheetId="6" sqref="CB1" start="0" length="0">
    <dxf>
      <fill>
        <patternFill>
          <bgColor theme="0" tint="-0.14999847407452621"/>
        </patternFill>
      </fill>
      <border outline="0">
        <left style="thin">
          <color auto="1"/>
        </left>
      </border>
    </dxf>
  </rfmt>
  <rfmt sheetId="6" sqref="Z2" start="0" length="0">
    <dxf>
      <border outline="0">
        <left style="thin">
          <color indexed="64"/>
        </left>
        <right style="thin">
          <color indexed="64"/>
        </right>
      </border>
    </dxf>
  </rfmt>
  <rcc rId="8227" sId="6" odxf="1" dxf="1">
    <oc r="AF2">
      <f>SUM(AA2:AE2)</f>
    </oc>
    <nc r="AF2">
      <f>SUM(AA2:AE2)</f>
    </nc>
    <odxf>
      <border outline="0">
        <left/>
        <right/>
      </border>
    </odxf>
    <ndxf>
      <border outline="0">
        <left style="thin">
          <color indexed="64"/>
        </left>
        <right style="thin">
          <color indexed="64"/>
        </right>
      </border>
    </ndxf>
  </rcc>
  <rcc rId="8228" sId="6" odxf="1" dxf="1">
    <oc r="AL2">
      <f>SUM(AG2:AK2)</f>
    </oc>
    <nc r="AL2">
      <f>SUM(AG2:AK2)</f>
    </nc>
    <odxf>
      <border outline="0">
        <left/>
        <right/>
      </border>
    </odxf>
    <ndxf>
      <border outline="0">
        <left style="thin">
          <color indexed="64"/>
        </left>
        <right style="thin">
          <color indexed="64"/>
        </right>
      </border>
    </ndxf>
  </rcc>
  <rcc rId="8229" sId="6" odxf="1" dxf="1">
    <oc r="AR2">
      <f>SUM(AM2:AQ2)</f>
    </oc>
    <nc r="AR2">
      <f>SUM(AM2:AQ2)</f>
    </nc>
    <odxf>
      <fill>
        <patternFill>
          <bgColor theme="0" tint="-0.249977111117893"/>
        </patternFill>
      </fill>
      <border outline="0">
        <left/>
        <right/>
      </border>
    </odxf>
    <ndxf>
      <fill>
        <patternFill>
          <bgColor theme="0" tint="-0.14999847407452621"/>
        </patternFill>
      </fill>
      <border outline="0">
        <left style="thin">
          <color indexed="64"/>
        </left>
        <right style="thin">
          <color indexed="64"/>
        </right>
      </border>
    </ndxf>
  </rcc>
  <rcc rId="8230" sId="6" odxf="1" dxf="1">
    <oc r="AX2">
      <f>SUM(AS2:AW2)</f>
    </oc>
    <nc r="AX2">
      <f>SUM(AS2:AW2)</f>
    </nc>
    <odxf>
      <fill>
        <patternFill>
          <bgColor theme="0" tint="-0.249977111117893"/>
        </patternFill>
      </fill>
      <border outline="0">
        <left/>
        <right/>
      </border>
    </odxf>
    <ndxf>
      <fill>
        <patternFill>
          <bgColor theme="0" tint="-0.14999847407452621"/>
        </patternFill>
      </fill>
      <border outline="0">
        <left style="thin">
          <color indexed="64"/>
        </left>
        <right style="thin">
          <color indexed="64"/>
        </right>
      </border>
    </ndxf>
  </rcc>
  <rcc rId="8231" sId="6" odxf="1" dxf="1">
    <oc r="BD2">
      <f>SUM(AY2:BC2)</f>
    </oc>
    <nc r="BD2">
      <f>SUM(AY2:BC2)</f>
    </nc>
    <odxf>
      <fill>
        <patternFill>
          <bgColor theme="0" tint="-0.249977111117893"/>
        </patternFill>
      </fill>
      <border outline="0">
        <left/>
      </border>
    </odxf>
    <ndxf>
      <fill>
        <patternFill>
          <bgColor theme="0" tint="-0.14999847407452621"/>
        </patternFill>
      </fill>
      <border outline="0">
        <left style="thin">
          <color indexed="64"/>
        </left>
      </border>
    </ndxf>
  </rcc>
  <rcc rId="8232" sId="6" odxf="1" dxf="1">
    <oc r="BJ2">
      <f>SUM(BE2:BI2)</f>
    </oc>
    <nc r="BJ2">
      <f>SUM(BE2:BI2)</f>
    </nc>
    <odxf>
      <fill>
        <patternFill>
          <bgColor theme="0" tint="-0.249977111117893"/>
        </patternFill>
      </fill>
      <border outline="0">
        <left/>
      </border>
    </odxf>
    <ndxf>
      <fill>
        <patternFill>
          <bgColor theme="0" tint="-0.14999847407452621"/>
        </patternFill>
      </fill>
      <border outline="0">
        <left style="thin">
          <color indexed="64"/>
        </left>
      </border>
    </ndxf>
  </rcc>
  <rcc rId="8233" sId="6" odxf="1" dxf="1">
    <oc r="BP2">
      <f>SUM(BK2:BO2)</f>
    </oc>
    <nc r="BP2">
      <f>SUM(BK2:BO2)</f>
    </nc>
    <odxf>
      <fill>
        <patternFill>
          <bgColor theme="0" tint="-0.249977111117893"/>
        </patternFill>
      </fill>
      <border outline="0">
        <left/>
      </border>
    </odxf>
    <ndxf>
      <fill>
        <patternFill>
          <bgColor theme="0" tint="-0.14999847407452621"/>
        </patternFill>
      </fill>
      <border outline="0">
        <left style="thin">
          <color indexed="64"/>
        </left>
      </border>
    </ndxf>
  </rcc>
  <rcc rId="8234" sId="6" odxf="1" dxf="1">
    <oc r="BV2">
      <f>SUM(BQ2:BU2)</f>
    </oc>
    <nc r="BV2">
      <f>SUM(BQ2:BU2)</f>
    </nc>
    <odxf>
      <fill>
        <patternFill>
          <bgColor theme="0" tint="-0.249977111117893"/>
        </patternFill>
      </fill>
      <border outline="0">
        <left/>
      </border>
    </odxf>
    <ndxf>
      <fill>
        <patternFill>
          <bgColor theme="0" tint="-0.14999847407452621"/>
        </patternFill>
      </fill>
      <border outline="0">
        <left style="thin">
          <color indexed="64"/>
        </left>
      </border>
    </ndxf>
  </rcc>
  <rcc rId="8235" sId="6" odxf="1" dxf="1">
    <oc r="CB2">
      <f>SUM(BW2:CA2)</f>
    </oc>
    <nc r="CB2">
      <f>SUM(BW2:CA2)</f>
    </nc>
    <odxf>
      <fill>
        <patternFill>
          <bgColor theme="0" tint="-0.249977111117893"/>
        </patternFill>
      </fill>
      <border outline="0">
        <left/>
      </border>
    </odxf>
    <ndxf>
      <fill>
        <patternFill>
          <bgColor theme="0" tint="-0.14999847407452621"/>
        </patternFill>
      </fill>
      <border outline="0">
        <left style="thin">
          <color indexed="64"/>
        </left>
      </border>
    </ndxf>
  </rcc>
  <rcc rId="8236" sId="6" odxf="1" dxf="1">
    <oc r="Z3">
      <f>SUM(U3:Y3)</f>
    </oc>
    <nc r="Z3">
      <f>SUM(U3:Y3)</f>
    </nc>
    <odxf>
      <border outline="0">
        <left/>
        <right/>
      </border>
    </odxf>
    <ndxf>
      <border outline="0">
        <left style="thin">
          <color indexed="64"/>
        </left>
        <right style="thin">
          <color indexed="64"/>
        </right>
      </border>
    </ndxf>
  </rcc>
  <rcc rId="8237" sId="6" odxf="1" dxf="1">
    <oc r="AF3">
      <f>SUM(AA3:AE3)</f>
    </oc>
    <nc r="AF3">
      <f>SUM(AA3:AE3)</f>
    </nc>
    <odxf>
      <border outline="0">
        <left/>
        <right/>
      </border>
    </odxf>
    <ndxf>
      <border outline="0">
        <left style="thin">
          <color indexed="64"/>
        </left>
        <right style="thin">
          <color indexed="64"/>
        </right>
      </border>
    </ndxf>
  </rcc>
  <rcc rId="8238" sId="6" odxf="1" dxf="1">
    <oc r="AL3">
      <f>SUM(AG3:AK3)</f>
    </oc>
    <nc r="AL3">
      <f>SUM(AG3:AK3)</f>
    </nc>
    <odxf>
      <border outline="0">
        <left/>
        <right/>
      </border>
    </odxf>
    <ndxf>
      <border outline="0">
        <left style="thin">
          <color indexed="64"/>
        </left>
        <right style="thin">
          <color indexed="64"/>
        </right>
      </border>
    </ndxf>
  </rcc>
  <rcc rId="8239" sId="6" odxf="1" dxf="1">
    <oc r="AR3">
      <f>SUM(AM3:AQ3)</f>
    </oc>
    <nc r="AR3">
      <f>SUM(AM3:AQ3)</f>
    </nc>
    <odxf>
      <fill>
        <patternFill>
          <bgColor theme="0" tint="-0.249977111117893"/>
        </patternFill>
      </fill>
      <border outline="0">
        <left/>
        <right/>
      </border>
    </odxf>
    <ndxf>
      <fill>
        <patternFill>
          <bgColor theme="0" tint="-0.14999847407452621"/>
        </patternFill>
      </fill>
      <border outline="0">
        <left style="thin">
          <color indexed="64"/>
        </left>
        <right style="thin">
          <color indexed="64"/>
        </right>
      </border>
    </ndxf>
  </rcc>
  <rcc rId="8240" sId="6" odxf="1" dxf="1">
    <oc r="AX3">
      <f>SUM(AS3:AW3)</f>
    </oc>
    <nc r="AX3">
      <f>SUM(AS3:AW3)</f>
    </nc>
    <odxf>
      <fill>
        <patternFill>
          <bgColor theme="0" tint="-0.249977111117893"/>
        </patternFill>
      </fill>
      <border outline="0">
        <left/>
        <right/>
      </border>
    </odxf>
    <ndxf>
      <fill>
        <patternFill>
          <bgColor theme="0" tint="-0.14999847407452621"/>
        </patternFill>
      </fill>
      <border outline="0">
        <left style="thin">
          <color indexed="64"/>
        </left>
        <right style="thin">
          <color indexed="64"/>
        </right>
      </border>
    </ndxf>
  </rcc>
  <rcc rId="8241" sId="6" odxf="1" dxf="1">
    <oc r="BD3">
      <f>SUM(AY3:BC3)</f>
    </oc>
    <nc r="BD3">
      <f>SUM(AY3:BC3)</f>
    </nc>
    <odxf>
      <fill>
        <patternFill>
          <bgColor theme="0" tint="-0.249977111117893"/>
        </patternFill>
      </fill>
      <border outline="0">
        <left/>
      </border>
    </odxf>
    <ndxf>
      <fill>
        <patternFill>
          <bgColor theme="0" tint="-0.14999847407452621"/>
        </patternFill>
      </fill>
      <border outline="0">
        <left style="thin">
          <color indexed="64"/>
        </left>
      </border>
    </ndxf>
  </rcc>
  <rcc rId="8242" sId="6" odxf="1" dxf="1">
    <oc r="BJ3">
      <f>SUM(BE3:BI3)</f>
    </oc>
    <nc r="BJ3">
      <f>SUM(BE3:BI3)</f>
    </nc>
    <odxf>
      <fill>
        <patternFill>
          <bgColor theme="0" tint="-0.249977111117893"/>
        </patternFill>
      </fill>
      <border outline="0">
        <left/>
      </border>
    </odxf>
    <ndxf>
      <fill>
        <patternFill>
          <bgColor theme="0" tint="-0.14999847407452621"/>
        </patternFill>
      </fill>
      <border outline="0">
        <left style="thin">
          <color indexed="64"/>
        </left>
      </border>
    </ndxf>
  </rcc>
  <rcc rId="8243" sId="6" odxf="1" dxf="1">
    <oc r="BP3">
      <f>SUM(BK3:BO3)</f>
    </oc>
    <nc r="BP3">
      <f>SUM(BK3:BO3)</f>
    </nc>
    <odxf>
      <fill>
        <patternFill>
          <bgColor theme="0" tint="-0.249977111117893"/>
        </patternFill>
      </fill>
      <border outline="0">
        <left/>
      </border>
    </odxf>
    <ndxf>
      <fill>
        <patternFill>
          <bgColor theme="0" tint="-0.14999847407452621"/>
        </patternFill>
      </fill>
      <border outline="0">
        <left style="thin">
          <color indexed="64"/>
        </left>
      </border>
    </ndxf>
  </rcc>
  <rcc rId="8244" sId="6" odxf="1" dxf="1">
    <oc r="BV3">
      <f>SUM(BQ3:BU3)</f>
    </oc>
    <nc r="BV3">
      <f>SUM(BQ3:BU3)</f>
    </nc>
    <odxf>
      <fill>
        <patternFill>
          <bgColor theme="0" tint="-0.249977111117893"/>
        </patternFill>
      </fill>
      <border outline="0">
        <left/>
      </border>
    </odxf>
    <ndxf>
      <fill>
        <patternFill>
          <bgColor theme="0" tint="-0.14999847407452621"/>
        </patternFill>
      </fill>
      <border outline="0">
        <left style="thin">
          <color indexed="64"/>
        </left>
      </border>
    </ndxf>
  </rcc>
  <rcc rId="8245" sId="6" odxf="1" dxf="1">
    <oc r="CB3">
      <f>SUM(BW3:CA3)</f>
    </oc>
    <nc r="CB3">
      <f>SUM(BW3:CA3)</f>
    </nc>
    <odxf>
      <fill>
        <patternFill>
          <bgColor theme="0" tint="-0.249977111117893"/>
        </patternFill>
      </fill>
      <border outline="0">
        <left/>
      </border>
    </odxf>
    <ndxf>
      <fill>
        <patternFill>
          <bgColor theme="0" tint="-0.14999847407452621"/>
        </patternFill>
      </fill>
      <border outline="0">
        <left style="thin">
          <color indexed="64"/>
        </left>
      </border>
    </ndxf>
  </rcc>
  <rcc rId="8246" sId="6" odxf="1" dxf="1">
    <oc r="Z4">
      <f>SUM(U4:Y4)</f>
    </oc>
    <nc r="Z4">
      <f>SUM(U4:Y4)</f>
    </nc>
    <odxf>
      <border outline="0">
        <left/>
        <right/>
      </border>
    </odxf>
    <ndxf>
      <border outline="0">
        <left style="thin">
          <color indexed="64"/>
        </left>
        <right style="thin">
          <color indexed="64"/>
        </right>
      </border>
    </ndxf>
  </rcc>
  <rcc rId="8247" sId="6" odxf="1" dxf="1">
    <oc r="AF4">
      <f>SUM(AA4:AE4)</f>
    </oc>
    <nc r="AF4">
      <f>SUM(AA4:AE4)</f>
    </nc>
    <odxf>
      <border outline="0">
        <left/>
        <right/>
      </border>
    </odxf>
    <ndxf>
      <border outline="0">
        <left style="thin">
          <color indexed="64"/>
        </left>
        <right style="thin">
          <color indexed="64"/>
        </right>
      </border>
    </ndxf>
  </rcc>
  <rcc rId="8248" sId="6" odxf="1" dxf="1">
    <oc r="AL4">
      <f>SUM(AG4:AK4)</f>
    </oc>
    <nc r="AL4">
      <f>SUM(AG4:AK4)</f>
    </nc>
    <odxf>
      <border outline="0">
        <left/>
        <right/>
      </border>
    </odxf>
    <ndxf>
      <border outline="0">
        <left style="thin">
          <color indexed="64"/>
        </left>
        <right style="thin">
          <color indexed="64"/>
        </right>
      </border>
    </ndxf>
  </rcc>
  <rcc rId="8249" sId="6" odxf="1" dxf="1">
    <oc r="AR4">
      <f>SUM(AM4:AQ4)</f>
    </oc>
    <nc r="AR4">
      <f>SUM(AM4:AQ4)</f>
    </nc>
    <odxf>
      <fill>
        <patternFill>
          <bgColor theme="0" tint="-0.249977111117893"/>
        </patternFill>
      </fill>
      <border outline="0">
        <left/>
        <right/>
      </border>
    </odxf>
    <ndxf>
      <fill>
        <patternFill>
          <bgColor theme="0" tint="-0.14999847407452621"/>
        </patternFill>
      </fill>
      <border outline="0">
        <left style="thin">
          <color indexed="64"/>
        </left>
        <right style="thin">
          <color indexed="64"/>
        </right>
      </border>
    </ndxf>
  </rcc>
  <rcc rId="8250" sId="6" odxf="1" dxf="1">
    <oc r="AX4">
      <f>SUM(AS4:AW4)</f>
    </oc>
    <nc r="AX4">
      <f>SUM(AS4:AW4)</f>
    </nc>
    <odxf>
      <fill>
        <patternFill>
          <bgColor theme="0" tint="-0.249977111117893"/>
        </patternFill>
      </fill>
      <border outline="0">
        <left/>
        <right/>
      </border>
    </odxf>
    <ndxf>
      <fill>
        <patternFill>
          <bgColor theme="0" tint="-0.14999847407452621"/>
        </patternFill>
      </fill>
      <border outline="0">
        <left style="thin">
          <color indexed="64"/>
        </left>
        <right style="thin">
          <color indexed="64"/>
        </right>
      </border>
    </ndxf>
  </rcc>
  <rcc rId="8251" sId="6" odxf="1" dxf="1">
    <oc r="BD4">
      <f>SUM(AY4:BC4)</f>
    </oc>
    <nc r="BD4">
      <f>SUM(AY4:BC4)</f>
    </nc>
    <odxf>
      <fill>
        <patternFill>
          <bgColor theme="0" tint="-0.249977111117893"/>
        </patternFill>
      </fill>
      <border outline="0">
        <left/>
      </border>
    </odxf>
    <ndxf>
      <fill>
        <patternFill>
          <bgColor theme="0" tint="-0.14999847407452621"/>
        </patternFill>
      </fill>
      <border outline="0">
        <left style="thin">
          <color indexed="64"/>
        </left>
      </border>
    </ndxf>
  </rcc>
  <rcc rId="8252" sId="6" odxf="1" dxf="1">
    <oc r="BJ4">
      <f>SUM(BE4:BI4)</f>
    </oc>
    <nc r="BJ4">
      <f>SUM(BE4:BI4)</f>
    </nc>
    <odxf>
      <fill>
        <patternFill>
          <bgColor theme="0" tint="-0.249977111117893"/>
        </patternFill>
      </fill>
      <border outline="0">
        <left/>
      </border>
    </odxf>
    <ndxf>
      <fill>
        <patternFill>
          <bgColor theme="0" tint="-0.14999847407452621"/>
        </patternFill>
      </fill>
      <border outline="0">
        <left style="thin">
          <color indexed="64"/>
        </left>
      </border>
    </ndxf>
  </rcc>
  <rcc rId="8253" sId="6" odxf="1" dxf="1">
    <oc r="BP4">
      <f>SUM(BK4:BO4)</f>
    </oc>
    <nc r="BP4">
      <f>SUM(BK4:BO4)</f>
    </nc>
    <odxf>
      <fill>
        <patternFill>
          <bgColor theme="0" tint="-0.249977111117893"/>
        </patternFill>
      </fill>
      <border outline="0">
        <left/>
      </border>
    </odxf>
    <ndxf>
      <fill>
        <patternFill>
          <bgColor theme="0" tint="-0.14999847407452621"/>
        </patternFill>
      </fill>
      <border outline="0">
        <left style="thin">
          <color indexed="64"/>
        </left>
      </border>
    </ndxf>
  </rcc>
  <rcc rId="8254" sId="6" odxf="1" dxf="1">
    <oc r="BV4">
      <f>SUM(BQ4:BU4)</f>
    </oc>
    <nc r="BV4">
      <f>SUM(BQ4:BU4)</f>
    </nc>
    <odxf>
      <fill>
        <patternFill>
          <bgColor theme="0" tint="-0.249977111117893"/>
        </patternFill>
      </fill>
      <border outline="0">
        <left/>
      </border>
    </odxf>
    <ndxf>
      <fill>
        <patternFill>
          <bgColor theme="0" tint="-0.14999847407452621"/>
        </patternFill>
      </fill>
      <border outline="0">
        <left style="thin">
          <color indexed="64"/>
        </left>
      </border>
    </ndxf>
  </rcc>
  <rcc rId="8255" sId="6" odxf="1" dxf="1">
    <oc r="CB4">
      <f>SUM(BW4:CA4)</f>
    </oc>
    <nc r="CB4">
      <f>SUM(BW4:CA4)</f>
    </nc>
    <odxf>
      <fill>
        <patternFill>
          <bgColor theme="0" tint="-0.249977111117893"/>
        </patternFill>
      </fill>
      <border outline="0">
        <left/>
      </border>
    </odxf>
    <ndxf>
      <fill>
        <patternFill>
          <bgColor theme="0" tint="-0.14999847407452621"/>
        </patternFill>
      </fill>
      <border outline="0">
        <left style="thin">
          <color indexed="64"/>
        </left>
      </border>
    </ndxf>
  </rcc>
  <rcc rId="8256" sId="6" odxf="1" dxf="1">
    <oc r="Z5">
      <f>SUM(U5:Y5)</f>
    </oc>
    <nc r="Z5">
      <f>SUM(U5:Y5)</f>
    </nc>
    <odxf>
      <border outline="0">
        <left/>
        <right/>
      </border>
    </odxf>
    <ndxf>
      <border outline="0">
        <left style="thin">
          <color indexed="64"/>
        </left>
        <right style="thin">
          <color indexed="64"/>
        </right>
      </border>
    </ndxf>
  </rcc>
  <rcc rId="8257" sId="6" odxf="1" dxf="1">
    <oc r="AF5">
      <f>SUM(AA5:AE5)</f>
    </oc>
    <nc r="AF5">
      <f>SUM(AA5:AE5)</f>
    </nc>
    <odxf>
      <border outline="0">
        <left/>
        <right/>
      </border>
    </odxf>
    <ndxf>
      <border outline="0">
        <left style="thin">
          <color indexed="64"/>
        </left>
        <right style="thin">
          <color indexed="64"/>
        </right>
      </border>
    </ndxf>
  </rcc>
  <rcc rId="8258" sId="6" odxf="1" dxf="1">
    <oc r="AL5">
      <f>SUM(AG5:AK5)</f>
    </oc>
    <nc r="AL5">
      <f>SUM(AG5:AK5)</f>
    </nc>
    <odxf>
      <border outline="0">
        <left/>
        <right/>
      </border>
    </odxf>
    <ndxf>
      <border outline="0">
        <left style="thin">
          <color indexed="64"/>
        </left>
        <right style="thin">
          <color indexed="64"/>
        </right>
      </border>
    </ndxf>
  </rcc>
  <rcc rId="8259" sId="6" odxf="1" dxf="1">
    <oc r="AR5">
      <f>SUM(AM5:AQ5)</f>
    </oc>
    <nc r="AR5">
      <f>SUM(AM5:AQ5)</f>
    </nc>
    <odxf>
      <fill>
        <patternFill>
          <bgColor theme="0" tint="-0.249977111117893"/>
        </patternFill>
      </fill>
      <border outline="0">
        <left/>
        <right/>
      </border>
    </odxf>
    <ndxf>
      <fill>
        <patternFill>
          <bgColor theme="0" tint="-0.14999847407452621"/>
        </patternFill>
      </fill>
      <border outline="0">
        <left style="thin">
          <color indexed="64"/>
        </left>
        <right style="thin">
          <color indexed="64"/>
        </right>
      </border>
    </ndxf>
  </rcc>
  <rcc rId="8260" sId="6" odxf="1" dxf="1">
    <oc r="AX5">
      <f>SUM(AS5:AW5)</f>
    </oc>
    <nc r="AX5">
      <f>SUM(AS5:AW5)</f>
    </nc>
    <odxf>
      <fill>
        <patternFill>
          <bgColor theme="0" tint="-0.249977111117893"/>
        </patternFill>
      </fill>
      <border outline="0">
        <left/>
        <right/>
      </border>
    </odxf>
    <ndxf>
      <fill>
        <patternFill>
          <bgColor theme="0" tint="-0.14999847407452621"/>
        </patternFill>
      </fill>
      <border outline="0">
        <left style="thin">
          <color indexed="64"/>
        </left>
        <right style="thin">
          <color indexed="64"/>
        </right>
      </border>
    </ndxf>
  </rcc>
  <rcc rId="8261" sId="6" odxf="1" dxf="1">
    <oc r="BD5">
      <f>SUM(AY5:BC5)</f>
    </oc>
    <nc r="BD5">
      <f>SUM(AY5:BC5)</f>
    </nc>
    <odxf>
      <fill>
        <patternFill>
          <bgColor theme="0" tint="-0.249977111117893"/>
        </patternFill>
      </fill>
      <border outline="0">
        <left/>
      </border>
    </odxf>
    <ndxf>
      <fill>
        <patternFill>
          <bgColor theme="0" tint="-0.14999847407452621"/>
        </patternFill>
      </fill>
      <border outline="0">
        <left style="thin">
          <color indexed="64"/>
        </left>
      </border>
    </ndxf>
  </rcc>
  <rcc rId="8262" sId="6" odxf="1" dxf="1">
    <oc r="BJ5">
      <f>SUM(BE5:BI5)</f>
    </oc>
    <nc r="BJ5">
      <f>SUM(BE5:BI5)</f>
    </nc>
    <odxf>
      <fill>
        <patternFill>
          <bgColor theme="0" tint="-0.249977111117893"/>
        </patternFill>
      </fill>
      <border outline="0">
        <left/>
      </border>
    </odxf>
    <ndxf>
      <fill>
        <patternFill>
          <bgColor theme="0" tint="-0.14999847407452621"/>
        </patternFill>
      </fill>
      <border outline="0">
        <left style="thin">
          <color indexed="64"/>
        </left>
      </border>
    </ndxf>
  </rcc>
  <rcc rId="8263" sId="6" odxf="1" dxf="1">
    <oc r="BP5">
      <f>SUM(BK5:BO5)</f>
    </oc>
    <nc r="BP5">
      <f>SUM(BK5:BO5)</f>
    </nc>
    <odxf>
      <fill>
        <patternFill>
          <bgColor theme="0" tint="-0.249977111117893"/>
        </patternFill>
      </fill>
      <border outline="0">
        <left/>
      </border>
    </odxf>
    <ndxf>
      <fill>
        <patternFill>
          <bgColor theme="0" tint="-0.14999847407452621"/>
        </patternFill>
      </fill>
      <border outline="0">
        <left style="thin">
          <color indexed="64"/>
        </left>
      </border>
    </ndxf>
  </rcc>
  <rcc rId="8264" sId="6" odxf="1" dxf="1">
    <oc r="BV5">
      <f>SUM(BQ5:BU5)</f>
    </oc>
    <nc r="BV5">
      <f>SUM(BQ5:BU5)</f>
    </nc>
    <odxf>
      <fill>
        <patternFill>
          <bgColor theme="0" tint="-0.249977111117893"/>
        </patternFill>
      </fill>
      <border outline="0">
        <left/>
      </border>
    </odxf>
    <ndxf>
      <fill>
        <patternFill>
          <bgColor theme="0" tint="-0.14999847407452621"/>
        </patternFill>
      </fill>
      <border outline="0">
        <left style="thin">
          <color indexed="64"/>
        </left>
      </border>
    </ndxf>
  </rcc>
  <rcc rId="8265" sId="6" odxf="1" dxf="1">
    <oc r="CB5">
      <f>SUM(BW5:CA5)</f>
    </oc>
    <nc r="CB5">
      <f>SUM(BW5:CA5)</f>
    </nc>
    <odxf>
      <fill>
        <patternFill>
          <bgColor theme="0" tint="-0.249977111117893"/>
        </patternFill>
      </fill>
      <border outline="0">
        <left/>
      </border>
    </odxf>
    <ndxf>
      <fill>
        <patternFill>
          <bgColor theme="0" tint="-0.14999847407452621"/>
        </patternFill>
      </fill>
      <border outline="0">
        <left style="thin">
          <color indexed="64"/>
        </left>
      </border>
    </ndxf>
  </rcc>
  <rcc rId="8266" sId="6" odxf="1" dxf="1">
    <oc r="Z6">
      <f>SUM(U6:Y6)</f>
    </oc>
    <nc r="Z6">
      <f>SUM(U6:Y6)</f>
    </nc>
    <odxf>
      <border outline="0">
        <left/>
        <right/>
      </border>
    </odxf>
    <ndxf>
      <border outline="0">
        <left style="thin">
          <color indexed="64"/>
        </left>
        <right style="thin">
          <color indexed="64"/>
        </right>
      </border>
    </ndxf>
  </rcc>
  <rcc rId="8267" sId="6" odxf="1" dxf="1">
    <oc r="AF6">
      <f>SUM(AA6:AE6)</f>
    </oc>
    <nc r="AF6">
      <f>SUM(AA6:AE6)</f>
    </nc>
    <odxf>
      <border outline="0">
        <left/>
        <right/>
      </border>
    </odxf>
    <ndxf>
      <border outline="0">
        <left style="thin">
          <color indexed="64"/>
        </left>
        <right style="thin">
          <color indexed="64"/>
        </right>
      </border>
    </ndxf>
  </rcc>
  <rcc rId="8268" sId="6" odxf="1" dxf="1">
    <oc r="AL6">
      <f>SUM(AG6:AK6)</f>
    </oc>
    <nc r="AL6">
      <f>SUM(AG6:AK6)</f>
    </nc>
    <odxf>
      <border outline="0">
        <left/>
        <right/>
      </border>
    </odxf>
    <ndxf>
      <border outline="0">
        <left style="thin">
          <color indexed="64"/>
        </left>
        <right style="thin">
          <color indexed="64"/>
        </right>
      </border>
    </ndxf>
  </rcc>
  <rcc rId="8269" sId="6" odxf="1" dxf="1">
    <oc r="AR6">
      <f>SUM(AM6:AQ6)</f>
    </oc>
    <nc r="AR6">
      <f>SUM(AM6:AQ6)</f>
    </nc>
    <odxf>
      <fill>
        <patternFill>
          <bgColor theme="0" tint="-0.249977111117893"/>
        </patternFill>
      </fill>
      <border outline="0">
        <left/>
        <right/>
      </border>
    </odxf>
    <ndxf>
      <fill>
        <patternFill>
          <bgColor theme="0" tint="-0.14999847407452621"/>
        </patternFill>
      </fill>
      <border outline="0">
        <left style="thin">
          <color indexed="64"/>
        </left>
        <right style="thin">
          <color indexed="64"/>
        </right>
      </border>
    </ndxf>
  </rcc>
  <rcc rId="8270" sId="6" odxf="1" dxf="1">
    <oc r="AX6">
      <f>SUM(AS6:AW6)</f>
    </oc>
    <nc r="AX6">
      <f>SUM(AS6:AW6)</f>
    </nc>
    <odxf>
      <fill>
        <patternFill>
          <bgColor theme="0" tint="-0.249977111117893"/>
        </patternFill>
      </fill>
      <border outline="0">
        <left/>
        <right/>
      </border>
    </odxf>
    <ndxf>
      <fill>
        <patternFill>
          <bgColor theme="0" tint="-0.14999847407452621"/>
        </patternFill>
      </fill>
      <border outline="0">
        <left style="thin">
          <color indexed="64"/>
        </left>
        <right style="thin">
          <color indexed="64"/>
        </right>
      </border>
    </ndxf>
  </rcc>
  <rcc rId="8271" sId="6" odxf="1" dxf="1">
    <oc r="BD6">
      <f>SUM(AY6:BC6)</f>
    </oc>
    <nc r="BD6">
      <f>SUM(AY6:BC6)</f>
    </nc>
    <odxf>
      <fill>
        <patternFill>
          <bgColor theme="0" tint="-0.249977111117893"/>
        </patternFill>
      </fill>
      <border outline="0">
        <left/>
      </border>
    </odxf>
    <ndxf>
      <fill>
        <patternFill>
          <bgColor theme="0" tint="-0.14999847407452621"/>
        </patternFill>
      </fill>
      <border outline="0">
        <left style="thin">
          <color indexed="64"/>
        </left>
      </border>
    </ndxf>
  </rcc>
  <rcc rId="8272" sId="6" odxf="1" dxf="1">
    <oc r="BJ6">
      <f>SUM(BE6:BI6)</f>
    </oc>
    <nc r="BJ6">
      <f>SUM(BE6:BI6)</f>
    </nc>
    <odxf>
      <fill>
        <patternFill>
          <bgColor theme="0" tint="-0.249977111117893"/>
        </patternFill>
      </fill>
      <border outline="0">
        <left/>
      </border>
    </odxf>
    <ndxf>
      <fill>
        <patternFill>
          <bgColor theme="0" tint="-0.14999847407452621"/>
        </patternFill>
      </fill>
      <border outline="0">
        <left style="thin">
          <color indexed="64"/>
        </left>
      </border>
    </ndxf>
  </rcc>
  <rcc rId="8273" sId="6" odxf="1" dxf="1">
    <oc r="BP6">
      <f>SUM(BK6:BO6)</f>
    </oc>
    <nc r="BP6">
      <f>SUM(BK6:BO6)</f>
    </nc>
    <odxf>
      <fill>
        <patternFill>
          <bgColor theme="0" tint="-0.249977111117893"/>
        </patternFill>
      </fill>
      <border outline="0">
        <left/>
      </border>
    </odxf>
    <ndxf>
      <fill>
        <patternFill>
          <bgColor theme="0" tint="-0.14999847407452621"/>
        </patternFill>
      </fill>
      <border outline="0">
        <left style="thin">
          <color indexed="64"/>
        </left>
      </border>
    </ndxf>
  </rcc>
  <rcc rId="8274" sId="6" odxf="1" dxf="1">
    <oc r="BV6">
      <f>SUM(BQ6:BU6)</f>
    </oc>
    <nc r="BV6">
      <f>SUM(BQ6:BU6)</f>
    </nc>
    <odxf>
      <fill>
        <patternFill>
          <bgColor theme="0" tint="-0.249977111117893"/>
        </patternFill>
      </fill>
      <border outline="0">
        <left/>
      </border>
    </odxf>
    <ndxf>
      <fill>
        <patternFill>
          <bgColor theme="0" tint="-0.14999847407452621"/>
        </patternFill>
      </fill>
      <border outline="0">
        <left style="thin">
          <color indexed="64"/>
        </left>
      </border>
    </ndxf>
  </rcc>
  <rcc rId="8275" sId="6" odxf="1" dxf="1">
    <oc r="CB6">
      <f>SUM(BW6:CA6)</f>
    </oc>
    <nc r="CB6">
      <f>SUM(BW6:CA6)</f>
    </nc>
    <odxf>
      <fill>
        <patternFill>
          <bgColor theme="0" tint="-0.249977111117893"/>
        </patternFill>
      </fill>
      <border outline="0">
        <left/>
      </border>
    </odxf>
    <ndxf>
      <fill>
        <patternFill>
          <bgColor theme="0" tint="-0.14999847407452621"/>
        </patternFill>
      </fill>
      <border outline="0">
        <left style="thin">
          <color indexed="64"/>
        </left>
      </border>
    </ndxf>
  </rcc>
  <rcc rId="8276" sId="6" odxf="1" dxf="1">
    <oc r="Z7">
      <f>SUM(U7:Y7)</f>
    </oc>
    <nc r="Z7">
      <f>SUM(U7:Y7)</f>
    </nc>
    <odxf>
      <border outline="0">
        <left/>
        <right/>
      </border>
    </odxf>
    <ndxf>
      <border outline="0">
        <left style="thin">
          <color indexed="64"/>
        </left>
        <right style="thin">
          <color indexed="64"/>
        </right>
      </border>
    </ndxf>
  </rcc>
  <rcc rId="8277" sId="6" odxf="1" dxf="1">
    <oc r="AF7">
      <f>SUM(AA7:AE7)</f>
    </oc>
    <nc r="AF7">
      <f>SUM(AA7:AE7)</f>
    </nc>
    <odxf>
      <border outline="0">
        <left/>
        <right/>
      </border>
    </odxf>
    <ndxf>
      <border outline="0">
        <left style="thin">
          <color indexed="64"/>
        </left>
        <right style="thin">
          <color indexed="64"/>
        </right>
      </border>
    </ndxf>
  </rcc>
  <rcc rId="8278" sId="6" odxf="1" dxf="1">
    <oc r="AL7">
      <f>SUM(AG7:AK7)</f>
    </oc>
    <nc r="AL7">
      <f>SUM(AG7:AK7)</f>
    </nc>
    <odxf>
      <border outline="0">
        <left/>
        <right/>
      </border>
    </odxf>
    <ndxf>
      <border outline="0">
        <left style="thin">
          <color indexed="64"/>
        </left>
        <right style="thin">
          <color indexed="64"/>
        </right>
      </border>
    </ndxf>
  </rcc>
  <rcc rId="8279" sId="6" odxf="1" dxf="1">
    <oc r="AR7">
      <f>SUM(AM7:AQ7)</f>
    </oc>
    <nc r="AR7">
      <f>SUM(AM7:AQ7)</f>
    </nc>
    <odxf>
      <fill>
        <patternFill>
          <bgColor theme="0" tint="-0.249977111117893"/>
        </patternFill>
      </fill>
      <border outline="0">
        <left/>
        <right/>
      </border>
    </odxf>
    <ndxf>
      <fill>
        <patternFill>
          <bgColor theme="0" tint="-0.14999847407452621"/>
        </patternFill>
      </fill>
      <border outline="0">
        <left style="thin">
          <color indexed="64"/>
        </left>
        <right style="thin">
          <color indexed="64"/>
        </right>
      </border>
    </ndxf>
  </rcc>
  <rcc rId="8280" sId="6" odxf="1" dxf="1">
    <oc r="AX7">
      <f>SUM(AS7:AW7)</f>
    </oc>
    <nc r="AX7">
      <f>SUM(AS7:AW7)</f>
    </nc>
    <odxf>
      <fill>
        <patternFill>
          <bgColor theme="0" tint="-0.249977111117893"/>
        </patternFill>
      </fill>
      <border outline="0">
        <left/>
        <right/>
      </border>
    </odxf>
    <ndxf>
      <fill>
        <patternFill>
          <bgColor theme="0" tint="-0.14999847407452621"/>
        </patternFill>
      </fill>
      <border outline="0">
        <left style="thin">
          <color indexed="64"/>
        </left>
        <right style="thin">
          <color indexed="64"/>
        </right>
      </border>
    </ndxf>
  </rcc>
  <rcc rId="8281" sId="6" odxf="1" dxf="1">
    <oc r="BD7">
      <f>SUM(AY7:BC7)</f>
    </oc>
    <nc r="BD7">
      <f>SUM(AY7:BC7)</f>
    </nc>
    <odxf>
      <fill>
        <patternFill>
          <bgColor theme="0" tint="-0.249977111117893"/>
        </patternFill>
      </fill>
      <border outline="0">
        <left/>
      </border>
    </odxf>
    <ndxf>
      <fill>
        <patternFill>
          <bgColor theme="0" tint="-0.14999847407452621"/>
        </patternFill>
      </fill>
      <border outline="0">
        <left style="thin">
          <color indexed="64"/>
        </left>
      </border>
    </ndxf>
  </rcc>
  <rcc rId="8282" sId="6" odxf="1" dxf="1">
    <oc r="BJ7">
      <f>SUM(BE7:BI7)</f>
    </oc>
    <nc r="BJ7">
      <f>SUM(BE7:BI7)</f>
    </nc>
    <odxf>
      <fill>
        <patternFill>
          <bgColor theme="0" tint="-0.249977111117893"/>
        </patternFill>
      </fill>
      <border outline="0">
        <left/>
      </border>
    </odxf>
    <ndxf>
      <fill>
        <patternFill>
          <bgColor theme="0" tint="-0.14999847407452621"/>
        </patternFill>
      </fill>
      <border outline="0">
        <left style="thin">
          <color indexed="64"/>
        </left>
      </border>
    </ndxf>
  </rcc>
  <rcc rId="8283" sId="6" odxf="1" dxf="1">
    <oc r="BP7">
      <f>SUM(BK7:BO7)</f>
    </oc>
    <nc r="BP7">
      <f>SUM(BK7:BO7)</f>
    </nc>
    <odxf>
      <fill>
        <patternFill>
          <bgColor theme="0" tint="-0.249977111117893"/>
        </patternFill>
      </fill>
      <border outline="0">
        <left/>
      </border>
    </odxf>
    <ndxf>
      <fill>
        <patternFill>
          <bgColor theme="0" tint="-0.14999847407452621"/>
        </patternFill>
      </fill>
      <border outline="0">
        <left style="thin">
          <color indexed="64"/>
        </left>
      </border>
    </ndxf>
  </rcc>
  <rcc rId="8284" sId="6" odxf="1" dxf="1">
    <oc r="BV7">
      <f>SUM(BQ7:BU7)</f>
    </oc>
    <nc r="BV7">
      <f>SUM(BQ7:BU7)</f>
    </nc>
    <odxf>
      <fill>
        <patternFill>
          <bgColor theme="0" tint="-0.249977111117893"/>
        </patternFill>
      </fill>
      <border outline="0">
        <left/>
      </border>
    </odxf>
    <ndxf>
      <fill>
        <patternFill>
          <bgColor theme="0" tint="-0.14999847407452621"/>
        </patternFill>
      </fill>
      <border outline="0">
        <left style="thin">
          <color indexed="64"/>
        </left>
      </border>
    </ndxf>
  </rcc>
  <rcc rId="8285" sId="6" odxf="1" dxf="1">
    <oc r="CB7">
      <f>SUM(BW7:CA7)</f>
    </oc>
    <nc r="CB7">
      <f>SUM(BW7:CA7)</f>
    </nc>
    <odxf>
      <fill>
        <patternFill>
          <bgColor theme="0" tint="-0.249977111117893"/>
        </patternFill>
      </fill>
      <border outline="0">
        <left/>
      </border>
    </odxf>
    <ndxf>
      <fill>
        <patternFill>
          <bgColor theme="0" tint="-0.14999847407452621"/>
        </patternFill>
      </fill>
      <border outline="0">
        <left style="thin">
          <color indexed="64"/>
        </left>
      </border>
    </ndxf>
  </rcc>
  <rcc rId="8286" sId="6" odxf="1" dxf="1">
    <oc r="Z8">
      <f>SUM(U8:Y8)</f>
    </oc>
    <nc r="Z8">
      <f>SUM(U8:Y8)</f>
    </nc>
    <odxf>
      <border outline="0">
        <left/>
        <right/>
      </border>
    </odxf>
    <ndxf>
      <border outline="0">
        <left style="thin">
          <color indexed="64"/>
        </left>
        <right style="thin">
          <color indexed="64"/>
        </right>
      </border>
    </ndxf>
  </rcc>
  <rcc rId="8287" sId="6" odxf="1" dxf="1">
    <oc r="AF8">
      <f>SUM(AA8:AE8)</f>
    </oc>
    <nc r="AF8">
      <f>SUM(AA8:AE8)</f>
    </nc>
    <odxf>
      <border outline="0">
        <left/>
        <right/>
      </border>
    </odxf>
    <ndxf>
      <border outline="0">
        <left style="thin">
          <color indexed="64"/>
        </left>
        <right style="thin">
          <color indexed="64"/>
        </right>
      </border>
    </ndxf>
  </rcc>
  <rcc rId="8288" sId="6" odxf="1" dxf="1">
    <oc r="AL8">
      <f>SUM(AG8:AK8)</f>
    </oc>
    <nc r="AL8">
      <f>SUM(AG8:AK8)</f>
    </nc>
    <odxf>
      <border outline="0">
        <left/>
        <right/>
      </border>
    </odxf>
    <ndxf>
      <border outline="0">
        <left style="thin">
          <color indexed="64"/>
        </left>
        <right style="thin">
          <color indexed="64"/>
        </right>
      </border>
    </ndxf>
  </rcc>
  <rcc rId="8289" sId="6" odxf="1" dxf="1">
    <oc r="AR8">
      <f>SUM(AM8:AQ8)</f>
    </oc>
    <nc r="AR8">
      <f>SUM(AM8:AQ8)</f>
    </nc>
    <odxf>
      <fill>
        <patternFill>
          <bgColor theme="0" tint="-0.249977111117893"/>
        </patternFill>
      </fill>
      <border outline="0">
        <left/>
        <right/>
      </border>
    </odxf>
    <ndxf>
      <fill>
        <patternFill>
          <bgColor theme="0" tint="-0.14999847407452621"/>
        </patternFill>
      </fill>
      <border outline="0">
        <left style="thin">
          <color indexed="64"/>
        </left>
        <right style="thin">
          <color indexed="64"/>
        </right>
      </border>
    </ndxf>
  </rcc>
  <rcc rId="8290" sId="6" odxf="1" dxf="1">
    <oc r="AX8">
      <f>SUM(AS8:AW8)</f>
    </oc>
    <nc r="AX8">
      <f>SUM(AS8:AW8)</f>
    </nc>
    <odxf>
      <fill>
        <patternFill>
          <bgColor theme="0" tint="-0.249977111117893"/>
        </patternFill>
      </fill>
      <border outline="0">
        <left/>
        <right/>
      </border>
    </odxf>
    <ndxf>
      <fill>
        <patternFill>
          <bgColor theme="0" tint="-0.14999847407452621"/>
        </patternFill>
      </fill>
      <border outline="0">
        <left style="thin">
          <color indexed="64"/>
        </left>
        <right style="thin">
          <color indexed="64"/>
        </right>
      </border>
    </ndxf>
  </rcc>
  <rcc rId="8291" sId="6" odxf="1" dxf="1">
    <oc r="BD8">
      <f>SUM(AY8:BC8)</f>
    </oc>
    <nc r="BD8">
      <f>SUM(AY8:BC8)</f>
    </nc>
    <odxf>
      <fill>
        <patternFill>
          <bgColor theme="0" tint="-0.249977111117893"/>
        </patternFill>
      </fill>
      <border outline="0">
        <left/>
      </border>
    </odxf>
    <ndxf>
      <fill>
        <patternFill>
          <bgColor theme="0" tint="-0.14999847407452621"/>
        </patternFill>
      </fill>
      <border outline="0">
        <left style="thin">
          <color indexed="64"/>
        </left>
      </border>
    </ndxf>
  </rcc>
  <rcc rId="8292" sId="6" odxf="1" dxf="1">
    <oc r="BJ8">
      <f>SUM(BE8:BI8)</f>
    </oc>
    <nc r="BJ8">
      <f>SUM(BE8:BI8)</f>
    </nc>
    <odxf>
      <fill>
        <patternFill>
          <bgColor theme="0" tint="-0.249977111117893"/>
        </patternFill>
      </fill>
      <border outline="0">
        <left/>
      </border>
    </odxf>
    <ndxf>
      <fill>
        <patternFill>
          <bgColor theme="0" tint="-0.14999847407452621"/>
        </patternFill>
      </fill>
      <border outline="0">
        <left style="thin">
          <color indexed="64"/>
        </left>
      </border>
    </ndxf>
  </rcc>
  <rcc rId="8293" sId="6" odxf="1" dxf="1">
    <oc r="BP8">
      <f>SUM(BK8:BO8)</f>
    </oc>
    <nc r="BP8">
      <f>SUM(BK8:BO8)</f>
    </nc>
    <odxf>
      <fill>
        <patternFill>
          <bgColor theme="0" tint="-0.249977111117893"/>
        </patternFill>
      </fill>
      <border outline="0">
        <left/>
      </border>
    </odxf>
    <ndxf>
      <fill>
        <patternFill>
          <bgColor theme="0" tint="-0.14999847407452621"/>
        </patternFill>
      </fill>
      <border outline="0">
        <left style="thin">
          <color indexed="64"/>
        </left>
      </border>
    </ndxf>
  </rcc>
  <rcc rId="8294" sId="6" odxf="1" dxf="1">
    <oc r="BV8">
      <f>SUM(BQ8:BU8)</f>
    </oc>
    <nc r="BV8">
      <f>SUM(BQ8:BU8)</f>
    </nc>
    <odxf>
      <fill>
        <patternFill>
          <bgColor theme="0" tint="-0.249977111117893"/>
        </patternFill>
      </fill>
      <border outline="0">
        <left/>
      </border>
    </odxf>
    <ndxf>
      <fill>
        <patternFill>
          <bgColor theme="0" tint="-0.14999847407452621"/>
        </patternFill>
      </fill>
      <border outline="0">
        <left style="thin">
          <color indexed="64"/>
        </left>
      </border>
    </ndxf>
  </rcc>
  <rcc rId="8295" sId="6" odxf="1" dxf="1">
    <oc r="CB8">
      <f>SUM(BW8:CA8)</f>
    </oc>
    <nc r="CB8">
      <f>SUM(BW8:CA8)</f>
    </nc>
    <odxf>
      <fill>
        <patternFill>
          <bgColor theme="0" tint="-0.249977111117893"/>
        </patternFill>
      </fill>
      <border outline="0">
        <left/>
      </border>
    </odxf>
    <ndxf>
      <fill>
        <patternFill>
          <bgColor theme="0" tint="-0.14999847407452621"/>
        </patternFill>
      </fill>
      <border outline="0">
        <left style="thin">
          <color indexed="64"/>
        </left>
      </border>
    </ndxf>
  </rcc>
  <rcc rId="8296" sId="6" odxf="1" dxf="1">
    <oc r="Z9">
      <f>SUM(U9:Y9)</f>
    </oc>
    <nc r="Z9">
      <f>SUM(U9:Y9)</f>
    </nc>
    <odxf>
      <border outline="0">
        <left/>
        <right/>
      </border>
    </odxf>
    <ndxf>
      <border outline="0">
        <left style="thin">
          <color indexed="64"/>
        </left>
        <right style="thin">
          <color indexed="64"/>
        </right>
      </border>
    </ndxf>
  </rcc>
  <rcc rId="8297" sId="6" odxf="1" dxf="1">
    <oc r="AF9">
      <f>SUM(AA9:AE9)</f>
    </oc>
    <nc r="AF9">
      <f>SUM(AA9:AE9)</f>
    </nc>
    <odxf>
      <border outline="0">
        <left/>
        <right/>
      </border>
    </odxf>
    <ndxf>
      <border outline="0">
        <left style="thin">
          <color indexed="64"/>
        </left>
        <right style="thin">
          <color indexed="64"/>
        </right>
      </border>
    </ndxf>
  </rcc>
  <rcc rId="8298" sId="6" odxf="1" dxf="1">
    <oc r="AL9">
      <f>SUM(AG9:AK9)</f>
    </oc>
    <nc r="AL9">
      <f>SUM(AG9:AK9)</f>
    </nc>
    <odxf>
      <border outline="0">
        <left/>
        <right/>
      </border>
    </odxf>
    <ndxf>
      <border outline="0">
        <left style="thin">
          <color indexed="64"/>
        </left>
        <right style="thin">
          <color indexed="64"/>
        </right>
      </border>
    </ndxf>
  </rcc>
  <rcc rId="8299" sId="6" odxf="1" dxf="1">
    <oc r="AR9">
      <f>SUM(AM9:AQ9)</f>
    </oc>
    <nc r="AR9">
      <f>SUM(AM9:AQ9)</f>
    </nc>
    <odxf>
      <fill>
        <patternFill>
          <bgColor theme="0" tint="-0.249977111117893"/>
        </patternFill>
      </fill>
      <border outline="0">
        <left/>
        <right/>
      </border>
    </odxf>
    <ndxf>
      <fill>
        <patternFill>
          <bgColor theme="0" tint="-0.14999847407452621"/>
        </patternFill>
      </fill>
      <border outline="0">
        <left style="thin">
          <color indexed="64"/>
        </left>
        <right style="thin">
          <color indexed="64"/>
        </right>
      </border>
    </ndxf>
  </rcc>
  <rcc rId="8300" sId="6" odxf="1" dxf="1">
    <oc r="AX9">
      <f>SUM(AS9:AW9)</f>
    </oc>
    <nc r="AX9">
      <f>SUM(AS9:AW9)</f>
    </nc>
    <odxf>
      <fill>
        <patternFill>
          <bgColor theme="0" tint="-0.249977111117893"/>
        </patternFill>
      </fill>
      <border outline="0">
        <left/>
        <right/>
      </border>
    </odxf>
    <ndxf>
      <fill>
        <patternFill>
          <bgColor theme="0" tint="-0.14999847407452621"/>
        </patternFill>
      </fill>
      <border outline="0">
        <left style="thin">
          <color indexed="64"/>
        </left>
        <right style="thin">
          <color indexed="64"/>
        </right>
      </border>
    </ndxf>
  </rcc>
  <rcc rId="8301" sId="6" odxf="1" dxf="1">
    <oc r="BD9">
      <f>SUM(AY9:BC9)</f>
    </oc>
    <nc r="BD9">
      <f>SUM(AY9:BC9)</f>
    </nc>
    <odxf>
      <fill>
        <patternFill>
          <bgColor theme="0" tint="-0.249977111117893"/>
        </patternFill>
      </fill>
      <border outline="0">
        <left/>
      </border>
    </odxf>
    <ndxf>
      <fill>
        <patternFill>
          <bgColor theme="0" tint="-0.14999847407452621"/>
        </patternFill>
      </fill>
      <border outline="0">
        <left style="thin">
          <color indexed="64"/>
        </left>
      </border>
    </ndxf>
  </rcc>
  <rcc rId="8302" sId="6" odxf="1" dxf="1">
    <oc r="BJ9">
      <f>SUM(BE9:BI9)</f>
    </oc>
    <nc r="BJ9">
      <f>SUM(BE9:BI9)</f>
    </nc>
    <odxf>
      <fill>
        <patternFill>
          <bgColor theme="0" tint="-0.249977111117893"/>
        </patternFill>
      </fill>
      <border outline="0">
        <left/>
      </border>
    </odxf>
    <ndxf>
      <fill>
        <patternFill>
          <bgColor theme="0" tint="-0.14999847407452621"/>
        </patternFill>
      </fill>
      <border outline="0">
        <left style="thin">
          <color indexed="64"/>
        </left>
      </border>
    </ndxf>
  </rcc>
  <rcc rId="8303" sId="6" odxf="1" dxf="1">
    <oc r="BP9">
      <f>SUM(BK9:BO9)</f>
    </oc>
    <nc r="BP9">
      <f>SUM(BK9:BO9)</f>
    </nc>
    <odxf>
      <fill>
        <patternFill>
          <bgColor theme="0" tint="-0.249977111117893"/>
        </patternFill>
      </fill>
      <border outline="0">
        <left/>
      </border>
    </odxf>
    <ndxf>
      <fill>
        <patternFill>
          <bgColor theme="0" tint="-0.14999847407452621"/>
        </patternFill>
      </fill>
      <border outline="0">
        <left style="thin">
          <color indexed="64"/>
        </left>
      </border>
    </ndxf>
  </rcc>
  <rcc rId="8304" sId="6" odxf="1" dxf="1">
    <oc r="BV9">
      <f>SUM(BQ9:BU9)</f>
    </oc>
    <nc r="BV9">
      <f>SUM(BQ9:BU9)</f>
    </nc>
    <odxf>
      <fill>
        <patternFill>
          <bgColor theme="0" tint="-0.249977111117893"/>
        </patternFill>
      </fill>
      <border outline="0">
        <left/>
      </border>
    </odxf>
    <ndxf>
      <fill>
        <patternFill>
          <bgColor theme="0" tint="-0.14999847407452621"/>
        </patternFill>
      </fill>
      <border outline="0">
        <left style="thin">
          <color indexed="64"/>
        </left>
      </border>
    </ndxf>
  </rcc>
  <rcc rId="8305" sId="6" odxf="1" dxf="1">
    <oc r="CB9">
      <f>SUM(BW9:CA9)</f>
    </oc>
    <nc r="CB9">
      <f>SUM(BW9:CA9)</f>
    </nc>
    <odxf>
      <fill>
        <patternFill>
          <bgColor theme="0" tint="-0.249977111117893"/>
        </patternFill>
      </fill>
      <border outline="0">
        <left/>
      </border>
    </odxf>
    <ndxf>
      <fill>
        <patternFill>
          <bgColor theme="0" tint="-0.14999847407452621"/>
        </patternFill>
      </fill>
      <border outline="0">
        <left style="thin">
          <color indexed="64"/>
        </left>
      </border>
    </ndxf>
  </rcc>
  <rcc rId="8306" sId="6" odxf="1" dxf="1">
    <oc r="Z10">
      <f>SUM(U10:Y10)</f>
    </oc>
    <nc r="Z10">
      <f>SUM(U10:Y10)</f>
    </nc>
    <odxf>
      <border outline="0">
        <left/>
        <right/>
      </border>
    </odxf>
    <ndxf>
      <border outline="0">
        <left style="thin">
          <color indexed="64"/>
        </left>
        <right style="thin">
          <color indexed="64"/>
        </right>
      </border>
    </ndxf>
  </rcc>
  <rcc rId="8307" sId="6" odxf="1" dxf="1">
    <oc r="AF10">
      <f>SUM(AA10:AE10)</f>
    </oc>
    <nc r="AF10">
      <f>SUM(AA10:AE10)</f>
    </nc>
    <odxf>
      <border outline="0">
        <left/>
        <right/>
      </border>
    </odxf>
    <ndxf>
      <border outline="0">
        <left style="thin">
          <color indexed="64"/>
        </left>
        <right style="thin">
          <color indexed="64"/>
        </right>
      </border>
    </ndxf>
  </rcc>
  <rcc rId="8308" sId="6" odxf="1" dxf="1">
    <oc r="AL10">
      <f>SUM(AG10:AK10)</f>
    </oc>
    <nc r="AL10">
      <f>SUM(AG10:AK10)</f>
    </nc>
    <odxf>
      <border outline="0">
        <left/>
        <right/>
      </border>
    </odxf>
    <ndxf>
      <border outline="0">
        <left style="thin">
          <color indexed="64"/>
        </left>
        <right style="thin">
          <color indexed="64"/>
        </right>
      </border>
    </ndxf>
  </rcc>
  <rcc rId="8309" sId="6" odxf="1" dxf="1">
    <oc r="AR10">
      <f>SUM(AM10:AQ10)</f>
    </oc>
    <nc r="AR10">
      <f>SUM(AM10:AQ10)</f>
    </nc>
    <odxf>
      <fill>
        <patternFill>
          <bgColor theme="0" tint="-0.249977111117893"/>
        </patternFill>
      </fill>
      <border outline="0">
        <left/>
        <right/>
      </border>
    </odxf>
    <ndxf>
      <fill>
        <patternFill>
          <bgColor theme="0" tint="-0.14999847407452621"/>
        </patternFill>
      </fill>
      <border outline="0">
        <left style="thin">
          <color indexed="64"/>
        </left>
        <right style="thin">
          <color indexed="64"/>
        </right>
      </border>
    </ndxf>
  </rcc>
  <rcc rId="8310" sId="6" odxf="1" dxf="1">
    <oc r="AX10">
      <f>SUM(AS10:AW10)</f>
    </oc>
    <nc r="AX10">
      <f>SUM(AS10:AW10)</f>
    </nc>
    <odxf>
      <fill>
        <patternFill>
          <bgColor theme="0" tint="-0.249977111117893"/>
        </patternFill>
      </fill>
      <border outline="0">
        <left/>
        <right/>
      </border>
    </odxf>
    <ndxf>
      <fill>
        <patternFill>
          <bgColor theme="0" tint="-0.14999847407452621"/>
        </patternFill>
      </fill>
      <border outline="0">
        <left style="thin">
          <color indexed="64"/>
        </left>
        <right style="thin">
          <color indexed="64"/>
        </right>
      </border>
    </ndxf>
  </rcc>
  <rcc rId="8311" sId="6" odxf="1" dxf="1">
    <oc r="BD10">
      <f>SUM(AY10:BC10)</f>
    </oc>
    <nc r="BD10">
      <f>SUM(AY10:BC10)</f>
    </nc>
    <odxf>
      <fill>
        <patternFill>
          <bgColor theme="0" tint="-0.249977111117893"/>
        </patternFill>
      </fill>
      <border outline="0">
        <left/>
      </border>
    </odxf>
    <ndxf>
      <fill>
        <patternFill>
          <bgColor theme="0" tint="-0.14999847407452621"/>
        </patternFill>
      </fill>
      <border outline="0">
        <left style="thin">
          <color indexed="64"/>
        </left>
      </border>
    </ndxf>
  </rcc>
  <rcc rId="8312" sId="6" odxf="1" dxf="1">
    <oc r="BJ10">
      <f>SUM(BE10:BI10)</f>
    </oc>
    <nc r="BJ10">
      <f>SUM(BE10:BI10)</f>
    </nc>
    <odxf>
      <fill>
        <patternFill>
          <bgColor theme="0" tint="-0.249977111117893"/>
        </patternFill>
      </fill>
      <border outline="0">
        <left/>
      </border>
    </odxf>
    <ndxf>
      <fill>
        <patternFill>
          <bgColor theme="0" tint="-0.14999847407452621"/>
        </patternFill>
      </fill>
      <border outline="0">
        <left style="thin">
          <color indexed="64"/>
        </left>
      </border>
    </ndxf>
  </rcc>
  <rcc rId="8313" sId="6" odxf="1" dxf="1">
    <oc r="BP10">
      <f>SUM(BK10:BO10)</f>
    </oc>
    <nc r="BP10">
      <f>SUM(BK10:BO10)</f>
    </nc>
    <odxf>
      <fill>
        <patternFill>
          <bgColor theme="0" tint="-0.249977111117893"/>
        </patternFill>
      </fill>
      <border outline="0">
        <left/>
      </border>
    </odxf>
    <ndxf>
      <fill>
        <patternFill>
          <bgColor theme="0" tint="-0.14999847407452621"/>
        </patternFill>
      </fill>
      <border outline="0">
        <left style="thin">
          <color indexed="64"/>
        </left>
      </border>
    </ndxf>
  </rcc>
  <rcc rId="8314" sId="6" odxf="1" dxf="1">
    <oc r="BV10">
      <f>SUM(BQ10:BU10)</f>
    </oc>
    <nc r="BV10">
      <f>SUM(BQ10:BU10)</f>
    </nc>
    <odxf>
      <fill>
        <patternFill>
          <bgColor theme="0" tint="-0.249977111117893"/>
        </patternFill>
      </fill>
      <border outline="0">
        <left/>
      </border>
    </odxf>
    <ndxf>
      <fill>
        <patternFill>
          <bgColor theme="0" tint="-0.14999847407452621"/>
        </patternFill>
      </fill>
      <border outline="0">
        <left style="thin">
          <color indexed="64"/>
        </left>
      </border>
    </ndxf>
  </rcc>
  <rcc rId="8315" sId="6" odxf="1" dxf="1">
    <oc r="CB10">
      <f>SUM(BW10:CA10)</f>
    </oc>
    <nc r="CB10">
      <f>SUM(BW10:CA10)</f>
    </nc>
    <odxf>
      <fill>
        <patternFill>
          <bgColor theme="0" tint="-0.249977111117893"/>
        </patternFill>
      </fill>
      <border outline="0">
        <left/>
      </border>
    </odxf>
    <ndxf>
      <fill>
        <patternFill>
          <bgColor theme="0" tint="-0.14999847407452621"/>
        </patternFill>
      </fill>
      <border outline="0">
        <left style="thin">
          <color indexed="64"/>
        </left>
      </border>
    </ndxf>
  </rcc>
  <rcc rId="8316" sId="6" odxf="1" dxf="1">
    <oc r="Z11">
      <f>SUM(U11:Y11)</f>
    </oc>
    <nc r="Z11">
      <f>SUM(U11:Y11)</f>
    </nc>
    <odxf>
      <border outline="0">
        <left/>
        <right/>
      </border>
    </odxf>
    <ndxf>
      <border outline="0">
        <left style="thin">
          <color indexed="64"/>
        </left>
        <right style="thin">
          <color indexed="64"/>
        </right>
      </border>
    </ndxf>
  </rcc>
  <rcc rId="8317" sId="6" odxf="1" dxf="1">
    <oc r="AF11">
      <f>SUM(AA11:AE11)</f>
    </oc>
    <nc r="AF11">
      <f>SUM(AA11:AE11)</f>
    </nc>
    <odxf>
      <border outline="0">
        <left/>
        <right/>
      </border>
    </odxf>
    <ndxf>
      <border outline="0">
        <left style="thin">
          <color indexed="64"/>
        </left>
        <right style="thin">
          <color indexed="64"/>
        </right>
      </border>
    </ndxf>
  </rcc>
  <rcc rId="8318" sId="6" odxf="1" dxf="1">
    <oc r="AL11">
      <f>SUM(AG11:AK11)</f>
    </oc>
    <nc r="AL11">
      <f>SUM(AG11:AK11)</f>
    </nc>
    <odxf>
      <border outline="0">
        <left/>
        <right/>
      </border>
    </odxf>
    <ndxf>
      <border outline="0">
        <left style="thin">
          <color indexed="64"/>
        </left>
        <right style="thin">
          <color indexed="64"/>
        </right>
      </border>
    </ndxf>
  </rcc>
  <rcc rId="8319" sId="6" odxf="1" dxf="1">
    <oc r="AR11">
      <f>SUM(AM11:AQ11)</f>
    </oc>
    <nc r="AR11">
      <f>SUM(AM11:AQ11)</f>
    </nc>
    <odxf>
      <fill>
        <patternFill>
          <bgColor theme="0" tint="-0.249977111117893"/>
        </patternFill>
      </fill>
      <border outline="0">
        <left/>
        <right/>
      </border>
    </odxf>
    <ndxf>
      <fill>
        <patternFill>
          <bgColor theme="0" tint="-0.14999847407452621"/>
        </patternFill>
      </fill>
      <border outline="0">
        <left style="thin">
          <color indexed="64"/>
        </left>
        <right style="thin">
          <color indexed="64"/>
        </right>
      </border>
    </ndxf>
  </rcc>
  <rcc rId="8320" sId="6" odxf="1" dxf="1">
    <oc r="AX11">
      <f>SUM(AS11:AW11)</f>
    </oc>
    <nc r="AX11">
      <f>SUM(AS11:AW11)</f>
    </nc>
    <odxf>
      <fill>
        <patternFill>
          <bgColor theme="0" tint="-0.249977111117893"/>
        </patternFill>
      </fill>
      <border outline="0">
        <left/>
        <right/>
      </border>
    </odxf>
    <ndxf>
      <fill>
        <patternFill>
          <bgColor theme="0" tint="-0.14999847407452621"/>
        </patternFill>
      </fill>
      <border outline="0">
        <left style="thin">
          <color indexed="64"/>
        </left>
        <right style="thin">
          <color indexed="64"/>
        </right>
      </border>
    </ndxf>
  </rcc>
  <rcc rId="8321" sId="6" odxf="1" dxf="1">
    <oc r="BD11">
      <f>SUM(AY11:BC11)</f>
    </oc>
    <nc r="BD11">
      <f>SUM(AY11:BC11)</f>
    </nc>
    <odxf>
      <fill>
        <patternFill>
          <bgColor theme="0" tint="-0.249977111117893"/>
        </patternFill>
      </fill>
      <border outline="0">
        <left/>
      </border>
    </odxf>
    <ndxf>
      <fill>
        <patternFill>
          <bgColor theme="0" tint="-0.14999847407452621"/>
        </patternFill>
      </fill>
      <border outline="0">
        <left style="thin">
          <color indexed="64"/>
        </left>
      </border>
    </ndxf>
  </rcc>
  <rcc rId="8322" sId="6" odxf="1" dxf="1">
    <oc r="BJ11">
      <f>SUM(BE11:BI11)</f>
    </oc>
    <nc r="BJ11">
      <f>SUM(BE11:BI11)</f>
    </nc>
    <odxf>
      <fill>
        <patternFill>
          <bgColor theme="0" tint="-0.249977111117893"/>
        </patternFill>
      </fill>
      <border outline="0">
        <left/>
      </border>
    </odxf>
    <ndxf>
      <fill>
        <patternFill>
          <bgColor theme="0" tint="-0.14999847407452621"/>
        </patternFill>
      </fill>
      <border outline="0">
        <left style="thin">
          <color indexed="64"/>
        </left>
      </border>
    </ndxf>
  </rcc>
  <rcc rId="8323" sId="6" odxf="1" dxf="1">
    <oc r="BP11">
      <f>SUM(BK11:BO11)</f>
    </oc>
    <nc r="BP11">
      <f>SUM(BK11:BO11)</f>
    </nc>
    <odxf>
      <fill>
        <patternFill>
          <bgColor theme="0" tint="-0.249977111117893"/>
        </patternFill>
      </fill>
      <border outline="0">
        <left/>
      </border>
    </odxf>
    <ndxf>
      <fill>
        <patternFill>
          <bgColor theme="0" tint="-0.14999847407452621"/>
        </patternFill>
      </fill>
      <border outline="0">
        <left style="thin">
          <color indexed="64"/>
        </left>
      </border>
    </ndxf>
  </rcc>
  <rcc rId="8324" sId="6" odxf="1" dxf="1">
    <oc r="BV11">
      <f>SUM(BQ11:BU11)</f>
    </oc>
    <nc r="BV11">
      <f>SUM(BQ11:BU11)</f>
    </nc>
    <odxf>
      <fill>
        <patternFill>
          <bgColor theme="0" tint="-0.249977111117893"/>
        </patternFill>
      </fill>
      <border outline="0">
        <left/>
      </border>
    </odxf>
    <ndxf>
      <fill>
        <patternFill>
          <bgColor theme="0" tint="-0.14999847407452621"/>
        </patternFill>
      </fill>
      <border outline="0">
        <left style="thin">
          <color indexed="64"/>
        </left>
      </border>
    </ndxf>
  </rcc>
  <rcc rId="8325" sId="6" odxf="1" dxf="1">
    <oc r="CB11">
      <f>SUM(BW11:CA11)</f>
    </oc>
    <nc r="CB11">
      <f>SUM(BW11:CA11)</f>
    </nc>
    <odxf>
      <fill>
        <patternFill>
          <bgColor theme="0" tint="-0.249977111117893"/>
        </patternFill>
      </fill>
      <border outline="0">
        <left/>
      </border>
    </odxf>
    <ndxf>
      <fill>
        <patternFill>
          <bgColor theme="0" tint="-0.14999847407452621"/>
        </patternFill>
      </fill>
      <border outline="0">
        <left style="thin">
          <color indexed="64"/>
        </left>
      </border>
    </ndxf>
  </rcc>
  <rcc rId="8326" sId="6" odxf="1" dxf="1">
    <oc r="Z12">
      <f>SUM(U12:Y12)</f>
    </oc>
    <nc r="Z12">
      <f>SUM(U12:Y12)</f>
    </nc>
    <odxf>
      <border outline="0">
        <left/>
        <right/>
      </border>
    </odxf>
    <ndxf>
      <border outline="0">
        <left style="thin">
          <color indexed="64"/>
        </left>
        <right style="thin">
          <color indexed="64"/>
        </right>
      </border>
    </ndxf>
  </rcc>
  <rcc rId="8327" sId="6" odxf="1" dxf="1">
    <oc r="AF12">
      <f>SUM(AA12:AE12)</f>
    </oc>
    <nc r="AF12">
      <f>SUM(AA12:AE12)</f>
    </nc>
    <odxf>
      <border outline="0">
        <left/>
        <right/>
      </border>
    </odxf>
    <ndxf>
      <border outline="0">
        <left style="thin">
          <color indexed="64"/>
        </left>
        <right style="thin">
          <color indexed="64"/>
        </right>
      </border>
    </ndxf>
  </rcc>
  <rcc rId="8328" sId="6" odxf="1" dxf="1">
    <oc r="AL12">
      <f>SUM(AG12:AK12)</f>
    </oc>
    <nc r="AL12">
      <f>SUM(AG12:AK12)</f>
    </nc>
    <odxf>
      <border outline="0">
        <left/>
        <right/>
      </border>
    </odxf>
    <ndxf>
      <border outline="0">
        <left style="thin">
          <color indexed="64"/>
        </left>
        <right style="thin">
          <color indexed="64"/>
        </right>
      </border>
    </ndxf>
  </rcc>
  <rcc rId="8329" sId="6" odxf="1" dxf="1">
    <oc r="AR12">
      <f>SUM(AM12:AQ12)</f>
    </oc>
    <nc r="AR12">
      <f>SUM(AM12:AQ12)</f>
    </nc>
    <odxf>
      <fill>
        <patternFill>
          <bgColor theme="0" tint="-0.249977111117893"/>
        </patternFill>
      </fill>
      <border outline="0">
        <left/>
        <right/>
      </border>
    </odxf>
    <ndxf>
      <fill>
        <patternFill>
          <bgColor theme="0" tint="-0.14999847407452621"/>
        </patternFill>
      </fill>
      <border outline="0">
        <left style="thin">
          <color indexed="64"/>
        </left>
        <right style="thin">
          <color indexed="64"/>
        </right>
      </border>
    </ndxf>
  </rcc>
  <rcc rId="8330" sId="6" odxf="1" dxf="1">
    <oc r="AX12">
      <f>SUM(AS12:AW12)</f>
    </oc>
    <nc r="AX12">
      <f>SUM(AS12:AW12)</f>
    </nc>
    <odxf>
      <fill>
        <patternFill>
          <bgColor theme="0" tint="-0.249977111117893"/>
        </patternFill>
      </fill>
      <border outline="0">
        <left/>
        <right/>
      </border>
    </odxf>
    <ndxf>
      <fill>
        <patternFill>
          <bgColor theme="0" tint="-0.14999847407452621"/>
        </patternFill>
      </fill>
      <border outline="0">
        <left style="thin">
          <color indexed="64"/>
        </left>
        <right style="thin">
          <color indexed="64"/>
        </right>
      </border>
    </ndxf>
  </rcc>
  <rcc rId="8331" sId="6" odxf="1" dxf="1">
    <oc r="BD12">
      <f>SUM(AY12:BC12)</f>
    </oc>
    <nc r="BD12">
      <f>SUM(AY12:BC12)</f>
    </nc>
    <odxf>
      <fill>
        <patternFill>
          <bgColor theme="0" tint="-0.249977111117893"/>
        </patternFill>
      </fill>
      <border outline="0">
        <left/>
      </border>
    </odxf>
    <ndxf>
      <fill>
        <patternFill>
          <bgColor theme="0" tint="-0.14999847407452621"/>
        </patternFill>
      </fill>
      <border outline="0">
        <left style="thin">
          <color indexed="64"/>
        </left>
      </border>
    </ndxf>
  </rcc>
  <rcc rId="8332" sId="6" odxf="1" dxf="1">
    <oc r="BJ12">
      <f>SUM(BE12:BI12)</f>
    </oc>
    <nc r="BJ12">
      <f>SUM(BE12:BI12)</f>
    </nc>
    <odxf>
      <fill>
        <patternFill>
          <bgColor theme="0" tint="-0.249977111117893"/>
        </patternFill>
      </fill>
      <border outline="0">
        <left/>
      </border>
    </odxf>
    <ndxf>
      <fill>
        <patternFill>
          <bgColor theme="0" tint="-0.14999847407452621"/>
        </patternFill>
      </fill>
      <border outline="0">
        <left style="thin">
          <color indexed="64"/>
        </left>
      </border>
    </ndxf>
  </rcc>
  <rcc rId="8333" sId="6" odxf="1" dxf="1">
    <oc r="BP12">
      <f>SUM(BK12:BO12)</f>
    </oc>
    <nc r="BP12">
      <f>SUM(BK12:BO12)</f>
    </nc>
    <odxf>
      <fill>
        <patternFill>
          <bgColor theme="0" tint="-0.249977111117893"/>
        </patternFill>
      </fill>
      <border outline="0">
        <left/>
      </border>
    </odxf>
    <ndxf>
      <fill>
        <patternFill>
          <bgColor theme="0" tint="-0.14999847407452621"/>
        </patternFill>
      </fill>
      <border outline="0">
        <left style="thin">
          <color indexed="64"/>
        </left>
      </border>
    </ndxf>
  </rcc>
  <rcc rId="8334" sId="6" odxf="1" dxf="1">
    <oc r="BV12">
      <f>SUM(BQ12:BU12)</f>
    </oc>
    <nc r="BV12">
      <f>SUM(BQ12:BU12)</f>
    </nc>
    <odxf>
      <fill>
        <patternFill>
          <bgColor theme="0" tint="-0.249977111117893"/>
        </patternFill>
      </fill>
      <border outline="0">
        <left/>
      </border>
    </odxf>
    <ndxf>
      <fill>
        <patternFill>
          <bgColor theme="0" tint="-0.14999847407452621"/>
        </patternFill>
      </fill>
      <border outline="0">
        <left style="thin">
          <color indexed="64"/>
        </left>
      </border>
    </ndxf>
  </rcc>
  <rcc rId="8335" sId="6" odxf="1" dxf="1">
    <oc r="CB12">
      <f>SUM(BW12:CA12)</f>
    </oc>
    <nc r="CB12">
      <f>SUM(BW12:CA12)</f>
    </nc>
    <odxf>
      <fill>
        <patternFill>
          <bgColor theme="0" tint="-0.249977111117893"/>
        </patternFill>
      </fill>
      <border outline="0">
        <left/>
      </border>
    </odxf>
    <ndxf>
      <fill>
        <patternFill>
          <bgColor theme="0" tint="-0.14999847407452621"/>
        </patternFill>
      </fill>
      <border outline="0">
        <left style="thin">
          <color indexed="64"/>
        </left>
      </border>
    </ndxf>
  </rcc>
  <rcc rId="8336" sId="6" odxf="1" dxf="1">
    <oc r="Z13">
      <f>SUM(U13:Y13)</f>
    </oc>
    <nc r="Z13">
      <f>SUM(U13:Y13)</f>
    </nc>
    <odxf>
      <border outline="0">
        <left/>
        <right/>
      </border>
    </odxf>
    <ndxf>
      <border outline="0">
        <left style="thin">
          <color indexed="64"/>
        </left>
        <right style="thin">
          <color indexed="64"/>
        </right>
      </border>
    </ndxf>
  </rcc>
  <rcc rId="8337" sId="6" odxf="1" dxf="1">
    <oc r="AF13">
      <f>SUM(AA13:AE13)</f>
    </oc>
    <nc r="AF13">
      <f>SUM(AA13:AE13)</f>
    </nc>
    <odxf>
      <border outline="0">
        <left/>
        <right/>
      </border>
    </odxf>
    <ndxf>
      <border outline="0">
        <left style="thin">
          <color indexed="64"/>
        </left>
        <right style="thin">
          <color indexed="64"/>
        </right>
      </border>
    </ndxf>
  </rcc>
  <rcc rId="8338" sId="6" odxf="1" dxf="1">
    <oc r="AL13">
      <f>SUM(AG13:AK13)</f>
    </oc>
    <nc r="AL13">
      <f>SUM(AG13:AK13)</f>
    </nc>
    <odxf>
      <border outline="0">
        <left/>
        <right/>
      </border>
    </odxf>
    <ndxf>
      <border outline="0">
        <left style="thin">
          <color indexed="64"/>
        </left>
        <right style="thin">
          <color indexed="64"/>
        </right>
      </border>
    </ndxf>
  </rcc>
  <rcc rId="8339" sId="6" odxf="1" dxf="1">
    <oc r="AR13">
      <f>SUM(AM13:AQ13)</f>
    </oc>
    <nc r="AR13">
      <f>SUM(AM13:AQ13)</f>
    </nc>
    <odxf>
      <fill>
        <patternFill>
          <bgColor theme="0" tint="-0.249977111117893"/>
        </patternFill>
      </fill>
      <border outline="0">
        <left/>
        <right/>
      </border>
    </odxf>
    <ndxf>
      <fill>
        <patternFill>
          <bgColor theme="0" tint="-0.14999847407452621"/>
        </patternFill>
      </fill>
      <border outline="0">
        <left style="thin">
          <color indexed="64"/>
        </left>
        <right style="thin">
          <color indexed="64"/>
        </right>
      </border>
    </ndxf>
  </rcc>
  <rcc rId="8340" sId="6" odxf="1" dxf="1">
    <oc r="AX13">
      <f>SUM(AS13:AW13)</f>
    </oc>
    <nc r="AX13">
      <f>SUM(AS13:AW13)</f>
    </nc>
    <odxf>
      <fill>
        <patternFill>
          <bgColor theme="0" tint="-0.249977111117893"/>
        </patternFill>
      </fill>
      <border outline="0">
        <left/>
        <right/>
      </border>
    </odxf>
    <ndxf>
      <fill>
        <patternFill>
          <bgColor theme="0" tint="-0.14999847407452621"/>
        </patternFill>
      </fill>
      <border outline="0">
        <left style="thin">
          <color indexed="64"/>
        </left>
        <right style="thin">
          <color indexed="64"/>
        </right>
      </border>
    </ndxf>
  </rcc>
  <rcc rId="8341" sId="6" odxf="1" dxf="1">
    <oc r="BD13">
      <f>SUM(AY13:BC13)</f>
    </oc>
    <nc r="BD13">
      <f>SUM(AY13:BC13)</f>
    </nc>
    <odxf>
      <fill>
        <patternFill>
          <bgColor theme="0" tint="-0.249977111117893"/>
        </patternFill>
      </fill>
      <border outline="0">
        <left/>
      </border>
    </odxf>
    <ndxf>
      <fill>
        <patternFill>
          <bgColor theme="0" tint="-0.14999847407452621"/>
        </patternFill>
      </fill>
      <border outline="0">
        <left style="thin">
          <color indexed="64"/>
        </left>
      </border>
    </ndxf>
  </rcc>
  <rcc rId="8342" sId="6" odxf="1" dxf="1">
    <oc r="BJ13">
      <f>SUM(BE13:BI13)</f>
    </oc>
    <nc r="BJ13">
      <f>SUM(BE13:BI13)</f>
    </nc>
    <odxf>
      <fill>
        <patternFill>
          <bgColor theme="0" tint="-0.249977111117893"/>
        </patternFill>
      </fill>
      <border outline="0">
        <left/>
      </border>
    </odxf>
    <ndxf>
      <fill>
        <patternFill>
          <bgColor theme="0" tint="-0.14999847407452621"/>
        </patternFill>
      </fill>
      <border outline="0">
        <left style="thin">
          <color indexed="64"/>
        </left>
      </border>
    </ndxf>
  </rcc>
  <rcc rId="8343" sId="6" odxf="1" dxf="1">
    <oc r="BP13">
      <f>SUM(BK13:BO13)</f>
    </oc>
    <nc r="BP13">
      <f>SUM(BK13:BO13)</f>
    </nc>
    <odxf>
      <fill>
        <patternFill>
          <bgColor theme="0" tint="-0.249977111117893"/>
        </patternFill>
      </fill>
      <border outline="0">
        <left/>
      </border>
    </odxf>
    <ndxf>
      <fill>
        <patternFill>
          <bgColor theme="0" tint="-0.14999847407452621"/>
        </patternFill>
      </fill>
      <border outline="0">
        <left style="thin">
          <color indexed="64"/>
        </left>
      </border>
    </ndxf>
  </rcc>
  <rcc rId="8344" sId="6" odxf="1" dxf="1">
    <oc r="BV13">
      <f>SUM(BQ13:BU13)</f>
    </oc>
    <nc r="BV13">
      <f>SUM(BQ13:BU13)</f>
    </nc>
    <odxf>
      <fill>
        <patternFill>
          <bgColor theme="0" tint="-0.249977111117893"/>
        </patternFill>
      </fill>
      <border outline="0">
        <left/>
      </border>
    </odxf>
    <ndxf>
      <fill>
        <patternFill>
          <bgColor theme="0" tint="-0.14999847407452621"/>
        </patternFill>
      </fill>
      <border outline="0">
        <left style="thin">
          <color indexed="64"/>
        </left>
      </border>
    </ndxf>
  </rcc>
  <rcc rId="8345" sId="6" odxf="1" dxf="1">
    <oc r="CB13">
      <f>SUM(BW13:CA13)</f>
    </oc>
    <nc r="CB13">
      <f>SUM(BW13:CA13)</f>
    </nc>
    <odxf>
      <fill>
        <patternFill>
          <bgColor theme="0" tint="-0.249977111117893"/>
        </patternFill>
      </fill>
      <border outline="0">
        <left/>
      </border>
    </odxf>
    <ndxf>
      <fill>
        <patternFill>
          <bgColor theme="0" tint="-0.14999847407452621"/>
        </patternFill>
      </fill>
      <border outline="0">
        <left style="thin">
          <color indexed="64"/>
        </left>
      </border>
    </ndxf>
  </rcc>
  <rcc rId="8346" sId="6" odxf="1" dxf="1">
    <oc r="Z14">
      <f>SUM(U14:Y14)</f>
    </oc>
    <nc r="Z14">
      <f>SUM(U14:Y14)</f>
    </nc>
    <odxf>
      <border outline="0">
        <left/>
        <right/>
      </border>
    </odxf>
    <ndxf>
      <border outline="0">
        <left style="thin">
          <color indexed="64"/>
        </left>
        <right style="thin">
          <color indexed="64"/>
        </right>
      </border>
    </ndxf>
  </rcc>
  <rcc rId="8347" sId="6" odxf="1" dxf="1">
    <oc r="AF14">
      <f>SUM(AA14:AE14)</f>
    </oc>
    <nc r="AF14">
      <f>SUM(AA14:AE14)</f>
    </nc>
    <odxf>
      <border outline="0">
        <left/>
        <right/>
      </border>
    </odxf>
    <ndxf>
      <border outline="0">
        <left style="thin">
          <color indexed="64"/>
        </left>
        <right style="thin">
          <color indexed="64"/>
        </right>
      </border>
    </ndxf>
  </rcc>
  <rcc rId="8348" sId="6" odxf="1" dxf="1">
    <oc r="AL14">
      <f>SUM(AG14:AK14)</f>
    </oc>
    <nc r="AL14">
      <f>SUM(AG14:AK14)</f>
    </nc>
    <odxf>
      <border outline="0">
        <left/>
        <right/>
      </border>
    </odxf>
    <ndxf>
      <border outline="0">
        <left style="thin">
          <color indexed="64"/>
        </left>
        <right style="thin">
          <color indexed="64"/>
        </right>
      </border>
    </ndxf>
  </rcc>
  <rcc rId="8349" sId="6" odxf="1" dxf="1">
    <oc r="AR14">
      <f>SUM(AM14:AQ14)</f>
    </oc>
    <nc r="AR14">
      <f>SUM(AM14:AQ14)</f>
    </nc>
    <odxf>
      <fill>
        <patternFill>
          <bgColor theme="0" tint="-0.249977111117893"/>
        </patternFill>
      </fill>
      <border outline="0">
        <left/>
        <right/>
      </border>
    </odxf>
    <ndxf>
      <fill>
        <patternFill>
          <bgColor theme="0" tint="-0.14999847407452621"/>
        </patternFill>
      </fill>
      <border outline="0">
        <left style="thin">
          <color indexed="64"/>
        </left>
        <right style="thin">
          <color indexed="64"/>
        </right>
      </border>
    </ndxf>
  </rcc>
  <rcc rId="8350" sId="6" odxf="1" dxf="1">
    <oc r="AX14">
      <f>SUM(AS14:AW14)</f>
    </oc>
    <nc r="AX14">
      <f>SUM(AS14:AW14)</f>
    </nc>
    <odxf>
      <fill>
        <patternFill>
          <bgColor theme="0" tint="-0.249977111117893"/>
        </patternFill>
      </fill>
      <border outline="0">
        <left/>
        <right/>
      </border>
    </odxf>
    <ndxf>
      <fill>
        <patternFill>
          <bgColor theme="0" tint="-0.14999847407452621"/>
        </patternFill>
      </fill>
      <border outline="0">
        <left style="thin">
          <color indexed="64"/>
        </left>
        <right style="thin">
          <color indexed="64"/>
        </right>
      </border>
    </ndxf>
  </rcc>
  <rcc rId="8351" sId="6" odxf="1" dxf="1">
    <oc r="BD14">
      <f>SUM(AY14:BC14)</f>
    </oc>
    <nc r="BD14">
      <f>SUM(AY14:BC14)</f>
    </nc>
    <odxf>
      <fill>
        <patternFill>
          <bgColor theme="0" tint="-0.249977111117893"/>
        </patternFill>
      </fill>
      <border outline="0">
        <left/>
      </border>
    </odxf>
    <ndxf>
      <fill>
        <patternFill>
          <bgColor theme="0" tint="-0.14999847407452621"/>
        </patternFill>
      </fill>
      <border outline="0">
        <left style="thin">
          <color indexed="64"/>
        </left>
      </border>
    </ndxf>
  </rcc>
  <rcc rId="8352" sId="6" odxf="1" dxf="1">
    <oc r="BJ14">
      <f>SUM(BE14:BI14)</f>
    </oc>
    <nc r="BJ14">
      <f>SUM(BE14:BI14)</f>
    </nc>
    <odxf>
      <fill>
        <patternFill>
          <bgColor theme="0" tint="-0.249977111117893"/>
        </patternFill>
      </fill>
      <border outline="0">
        <left/>
      </border>
    </odxf>
    <ndxf>
      <fill>
        <patternFill>
          <bgColor theme="0" tint="-0.14999847407452621"/>
        </patternFill>
      </fill>
      <border outline="0">
        <left style="thin">
          <color indexed="64"/>
        </left>
      </border>
    </ndxf>
  </rcc>
  <rcc rId="8353" sId="6" odxf="1" dxf="1">
    <oc r="BP14">
      <f>SUM(BK14:BO14)</f>
    </oc>
    <nc r="BP14">
      <f>SUM(BK14:BO14)</f>
    </nc>
    <odxf>
      <fill>
        <patternFill>
          <bgColor theme="0" tint="-0.249977111117893"/>
        </patternFill>
      </fill>
      <border outline="0">
        <left/>
      </border>
    </odxf>
    <ndxf>
      <fill>
        <patternFill>
          <bgColor theme="0" tint="-0.14999847407452621"/>
        </patternFill>
      </fill>
      <border outline="0">
        <left style="thin">
          <color indexed="64"/>
        </left>
      </border>
    </ndxf>
  </rcc>
  <rcc rId="8354" sId="6" odxf="1" dxf="1">
    <oc r="BV14">
      <f>SUM(BQ14:BU14)</f>
    </oc>
    <nc r="BV14">
      <f>SUM(BQ14:BU14)</f>
    </nc>
    <odxf>
      <fill>
        <patternFill>
          <bgColor theme="0" tint="-0.249977111117893"/>
        </patternFill>
      </fill>
      <border outline="0">
        <left/>
      </border>
    </odxf>
    <ndxf>
      <fill>
        <patternFill>
          <bgColor theme="0" tint="-0.14999847407452621"/>
        </patternFill>
      </fill>
      <border outline="0">
        <left style="thin">
          <color indexed="64"/>
        </left>
      </border>
    </ndxf>
  </rcc>
  <rcc rId="8355" sId="6" odxf="1" dxf="1">
    <oc r="CB14">
      <f>SUM(BW14:CA14)</f>
    </oc>
    <nc r="CB14">
      <f>SUM(BW14:CA14)</f>
    </nc>
    <odxf>
      <fill>
        <patternFill>
          <bgColor theme="0" tint="-0.249977111117893"/>
        </patternFill>
      </fill>
      <border outline="0">
        <left/>
      </border>
    </odxf>
    <ndxf>
      <fill>
        <patternFill>
          <bgColor theme="0" tint="-0.14999847407452621"/>
        </patternFill>
      </fill>
      <border outline="0">
        <left style="thin">
          <color indexed="64"/>
        </left>
      </border>
    </ndxf>
  </rcc>
  <rcc rId="8356" sId="6" odxf="1" dxf="1">
    <oc r="Z15">
      <f>SUM(U15:Y15)</f>
    </oc>
    <nc r="Z15">
      <f>SUM(U15:Y15)</f>
    </nc>
    <odxf>
      <border outline="0">
        <left/>
        <right/>
      </border>
    </odxf>
    <ndxf>
      <border outline="0">
        <left style="thin">
          <color indexed="64"/>
        </left>
        <right style="thin">
          <color indexed="64"/>
        </right>
      </border>
    </ndxf>
  </rcc>
  <rcc rId="8357" sId="6" odxf="1" dxf="1">
    <oc r="AF15">
      <f>SUM(AA15:AE15)</f>
    </oc>
    <nc r="AF15">
      <f>SUM(AA15:AE15)</f>
    </nc>
    <odxf>
      <border outline="0">
        <left/>
        <right/>
      </border>
    </odxf>
    <ndxf>
      <border outline="0">
        <left style="thin">
          <color indexed="64"/>
        </left>
        <right style="thin">
          <color indexed="64"/>
        </right>
      </border>
    </ndxf>
  </rcc>
  <rcc rId="8358" sId="6" odxf="1" dxf="1">
    <oc r="AL15">
      <f>SUM(AG15:AK15)</f>
    </oc>
    <nc r="AL15">
      <f>SUM(AG15:AK15)</f>
    </nc>
    <odxf>
      <border outline="0">
        <left/>
        <right/>
      </border>
    </odxf>
    <ndxf>
      <border outline="0">
        <left style="thin">
          <color indexed="64"/>
        </left>
        <right style="thin">
          <color indexed="64"/>
        </right>
      </border>
    </ndxf>
  </rcc>
  <rcc rId="8359" sId="6" odxf="1" dxf="1">
    <oc r="AR15">
      <f>SUM(AM15:AQ15)</f>
    </oc>
    <nc r="AR15">
      <f>SUM(AM15:AQ15)</f>
    </nc>
    <odxf>
      <fill>
        <patternFill>
          <bgColor theme="0" tint="-0.249977111117893"/>
        </patternFill>
      </fill>
      <border outline="0">
        <left/>
        <right/>
      </border>
    </odxf>
    <ndxf>
      <fill>
        <patternFill>
          <bgColor theme="0" tint="-0.14999847407452621"/>
        </patternFill>
      </fill>
      <border outline="0">
        <left style="thin">
          <color indexed="64"/>
        </left>
        <right style="thin">
          <color indexed="64"/>
        </right>
      </border>
    </ndxf>
  </rcc>
  <rcc rId="8360" sId="6" odxf="1" dxf="1">
    <oc r="AX15">
      <f>SUM(AS15:AW15)</f>
    </oc>
    <nc r="AX15">
      <f>SUM(AS15:AW15)</f>
    </nc>
    <odxf>
      <fill>
        <patternFill>
          <bgColor theme="0" tint="-0.249977111117893"/>
        </patternFill>
      </fill>
      <border outline="0">
        <left/>
        <right/>
      </border>
    </odxf>
    <ndxf>
      <fill>
        <patternFill>
          <bgColor theme="0" tint="-0.14999847407452621"/>
        </patternFill>
      </fill>
      <border outline="0">
        <left style="thin">
          <color indexed="64"/>
        </left>
        <right style="thin">
          <color indexed="64"/>
        </right>
      </border>
    </ndxf>
  </rcc>
  <rcc rId="8361" sId="6" odxf="1" dxf="1">
    <oc r="BD15">
      <f>SUM(AY15:BC15)</f>
    </oc>
    <nc r="BD15">
      <f>SUM(AY15:BC15)</f>
    </nc>
    <odxf>
      <fill>
        <patternFill>
          <bgColor theme="0" tint="-0.249977111117893"/>
        </patternFill>
      </fill>
      <border outline="0">
        <left/>
      </border>
    </odxf>
    <ndxf>
      <fill>
        <patternFill>
          <bgColor theme="0" tint="-0.14999847407452621"/>
        </patternFill>
      </fill>
      <border outline="0">
        <left style="thin">
          <color indexed="64"/>
        </left>
      </border>
    </ndxf>
  </rcc>
  <rcc rId="8362" sId="6" odxf="1" dxf="1">
    <oc r="BJ15">
      <f>SUM(BE15:BI15)</f>
    </oc>
    <nc r="BJ15">
      <f>SUM(BE15:BI15)</f>
    </nc>
    <odxf>
      <fill>
        <patternFill>
          <bgColor theme="0" tint="-0.249977111117893"/>
        </patternFill>
      </fill>
      <border outline="0">
        <left/>
      </border>
    </odxf>
    <ndxf>
      <fill>
        <patternFill>
          <bgColor theme="0" tint="-0.14999847407452621"/>
        </patternFill>
      </fill>
      <border outline="0">
        <left style="thin">
          <color indexed="64"/>
        </left>
      </border>
    </ndxf>
  </rcc>
  <rcc rId="8363" sId="6" odxf="1" dxf="1">
    <oc r="BP15">
      <f>SUM(BK15:BO15)</f>
    </oc>
    <nc r="BP15">
      <f>SUM(BK15:BO15)</f>
    </nc>
    <odxf>
      <fill>
        <patternFill>
          <bgColor theme="0" tint="-0.249977111117893"/>
        </patternFill>
      </fill>
      <border outline="0">
        <left/>
      </border>
    </odxf>
    <ndxf>
      <fill>
        <patternFill>
          <bgColor theme="0" tint="-0.14999847407452621"/>
        </patternFill>
      </fill>
      <border outline="0">
        <left style="thin">
          <color indexed="64"/>
        </left>
      </border>
    </ndxf>
  </rcc>
  <rcc rId="8364" sId="6" odxf="1" dxf="1">
    <oc r="BV15">
      <f>SUM(BQ15:BU15)</f>
    </oc>
    <nc r="BV15">
      <f>SUM(BQ15:BU15)</f>
    </nc>
    <odxf>
      <fill>
        <patternFill>
          <bgColor theme="0" tint="-0.249977111117893"/>
        </patternFill>
      </fill>
      <border outline="0">
        <left/>
      </border>
    </odxf>
    <ndxf>
      <fill>
        <patternFill>
          <bgColor theme="0" tint="-0.14999847407452621"/>
        </patternFill>
      </fill>
      <border outline="0">
        <left style="thin">
          <color indexed="64"/>
        </left>
      </border>
    </ndxf>
  </rcc>
  <rcc rId="8365" sId="6" odxf="1" dxf="1">
    <oc r="CB15">
      <f>SUM(BW15:CA15)</f>
    </oc>
    <nc r="CB15">
      <f>SUM(BW15:CA15)</f>
    </nc>
    <odxf>
      <fill>
        <patternFill>
          <bgColor theme="0" tint="-0.249977111117893"/>
        </patternFill>
      </fill>
      <border outline="0">
        <left/>
      </border>
    </odxf>
    <ndxf>
      <fill>
        <patternFill>
          <bgColor theme="0" tint="-0.14999847407452621"/>
        </patternFill>
      </fill>
      <border outline="0">
        <left style="thin">
          <color indexed="64"/>
        </left>
      </border>
    </ndxf>
  </rcc>
  <rcc rId="8366" sId="6" odxf="1" dxf="1">
    <oc r="Z16">
      <f>SUM(U16:Y16)</f>
    </oc>
    <nc r="Z16">
      <f>SUM(U16:Y16)</f>
    </nc>
    <odxf>
      <border outline="0">
        <left/>
        <right/>
      </border>
    </odxf>
    <ndxf>
      <border outline="0">
        <left style="thin">
          <color indexed="64"/>
        </left>
        <right style="thin">
          <color indexed="64"/>
        </right>
      </border>
    </ndxf>
  </rcc>
  <rcc rId="8367" sId="6" odxf="1" dxf="1">
    <oc r="AF16">
      <f>SUM(AA16:AE16)</f>
    </oc>
    <nc r="AF16">
      <f>SUM(AA16:AE16)</f>
    </nc>
    <odxf>
      <border outline="0">
        <left/>
        <right/>
      </border>
    </odxf>
    <ndxf>
      <border outline="0">
        <left style="thin">
          <color indexed="64"/>
        </left>
        <right style="thin">
          <color indexed="64"/>
        </right>
      </border>
    </ndxf>
  </rcc>
  <rcc rId="8368" sId="6" odxf="1" dxf="1">
    <oc r="AL16">
      <f>SUM(AG16:AK16)</f>
    </oc>
    <nc r="AL16">
      <f>SUM(AG16:AK16)</f>
    </nc>
    <odxf>
      <border outline="0">
        <left/>
        <right/>
      </border>
    </odxf>
    <ndxf>
      <border outline="0">
        <left style="thin">
          <color indexed="64"/>
        </left>
        <right style="thin">
          <color indexed="64"/>
        </right>
      </border>
    </ndxf>
  </rcc>
  <rcc rId="8369" sId="6" odxf="1" dxf="1">
    <oc r="AR16">
      <f>SUM(AM16:AQ16)</f>
    </oc>
    <nc r="AR16">
      <f>SUM(AM16:AQ16)</f>
    </nc>
    <odxf>
      <fill>
        <patternFill>
          <bgColor theme="0" tint="-0.249977111117893"/>
        </patternFill>
      </fill>
      <border outline="0">
        <left/>
        <right/>
      </border>
    </odxf>
    <ndxf>
      <fill>
        <patternFill>
          <bgColor theme="0" tint="-0.14999847407452621"/>
        </patternFill>
      </fill>
      <border outline="0">
        <left style="thin">
          <color indexed="64"/>
        </left>
        <right style="thin">
          <color indexed="64"/>
        </right>
      </border>
    </ndxf>
  </rcc>
  <rcc rId="8370" sId="6" odxf="1" dxf="1">
    <oc r="AX16">
      <f>SUM(AS16:AW16)</f>
    </oc>
    <nc r="AX16">
      <f>SUM(AS16:AW16)</f>
    </nc>
    <odxf>
      <fill>
        <patternFill>
          <bgColor theme="0" tint="-0.249977111117893"/>
        </patternFill>
      </fill>
      <border outline="0">
        <left/>
        <right/>
      </border>
    </odxf>
    <ndxf>
      <fill>
        <patternFill>
          <bgColor theme="0" tint="-0.14999847407452621"/>
        </patternFill>
      </fill>
      <border outline="0">
        <left style="thin">
          <color indexed="64"/>
        </left>
        <right style="thin">
          <color indexed="64"/>
        </right>
      </border>
    </ndxf>
  </rcc>
  <rcc rId="8371" sId="6" odxf="1" dxf="1">
    <oc r="BD16">
      <f>SUM(AY16:BC16)</f>
    </oc>
    <nc r="BD16">
      <f>SUM(AY16:BC16)</f>
    </nc>
    <odxf>
      <fill>
        <patternFill>
          <bgColor theme="0" tint="-0.249977111117893"/>
        </patternFill>
      </fill>
      <border outline="0">
        <left/>
      </border>
    </odxf>
    <ndxf>
      <fill>
        <patternFill>
          <bgColor theme="0" tint="-0.14999847407452621"/>
        </patternFill>
      </fill>
      <border outline="0">
        <left style="thin">
          <color indexed="64"/>
        </left>
      </border>
    </ndxf>
  </rcc>
  <rcc rId="8372" sId="6" odxf="1" dxf="1">
    <oc r="BJ16">
      <f>SUM(BE16:BI16)</f>
    </oc>
    <nc r="BJ16">
      <f>SUM(BE16:BI16)</f>
    </nc>
    <odxf>
      <fill>
        <patternFill>
          <bgColor theme="0" tint="-0.249977111117893"/>
        </patternFill>
      </fill>
      <border outline="0">
        <left/>
      </border>
    </odxf>
    <ndxf>
      <fill>
        <patternFill>
          <bgColor theme="0" tint="-0.14999847407452621"/>
        </patternFill>
      </fill>
      <border outline="0">
        <left style="thin">
          <color indexed="64"/>
        </left>
      </border>
    </ndxf>
  </rcc>
  <rcc rId="8373" sId="6" odxf="1" dxf="1">
    <oc r="BP16">
      <f>SUM(BK16:BO16)</f>
    </oc>
    <nc r="BP16">
      <f>SUM(BK16:BO16)</f>
    </nc>
    <odxf>
      <fill>
        <patternFill>
          <bgColor theme="0" tint="-0.249977111117893"/>
        </patternFill>
      </fill>
      <border outline="0">
        <left/>
      </border>
    </odxf>
    <ndxf>
      <fill>
        <patternFill>
          <bgColor theme="0" tint="-0.14999847407452621"/>
        </patternFill>
      </fill>
      <border outline="0">
        <left style="thin">
          <color indexed="64"/>
        </left>
      </border>
    </ndxf>
  </rcc>
  <rcc rId="8374" sId="6" odxf="1" dxf="1">
    <oc r="BV16">
      <f>SUM(BQ16:BU16)</f>
    </oc>
    <nc r="BV16">
      <f>SUM(BQ16:BU16)</f>
    </nc>
    <odxf>
      <fill>
        <patternFill>
          <bgColor theme="0" tint="-0.249977111117893"/>
        </patternFill>
      </fill>
      <border outline="0">
        <left/>
      </border>
    </odxf>
    <ndxf>
      <fill>
        <patternFill>
          <bgColor theme="0" tint="-0.14999847407452621"/>
        </patternFill>
      </fill>
      <border outline="0">
        <left style="thin">
          <color indexed="64"/>
        </left>
      </border>
    </ndxf>
  </rcc>
  <rcc rId="8375" sId="6" odxf="1" dxf="1">
    <oc r="CB16">
      <f>SUM(BW16:CA16)</f>
    </oc>
    <nc r="CB16">
      <f>SUM(BW16:CA16)</f>
    </nc>
    <odxf>
      <fill>
        <patternFill>
          <bgColor theme="0" tint="-0.249977111117893"/>
        </patternFill>
      </fill>
      <border outline="0">
        <left/>
      </border>
    </odxf>
    <ndxf>
      <fill>
        <patternFill>
          <bgColor theme="0" tint="-0.14999847407452621"/>
        </patternFill>
      </fill>
      <border outline="0">
        <left style="thin">
          <color indexed="64"/>
        </left>
      </border>
    </ndxf>
  </rcc>
  <rcc rId="8376" sId="6">
    <oc r="Z2">
      <f>SUM(U2:Y2)</f>
    </oc>
    <nc r="Z2">
      <f>SUM(U2:Y2)</f>
    </nc>
  </rcc>
  <rfmt sheetId="7" sqref="H1:H16" start="0" length="0">
    <dxf>
      <border>
        <left style="thin">
          <color indexed="64"/>
        </left>
      </border>
    </dxf>
  </rfmt>
  <rfmt sheetId="7" sqref="H1:H16" start="0" length="0">
    <dxf>
      <border>
        <right style="thin">
          <color indexed="64"/>
        </right>
      </border>
    </dxf>
  </rfmt>
  <rfmt sheetId="7" sqref="N1:N16" start="0" length="0">
    <dxf>
      <border>
        <left style="thin">
          <color indexed="64"/>
        </left>
      </border>
    </dxf>
  </rfmt>
  <rfmt sheetId="7" sqref="N1:N16" start="0" length="0">
    <dxf>
      <border>
        <right style="thin">
          <color indexed="64"/>
        </right>
      </border>
    </dxf>
  </rfmt>
  <rfmt sheetId="7" sqref="N16" start="0" length="0">
    <dxf>
      <numFmt numFmtId="0" formatCode="General"/>
      <fill>
        <patternFill patternType="solid">
          <bgColor theme="0" tint="-0.14999847407452621"/>
        </patternFill>
      </fill>
      <border outline="0">
        <bottom/>
      </border>
    </dxf>
  </rfmt>
  <rfmt sheetId="7" sqref="N16" start="0" length="0">
    <dxf>
      <border>
        <bottom style="thin">
          <color indexed="64"/>
        </bottom>
      </border>
    </dxf>
  </rfmt>
  <rfmt sheetId="7" sqref="T1:T16" start="0" length="0">
    <dxf>
      <border>
        <left style="thin">
          <color indexed="64"/>
        </left>
      </border>
    </dxf>
  </rfmt>
  <rfmt sheetId="7" sqref="T1:T16" start="0" length="0">
    <dxf>
      <border>
        <right style="thin">
          <color indexed="64"/>
        </right>
      </border>
    </dxf>
  </rfmt>
  <rfmt sheetId="7" sqref="U16" start="0" length="0">
    <dxf>
      <border>
        <left style="thin">
          <color indexed="64"/>
        </left>
        <right/>
        <top/>
        <bottom style="thin">
          <color indexed="64"/>
        </bottom>
      </border>
    </dxf>
  </rfmt>
  <rfmt sheetId="7" sqref="Z1:Z16" start="0" length="0">
    <dxf>
      <border>
        <left style="thin">
          <color indexed="64"/>
        </left>
      </border>
    </dxf>
  </rfmt>
  <rfmt sheetId="7" sqref="Z1:Z16" start="0" length="0">
    <dxf>
      <border>
        <right style="thin">
          <color indexed="64"/>
        </right>
      </border>
    </dxf>
  </rfmt>
  <rfmt sheetId="7" sqref="AF1:AF16" start="0" length="0">
    <dxf>
      <border>
        <left style="thin">
          <color indexed="64"/>
        </left>
      </border>
    </dxf>
  </rfmt>
  <rfmt sheetId="7" sqref="AF1:AF16" start="0" length="0">
    <dxf>
      <border>
        <right style="thin">
          <color indexed="64"/>
        </right>
      </border>
    </dxf>
  </rfmt>
  <rfmt sheetId="7" sqref="AL1:AL16" start="0" length="0">
    <dxf>
      <border>
        <left style="thin">
          <color indexed="64"/>
        </left>
      </border>
    </dxf>
  </rfmt>
  <rfmt sheetId="7" sqref="AL1:AL16" start="0" length="0">
    <dxf>
      <border>
        <right style="thin">
          <color indexed="64"/>
        </right>
      </border>
    </dxf>
  </rfmt>
  <rfmt sheetId="7" sqref="AR1:AR16" start="0" length="0">
    <dxf>
      <border>
        <left style="thin">
          <color indexed="64"/>
        </left>
      </border>
    </dxf>
  </rfmt>
  <rfmt sheetId="7" sqref="AR1:AR16" start="0" length="0">
    <dxf>
      <border>
        <right style="thin">
          <color indexed="64"/>
        </right>
      </border>
    </dxf>
  </rfmt>
  <rfmt sheetId="7" sqref="AX1:AX16" start="0" length="0">
    <dxf>
      <border>
        <left style="thin">
          <color indexed="64"/>
        </left>
      </border>
    </dxf>
  </rfmt>
  <rfmt sheetId="7" sqref="AX1:AX16" start="0" length="0">
    <dxf>
      <border>
        <right style="thin">
          <color indexed="64"/>
        </right>
      </border>
    </dxf>
  </rfmt>
  <rfmt sheetId="7" sqref="AR1" start="0" length="0">
    <dxf>
      <fill>
        <patternFill>
          <bgColor theme="0" tint="-0.14999847407452621"/>
        </patternFill>
      </fill>
    </dxf>
  </rfmt>
  <rfmt sheetId="7" sqref="AX1" start="0" length="0">
    <dxf>
      <fill>
        <patternFill>
          <bgColor theme="0" tint="-0.14999847407452621"/>
        </patternFill>
      </fill>
    </dxf>
  </rfmt>
  <rfmt sheetId="7" sqref="AY1" start="0" length="0">
    <dxf>
      <border outline="0">
        <left style="thin">
          <color indexed="64"/>
        </left>
      </border>
    </dxf>
  </rfmt>
  <rfmt sheetId="7" sqref="BD1" start="0" length="0">
    <dxf>
      <fill>
        <patternFill>
          <bgColor theme="0" tint="-0.14999847407452621"/>
        </patternFill>
      </fill>
      <border outline="0">
        <left style="thin">
          <color auto="1"/>
        </left>
      </border>
    </dxf>
  </rfmt>
  <rfmt sheetId="7" sqref="BJ1" start="0" length="0">
    <dxf>
      <fill>
        <patternFill>
          <bgColor theme="0" tint="-0.14999847407452621"/>
        </patternFill>
      </fill>
      <border outline="0">
        <left style="thin">
          <color auto="1"/>
        </left>
      </border>
    </dxf>
  </rfmt>
  <rfmt sheetId="7" sqref="BP1" start="0" length="0">
    <dxf>
      <fill>
        <patternFill>
          <bgColor theme="0" tint="-0.14999847407452621"/>
        </patternFill>
      </fill>
      <border outline="0">
        <left style="thin">
          <color auto="1"/>
        </left>
      </border>
    </dxf>
  </rfmt>
  <rfmt sheetId="7" sqref="BV1" start="0" length="0">
    <dxf>
      <fill>
        <patternFill>
          <bgColor theme="0" tint="-0.14999847407452621"/>
        </patternFill>
      </fill>
      <border outline="0">
        <left style="thin">
          <color auto="1"/>
        </left>
      </border>
    </dxf>
  </rfmt>
  <rfmt sheetId="7" sqref="CB1" start="0" length="0">
    <dxf>
      <fill>
        <patternFill>
          <bgColor theme="0" tint="-0.14999847407452621"/>
        </patternFill>
      </fill>
      <border outline="0">
        <left style="thin">
          <color auto="1"/>
        </left>
      </border>
    </dxf>
  </rfmt>
  <rcc rId="8377" sId="7">
    <oc r="Z2">
      <f>SUM(U2:Y2)</f>
    </oc>
    <nc r="Z2">
      <f>SUM(U2:Y2)</f>
    </nc>
  </rcc>
  <rcc rId="8378" sId="7">
    <oc r="AF2">
      <f>SUM(AA2:AE2)</f>
    </oc>
    <nc r="AF2">
      <f>SUM(AA2:AE2)</f>
    </nc>
  </rcc>
  <rcc rId="8379" sId="7">
    <oc r="AL2">
      <f>SUM(AG2:AK2)</f>
    </oc>
    <nc r="AL2">
      <f>SUM(AG2:AK2)</f>
    </nc>
  </rcc>
  <rcc rId="8380" sId="7" odxf="1" dxf="1">
    <oc r="AR2">
      <f>SUM(AM2:AQ2)</f>
    </oc>
    <nc r="AR2">
      <f>SUM(AM2:AQ2)</f>
    </nc>
    <odxf>
      <fill>
        <patternFill>
          <bgColor theme="0" tint="-0.249977111117893"/>
        </patternFill>
      </fill>
    </odxf>
    <ndxf>
      <fill>
        <patternFill>
          <bgColor theme="0" tint="-0.14999847407452621"/>
        </patternFill>
      </fill>
    </ndxf>
  </rcc>
  <rcc rId="8381" sId="7" odxf="1" dxf="1">
    <oc r="AX2">
      <f>SUM(AS2:AW2)</f>
    </oc>
    <nc r="AX2">
      <f>SUM(AS2:AW2)</f>
    </nc>
    <odxf>
      <fill>
        <patternFill>
          <bgColor theme="0" tint="-0.249977111117893"/>
        </patternFill>
      </fill>
    </odxf>
    <ndxf>
      <fill>
        <patternFill>
          <bgColor theme="0" tint="-0.14999847407452621"/>
        </patternFill>
      </fill>
    </ndxf>
  </rcc>
  <rcc rId="8382" sId="7" odxf="1" dxf="1">
    <oc r="BD2">
      <f>SUM(AY2:BC2)</f>
    </oc>
    <nc r="BD2">
      <f>SUM(AY2:BC2)</f>
    </nc>
    <odxf>
      <fill>
        <patternFill>
          <bgColor theme="0" tint="-0.249977111117893"/>
        </patternFill>
      </fill>
      <border outline="0">
        <left/>
      </border>
    </odxf>
    <ndxf>
      <fill>
        <patternFill>
          <bgColor theme="0" tint="-0.14999847407452621"/>
        </patternFill>
      </fill>
      <border outline="0">
        <left style="thin">
          <color indexed="64"/>
        </left>
      </border>
    </ndxf>
  </rcc>
  <rcc rId="8383" sId="7" odxf="1" dxf="1">
    <oc r="BJ2">
      <f>SUM(BE2:BI2)</f>
    </oc>
    <nc r="BJ2">
      <f>SUM(BE2:BI2)</f>
    </nc>
    <odxf>
      <fill>
        <patternFill>
          <bgColor theme="0" tint="-0.249977111117893"/>
        </patternFill>
      </fill>
      <border outline="0">
        <left/>
      </border>
    </odxf>
    <ndxf>
      <fill>
        <patternFill>
          <bgColor theme="0" tint="-0.14999847407452621"/>
        </patternFill>
      </fill>
      <border outline="0">
        <left style="thin">
          <color indexed="64"/>
        </left>
      </border>
    </ndxf>
  </rcc>
  <rcc rId="8384" sId="7" odxf="1" dxf="1">
    <oc r="BP2">
      <f>SUM(BK2:BO2)</f>
    </oc>
    <nc r="BP2">
      <f>SUM(BK2:BO2)</f>
    </nc>
    <odxf>
      <fill>
        <patternFill>
          <bgColor theme="0" tint="-0.249977111117893"/>
        </patternFill>
      </fill>
      <border outline="0">
        <left/>
      </border>
    </odxf>
    <ndxf>
      <fill>
        <patternFill>
          <bgColor theme="0" tint="-0.14999847407452621"/>
        </patternFill>
      </fill>
      <border outline="0">
        <left style="thin">
          <color indexed="64"/>
        </left>
      </border>
    </ndxf>
  </rcc>
  <rcc rId="8385" sId="7" odxf="1" dxf="1">
    <oc r="BV2">
      <f>SUM(BQ2:BU2)</f>
    </oc>
    <nc r="BV2">
      <f>SUM(BQ2:BU2)</f>
    </nc>
    <odxf>
      <fill>
        <patternFill>
          <bgColor theme="0" tint="-0.249977111117893"/>
        </patternFill>
      </fill>
      <border outline="0">
        <left/>
      </border>
    </odxf>
    <ndxf>
      <fill>
        <patternFill>
          <bgColor theme="0" tint="-0.14999847407452621"/>
        </patternFill>
      </fill>
      <border outline="0">
        <left style="thin">
          <color indexed="64"/>
        </left>
      </border>
    </ndxf>
  </rcc>
  <rcc rId="8386" sId="7" odxf="1" dxf="1">
    <oc r="CB2">
      <f>SUM(BW2:CA2)</f>
    </oc>
    <nc r="CB2">
      <f>SUM(BW2:CA2)</f>
    </nc>
    <odxf>
      <fill>
        <patternFill>
          <bgColor theme="0" tint="-0.249977111117893"/>
        </patternFill>
      </fill>
      <border outline="0">
        <left/>
      </border>
    </odxf>
    <ndxf>
      <fill>
        <patternFill>
          <bgColor theme="0" tint="-0.14999847407452621"/>
        </patternFill>
      </fill>
      <border outline="0">
        <left style="thin">
          <color indexed="64"/>
        </left>
      </border>
    </ndxf>
  </rcc>
  <rcc rId="8387" sId="7">
    <oc r="Z3">
      <f>SUM(U3:Y3)</f>
    </oc>
    <nc r="Z3">
      <f>SUM(U3:Y3)</f>
    </nc>
  </rcc>
  <rcc rId="8388" sId="7">
    <oc r="AF3">
      <f>SUM(AA3:AE3)</f>
    </oc>
    <nc r="AF3">
      <f>SUM(AA3:AE3)</f>
    </nc>
  </rcc>
  <rcc rId="8389" sId="7">
    <oc r="AL3">
      <f>SUM(AG3:AK3)</f>
    </oc>
    <nc r="AL3">
      <f>SUM(AG3:AK3)</f>
    </nc>
  </rcc>
  <rcc rId="8390" sId="7" odxf="1" dxf="1">
    <oc r="AR3">
      <f>SUM(AM3:AQ3)</f>
    </oc>
    <nc r="AR3">
      <f>SUM(AM3:AQ3)</f>
    </nc>
    <odxf>
      <fill>
        <patternFill>
          <bgColor theme="0" tint="-0.249977111117893"/>
        </patternFill>
      </fill>
    </odxf>
    <ndxf>
      <fill>
        <patternFill>
          <bgColor theme="0" tint="-0.14999847407452621"/>
        </patternFill>
      </fill>
    </ndxf>
  </rcc>
  <rcc rId="8391" sId="7" odxf="1" dxf="1">
    <oc r="AX3">
      <f>SUM(AS3:AW3)</f>
    </oc>
    <nc r="AX3">
      <f>SUM(AS3:AW3)</f>
    </nc>
    <odxf>
      <fill>
        <patternFill>
          <bgColor theme="0" tint="-0.249977111117893"/>
        </patternFill>
      </fill>
    </odxf>
    <ndxf>
      <fill>
        <patternFill>
          <bgColor theme="0" tint="-0.14999847407452621"/>
        </patternFill>
      </fill>
    </ndxf>
  </rcc>
  <rcc rId="8392" sId="7" odxf="1" dxf="1">
    <oc r="BD3">
      <f>SUM(AY3:BC3)</f>
    </oc>
    <nc r="BD3">
      <f>SUM(AY3:BC3)</f>
    </nc>
    <odxf>
      <fill>
        <patternFill>
          <bgColor theme="0" tint="-0.249977111117893"/>
        </patternFill>
      </fill>
      <border outline="0">
        <left/>
      </border>
    </odxf>
    <ndxf>
      <fill>
        <patternFill>
          <bgColor theme="0" tint="-0.14999847407452621"/>
        </patternFill>
      </fill>
      <border outline="0">
        <left style="thin">
          <color indexed="64"/>
        </left>
      </border>
    </ndxf>
  </rcc>
  <rcc rId="8393" sId="7" odxf="1" dxf="1">
    <oc r="BJ3">
      <f>SUM(BE3:BI3)</f>
    </oc>
    <nc r="BJ3">
      <f>SUM(BE3:BI3)</f>
    </nc>
    <odxf>
      <fill>
        <patternFill>
          <bgColor theme="0" tint="-0.249977111117893"/>
        </patternFill>
      </fill>
      <border outline="0">
        <left/>
      </border>
    </odxf>
    <ndxf>
      <fill>
        <patternFill>
          <bgColor theme="0" tint="-0.14999847407452621"/>
        </patternFill>
      </fill>
      <border outline="0">
        <left style="thin">
          <color indexed="64"/>
        </left>
      </border>
    </ndxf>
  </rcc>
  <rcc rId="8394" sId="7" odxf="1" dxf="1">
    <oc r="BP3">
      <f>SUM(BK3:BO3)</f>
    </oc>
    <nc r="BP3">
      <f>SUM(BK3:BO3)</f>
    </nc>
    <odxf>
      <fill>
        <patternFill>
          <bgColor theme="0" tint="-0.249977111117893"/>
        </patternFill>
      </fill>
      <border outline="0">
        <left/>
      </border>
    </odxf>
    <ndxf>
      <fill>
        <patternFill>
          <bgColor theme="0" tint="-0.14999847407452621"/>
        </patternFill>
      </fill>
      <border outline="0">
        <left style="thin">
          <color indexed="64"/>
        </left>
      </border>
    </ndxf>
  </rcc>
  <rcc rId="8395" sId="7" odxf="1" dxf="1">
    <oc r="BV3">
      <f>SUM(BQ3:BU3)</f>
    </oc>
    <nc r="BV3">
      <f>SUM(BQ3:BU3)</f>
    </nc>
    <odxf>
      <fill>
        <patternFill>
          <bgColor theme="0" tint="-0.249977111117893"/>
        </patternFill>
      </fill>
      <border outline="0">
        <left/>
      </border>
    </odxf>
    <ndxf>
      <fill>
        <patternFill>
          <bgColor theme="0" tint="-0.14999847407452621"/>
        </patternFill>
      </fill>
      <border outline="0">
        <left style="thin">
          <color indexed="64"/>
        </left>
      </border>
    </ndxf>
  </rcc>
  <rcc rId="8396" sId="7" odxf="1" dxf="1">
    <oc r="CB3">
      <f>SUM(BW3:CA3)</f>
    </oc>
    <nc r="CB3">
      <f>SUM(BW3:CA3)</f>
    </nc>
    <odxf>
      <fill>
        <patternFill>
          <bgColor theme="0" tint="-0.249977111117893"/>
        </patternFill>
      </fill>
      <border outline="0">
        <left/>
      </border>
    </odxf>
    <ndxf>
      <fill>
        <patternFill>
          <bgColor theme="0" tint="-0.14999847407452621"/>
        </patternFill>
      </fill>
      <border outline="0">
        <left style="thin">
          <color indexed="64"/>
        </left>
      </border>
    </ndxf>
  </rcc>
  <rcc rId="8397" sId="7">
    <oc r="Z4">
      <f>SUM(U4:Y4)</f>
    </oc>
    <nc r="Z4">
      <f>SUM(U4:Y4)</f>
    </nc>
  </rcc>
  <rcc rId="8398" sId="7">
    <oc r="AF4">
      <f>SUM(AA4:AE4)</f>
    </oc>
    <nc r="AF4">
      <f>SUM(AA4:AE4)</f>
    </nc>
  </rcc>
  <rcc rId="8399" sId="7">
    <oc r="AL4">
      <f>SUM(AG4:AK4)</f>
    </oc>
    <nc r="AL4">
      <f>SUM(AG4:AK4)</f>
    </nc>
  </rcc>
  <rcc rId="8400" sId="7" odxf="1" dxf="1">
    <oc r="AR4">
      <f>SUM(AM4:AQ4)</f>
    </oc>
    <nc r="AR4">
      <f>SUM(AM4:AQ4)</f>
    </nc>
    <odxf>
      <fill>
        <patternFill>
          <bgColor theme="0" tint="-0.249977111117893"/>
        </patternFill>
      </fill>
    </odxf>
    <ndxf>
      <fill>
        <patternFill>
          <bgColor theme="0" tint="-0.14999847407452621"/>
        </patternFill>
      </fill>
    </ndxf>
  </rcc>
  <rcc rId="8401" sId="7" odxf="1" dxf="1">
    <oc r="AX4">
      <f>SUM(AS4:AW4)</f>
    </oc>
    <nc r="AX4">
      <f>SUM(AS4:AW4)</f>
    </nc>
    <odxf>
      <fill>
        <patternFill>
          <bgColor theme="0" tint="-0.249977111117893"/>
        </patternFill>
      </fill>
    </odxf>
    <ndxf>
      <fill>
        <patternFill>
          <bgColor theme="0" tint="-0.14999847407452621"/>
        </patternFill>
      </fill>
    </ndxf>
  </rcc>
  <rcc rId="8402" sId="7" odxf="1" dxf="1">
    <oc r="BD4">
      <f>SUM(AY4:BC4)</f>
    </oc>
    <nc r="BD4">
      <f>SUM(AY4:BC4)</f>
    </nc>
    <odxf>
      <fill>
        <patternFill>
          <bgColor theme="0" tint="-0.249977111117893"/>
        </patternFill>
      </fill>
      <border outline="0">
        <left/>
      </border>
    </odxf>
    <ndxf>
      <fill>
        <patternFill>
          <bgColor theme="0" tint="-0.14999847407452621"/>
        </patternFill>
      </fill>
      <border outline="0">
        <left style="thin">
          <color indexed="64"/>
        </left>
      </border>
    </ndxf>
  </rcc>
  <rcc rId="8403" sId="7" odxf="1" dxf="1">
    <oc r="BJ4">
      <f>SUM(BE4:BI4)</f>
    </oc>
    <nc r="BJ4">
      <f>SUM(BE4:BI4)</f>
    </nc>
    <odxf>
      <fill>
        <patternFill>
          <bgColor theme="0" tint="-0.249977111117893"/>
        </patternFill>
      </fill>
      <border outline="0">
        <left/>
      </border>
    </odxf>
    <ndxf>
      <fill>
        <patternFill>
          <bgColor theme="0" tint="-0.14999847407452621"/>
        </patternFill>
      </fill>
      <border outline="0">
        <left style="thin">
          <color indexed="64"/>
        </left>
      </border>
    </ndxf>
  </rcc>
  <rcc rId="8404" sId="7" odxf="1" dxf="1">
    <oc r="BP4">
      <f>SUM(BK4:BO4)</f>
    </oc>
    <nc r="BP4">
      <f>SUM(BK4:BO4)</f>
    </nc>
    <odxf>
      <fill>
        <patternFill>
          <bgColor theme="0" tint="-0.249977111117893"/>
        </patternFill>
      </fill>
      <border outline="0">
        <left/>
      </border>
    </odxf>
    <ndxf>
      <fill>
        <patternFill>
          <bgColor theme="0" tint="-0.14999847407452621"/>
        </patternFill>
      </fill>
      <border outline="0">
        <left style="thin">
          <color indexed="64"/>
        </left>
      </border>
    </ndxf>
  </rcc>
  <rcc rId="8405" sId="7" odxf="1" dxf="1">
    <oc r="BV4">
      <f>SUM(BQ4:BU4)</f>
    </oc>
    <nc r="BV4">
      <f>SUM(BQ4:BU4)</f>
    </nc>
    <odxf>
      <fill>
        <patternFill>
          <bgColor theme="0" tint="-0.249977111117893"/>
        </patternFill>
      </fill>
      <border outline="0">
        <left/>
      </border>
    </odxf>
    <ndxf>
      <fill>
        <patternFill>
          <bgColor theme="0" tint="-0.14999847407452621"/>
        </patternFill>
      </fill>
      <border outline="0">
        <left style="thin">
          <color indexed="64"/>
        </left>
      </border>
    </ndxf>
  </rcc>
  <rcc rId="8406" sId="7" odxf="1" dxf="1">
    <oc r="CB4">
      <f>SUM(BW4:CA4)</f>
    </oc>
    <nc r="CB4">
      <f>SUM(BW4:CA4)</f>
    </nc>
    <odxf>
      <fill>
        <patternFill>
          <bgColor theme="0" tint="-0.249977111117893"/>
        </patternFill>
      </fill>
      <border outline="0">
        <left/>
      </border>
    </odxf>
    <ndxf>
      <fill>
        <patternFill>
          <bgColor theme="0" tint="-0.14999847407452621"/>
        </patternFill>
      </fill>
      <border outline="0">
        <left style="thin">
          <color indexed="64"/>
        </left>
      </border>
    </ndxf>
  </rcc>
  <rcc rId="8407" sId="7">
    <oc r="Z5">
      <f>SUM(U5:Y5)</f>
    </oc>
    <nc r="Z5">
      <f>SUM(U5:Y5)</f>
    </nc>
  </rcc>
  <rcc rId="8408" sId="7">
    <oc r="AF5">
      <f>SUM(AA5:AE5)</f>
    </oc>
    <nc r="AF5">
      <f>SUM(AA5:AE5)</f>
    </nc>
  </rcc>
  <rcc rId="8409" sId="7">
    <oc r="AL5">
      <f>SUM(AG5:AK5)</f>
    </oc>
    <nc r="AL5">
      <f>SUM(AG5:AK5)</f>
    </nc>
  </rcc>
  <rcc rId="8410" sId="7" odxf="1" dxf="1">
    <oc r="AR5">
      <f>SUM(AM5:AQ5)</f>
    </oc>
    <nc r="AR5">
      <f>SUM(AM5:AQ5)</f>
    </nc>
    <odxf>
      <fill>
        <patternFill>
          <bgColor theme="0" tint="-0.249977111117893"/>
        </patternFill>
      </fill>
    </odxf>
    <ndxf>
      <fill>
        <patternFill>
          <bgColor theme="0" tint="-0.14999847407452621"/>
        </patternFill>
      </fill>
    </ndxf>
  </rcc>
  <rcc rId="8411" sId="7" odxf="1" dxf="1">
    <oc r="AX5">
      <f>SUM(AS5:AW5)</f>
    </oc>
    <nc r="AX5">
      <f>SUM(AS5:AW5)</f>
    </nc>
    <odxf>
      <fill>
        <patternFill>
          <bgColor theme="0" tint="-0.249977111117893"/>
        </patternFill>
      </fill>
    </odxf>
    <ndxf>
      <fill>
        <patternFill>
          <bgColor theme="0" tint="-0.14999847407452621"/>
        </patternFill>
      </fill>
    </ndxf>
  </rcc>
  <rcc rId="8412" sId="7" odxf="1" dxf="1">
    <oc r="BD5">
      <f>SUM(AY5:BC5)</f>
    </oc>
    <nc r="BD5">
      <f>SUM(AY5:BC5)</f>
    </nc>
    <odxf>
      <fill>
        <patternFill>
          <bgColor theme="0" tint="-0.249977111117893"/>
        </patternFill>
      </fill>
      <border outline="0">
        <left/>
      </border>
    </odxf>
    <ndxf>
      <fill>
        <patternFill>
          <bgColor theme="0" tint="-0.14999847407452621"/>
        </patternFill>
      </fill>
      <border outline="0">
        <left style="thin">
          <color indexed="64"/>
        </left>
      </border>
    </ndxf>
  </rcc>
  <rcc rId="8413" sId="7" odxf="1" dxf="1">
    <oc r="BJ5">
      <f>SUM(BE5:BI5)</f>
    </oc>
    <nc r="BJ5">
      <f>SUM(BE5:BI5)</f>
    </nc>
    <odxf>
      <fill>
        <patternFill>
          <bgColor theme="0" tint="-0.249977111117893"/>
        </patternFill>
      </fill>
      <border outline="0">
        <left/>
      </border>
    </odxf>
    <ndxf>
      <fill>
        <patternFill>
          <bgColor theme="0" tint="-0.14999847407452621"/>
        </patternFill>
      </fill>
      <border outline="0">
        <left style="thin">
          <color indexed="64"/>
        </left>
      </border>
    </ndxf>
  </rcc>
  <rcc rId="8414" sId="7" odxf="1" dxf="1">
    <oc r="BP5">
      <f>SUM(BK5:BO5)</f>
    </oc>
    <nc r="BP5">
      <f>SUM(BK5:BO5)</f>
    </nc>
    <odxf>
      <fill>
        <patternFill>
          <bgColor theme="0" tint="-0.249977111117893"/>
        </patternFill>
      </fill>
      <border outline="0">
        <left/>
      </border>
    </odxf>
    <ndxf>
      <fill>
        <patternFill>
          <bgColor theme="0" tint="-0.14999847407452621"/>
        </patternFill>
      </fill>
      <border outline="0">
        <left style="thin">
          <color indexed="64"/>
        </left>
      </border>
    </ndxf>
  </rcc>
  <rcc rId="8415" sId="7" odxf="1" dxf="1">
    <oc r="BV5">
      <f>SUM(BQ5:BU5)</f>
    </oc>
    <nc r="BV5">
      <f>SUM(BQ5:BU5)</f>
    </nc>
    <odxf>
      <fill>
        <patternFill>
          <bgColor theme="0" tint="-0.249977111117893"/>
        </patternFill>
      </fill>
      <border outline="0">
        <left/>
      </border>
    </odxf>
    <ndxf>
      <fill>
        <patternFill>
          <bgColor theme="0" tint="-0.14999847407452621"/>
        </patternFill>
      </fill>
      <border outline="0">
        <left style="thin">
          <color indexed="64"/>
        </left>
      </border>
    </ndxf>
  </rcc>
  <rcc rId="8416" sId="7" odxf="1" dxf="1">
    <oc r="CB5">
      <f>SUM(BW5:CA5)</f>
    </oc>
    <nc r="CB5">
      <f>SUM(BW5:CA5)</f>
    </nc>
    <odxf>
      <fill>
        <patternFill>
          <bgColor theme="0" tint="-0.249977111117893"/>
        </patternFill>
      </fill>
      <border outline="0">
        <left/>
      </border>
    </odxf>
    <ndxf>
      <fill>
        <patternFill>
          <bgColor theme="0" tint="-0.14999847407452621"/>
        </patternFill>
      </fill>
      <border outline="0">
        <left style="thin">
          <color indexed="64"/>
        </left>
      </border>
    </ndxf>
  </rcc>
  <rcc rId="8417" sId="7">
    <oc r="Z6">
      <f>SUM(U6:Y6)</f>
    </oc>
    <nc r="Z6">
      <f>SUM(U6:Y6)</f>
    </nc>
  </rcc>
  <rcc rId="8418" sId="7">
    <oc r="AF6">
      <f>SUM(AA6:AE6)</f>
    </oc>
    <nc r="AF6">
      <f>SUM(AA6:AE6)</f>
    </nc>
  </rcc>
  <rcc rId="8419" sId="7">
    <oc r="AL6">
      <f>SUM(AG6:AK6)</f>
    </oc>
    <nc r="AL6">
      <f>SUM(AG6:AK6)</f>
    </nc>
  </rcc>
  <rcc rId="8420" sId="7" odxf="1" dxf="1">
    <oc r="AR6">
      <f>SUM(AM6:AQ6)</f>
    </oc>
    <nc r="AR6">
      <f>SUM(AM6:AQ6)</f>
    </nc>
    <odxf>
      <fill>
        <patternFill>
          <bgColor theme="0" tint="-0.249977111117893"/>
        </patternFill>
      </fill>
    </odxf>
    <ndxf>
      <fill>
        <patternFill>
          <bgColor theme="0" tint="-0.14999847407452621"/>
        </patternFill>
      </fill>
    </ndxf>
  </rcc>
  <rcc rId="8421" sId="7" odxf="1" dxf="1">
    <oc r="AX6">
      <f>SUM(AS6:AW6)</f>
    </oc>
    <nc r="AX6">
      <f>SUM(AS6:AW6)</f>
    </nc>
    <odxf>
      <fill>
        <patternFill>
          <bgColor theme="0" tint="-0.249977111117893"/>
        </patternFill>
      </fill>
    </odxf>
    <ndxf>
      <fill>
        <patternFill>
          <bgColor theme="0" tint="-0.14999847407452621"/>
        </patternFill>
      </fill>
    </ndxf>
  </rcc>
  <rcc rId="8422" sId="7" odxf="1" dxf="1">
    <oc r="BD6">
      <f>SUM(AY6:BC6)</f>
    </oc>
    <nc r="BD6">
      <f>SUM(AY6:BC6)</f>
    </nc>
    <odxf>
      <fill>
        <patternFill>
          <bgColor theme="0" tint="-0.249977111117893"/>
        </patternFill>
      </fill>
      <border outline="0">
        <left/>
      </border>
    </odxf>
    <ndxf>
      <fill>
        <patternFill>
          <bgColor theme="0" tint="-0.14999847407452621"/>
        </patternFill>
      </fill>
      <border outline="0">
        <left style="thin">
          <color indexed="64"/>
        </left>
      </border>
    </ndxf>
  </rcc>
  <rcc rId="8423" sId="7" odxf="1" dxf="1">
    <oc r="BJ6">
      <f>SUM(BE6:BI6)</f>
    </oc>
    <nc r="BJ6">
      <f>SUM(BE6:BI6)</f>
    </nc>
    <odxf>
      <fill>
        <patternFill>
          <bgColor theme="0" tint="-0.249977111117893"/>
        </patternFill>
      </fill>
      <border outline="0">
        <left/>
      </border>
    </odxf>
    <ndxf>
      <fill>
        <patternFill>
          <bgColor theme="0" tint="-0.14999847407452621"/>
        </patternFill>
      </fill>
      <border outline="0">
        <left style="thin">
          <color indexed="64"/>
        </left>
      </border>
    </ndxf>
  </rcc>
  <rcc rId="8424" sId="7" odxf="1" dxf="1">
    <oc r="BP6">
      <f>SUM(BK6:BO6)</f>
    </oc>
    <nc r="BP6">
      <f>SUM(BK6:BO6)</f>
    </nc>
    <odxf>
      <fill>
        <patternFill>
          <bgColor theme="0" tint="-0.249977111117893"/>
        </patternFill>
      </fill>
      <border outline="0">
        <left/>
      </border>
    </odxf>
    <ndxf>
      <fill>
        <patternFill>
          <bgColor theme="0" tint="-0.14999847407452621"/>
        </patternFill>
      </fill>
      <border outline="0">
        <left style="thin">
          <color indexed="64"/>
        </left>
      </border>
    </ndxf>
  </rcc>
  <rcc rId="8425" sId="7" odxf="1" dxf="1">
    <oc r="BV6">
      <f>SUM(BQ6:BU6)</f>
    </oc>
    <nc r="BV6">
      <f>SUM(BQ6:BU6)</f>
    </nc>
    <odxf>
      <fill>
        <patternFill>
          <bgColor theme="0" tint="-0.249977111117893"/>
        </patternFill>
      </fill>
      <border outline="0">
        <left/>
      </border>
    </odxf>
    <ndxf>
      <fill>
        <patternFill>
          <bgColor theme="0" tint="-0.14999847407452621"/>
        </patternFill>
      </fill>
      <border outline="0">
        <left style="thin">
          <color indexed="64"/>
        </left>
      </border>
    </ndxf>
  </rcc>
  <rcc rId="8426" sId="7" odxf="1" dxf="1">
    <oc r="CB6">
      <f>SUM(BW6:CA6)</f>
    </oc>
    <nc r="CB6">
      <f>SUM(BW6:CA6)</f>
    </nc>
    <odxf>
      <fill>
        <patternFill>
          <bgColor theme="0" tint="-0.249977111117893"/>
        </patternFill>
      </fill>
      <border outline="0">
        <left/>
      </border>
    </odxf>
    <ndxf>
      <fill>
        <patternFill>
          <bgColor theme="0" tint="-0.14999847407452621"/>
        </patternFill>
      </fill>
      <border outline="0">
        <left style="thin">
          <color indexed="64"/>
        </left>
      </border>
    </ndxf>
  </rcc>
  <rcc rId="8427" sId="7">
    <oc r="Z7">
      <f>SUM(U7:Y7)</f>
    </oc>
    <nc r="Z7">
      <f>SUM(U7:Y7)</f>
    </nc>
  </rcc>
  <rcc rId="8428" sId="7">
    <oc r="AF7">
      <f>SUM(AA7:AE7)</f>
    </oc>
    <nc r="AF7">
      <f>SUM(AA7:AE7)</f>
    </nc>
  </rcc>
  <rcc rId="8429" sId="7">
    <oc r="AL7">
      <f>SUM(AG7:AK7)</f>
    </oc>
    <nc r="AL7">
      <f>SUM(AG7:AK7)</f>
    </nc>
  </rcc>
  <rcc rId="8430" sId="7" odxf="1" dxf="1">
    <oc r="AR7">
      <f>SUM(AM7:AQ7)</f>
    </oc>
    <nc r="AR7">
      <f>SUM(AM7:AQ7)</f>
    </nc>
    <odxf>
      <fill>
        <patternFill>
          <bgColor theme="0" tint="-0.249977111117893"/>
        </patternFill>
      </fill>
    </odxf>
    <ndxf>
      <fill>
        <patternFill>
          <bgColor theme="0" tint="-0.14999847407452621"/>
        </patternFill>
      </fill>
    </ndxf>
  </rcc>
  <rcc rId="8431" sId="7" odxf="1" dxf="1">
    <oc r="AX7">
      <f>SUM(AS7:AW7)</f>
    </oc>
    <nc r="AX7">
      <f>SUM(AS7:AW7)</f>
    </nc>
    <odxf>
      <fill>
        <patternFill>
          <bgColor theme="0" tint="-0.249977111117893"/>
        </patternFill>
      </fill>
    </odxf>
    <ndxf>
      <fill>
        <patternFill>
          <bgColor theme="0" tint="-0.14999847407452621"/>
        </patternFill>
      </fill>
    </ndxf>
  </rcc>
  <rcc rId="8432" sId="7" odxf="1" dxf="1">
    <oc r="BD7">
      <f>SUM(AY7:BC7)</f>
    </oc>
    <nc r="BD7">
      <f>SUM(AY7:BC7)</f>
    </nc>
    <odxf>
      <fill>
        <patternFill>
          <bgColor theme="0" tint="-0.249977111117893"/>
        </patternFill>
      </fill>
      <border outline="0">
        <left/>
      </border>
    </odxf>
    <ndxf>
      <fill>
        <patternFill>
          <bgColor theme="0" tint="-0.14999847407452621"/>
        </patternFill>
      </fill>
      <border outline="0">
        <left style="thin">
          <color indexed="64"/>
        </left>
      </border>
    </ndxf>
  </rcc>
  <rcc rId="8433" sId="7" odxf="1" dxf="1">
    <oc r="BJ7">
      <f>SUM(BE7:BI7)</f>
    </oc>
    <nc r="BJ7">
      <f>SUM(BE7:BI7)</f>
    </nc>
    <odxf>
      <fill>
        <patternFill>
          <bgColor theme="0" tint="-0.249977111117893"/>
        </patternFill>
      </fill>
      <border outline="0">
        <left/>
      </border>
    </odxf>
    <ndxf>
      <fill>
        <patternFill>
          <bgColor theme="0" tint="-0.14999847407452621"/>
        </patternFill>
      </fill>
      <border outline="0">
        <left style="thin">
          <color indexed="64"/>
        </left>
      </border>
    </ndxf>
  </rcc>
  <rcc rId="8434" sId="7" odxf="1" dxf="1">
    <oc r="BP7">
      <f>SUM(BK7:BO7)</f>
    </oc>
    <nc r="BP7">
      <f>SUM(BK7:BO7)</f>
    </nc>
    <odxf>
      <fill>
        <patternFill>
          <bgColor theme="0" tint="-0.249977111117893"/>
        </patternFill>
      </fill>
      <border outline="0">
        <left/>
      </border>
    </odxf>
    <ndxf>
      <fill>
        <patternFill>
          <bgColor theme="0" tint="-0.14999847407452621"/>
        </patternFill>
      </fill>
      <border outline="0">
        <left style="thin">
          <color indexed="64"/>
        </left>
      </border>
    </ndxf>
  </rcc>
  <rcc rId="8435" sId="7" odxf="1" dxf="1">
    <oc r="BV7">
      <f>SUM(BQ7:BU7)</f>
    </oc>
    <nc r="BV7">
      <f>SUM(BQ7:BU7)</f>
    </nc>
    <odxf>
      <fill>
        <patternFill>
          <bgColor theme="0" tint="-0.249977111117893"/>
        </patternFill>
      </fill>
      <border outline="0">
        <left/>
      </border>
    </odxf>
    <ndxf>
      <fill>
        <patternFill>
          <bgColor theme="0" tint="-0.14999847407452621"/>
        </patternFill>
      </fill>
      <border outline="0">
        <left style="thin">
          <color indexed="64"/>
        </left>
      </border>
    </ndxf>
  </rcc>
  <rcc rId="8436" sId="7" odxf="1" dxf="1">
    <oc r="CB7">
      <f>SUM(BW7:CA7)</f>
    </oc>
    <nc r="CB7">
      <f>SUM(BW7:CA7)</f>
    </nc>
    <odxf>
      <fill>
        <patternFill>
          <bgColor theme="0" tint="-0.249977111117893"/>
        </patternFill>
      </fill>
      <border outline="0">
        <left/>
      </border>
    </odxf>
    <ndxf>
      <fill>
        <patternFill>
          <bgColor theme="0" tint="-0.14999847407452621"/>
        </patternFill>
      </fill>
      <border outline="0">
        <left style="thin">
          <color indexed="64"/>
        </left>
      </border>
    </ndxf>
  </rcc>
  <rcc rId="8437" sId="7">
    <oc r="Z8">
      <f>SUM(U8:Y8)</f>
    </oc>
    <nc r="Z8">
      <f>SUM(U8:Y8)</f>
    </nc>
  </rcc>
  <rcc rId="8438" sId="7">
    <oc r="AF8">
      <f>SUM(AA8:AE8)</f>
    </oc>
    <nc r="AF8">
      <f>SUM(AA8:AE8)</f>
    </nc>
  </rcc>
  <rcc rId="8439" sId="7">
    <oc r="AL8">
      <f>SUM(AG8:AK8)</f>
    </oc>
    <nc r="AL8">
      <f>SUM(AG8:AK8)</f>
    </nc>
  </rcc>
  <rcc rId="8440" sId="7" odxf="1" dxf="1">
    <oc r="AR8">
      <f>SUM(AM8:AQ8)</f>
    </oc>
    <nc r="AR8">
      <f>SUM(AM8:AQ8)</f>
    </nc>
    <odxf>
      <fill>
        <patternFill>
          <bgColor theme="0" tint="-0.249977111117893"/>
        </patternFill>
      </fill>
    </odxf>
    <ndxf>
      <fill>
        <patternFill>
          <bgColor theme="0" tint="-0.14999847407452621"/>
        </patternFill>
      </fill>
    </ndxf>
  </rcc>
  <rcc rId="8441" sId="7" odxf="1" dxf="1">
    <oc r="AX8">
      <f>SUM(AS8:AW8)</f>
    </oc>
    <nc r="AX8">
      <f>SUM(AS8:AW8)</f>
    </nc>
    <odxf>
      <fill>
        <patternFill>
          <bgColor theme="0" tint="-0.249977111117893"/>
        </patternFill>
      </fill>
    </odxf>
    <ndxf>
      <fill>
        <patternFill>
          <bgColor theme="0" tint="-0.14999847407452621"/>
        </patternFill>
      </fill>
    </ndxf>
  </rcc>
  <rcc rId="8442" sId="7" odxf="1" dxf="1">
    <oc r="BD8">
      <f>SUM(AY8:BC8)</f>
    </oc>
    <nc r="BD8">
      <f>SUM(AY8:BC8)</f>
    </nc>
    <odxf>
      <fill>
        <patternFill>
          <bgColor theme="0" tint="-0.249977111117893"/>
        </patternFill>
      </fill>
      <border outline="0">
        <left/>
      </border>
    </odxf>
    <ndxf>
      <fill>
        <patternFill>
          <bgColor theme="0" tint="-0.14999847407452621"/>
        </patternFill>
      </fill>
      <border outline="0">
        <left style="thin">
          <color indexed="64"/>
        </left>
      </border>
    </ndxf>
  </rcc>
  <rcc rId="8443" sId="7" odxf="1" dxf="1">
    <oc r="BJ8">
      <f>SUM(BE8:BI8)</f>
    </oc>
    <nc r="BJ8">
      <f>SUM(BE8:BI8)</f>
    </nc>
    <odxf>
      <fill>
        <patternFill>
          <bgColor theme="0" tint="-0.249977111117893"/>
        </patternFill>
      </fill>
      <border outline="0">
        <left/>
      </border>
    </odxf>
    <ndxf>
      <fill>
        <patternFill>
          <bgColor theme="0" tint="-0.14999847407452621"/>
        </patternFill>
      </fill>
      <border outline="0">
        <left style="thin">
          <color indexed="64"/>
        </left>
      </border>
    </ndxf>
  </rcc>
  <rcc rId="8444" sId="7" odxf="1" dxf="1">
    <oc r="BP8">
      <f>SUM(BK8:BO8)</f>
    </oc>
    <nc r="BP8">
      <f>SUM(BK8:BO8)</f>
    </nc>
    <odxf>
      <fill>
        <patternFill>
          <bgColor theme="0" tint="-0.249977111117893"/>
        </patternFill>
      </fill>
      <border outline="0">
        <left/>
      </border>
    </odxf>
    <ndxf>
      <fill>
        <patternFill>
          <bgColor theme="0" tint="-0.14999847407452621"/>
        </patternFill>
      </fill>
      <border outline="0">
        <left style="thin">
          <color indexed="64"/>
        </left>
      </border>
    </ndxf>
  </rcc>
  <rcc rId="8445" sId="7" odxf="1" dxf="1">
    <oc r="BV8">
      <f>SUM(BQ8:BU8)</f>
    </oc>
    <nc r="BV8">
      <f>SUM(BQ8:BU8)</f>
    </nc>
    <odxf>
      <fill>
        <patternFill>
          <bgColor theme="0" tint="-0.249977111117893"/>
        </patternFill>
      </fill>
      <border outline="0">
        <left/>
      </border>
    </odxf>
    <ndxf>
      <fill>
        <patternFill>
          <bgColor theme="0" tint="-0.14999847407452621"/>
        </patternFill>
      </fill>
      <border outline="0">
        <left style="thin">
          <color indexed="64"/>
        </left>
      </border>
    </ndxf>
  </rcc>
  <rcc rId="8446" sId="7" odxf="1" dxf="1">
    <oc r="CB8">
      <f>SUM(BW8:CA8)</f>
    </oc>
    <nc r="CB8">
      <f>SUM(BW8:CA8)</f>
    </nc>
    <odxf>
      <fill>
        <patternFill>
          <bgColor theme="0" tint="-0.249977111117893"/>
        </patternFill>
      </fill>
      <border outline="0">
        <left/>
      </border>
    </odxf>
    <ndxf>
      <fill>
        <patternFill>
          <bgColor theme="0" tint="-0.14999847407452621"/>
        </patternFill>
      </fill>
      <border outline="0">
        <left style="thin">
          <color indexed="64"/>
        </left>
      </border>
    </ndxf>
  </rcc>
  <rcc rId="8447" sId="7">
    <oc r="Z9">
      <f>SUM(U9:Y9)</f>
    </oc>
    <nc r="Z9">
      <f>SUM(U9:Y9)</f>
    </nc>
  </rcc>
  <rcc rId="8448" sId="7">
    <oc r="AF9">
      <f>SUM(AA9:AE9)</f>
    </oc>
    <nc r="AF9">
      <f>SUM(AA9:AE9)</f>
    </nc>
  </rcc>
  <rcc rId="8449" sId="7">
    <oc r="AL9">
      <f>SUM(AG9:AK9)</f>
    </oc>
    <nc r="AL9">
      <f>SUM(AG9:AK9)</f>
    </nc>
  </rcc>
  <rcc rId="8450" sId="7" odxf="1" dxf="1">
    <oc r="AR9">
      <f>SUM(AM9:AQ9)</f>
    </oc>
    <nc r="AR9">
      <f>SUM(AM9:AQ9)</f>
    </nc>
    <odxf>
      <fill>
        <patternFill>
          <bgColor theme="0" tint="-0.249977111117893"/>
        </patternFill>
      </fill>
    </odxf>
    <ndxf>
      <fill>
        <patternFill>
          <bgColor theme="0" tint="-0.14999847407452621"/>
        </patternFill>
      </fill>
    </ndxf>
  </rcc>
  <rcc rId="8451" sId="7" odxf="1" dxf="1">
    <oc r="AX9">
      <f>SUM(AS9:AW9)</f>
    </oc>
    <nc r="AX9">
      <f>SUM(AS9:AW9)</f>
    </nc>
    <odxf>
      <fill>
        <patternFill>
          <bgColor theme="0" tint="-0.249977111117893"/>
        </patternFill>
      </fill>
    </odxf>
    <ndxf>
      <fill>
        <patternFill>
          <bgColor theme="0" tint="-0.14999847407452621"/>
        </patternFill>
      </fill>
    </ndxf>
  </rcc>
  <rcc rId="8452" sId="7" odxf="1" dxf="1">
    <oc r="BD9">
      <f>SUM(AY9:BC9)</f>
    </oc>
    <nc r="BD9">
      <f>SUM(AY9:BC9)</f>
    </nc>
    <odxf>
      <fill>
        <patternFill>
          <bgColor theme="0" tint="-0.249977111117893"/>
        </patternFill>
      </fill>
      <border outline="0">
        <left/>
      </border>
    </odxf>
    <ndxf>
      <fill>
        <patternFill>
          <bgColor theme="0" tint="-0.14999847407452621"/>
        </patternFill>
      </fill>
      <border outline="0">
        <left style="thin">
          <color indexed="64"/>
        </left>
      </border>
    </ndxf>
  </rcc>
  <rcc rId="8453" sId="7" odxf="1" dxf="1">
    <oc r="BJ9">
      <f>SUM(BE9:BI9)</f>
    </oc>
    <nc r="BJ9">
      <f>SUM(BE9:BI9)</f>
    </nc>
    <odxf>
      <fill>
        <patternFill>
          <bgColor theme="0" tint="-0.249977111117893"/>
        </patternFill>
      </fill>
      <border outline="0">
        <left/>
      </border>
    </odxf>
    <ndxf>
      <fill>
        <patternFill>
          <bgColor theme="0" tint="-0.14999847407452621"/>
        </patternFill>
      </fill>
      <border outline="0">
        <left style="thin">
          <color indexed="64"/>
        </left>
      </border>
    </ndxf>
  </rcc>
  <rcc rId="8454" sId="7" odxf="1" dxf="1">
    <oc r="BP9">
      <f>SUM(BK9:BO9)</f>
    </oc>
    <nc r="BP9">
      <f>SUM(BK9:BO9)</f>
    </nc>
    <odxf>
      <fill>
        <patternFill>
          <bgColor theme="0" tint="-0.249977111117893"/>
        </patternFill>
      </fill>
      <border outline="0">
        <left/>
      </border>
    </odxf>
    <ndxf>
      <fill>
        <patternFill>
          <bgColor theme="0" tint="-0.14999847407452621"/>
        </patternFill>
      </fill>
      <border outline="0">
        <left style="thin">
          <color indexed="64"/>
        </left>
      </border>
    </ndxf>
  </rcc>
  <rcc rId="8455" sId="7" odxf="1" dxf="1">
    <oc r="BV9">
      <f>SUM(BQ9:BU9)</f>
    </oc>
    <nc r="BV9">
      <f>SUM(BQ9:BU9)</f>
    </nc>
    <odxf>
      <fill>
        <patternFill>
          <bgColor theme="0" tint="-0.249977111117893"/>
        </patternFill>
      </fill>
      <border outline="0">
        <left/>
      </border>
    </odxf>
    <ndxf>
      <fill>
        <patternFill>
          <bgColor theme="0" tint="-0.14999847407452621"/>
        </patternFill>
      </fill>
      <border outline="0">
        <left style="thin">
          <color indexed="64"/>
        </left>
      </border>
    </ndxf>
  </rcc>
  <rcc rId="8456" sId="7" odxf="1" dxf="1">
    <oc r="CB9">
      <f>SUM(BW9:CA9)</f>
    </oc>
    <nc r="CB9">
      <f>SUM(BW9:CA9)</f>
    </nc>
    <odxf>
      <fill>
        <patternFill>
          <bgColor theme="0" tint="-0.249977111117893"/>
        </patternFill>
      </fill>
      <border outline="0">
        <left/>
      </border>
    </odxf>
    <ndxf>
      <fill>
        <patternFill>
          <bgColor theme="0" tint="-0.14999847407452621"/>
        </patternFill>
      </fill>
      <border outline="0">
        <left style="thin">
          <color indexed="64"/>
        </left>
      </border>
    </ndxf>
  </rcc>
  <rcc rId="8457" sId="7">
    <oc r="Z10">
      <f>SUM(U10:Y10)</f>
    </oc>
    <nc r="Z10">
      <f>SUM(U10:Y10)</f>
    </nc>
  </rcc>
  <rcc rId="8458" sId="7">
    <oc r="AF10">
      <f>SUM(AA10:AE10)</f>
    </oc>
    <nc r="AF10">
      <f>SUM(AA10:AE10)</f>
    </nc>
  </rcc>
  <rcc rId="8459" sId="7">
    <oc r="AL10">
      <f>SUM(AG10:AK10)</f>
    </oc>
    <nc r="AL10">
      <f>SUM(AG10:AK10)</f>
    </nc>
  </rcc>
  <rcc rId="8460" sId="7" odxf="1" dxf="1">
    <oc r="AR10">
      <f>SUM(AM10:AQ10)</f>
    </oc>
    <nc r="AR10">
      <f>SUM(AM10:AQ10)</f>
    </nc>
    <odxf>
      <fill>
        <patternFill>
          <bgColor theme="0" tint="-0.249977111117893"/>
        </patternFill>
      </fill>
    </odxf>
    <ndxf>
      <fill>
        <patternFill>
          <bgColor theme="0" tint="-0.14999847407452621"/>
        </patternFill>
      </fill>
    </ndxf>
  </rcc>
  <rcc rId="8461" sId="7" odxf="1" dxf="1">
    <oc r="AX10">
      <f>SUM(AS10:AW10)</f>
    </oc>
    <nc r="AX10">
      <f>SUM(AS10:AW10)</f>
    </nc>
    <odxf>
      <fill>
        <patternFill>
          <bgColor theme="0" tint="-0.249977111117893"/>
        </patternFill>
      </fill>
    </odxf>
    <ndxf>
      <fill>
        <patternFill>
          <bgColor theme="0" tint="-0.14999847407452621"/>
        </patternFill>
      </fill>
    </ndxf>
  </rcc>
  <rcc rId="8462" sId="7" odxf="1" dxf="1">
    <oc r="BD10">
      <f>SUM(AY10:BC10)</f>
    </oc>
    <nc r="BD10">
      <f>SUM(AY10:BC10)</f>
    </nc>
    <odxf>
      <fill>
        <patternFill>
          <bgColor theme="0" tint="-0.249977111117893"/>
        </patternFill>
      </fill>
      <border outline="0">
        <left/>
      </border>
    </odxf>
    <ndxf>
      <fill>
        <patternFill>
          <bgColor theme="0" tint="-0.14999847407452621"/>
        </patternFill>
      </fill>
      <border outline="0">
        <left style="thin">
          <color indexed="64"/>
        </left>
      </border>
    </ndxf>
  </rcc>
  <rcc rId="8463" sId="7" odxf="1" dxf="1">
    <oc r="BJ10">
      <f>SUM(BE10:BI10)</f>
    </oc>
    <nc r="BJ10">
      <f>SUM(BE10:BI10)</f>
    </nc>
    <odxf>
      <fill>
        <patternFill>
          <bgColor theme="0" tint="-0.249977111117893"/>
        </patternFill>
      </fill>
      <border outline="0">
        <left/>
      </border>
    </odxf>
    <ndxf>
      <fill>
        <patternFill>
          <bgColor theme="0" tint="-0.14999847407452621"/>
        </patternFill>
      </fill>
      <border outline="0">
        <left style="thin">
          <color indexed="64"/>
        </left>
      </border>
    </ndxf>
  </rcc>
  <rcc rId="8464" sId="7" odxf="1" dxf="1">
    <oc r="BP10">
      <f>SUM(BK10:BO10)</f>
    </oc>
    <nc r="BP10">
      <f>SUM(BK10:BO10)</f>
    </nc>
    <odxf>
      <fill>
        <patternFill>
          <bgColor theme="0" tint="-0.249977111117893"/>
        </patternFill>
      </fill>
      <border outline="0">
        <left/>
      </border>
    </odxf>
    <ndxf>
      <fill>
        <patternFill>
          <bgColor theme="0" tint="-0.14999847407452621"/>
        </patternFill>
      </fill>
      <border outline="0">
        <left style="thin">
          <color indexed="64"/>
        </left>
      </border>
    </ndxf>
  </rcc>
  <rcc rId="8465" sId="7" odxf="1" dxf="1">
    <oc r="BV10">
      <f>SUM(BQ10:BU10)</f>
    </oc>
    <nc r="BV10">
      <f>SUM(BQ10:BU10)</f>
    </nc>
    <odxf>
      <fill>
        <patternFill>
          <bgColor theme="0" tint="-0.249977111117893"/>
        </patternFill>
      </fill>
      <border outline="0">
        <left/>
      </border>
    </odxf>
    <ndxf>
      <fill>
        <patternFill>
          <bgColor theme="0" tint="-0.14999847407452621"/>
        </patternFill>
      </fill>
      <border outline="0">
        <left style="thin">
          <color indexed="64"/>
        </left>
      </border>
    </ndxf>
  </rcc>
  <rcc rId="8466" sId="7" odxf="1" dxf="1">
    <oc r="CB10">
      <f>SUM(BW10:CA10)</f>
    </oc>
    <nc r="CB10">
      <f>SUM(BW10:CA10)</f>
    </nc>
    <odxf>
      <fill>
        <patternFill>
          <bgColor theme="0" tint="-0.249977111117893"/>
        </patternFill>
      </fill>
      <border outline="0">
        <left/>
      </border>
    </odxf>
    <ndxf>
      <fill>
        <patternFill>
          <bgColor theme="0" tint="-0.14999847407452621"/>
        </patternFill>
      </fill>
      <border outline="0">
        <left style="thin">
          <color indexed="64"/>
        </left>
      </border>
    </ndxf>
  </rcc>
  <rcc rId="8467" sId="7">
    <oc r="Z11">
      <f>SUM(U11:Y11)</f>
    </oc>
    <nc r="Z11">
      <f>SUM(U11:Y11)</f>
    </nc>
  </rcc>
  <rcc rId="8468" sId="7">
    <oc r="AF11">
      <f>SUM(AA11:AE11)</f>
    </oc>
    <nc r="AF11">
      <f>SUM(AA11:AE11)</f>
    </nc>
  </rcc>
  <rcc rId="8469" sId="7">
    <oc r="AL11">
      <f>SUM(AG11:AK11)</f>
    </oc>
    <nc r="AL11">
      <f>SUM(AG11:AK11)</f>
    </nc>
  </rcc>
  <rcc rId="8470" sId="7" odxf="1" dxf="1">
    <oc r="AR11">
      <f>SUM(AM11:AQ11)</f>
    </oc>
    <nc r="AR11">
      <f>SUM(AM11:AQ11)</f>
    </nc>
    <odxf>
      <fill>
        <patternFill>
          <bgColor theme="0" tint="-0.249977111117893"/>
        </patternFill>
      </fill>
    </odxf>
    <ndxf>
      <fill>
        <patternFill>
          <bgColor theme="0" tint="-0.14999847407452621"/>
        </patternFill>
      </fill>
    </ndxf>
  </rcc>
  <rcc rId="8471" sId="7" odxf="1" dxf="1">
    <oc r="AX11">
      <f>SUM(AS11:AW11)</f>
    </oc>
    <nc r="AX11">
      <f>SUM(AS11:AW11)</f>
    </nc>
    <odxf>
      <fill>
        <patternFill>
          <bgColor theme="0" tint="-0.249977111117893"/>
        </patternFill>
      </fill>
    </odxf>
    <ndxf>
      <fill>
        <patternFill>
          <bgColor theme="0" tint="-0.14999847407452621"/>
        </patternFill>
      </fill>
    </ndxf>
  </rcc>
  <rcc rId="8472" sId="7" odxf="1" dxf="1">
    <oc r="BD11">
      <f>SUM(AY11:BC11)</f>
    </oc>
    <nc r="BD11">
      <f>SUM(AY11:BC11)</f>
    </nc>
    <odxf>
      <fill>
        <patternFill>
          <bgColor theme="0" tint="-0.249977111117893"/>
        </patternFill>
      </fill>
      <border outline="0">
        <left/>
      </border>
    </odxf>
    <ndxf>
      <fill>
        <patternFill>
          <bgColor theme="0" tint="-0.14999847407452621"/>
        </patternFill>
      </fill>
      <border outline="0">
        <left style="thin">
          <color indexed="64"/>
        </left>
      </border>
    </ndxf>
  </rcc>
  <rcc rId="8473" sId="7" odxf="1" dxf="1">
    <oc r="BJ11">
      <f>SUM(BE11:BI11)</f>
    </oc>
    <nc r="BJ11">
      <f>SUM(BE11:BI11)</f>
    </nc>
    <odxf>
      <fill>
        <patternFill>
          <bgColor theme="0" tint="-0.249977111117893"/>
        </patternFill>
      </fill>
      <border outline="0">
        <left/>
      </border>
    </odxf>
    <ndxf>
      <fill>
        <patternFill>
          <bgColor theme="0" tint="-0.14999847407452621"/>
        </patternFill>
      </fill>
      <border outline="0">
        <left style="thin">
          <color indexed="64"/>
        </left>
      </border>
    </ndxf>
  </rcc>
  <rcc rId="8474" sId="7" odxf="1" dxf="1">
    <oc r="BP11">
      <f>SUM(BK11:BO11)</f>
    </oc>
    <nc r="BP11">
      <f>SUM(BK11:BO11)</f>
    </nc>
    <odxf>
      <fill>
        <patternFill>
          <bgColor theme="0" tint="-0.249977111117893"/>
        </patternFill>
      </fill>
      <border outline="0">
        <left/>
      </border>
    </odxf>
    <ndxf>
      <fill>
        <patternFill>
          <bgColor theme="0" tint="-0.14999847407452621"/>
        </patternFill>
      </fill>
      <border outline="0">
        <left style="thin">
          <color indexed="64"/>
        </left>
      </border>
    </ndxf>
  </rcc>
  <rcc rId="8475" sId="7" odxf="1" dxf="1">
    <oc r="BV11">
      <f>SUM(BQ11:BU11)</f>
    </oc>
    <nc r="BV11">
      <f>SUM(BQ11:BU11)</f>
    </nc>
    <odxf>
      <fill>
        <patternFill>
          <bgColor theme="0" tint="-0.249977111117893"/>
        </patternFill>
      </fill>
      <border outline="0">
        <left/>
      </border>
    </odxf>
    <ndxf>
      <fill>
        <patternFill>
          <bgColor theme="0" tint="-0.14999847407452621"/>
        </patternFill>
      </fill>
      <border outline="0">
        <left style="thin">
          <color indexed="64"/>
        </left>
      </border>
    </ndxf>
  </rcc>
  <rcc rId="8476" sId="7" odxf="1" dxf="1">
    <oc r="CB11">
      <f>SUM(BW11:CA11)</f>
    </oc>
    <nc r="CB11">
      <f>SUM(BW11:CA11)</f>
    </nc>
    <odxf>
      <fill>
        <patternFill>
          <bgColor theme="0" tint="-0.249977111117893"/>
        </patternFill>
      </fill>
      <border outline="0">
        <left/>
      </border>
    </odxf>
    <ndxf>
      <fill>
        <patternFill>
          <bgColor theme="0" tint="-0.14999847407452621"/>
        </patternFill>
      </fill>
      <border outline="0">
        <left style="thin">
          <color indexed="64"/>
        </left>
      </border>
    </ndxf>
  </rcc>
  <rcc rId="8477" sId="7">
    <oc r="Z12">
      <f>SUM(U12:Y12)</f>
    </oc>
    <nc r="Z12">
      <f>SUM(U12:Y12)</f>
    </nc>
  </rcc>
  <rcc rId="8478" sId="7">
    <oc r="AF12">
      <f>SUM(AA12:AE12)</f>
    </oc>
    <nc r="AF12">
      <f>SUM(AA12:AE12)</f>
    </nc>
  </rcc>
  <rcc rId="8479" sId="7">
    <oc r="AL12">
      <f>SUM(AG12:AK12)</f>
    </oc>
    <nc r="AL12">
      <f>SUM(AG12:AK12)</f>
    </nc>
  </rcc>
  <rcc rId="8480" sId="7" odxf="1" dxf="1">
    <oc r="AR12">
      <f>SUM(AM12:AQ12)</f>
    </oc>
    <nc r="AR12">
      <f>SUM(AM12:AQ12)</f>
    </nc>
    <odxf>
      <fill>
        <patternFill>
          <bgColor theme="0" tint="-0.249977111117893"/>
        </patternFill>
      </fill>
    </odxf>
    <ndxf>
      <fill>
        <patternFill>
          <bgColor theme="0" tint="-0.14999847407452621"/>
        </patternFill>
      </fill>
    </ndxf>
  </rcc>
  <rcc rId="8481" sId="7" odxf="1" dxf="1">
    <oc r="AX12">
      <f>SUM(AS12:AW12)</f>
    </oc>
    <nc r="AX12">
      <f>SUM(AS12:AW12)</f>
    </nc>
    <odxf>
      <fill>
        <patternFill>
          <bgColor theme="0" tint="-0.249977111117893"/>
        </patternFill>
      </fill>
    </odxf>
    <ndxf>
      <fill>
        <patternFill>
          <bgColor theme="0" tint="-0.14999847407452621"/>
        </patternFill>
      </fill>
    </ndxf>
  </rcc>
  <rcc rId="8482" sId="7" odxf="1" dxf="1">
    <oc r="BD12">
      <f>SUM(AY12:BC12)</f>
    </oc>
    <nc r="BD12">
      <f>SUM(AY12:BC12)</f>
    </nc>
    <odxf>
      <fill>
        <patternFill>
          <bgColor theme="0" tint="-0.249977111117893"/>
        </patternFill>
      </fill>
      <border outline="0">
        <left/>
      </border>
    </odxf>
    <ndxf>
      <fill>
        <patternFill>
          <bgColor theme="0" tint="-0.14999847407452621"/>
        </patternFill>
      </fill>
      <border outline="0">
        <left style="thin">
          <color indexed="64"/>
        </left>
      </border>
    </ndxf>
  </rcc>
  <rcc rId="8483" sId="7" odxf="1" dxf="1">
    <oc r="BJ12">
      <f>SUM(BE12:BI12)</f>
    </oc>
    <nc r="BJ12">
      <f>SUM(BE12:BI12)</f>
    </nc>
    <odxf>
      <fill>
        <patternFill>
          <bgColor theme="0" tint="-0.249977111117893"/>
        </patternFill>
      </fill>
      <border outline="0">
        <left/>
      </border>
    </odxf>
    <ndxf>
      <fill>
        <patternFill>
          <bgColor theme="0" tint="-0.14999847407452621"/>
        </patternFill>
      </fill>
      <border outline="0">
        <left style="thin">
          <color indexed="64"/>
        </left>
      </border>
    </ndxf>
  </rcc>
  <rcc rId="8484" sId="7" odxf="1" dxf="1">
    <oc r="BP12">
      <f>SUM(BK12:BO12)</f>
    </oc>
    <nc r="BP12">
      <f>SUM(BK12:BO12)</f>
    </nc>
    <odxf>
      <fill>
        <patternFill>
          <bgColor theme="0" tint="-0.249977111117893"/>
        </patternFill>
      </fill>
      <border outline="0">
        <left/>
      </border>
    </odxf>
    <ndxf>
      <fill>
        <patternFill>
          <bgColor theme="0" tint="-0.14999847407452621"/>
        </patternFill>
      </fill>
      <border outline="0">
        <left style="thin">
          <color indexed="64"/>
        </left>
      </border>
    </ndxf>
  </rcc>
  <rcc rId="8485" sId="7" odxf="1" dxf="1">
    <oc r="BV12">
      <f>SUM(BQ12:BU12)</f>
    </oc>
    <nc r="BV12">
      <f>SUM(BQ12:BU12)</f>
    </nc>
    <odxf>
      <fill>
        <patternFill>
          <bgColor theme="0" tint="-0.249977111117893"/>
        </patternFill>
      </fill>
      <border outline="0">
        <left/>
      </border>
    </odxf>
    <ndxf>
      <fill>
        <patternFill>
          <bgColor theme="0" tint="-0.14999847407452621"/>
        </patternFill>
      </fill>
      <border outline="0">
        <left style="thin">
          <color indexed="64"/>
        </left>
      </border>
    </ndxf>
  </rcc>
  <rcc rId="8486" sId="7" odxf="1" dxf="1">
    <oc r="CB12">
      <f>SUM(BW12:CA12)</f>
    </oc>
    <nc r="CB12">
      <f>SUM(BW12:CA12)</f>
    </nc>
    <odxf>
      <fill>
        <patternFill>
          <bgColor theme="0" tint="-0.249977111117893"/>
        </patternFill>
      </fill>
      <border outline="0">
        <left/>
      </border>
    </odxf>
    <ndxf>
      <fill>
        <patternFill>
          <bgColor theme="0" tint="-0.14999847407452621"/>
        </patternFill>
      </fill>
      <border outline="0">
        <left style="thin">
          <color indexed="64"/>
        </left>
      </border>
    </ndxf>
  </rcc>
  <rcc rId="8487" sId="7">
    <oc r="Z13">
      <f>SUM(U13:Y13)</f>
    </oc>
    <nc r="Z13">
      <f>SUM(U13:Y13)</f>
    </nc>
  </rcc>
  <rcc rId="8488" sId="7">
    <oc r="AF13">
      <f>SUM(AA13:AE13)</f>
    </oc>
    <nc r="AF13">
      <f>SUM(AA13:AE13)</f>
    </nc>
  </rcc>
  <rcc rId="8489" sId="7">
    <oc r="AL13">
      <f>SUM(AG13:AK13)</f>
    </oc>
    <nc r="AL13">
      <f>SUM(AG13:AK13)</f>
    </nc>
  </rcc>
  <rcc rId="8490" sId="7" odxf="1" dxf="1">
    <oc r="AR13">
      <f>SUM(AM13:AQ13)</f>
    </oc>
    <nc r="AR13">
      <f>SUM(AM13:AQ13)</f>
    </nc>
    <odxf>
      <fill>
        <patternFill>
          <bgColor theme="0" tint="-0.249977111117893"/>
        </patternFill>
      </fill>
    </odxf>
    <ndxf>
      <fill>
        <patternFill>
          <bgColor theme="0" tint="-0.14999847407452621"/>
        </patternFill>
      </fill>
    </ndxf>
  </rcc>
  <rcc rId="8491" sId="7" odxf="1" dxf="1">
    <oc r="AX13">
      <f>SUM(AS13:AW13)</f>
    </oc>
    <nc r="AX13">
      <f>SUM(AS13:AW13)</f>
    </nc>
    <odxf>
      <fill>
        <patternFill>
          <bgColor theme="0" tint="-0.249977111117893"/>
        </patternFill>
      </fill>
    </odxf>
    <ndxf>
      <fill>
        <patternFill>
          <bgColor theme="0" tint="-0.14999847407452621"/>
        </patternFill>
      </fill>
    </ndxf>
  </rcc>
  <rcc rId="8492" sId="7" odxf="1" dxf="1">
    <oc r="BD13">
      <f>SUM(AY13:BC13)</f>
    </oc>
    <nc r="BD13">
      <f>SUM(AY13:BC13)</f>
    </nc>
    <odxf>
      <fill>
        <patternFill>
          <bgColor theme="0" tint="-0.249977111117893"/>
        </patternFill>
      </fill>
      <border outline="0">
        <left/>
      </border>
    </odxf>
    <ndxf>
      <fill>
        <patternFill>
          <bgColor theme="0" tint="-0.14999847407452621"/>
        </patternFill>
      </fill>
      <border outline="0">
        <left style="thin">
          <color indexed="64"/>
        </left>
      </border>
    </ndxf>
  </rcc>
  <rcc rId="8493" sId="7" odxf="1" dxf="1">
    <oc r="BJ13">
      <f>SUM(BE13:BI13)</f>
    </oc>
    <nc r="BJ13">
      <f>SUM(BE13:BI13)</f>
    </nc>
    <odxf>
      <fill>
        <patternFill>
          <bgColor theme="0" tint="-0.249977111117893"/>
        </patternFill>
      </fill>
      <border outline="0">
        <left/>
      </border>
    </odxf>
    <ndxf>
      <fill>
        <patternFill>
          <bgColor theme="0" tint="-0.14999847407452621"/>
        </patternFill>
      </fill>
      <border outline="0">
        <left style="thin">
          <color indexed="64"/>
        </left>
      </border>
    </ndxf>
  </rcc>
  <rcc rId="8494" sId="7" odxf="1" dxf="1">
    <oc r="BP13">
      <f>SUM(BK13:BO13)</f>
    </oc>
    <nc r="BP13">
      <f>SUM(BK13:BO13)</f>
    </nc>
    <odxf>
      <fill>
        <patternFill>
          <bgColor theme="0" tint="-0.249977111117893"/>
        </patternFill>
      </fill>
      <border outline="0">
        <left/>
      </border>
    </odxf>
    <ndxf>
      <fill>
        <patternFill>
          <bgColor theme="0" tint="-0.14999847407452621"/>
        </patternFill>
      </fill>
      <border outline="0">
        <left style="thin">
          <color indexed="64"/>
        </left>
      </border>
    </ndxf>
  </rcc>
  <rcc rId="8495" sId="7" odxf="1" dxf="1">
    <oc r="BV13">
      <f>SUM(BQ13:BU13)</f>
    </oc>
    <nc r="BV13">
      <f>SUM(BQ13:BU13)</f>
    </nc>
    <odxf>
      <fill>
        <patternFill>
          <bgColor theme="0" tint="-0.249977111117893"/>
        </patternFill>
      </fill>
      <border outline="0">
        <left/>
      </border>
    </odxf>
    <ndxf>
      <fill>
        <patternFill>
          <bgColor theme="0" tint="-0.14999847407452621"/>
        </patternFill>
      </fill>
      <border outline="0">
        <left style="thin">
          <color indexed="64"/>
        </left>
      </border>
    </ndxf>
  </rcc>
  <rcc rId="8496" sId="7" odxf="1" dxf="1">
    <oc r="CB13">
      <f>SUM(BW13:CA13)</f>
    </oc>
    <nc r="CB13">
      <f>SUM(BW13:CA13)</f>
    </nc>
    <odxf>
      <fill>
        <patternFill>
          <bgColor theme="0" tint="-0.249977111117893"/>
        </patternFill>
      </fill>
      <border outline="0">
        <left/>
      </border>
    </odxf>
    <ndxf>
      <fill>
        <patternFill>
          <bgColor theme="0" tint="-0.14999847407452621"/>
        </patternFill>
      </fill>
      <border outline="0">
        <left style="thin">
          <color indexed="64"/>
        </left>
      </border>
    </ndxf>
  </rcc>
  <rcc rId="8497" sId="7">
    <oc r="Z14">
      <f>SUM(U14:Y14)</f>
    </oc>
    <nc r="Z14">
      <f>SUM(U14:Y14)</f>
    </nc>
  </rcc>
  <rcc rId="8498" sId="7">
    <oc r="AF14">
      <f>SUM(AA14:AE14)</f>
    </oc>
    <nc r="AF14">
      <f>SUM(AA14:AE14)</f>
    </nc>
  </rcc>
  <rcc rId="8499" sId="7">
    <oc r="AL14">
      <f>SUM(AG14:AK14)</f>
    </oc>
    <nc r="AL14">
      <f>SUM(AG14:AK14)</f>
    </nc>
  </rcc>
  <rcc rId="8500" sId="7" odxf="1" dxf="1">
    <oc r="AR14">
      <f>SUM(AM14:AQ14)</f>
    </oc>
    <nc r="AR14">
      <f>SUM(AM14:AQ14)</f>
    </nc>
    <odxf>
      <fill>
        <patternFill>
          <bgColor theme="0" tint="-0.249977111117893"/>
        </patternFill>
      </fill>
    </odxf>
    <ndxf>
      <fill>
        <patternFill>
          <bgColor theme="0" tint="-0.14999847407452621"/>
        </patternFill>
      </fill>
    </ndxf>
  </rcc>
  <rcc rId="8501" sId="7" odxf="1" dxf="1">
    <oc r="AX14">
      <f>SUM(AS14:AW14)</f>
    </oc>
    <nc r="AX14">
      <f>SUM(AS14:AW14)</f>
    </nc>
    <odxf>
      <fill>
        <patternFill>
          <bgColor theme="0" tint="-0.249977111117893"/>
        </patternFill>
      </fill>
    </odxf>
    <ndxf>
      <fill>
        <patternFill>
          <bgColor theme="0" tint="-0.14999847407452621"/>
        </patternFill>
      </fill>
    </ndxf>
  </rcc>
  <rcc rId="8502" sId="7" odxf="1" dxf="1">
    <oc r="BD14">
      <f>SUM(AY14:BC14)</f>
    </oc>
    <nc r="BD14">
      <f>SUM(AY14:BC14)</f>
    </nc>
    <odxf>
      <fill>
        <patternFill>
          <bgColor theme="0" tint="-0.249977111117893"/>
        </patternFill>
      </fill>
      <border outline="0">
        <left/>
      </border>
    </odxf>
    <ndxf>
      <fill>
        <patternFill>
          <bgColor theme="0" tint="-0.14999847407452621"/>
        </patternFill>
      </fill>
      <border outline="0">
        <left style="thin">
          <color indexed="64"/>
        </left>
      </border>
    </ndxf>
  </rcc>
  <rcc rId="8503" sId="7" odxf="1" dxf="1">
    <oc r="BJ14">
      <f>SUM(BE14:BI14)</f>
    </oc>
    <nc r="BJ14">
      <f>SUM(BE14:BI14)</f>
    </nc>
    <odxf>
      <fill>
        <patternFill>
          <bgColor theme="0" tint="-0.249977111117893"/>
        </patternFill>
      </fill>
      <border outline="0">
        <left/>
      </border>
    </odxf>
    <ndxf>
      <fill>
        <patternFill>
          <bgColor theme="0" tint="-0.14999847407452621"/>
        </patternFill>
      </fill>
      <border outline="0">
        <left style="thin">
          <color indexed="64"/>
        </left>
      </border>
    </ndxf>
  </rcc>
  <rcc rId="8504" sId="7" odxf="1" dxf="1">
    <oc r="BP14">
      <f>SUM(BK14:BO14)</f>
    </oc>
    <nc r="BP14">
      <f>SUM(BK14:BO14)</f>
    </nc>
    <odxf>
      <fill>
        <patternFill>
          <bgColor theme="0" tint="-0.249977111117893"/>
        </patternFill>
      </fill>
      <border outline="0">
        <left/>
      </border>
    </odxf>
    <ndxf>
      <fill>
        <patternFill>
          <bgColor theme="0" tint="-0.14999847407452621"/>
        </patternFill>
      </fill>
      <border outline="0">
        <left style="thin">
          <color indexed="64"/>
        </left>
      </border>
    </ndxf>
  </rcc>
  <rcc rId="8505" sId="7" odxf="1" dxf="1">
    <oc r="BV14">
      <f>SUM(BQ14:BU14)</f>
    </oc>
    <nc r="BV14">
      <f>SUM(BQ14:BU14)</f>
    </nc>
    <odxf>
      <fill>
        <patternFill>
          <bgColor theme="0" tint="-0.249977111117893"/>
        </patternFill>
      </fill>
      <border outline="0">
        <left/>
      </border>
    </odxf>
    <ndxf>
      <fill>
        <patternFill>
          <bgColor theme="0" tint="-0.14999847407452621"/>
        </patternFill>
      </fill>
      <border outline="0">
        <left style="thin">
          <color indexed="64"/>
        </left>
      </border>
    </ndxf>
  </rcc>
  <rcc rId="8506" sId="7" odxf="1" dxf="1">
    <oc r="CB14">
      <f>SUM(BW14:CA14)</f>
    </oc>
    <nc r="CB14">
      <f>SUM(BW14:CA14)</f>
    </nc>
    <odxf>
      <fill>
        <patternFill>
          <bgColor theme="0" tint="-0.249977111117893"/>
        </patternFill>
      </fill>
      <border outline="0">
        <left/>
      </border>
    </odxf>
    <ndxf>
      <fill>
        <patternFill>
          <bgColor theme="0" tint="-0.14999847407452621"/>
        </patternFill>
      </fill>
      <border outline="0">
        <left style="thin">
          <color indexed="64"/>
        </left>
      </border>
    </ndxf>
  </rcc>
  <rcc rId="8507" sId="7">
    <oc r="Z15">
      <f>SUM(U15:Y15)</f>
    </oc>
    <nc r="Z15">
      <f>SUM(U15:Y15)</f>
    </nc>
  </rcc>
  <rcc rId="8508" sId="7">
    <oc r="AF15">
      <f>SUM(AA15:AE15)</f>
    </oc>
    <nc r="AF15">
      <f>SUM(AA15:AE15)</f>
    </nc>
  </rcc>
  <rcc rId="8509" sId="7">
    <oc r="AL15">
      <f>SUM(AG15:AK15)</f>
    </oc>
    <nc r="AL15">
      <f>SUM(AG15:AK15)</f>
    </nc>
  </rcc>
  <rcc rId="8510" sId="7" odxf="1" dxf="1">
    <oc r="AR15">
      <f>SUM(AM15:AQ15)</f>
    </oc>
    <nc r="AR15">
      <f>SUM(AM15:AQ15)</f>
    </nc>
    <odxf>
      <fill>
        <patternFill>
          <bgColor theme="0" tint="-0.249977111117893"/>
        </patternFill>
      </fill>
    </odxf>
    <ndxf>
      <fill>
        <patternFill>
          <bgColor theme="0" tint="-0.14999847407452621"/>
        </patternFill>
      </fill>
    </ndxf>
  </rcc>
  <rcc rId="8511" sId="7" odxf="1" dxf="1">
    <oc r="AX15">
      <f>SUM(AS15:AW15)</f>
    </oc>
    <nc r="AX15">
      <f>SUM(AS15:AW15)</f>
    </nc>
    <odxf>
      <fill>
        <patternFill>
          <bgColor theme="0" tint="-0.249977111117893"/>
        </patternFill>
      </fill>
    </odxf>
    <ndxf>
      <fill>
        <patternFill>
          <bgColor theme="0" tint="-0.14999847407452621"/>
        </patternFill>
      </fill>
    </ndxf>
  </rcc>
  <rcc rId="8512" sId="7" odxf="1" dxf="1">
    <oc r="BD15">
      <f>SUM(AY15:BC15)</f>
    </oc>
    <nc r="BD15">
      <f>SUM(AY15:BC15)</f>
    </nc>
    <odxf>
      <fill>
        <patternFill>
          <bgColor theme="0" tint="-0.249977111117893"/>
        </patternFill>
      </fill>
      <border outline="0">
        <left/>
      </border>
    </odxf>
    <ndxf>
      <fill>
        <patternFill>
          <bgColor theme="0" tint="-0.14999847407452621"/>
        </patternFill>
      </fill>
      <border outline="0">
        <left style="thin">
          <color indexed="64"/>
        </left>
      </border>
    </ndxf>
  </rcc>
  <rcc rId="8513" sId="7" odxf="1" dxf="1">
    <oc r="BJ15">
      <f>SUM(BE15:BI15)</f>
    </oc>
    <nc r="BJ15">
      <f>SUM(BE15:BI15)</f>
    </nc>
    <odxf>
      <fill>
        <patternFill>
          <bgColor theme="0" tint="-0.249977111117893"/>
        </patternFill>
      </fill>
      <border outline="0">
        <left/>
      </border>
    </odxf>
    <ndxf>
      <fill>
        <patternFill>
          <bgColor theme="0" tint="-0.14999847407452621"/>
        </patternFill>
      </fill>
      <border outline="0">
        <left style="thin">
          <color indexed="64"/>
        </left>
      </border>
    </ndxf>
  </rcc>
  <rcc rId="8514" sId="7" odxf="1" dxf="1">
    <oc r="BP15">
      <f>SUM(BK15:BO15)</f>
    </oc>
    <nc r="BP15">
      <f>SUM(BK15:BO15)</f>
    </nc>
    <odxf>
      <fill>
        <patternFill>
          <bgColor theme="0" tint="-0.249977111117893"/>
        </patternFill>
      </fill>
      <border outline="0">
        <left/>
      </border>
    </odxf>
    <ndxf>
      <fill>
        <patternFill>
          <bgColor theme="0" tint="-0.14999847407452621"/>
        </patternFill>
      </fill>
      <border outline="0">
        <left style="thin">
          <color indexed="64"/>
        </left>
      </border>
    </ndxf>
  </rcc>
  <rcc rId="8515" sId="7" odxf="1" dxf="1">
    <oc r="BV15">
      <f>SUM(BQ15:BU15)</f>
    </oc>
    <nc r="BV15">
      <f>SUM(BQ15:BU15)</f>
    </nc>
    <odxf>
      <fill>
        <patternFill>
          <bgColor theme="0" tint="-0.249977111117893"/>
        </patternFill>
      </fill>
      <border outline="0">
        <left/>
      </border>
    </odxf>
    <ndxf>
      <fill>
        <patternFill>
          <bgColor theme="0" tint="-0.14999847407452621"/>
        </patternFill>
      </fill>
      <border outline="0">
        <left style="thin">
          <color indexed="64"/>
        </left>
      </border>
    </ndxf>
  </rcc>
  <rcc rId="8516" sId="7" odxf="1" dxf="1">
    <oc r="CB15">
      <f>SUM(BW15:CA15)</f>
    </oc>
    <nc r="CB15">
      <f>SUM(BW15:CA15)</f>
    </nc>
    <odxf>
      <fill>
        <patternFill>
          <bgColor theme="0" tint="-0.249977111117893"/>
        </patternFill>
      </fill>
      <border outline="0">
        <left/>
      </border>
    </odxf>
    <ndxf>
      <fill>
        <patternFill>
          <bgColor theme="0" tint="-0.14999847407452621"/>
        </patternFill>
      </fill>
      <border outline="0">
        <left style="thin">
          <color indexed="64"/>
        </left>
      </border>
    </ndxf>
  </rcc>
  <rcc rId="8517" sId="7">
    <oc r="Z16">
      <f>SUM(U16:Y16)</f>
    </oc>
    <nc r="Z16">
      <f>SUM(U16:Y16)</f>
    </nc>
  </rcc>
  <rcc rId="8518" sId="7">
    <oc r="AF16">
      <f>SUM(AA16:AE16)</f>
    </oc>
    <nc r="AF16">
      <f>SUM(AA16:AE16)</f>
    </nc>
  </rcc>
  <rcc rId="8519" sId="7">
    <oc r="AL16">
      <f>SUM(AG16:AK16)</f>
    </oc>
    <nc r="AL16">
      <f>SUM(AG16:AK16)</f>
    </nc>
  </rcc>
  <rcc rId="8520" sId="7" odxf="1" dxf="1">
    <oc r="AR16">
      <f>SUM(AM16:AQ16)</f>
    </oc>
    <nc r="AR16">
      <f>SUM(AM16:AQ16)</f>
    </nc>
    <odxf>
      <fill>
        <patternFill>
          <bgColor theme="0" tint="-0.249977111117893"/>
        </patternFill>
      </fill>
    </odxf>
    <ndxf>
      <fill>
        <patternFill>
          <bgColor theme="0" tint="-0.14999847407452621"/>
        </patternFill>
      </fill>
    </ndxf>
  </rcc>
  <rcc rId="8521" sId="7" odxf="1" dxf="1">
    <oc r="AX16">
      <f>SUM(AS16:AW16)</f>
    </oc>
    <nc r="AX16">
      <f>SUM(AS16:AW16)</f>
    </nc>
    <odxf>
      <fill>
        <patternFill>
          <bgColor theme="0" tint="-0.249977111117893"/>
        </patternFill>
      </fill>
    </odxf>
    <ndxf>
      <fill>
        <patternFill>
          <bgColor theme="0" tint="-0.14999847407452621"/>
        </patternFill>
      </fill>
    </ndxf>
  </rcc>
  <rcc rId="8522" sId="7" odxf="1" dxf="1">
    <oc r="BD16">
      <f>SUM(AY16:BC16)</f>
    </oc>
    <nc r="BD16">
      <f>SUM(AY16:BC16)</f>
    </nc>
    <odxf>
      <fill>
        <patternFill>
          <bgColor theme="0" tint="-0.249977111117893"/>
        </patternFill>
      </fill>
      <border outline="0">
        <left/>
      </border>
    </odxf>
    <ndxf>
      <fill>
        <patternFill>
          <bgColor theme="0" tint="-0.14999847407452621"/>
        </patternFill>
      </fill>
      <border outline="0">
        <left style="thin">
          <color indexed="64"/>
        </left>
      </border>
    </ndxf>
  </rcc>
  <rcc rId="8523" sId="7" odxf="1" dxf="1">
    <oc r="BJ16">
      <f>SUM(BE16:BI16)</f>
    </oc>
    <nc r="BJ16">
      <f>SUM(BE16:BI16)</f>
    </nc>
    <odxf>
      <fill>
        <patternFill>
          <bgColor theme="0" tint="-0.249977111117893"/>
        </patternFill>
      </fill>
      <border outline="0">
        <left/>
      </border>
    </odxf>
    <ndxf>
      <fill>
        <patternFill>
          <bgColor theme="0" tint="-0.14999847407452621"/>
        </patternFill>
      </fill>
      <border outline="0">
        <left style="thin">
          <color indexed="64"/>
        </left>
      </border>
    </ndxf>
  </rcc>
  <rcc rId="8524" sId="7" odxf="1" dxf="1">
    <oc r="BP16">
      <f>SUM(BK16:BO16)</f>
    </oc>
    <nc r="BP16">
      <f>SUM(BK16:BO16)</f>
    </nc>
    <odxf>
      <fill>
        <patternFill>
          <bgColor theme="0" tint="-0.249977111117893"/>
        </patternFill>
      </fill>
      <border outline="0">
        <left/>
      </border>
    </odxf>
    <ndxf>
      <fill>
        <patternFill>
          <bgColor theme="0" tint="-0.14999847407452621"/>
        </patternFill>
      </fill>
      <border outline="0">
        <left style="thin">
          <color indexed="64"/>
        </left>
      </border>
    </ndxf>
  </rcc>
  <rcc rId="8525" sId="7" odxf="1" dxf="1">
    <oc r="BV16">
      <f>SUM(BQ16:BU16)</f>
    </oc>
    <nc r="BV16">
      <f>SUM(BQ16:BU16)</f>
    </nc>
    <odxf>
      <fill>
        <patternFill>
          <bgColor theme="0" tint="-0.249977111117893"/>
        </patternFill>
      </fill>
      <border outline="0">
        <left/>
      </border>
    </odxf>
    <ndxf>
      <fill>
        <patternFill>
          <bgColor theme="0" tint="-0.14999847407452621"/>
        </patternFill>
      </fill>
      <border outline="0">
        <left style="thin">
          <color indexed="64"/>
        </left>
      </border>
    </ndxf>
  </rcc>
  <rcc rId="8526" sId="7" odxf="1" dxf="1">
    <oc r="CB16">
      <f>SUM(BW16:CA16)</f>
    </oc>
    <nc r="CB16">
      <f>SUM(BW16:CA16)</f>
    </nc>
    <odxf>
      <fill>
        <patternFill>
          <bgColor theme="0" tint="-0.249977111117893"/>
        </patternFill>
      </fill>
      <border outline="0">
        <left/>
      </border>
    </odxf>
    <ndxf>
      <fill>
        <patternFill>
          <bgColor theme="0" tint="-0.14999847407452621"/>
        </patternFill>
      </fill>
      <border outline="0">
        <left style="thin">
          <color indexed="64"/>
        </left>
      </border>
    </ndxf>
  </rcc>
  <rfmt sheetId="8" sqref="Z1" start="0" length="0">
    <dxf>
      <border outline="0">
        <left style="thin">
          <color auto="1"/>
        </left>
        <right style="thin">
          <color auto="1"/>
        </right>
      </border>
    </dxf>
  </rfmt>
  <rfmt sheetId="8" sqref="AA1" start="0" length="0">
    <dxf>
      <border outline="0">
        <left/>
      </border>
    </dxf>
  </rfmt>
  <rfmt sheetId="8" sqref="AF1" start="0" length="0">
    <dxf>
      <border outline="0">
        <left style="thin">
          <color auto="1"/>
        </left>
        <right style="thin">
          <color auto="1"/>
        </right>
      </border>
    </dxf>
  </rfmt>
  <rfmt sheetId="8" sqref="AG1" start="0" length="0">
    <dxf>
      <border outline="0">
        <left/>
      </border>
    </dxf>
  </rfmt>
  <rfmt sheetId="8" sqref="AL1" start="0" length="0">
    <dxf>
      <border outline="0">
        <left style="thin">
          <color auto="1"/>
        </left>
        <right style="thin">
          <color auto="1"/>
        </right>
      </border>
    </dxf>
  </rfmt>
  <rfmt sheetId="8" sqref="AM1" start="0" length="0">
    <dxf>
      <border outline="0">
        <left/>
      </border>
    </dxf>
  </rfmt>
  <rfmt sheetId="8" sqref="AR1" start="0" length="0">
    <dxf>
      <fill>
        <patternFill>
          <bgColor theme="0" tint="-0.14999847407452621"/>
        </patternFill>
      </fill>
      <border outline="0">
        <left style="thin">
          <color auto="1"/>
        </left>
        <right style="thin">
          <color auto="1"/>
        </right>
      </border>
    </dxf>
  </rfmt>
  <rfmt sheetId="8" sqref="AS1" start="0" length="0">
    <dxf>
      <border outline="0">
        <left/>
      </border>
    </dxf>
  </rfmt>
  <rfmt sheetId="8" sqref="AX1" start="0" length="0">
    <dxf>
      <fill>
        <patternFill>
          <bgColor theme="0" tint="-0.14999847407452621"/>
        </patternFill>
      </fill>
      <border outline="0">
        <left style="thin">
          <color auto="1"/>
        </left>
        <right style="thin">
          <color auto="1"/>
        </right>
      </border>
    </dxf>
  </rfmt>
  <rfmt sheetId="8" sqref="BD1" start="0" length="0">
    <dxf>
      <fill>
        <patternFill>
          <bgColor theme="0" tint="-0.14999847407452621"/>
        </patternFill>
      </fill>
      <border outline="0">
        <left style="thin">
          <color auto="1"/>
        </left>
      </border>
    </dxf>
  </rfmt>
  <rfmt sheetId="8" sqref="BJ1" start="0" length="0">
    <dxf>
      <fill>
        <patternFill>
          <bgColor theme="0" tint="-0.14999847407452621"/>
        </patternFill>
      </fill>
      <border outline="0">
        <left style="thin">
          <color auto="1"/>
        </left>
      </border>
    </dxf>
  </rfmt>
  <rfmt sheetId="8" sqref="BP1" start="0" length="0">
    <dxf>
      <fill>
        <patternFill>
          <bgColor theme="0" tint="-0.14999847407452621"/>
        </patternFill>
      </fill>
      <border outline="0">
        <left style="thin">
          <color auto="1"/>
        </left>
      </border>
    </dxf>
  </rfmt>
  <rfmt sheetId="8" sqref="BV1" start="0" length="0">
    <dxf>
      <fill>
        <patternFill>
          <bgColor theme="0" tint="-0.14999847407452621"/>
        </patternFill>
      </fill>
      <border outline="0">
        <left style="thin">
          <color auto="1"/>
        </left>
      </border>
    </dxf>
  </rfmt>
  <rfmt sheetId="8" sqref="CB1" start="0" length="0">
    <dxf>
      <fill>
        <patternFill>
          <bgColor theme="0" tint="-0.14999847407452621"/>
        </patternFill>
      </fill>
      <border outline="0">
        <left style="thin">
          <color auto="1"/>
        </left>
      </border>
    </dxf>
  </rfmt>
  <rcc rId="8527" sId="8" odxf="1" dxf="1">
    <oc r="Z2">
      <f>SUM(U2:Y2)</f>
    </oc>
    <nc r="Z2">
      <f>SUM(U2:Y2)</f>
    </nc>
    <odxf>
      <border outline="0">
        <left/>
        <right/>
      </border>
    </odxf>
    <ndxf>
      <border outline="0">
        <left style="thin">
          <color indexed="64"/>
        </left>
        <right style="thin">
          <color indexed="64"/>
        </right>
      </border>
    </ndxf>
  </rcc>
  <rcc rId="8528" sId="8" odxf="1" dxf="1">
    <oc r="AF2">
      <f>SUM(AA2:AE2)</f>
    </oc>
    <nc r="AF2">
      <f>SUM(AA2:AE2)</f>
    </nc>
    <odxf>
      <border outline="0">
        <left/>
        <right/>
      </border>
    </odxf>
    <ndxf>
      <border outline="0">
        <left style="thin">
          <color indexed="64"/>
        </left>
        <right style="thin">
          <color indexed="64"/>
        </right>
      </border>
    </ndxf>
  </rcc>
  <rcc rId="8529" sId="8" odxf="1" dxf="1">
    <oc r="AL2">
      <f>SUM(AG2:AK2)</f>
    </oc>
    <nc r="AL2">
      <f>SUM(AG2:AK2)</f>
    </nc>
    <odxf>
      <border outline="0">
        <left/>
        <right/>
      </border>
    </odxf>
    <ndxf>
      <border outline="0">
        <left style="thin">
          <color indexed="64"/>
        </left>
        <right style="thin">
          <color indexed="64"/>
        </right>
      </border>
    </ndxf>
  </rcc>
  <rcc rId="8530" sId="8" odxf="1" dxf="1">
    <oc r="AR2">
      <f>SUM(AM2:AQ2)</f>
    </oc>
    <nc r="AR2">
      <f>SUM(AM2:AQ2)</f>
    </nc>
    <odxf>
      <fill>
        <patternFill>
          <bgColor theme="0" tint="-0.249977111117893"/>
        </patternFill>
      </fill>
      <border outline="0">
        <left/>
        <right/>
      </border>
    </odxf>
    <ndxf>
      <fill>
        <patternFill>
          <bgColor theme="0" tint="-0.14999847407452621"/>
        </patternFill>
      </fill>
      <border outline="0">
        <left style="thin">
          <color indexed="64"/>
        </left>
        <right style="thin">
          <color indexed="64"/>
        </right>
      </border>
    </ndxf>
  </rcc>
  <rcc rId="8531" sId="8" odxf="1" dxf="1">
    <oc r="AX2">
      <f>SUM(AS2:AW2)</f>
    </oc>
    <nc r="AX2">
      <f>SUM(AS2:AW2)</f>
    </nc>
    <odxf>
      <fill>
        <patternFill>
          <bgColor theme="0" tint="-0.249977111117893"/>
        </patternFill>
      </fill>
      <border outline="0">
        <left/>
        <right/>
      </border>
    </odxf>
    <ndxf>
      <fill>
        <patternFill>
          <bgColor theme="0" tint="-0.14999847407452621"/>
        </patternFill>
      </fill>
      <border outline="0">
        <left style="thin">
          <color indexed="64"/>
        </left>
        <right style="thin">
          <color indexed="64"/>
        </right>
      </border>
    </ndxf>
  </rcc>
  <rcc rId="8532" sId="8" odxf="1" dxf="1">
    <oc r="BD2">
      <f>SUM(AY2:BC2)</f>
    </oc>
    <nc r="BD2">
      <f>SUM(AY2:BC2)</f>
    </nc>
    <odxf>
      <fill>
        <patternFill>
          <bgColor theme="0" tint="-0.249977111117893"/>
        </patternFill>
      </fill>
      <border outline="0">
        <left/>
      </border>
    </odxf>
    <ndxf>
      <fill>
        <patternFill>
          <bgColor theme="0" tint="-0.14999847407452621"/>
        </patternFill>
      </fill>
      <border outline="0">
        <left style="thin">
          <color indexed="64"/>
        </left>
      </border>
    </ndxf>
  </rcc>
  <rcc rId="8533" sId="8" odxf="1" dxf="1">
    <oc r="BJ2">
      <f>SUM(BE2:BI2)</f>
    </oc>
    <nc r="BJ2">
      <f>SUM(BE2:BI2)</f>
    </nc>
    <odxf>
      <fill>
        <patternFill>
          <bgColor theme="0" tint="-0.249977111117893"/>
        </patternFill>
      </fill>
      <border outline="0">
        <left/>
      </border>
    </odxf>
    <ndxf>
      <fill>
        <patternFill>
          <bgColor theme="0" tint="-0.14999847407452621"/>
        </patternFill>
      </fill>
      <border outline="0">
        <left style="thin">
          <color indexed="64"/>
        </left>
      </border>
    </ndxf>
  </rcc>
  <rcc rId="8534" sId="8" odxf="1" dxf="1">
    <oc r="BP2">
      <f>SUM(BK2:BO2)</f>
    </oc>
    <nc r="BP2">
      <f>SUM(BK2:BO2)</f>
    </nc>
    <odxf>
      <fill>
        <patternFill>
          <bgColor theme="0" tint="-0.249977111117893"/>
        </patternFill>
      </fill>
      <border outline="0">
        <left/>
      </border>
    </odxf>
    <ndxf>
      <fill>
        <patternFill>
          <bgColor theme="0" tint="-0.14999847407452621"/>
        </patternFill>
      </fill>
      <border outline="0">
        <left style="thin">
          <color indexed="64"/>
        </left>
      </border>
    </ndxf>
  </rcc>
  <rcc rId="8535" sId="8" odxf="1" dxf="1">
    <oc r="BV2">
      <f>SUM(BQ2:BU2)</f>
    </oc>
    <nc r="BV2">
      <f>SUM(BQ2:BU2)</f>
    </nc>
    <odxf>
      <fill>
        <patternFill>
          <bgColor theme="0" tint="-0.249977111117893"/>
        </patternFill>
      </fill>
      <border outline="0">
        <left/>
      </border>
    </odxf>
    <ndxf>
      <fill>
        <patternFill>
          <bgColor theme="0" tint="-0.14999847407452621"/>
        </patternFill>
      </fill>
      <border outline="0">
        <left style="thin">
          <color indexed="64"/>
        </left>
      </border>
    </ndxf>
  </rcc>
  <rcc rId="8536" sId="8" odxf="1" dxf="1">
    <oc r="CB2">
      <f>SUM(BW2:CA2)</f>
    </oc>
    <nc r="CB2">
      <f>SUM(BW2:CA2)</f>
    </nc>
    <odxf>
      <fill>
        <patternFill>
          <bgColor theme="0" tint="-0.249977111117893"/>
        </patternFill>
      </fill>
      <border outline="0">
        <left/>
      </border>
    </odxf>
    <ndxf>
      <fill>
        <patternFill>
          <bgColor theme="0" tint="-0.14999847407452621"/>
        </patternFill>
      </fill>
      <border outline="0">
        <left style="thin">
          <color indexed="64"/>
        </left>
      </border>
    </ndxf>
  </rcc>
  <rcc rId="8537" sId="8" odxf="1" dxf="1">
    <oc r="Z3">
      <f>SUM(U3:Y3)</f>
    </oc>
    <nc r="Z3">
      <f>SUM(U3:Y3)</f>
    </nc>
    <odxf>
      <border outline="0">
        <left/>
        <right/>
      </border>
    </odxf>
    <ndxf>
      <border outline="0">
        <left style="thin">
          <color indexed="64"/>
        </left>
        <right style="thin">
          <color indexed="64"/>
        </right>
      </border>
    </ndxf>
  </rcc>
  <rcc rId="8538" sId="8" odxf="1" dxf="1">
    <oc r="AF3">
      <f>SUM(AA3:AE3)</f>
    </oc>
    <nc r="AF3">
      <f>SUM(AA3:AE3)</f>
    </nc>
    <odxf>
      <border outline="0">
        <left/>
        <right/>
      </border>
    </odxf>
    <ndxf>
      <border outline="0">
        <left style="thin">
          <color indexed="64"/>
        </left>
        <right style="thin">
          <color indexed="64"/>
        </right>
      </border>
    </ndxf>
  </rcc>
  <rcc rId="8539" sId="8" odxf="1" dxf="1">
    <oc r="AL3">
      <f>SUM(AG3:AK3)</f>
    </oc>
    <nc r="AL3">
      <f>SUM(AG3:AK3)</f>
    </nc>
    <odxf>
      <border outline="0">
        <left/>
        <right/>
      </border>
    </odxf>
    <ndxf>
      <border outline="0">
        <left style="thin">
          <color indexed="64"/>
        </left>
        <right style="thin">
          <color indexed="64"/>
        </right>
      </border>
    </ndxf>
  </rcc>
  <rcc rId="8540" sId="8" odxf="1" dxf="1">
    <oc r="AR3">
      <f>SUM(AM3:AQ3)</f>
    </oc>
    <nc r="AR3">
      <f>SUM(AM3:AQ3)</f>
    </nc>
    <odxf>
      <fill>
        <patternFill>
          <bgColor theme="0" tint="-0.249977111117893"/>
        </patternFill>
      </fill>
      <border outline="0">
        <left/>
        <right/>
      </border>
    </odxf>
    <ndxf>
      <fill>
        <patternFill>
          <bgColor theme="0" tint="-0.14999847407452621"/>
        </patternFill>
      </fill>
      <border outline="0">
        <left style="thin">
          <color indexed="64"/>
        </left>
        <right style="thin">
          <color indexed="64"/>
        </right>
      </border>
    </ndxf>
  </rcc>
  <rcc rId="8541" sId="8" odxf="1" dxf="1">
    <oc r="AX3">
      <f>SUM(AS3:AW3)</f>
    </oc>
    <nc r="AX3">
      <f>SUM(AS3:AW3)</f>
    </nc>
    <odxf>
      <fill>
        <patternFill>
          <bgColor theme="0" tint="-0.249977111117893"/>
        </patternFill>
      </fill>
      <border outline="0">
        <left/>
        <right/>
      </border>
    </odxf>
    <ndxf>
      <fill>
        <patternFill>
          <bgColor theme="0" tint="-0.14999847407452621"/>
        </patternFill>
      </fill>
      <border outline="0">
        <left style="thin">
          <color indexed="64"/>
        </left>
        <right style="thin">
          <color indexed="64"/>
        </right>
      </border>
    </ndxf>
  </rcc>
  <rcc rId="8542" sId="8" odxf="1" dxf="1">
    <oc r="BD3">
      <f>SUM(AY3:BC3)</f>
    </oc>
    <nc r="BD3">
      <f>SUM(AY3:BC3)</f>
    </nc>
    <odxf>
      <fill>
        <patternFill>
          <bgColor theme="0" tint="-0.249977111117893"/>
        </patternFill>
      </fill>
      <border outline="0">
        <left/>
      </border>
    </odxf>
    <ndxf>
      <fill>
        <patternFill>
          <bgColor theme="0" tint="-0.14999847407452621"/>
        </patternFill>
      </fill>
      <border outline="0">
        <left style="thin">
          <color indexed="64"/>
        </left>
      </border>
    </ndxf>
  </rcc>
  <rcc rId="8543" sId="8" odxf="1" dxf="1">
    <oc r="BJ3">
      <f>SUM(BE3:BI3)</f>
    </oc>
    <nc r="BJ3">
      <f>SUM(BE3:BI3)</f>
    </nc>
    <odxf>
      <fill>
        <patternFill>
          <bgColor theme="0" tint="-0.249977111117893"/>
        </patternFill>
      </fill>
      <border outline="0">
        <left/>
      </border>
    </odxf>
    <ndxf>
      <fill>
        <patternFill>
          <bgColor theme="0" tint="-0.14999847407452621"/>
        </patternFill>
      </fill>
      <border outline="0">
        <left style="thin">
          <color indexed="64"/>
        </left>
      </border>
    </ndxf>
  </rcc>
  <rcc rId="8544" sId="8" odxf="1" dxf="1">
    <oc r="BP3">
      <f>SUM(BK3:BO3)</f>
    </oc>
    <nc r="BP3">
      <f>SUM(BK3:BO3)</f>
    </nc>
    <odxf>
      <fill>
        <patternFill>
          <bgColor theme="0" tint="-0.249977111117893"/>
        </patternFill>
      </fill>
      <border outline="0">
        <left/>
      </border>
    </odxf>
    <ndxf>
      <fill>
        <patternFill>
          <bgColor theme="0" tint="-0.14999847407452621"/>
        </patternFill>
      </fill>
      <border outline="0">
        <left style="thin">
          <color indexed="64"/>
        </left>
      </border>
    </ndxf>
  </rcc>
  <rcc rId="8545" sId="8" odxf="1" dxf="1">
    <oc r="BV3">
      <f>SUM(BQ3:BU3)</f>
    </oc>
    <nc r="BV3">
      <f>SUM(BQ3:BU3)</f>
    </nc>
    <odxf>
      <fill>
        <patternFill>
          <bgColor theme="0" tint="-0.249977111117893"/>
        </patternFill>
      </fill>
      <border outline="0">
        <left/>
      </border>
    </odxf>
    <ndxf>
      <fill>
        <patternFill>
          <bgColor theme="0" tint="-0.14999847407452621"/>
        </patternFill>
      </fill>
      <border outline="0">
        <left style="thin">
          <color indexed="64"/>
        </left>
      </border>
    </ndxf>
  </rcc>
  <rcc rId="8546" sId="8" odxf="1" dxf="1">
    <oc r="CB3">
      <f>SUM(BW3:CA3)</f>
    </oc>
    <nc r="CB3">
      <f>SUM(BW3:CA3)</f>
    </nc>
    <odxf>
      <fill>
        <patternFill>
          <bgColor theme="0" tint="-0.249977111117893"/>
        </patternFill>
      </fill>
      <border outline="0">
        <left/>
      </border>
    </odxf>
    <ndxf>
      <fill>
        <patternFill>
          <bgColor theme="0" tint="-0.14999847407452621"/>
        </patternFill>
      </fill>
      <border outline="0">
        <left style="thin">
          <color indexed="64"/>
        </left>
      </border>
    </ndxf>
  </rcc>
  <rcc rId="8547" sId="8" odxf="1" dxf="1">
    <oc r="Z4">
      <f>SUM(U4:Y4)</f>
    </oc>
    <nc r="Z4">
      <f>SUM(U4:Y4)</f>
    </nc>
    <odxf>
      <border outline="0">
        <left/>
        <right/>
      </border>
    </odxf>
    <ndxf>
      <border outline="0">
        <left style="thin">
          <color indexed="64"/>
        </left>
        <right style="thin">
          <color indexed="64"/>
        </right>
      </border>
    </ndxf>
  </rcc>
  <rcc rId="8548" sId="8" odxf="1" dxf="1">
    <oc r="AF4">
      <f>SUM(AA4:AE4)</f>
    </oc>
    <nc r="AF4">
      <f>SUM(AA4:AE4)</f>
    </nc>
    <odxf>
      <border outline="0">
        <left/>
        <right/>
      </border>
    </odxf>
    <ndxf>
      <border outline="0">
        <left style="thin">
          <color indexed="64"/>
        </left>
        <right style="thin">
          <color indexed="64"/>
        </right>
      </border>
    </ndxf>
  </rcc>
  <rcc rId="8549" sId="8" odxf="1" dxf="1">
    <oc r="AL4">
      <f>SUM(AG4:AK4)</f>
    </oc>
    <nc r="AL4">
      <f>SUM(AG4:AK4)</f>
    </nc>
    <odxf>
      <border outline="0">
        <left/>
        <right/>
      </border>
    </odxf>
    <ndxf>
      <border outline="0">
        <left style="thin">
          <color indexed="64"/>
        </left>
        <right style="thin">
          <color indexed="64"/>
        </right>
      </border>
    </ndxf>
  </rcc>
  <rcc rId="8550" sId="8" odxf="1" dxf="1">
    <oc r="AR4">
      <f>SUM(AM4:AQ4)</f>
    </oc>
    <nc r="AR4">
      <f>SUM(AM4:AQ4)</f>
    </nc>
    <odxf>
      <fill>
        <patternFill>
          <bgColor theme="0" tint="-0.249977111117893"/>
        </patternFill>
      </fill>
      <border outline="0">
        <left/>
        <right/>
      </border>
    </odxf>
    <ndxf>
      <fill>
        <patternFill>
          <bgColor theme="0" tint="-0.14999847407452621"/>
        </patternFill>
      </fill>
      <border outline="0">
        <left style="thin">
          <color indexed="64"/>
        </left>
        <right style="thin">
          <color indexed="64"/>
        </right>
      </border>
    </ndxf>
  </rcc>
  <rcc rId="8551" sId="8" odxf="1" dxf="1">
    <oc r="AX4">
      <f>SUM(AS4:AW4)</f>
    </oc>
    <nc r="AX4">
      <f>SUM(AS4:AW4)</f>
    </nc>
    <odxf>
      <fill>
        <patternFill>
          <bgColor theme="0" tint="-0.249977111117893"/>
        </patternFill>
      </fill>
      <border outline="0">
        <left/>
        <right/>
      </border>
    </odxf>
    <ndxf>
      <fill>
        <patternFill>
          <bgColor theme="0" tint="-0.14999847407452621"/>
        </patternFill>
      </fill>
      <border outline="0">
        <left style="thin">
          <color indexed="64"/>
        </left>
        <right style="thin">
          <color indexed="64"/>
        </right>
      </border>
    </ndxf>
  </rcc>
  <rcc rId="8552" sId="8" odxf="1" dxf="1">
    <oc r="BD4">
      <f>SUM(AY4:BC4)</f>
    </oc>
    <nc r="BD4">
      <f>SUM(AY4:BC4)</f>
    </nc>
    <odxf>
      <fill>
        <patternFill>
          <bgColor theme="0" tint="-0.249977111117893"/>
        </patternFill>
      </fill>
      <border outline="0">
        <left/>
      </border>
    </odxf>
    <ndxf>
      <fill>
        <patternFill>
          <bgColor theme="0" tint="-0.14999847407452621"/>
        </patternFill>
      </fill>
      <border outline="0">
        <left style="thin">
          <color indexed="64"/>
        </left>
      </border>
    </ndxf>
  </rcc>
  <rcc rId="8553" sId="8" odxf="1" dxf="1">
    <oc r="BJ4">
      <f>SUM(BE4:BI4)</f>
    </oc>
    <nc r="BJ4">
      <f>SUM(BE4:BI4)</f>
    </nc>
    <odxf>
      <fill>
        <patternFill>
          <bgColor theme="0" tint="-0.249977111117893"/>
        </patternFill>
      </fill>
      <border outline="0">
        <left/>
      </border>
    </odxf>
    <ndxf>
      <fill>
        <patternFill>
          <bgColor theme="0" tint="-0.14999847407452621"/>
        </patternFill>
      </fill>
      <border outline="0">
        <left style="thin">
          <color indexed="64"/>
        </left>
      </border>
    </ndxf>
  </rcc>
  <rcc rId="8554" sId="8" odxf="1" dxf="1">
    <oc r="BP4">
      <f>SUM(BK4:BO4)</f>
    </oc>
    <nc r="BP4">
      <f>SUM(BK4:BO4)</f>
    </nc>
    <odxf>
      <fill>
        <patternFill>
          <bgColor theme="0" tint="-0.249977111117893"/>
        </patternFill>
      </fill>
      <border outline="0">
        <left/>
      </border>
    </odxf>
    <ndxf>
      <fill>
        <patternFill>
          <bgColor theme="0" tint="-0.14999847407452621"/>
        </patternFill>
      </fill>
      <border outline="0">
        <left style="thin">
          <color indexed="64"/>
        </left>
      </border>
    </ndxf>
  </rcc>
  <rcc rId="8555" sId="8" odxf="1" dxf="1">
    <oc r="BV4">
      <f>SUM(BQ4:BU4)</f>
    </oc>
    <nc r="BV4">
      <f>SUM(BQ4:BU4)</f>
    </nc>
    <odxf>
      <fill>
        <patternFill>
          <bgColor theme="0" tint="-0.249977111117893"/>
        </patternFill>
      </fill>
      <border outline="0">
        <left/>
      </border>
    </odxf>
    <ndxf>
      <fill>
        <patternFill>
          <bgColor theme="0" tint="-0.14999847407452621"/>
        </patternFill>
      </fill>
      <border outline="0">
        <left style="thin">
          <color indexed="64"/>
        </left>
      </border>
    </ndxf>
  </rcc>
  <rcc rId="8556" sId="8" odxf="1" dxf="1">
    <oc r="CB4">
      <f>SUM(BW4:CA4)</f>
    </oc>
    <nc r="CB4">
      <f>SUM(BW4:CA4)</f>
    </nc>
    <odxf>
      <fill>
        <patternFill>
          <bgColor theme="0" tint="-0.249977111117893"/>
        </patternFill>
      </fill>
      <border outline="0">
        <left/>
      </border>
    </odxf>
    <ndxf>
      <fill>
        <patternFill>
          <bgColor theme="0" tint="-0.14999847407452621"/>
        </patternFill>
      </fill>
      <border outline="0">
        <left style="thin">
          <color indexed="64"/>
        </left>
      </border>
    </ndxf>
  </rcc>
  <rcc rId="8557" sId="8" odxf="1" dxf="1">
    <oc r="Z5">
      <f>SUM(U5:Y5)</f>
    </oc>
    <nc r="Z5">
      <f>SUM(U5:Y5)</f>
    </nc>
    <odxf>
      <border outline="0">
        <left/>
        <right/>
      </border>
    </odxf>
    <ndxf>
      <border outline="0">
        <left style="thin">
          <color indexed="64"/>
        </left>
        <right style="thin">
          <color indexed="64"/>
        </right>
      </border>
    </ndxf>
  </rcc>
  <rcc rId="8558" sId="8" odxf="1" dxf="1">
    <oc r="AF5">
      <f>SUM(AA5:AE5)</f>
    </oc>
    <nc r="AF5">
      <f>SUM(AA5:AE5)</f>
    </nc>
    <odxf>
      <border outline="0">
        <left/>
        <right/>
      </border>
    </odxf>
    <ndxf>
      <border outline="0">
        <left style="thin">
          <color indexed="64"/>
        </left>
        <right style="thin">
          <color indexed="64"/>
        </right>
      </border>
    </ndxf>
  </rcc>
  <rcc rId="8559" sId="8" odxf="1" dxf="1">
    <oc r="AL5">
      <f>SUM(AG5:AK5)</f>
    </oc>
    <nc r="AL5">
      <f>SUM(AG5:AK5)</f>
    </nc>
    <odxf>
      <border outline="0">
        <left/>
        <right/>
      </border>
    </odxf>
    <ndxf>
      <border outline="0">
        <left style="thin">
          <color indexed="64"/>
        </left>
        <right style="thin">
          <color indexed="64"/>
        </right>
      </border>
    </ndxf>
  </rcc>
  <rcc rId="8560" sId="8" odxf="1" dxf="1">
    <oc r="AR5">
      <f>SUM(AM5:AQ5)</f>
    </oc>
    <nc r="AR5">
      <f>SUM(AM5:AQ5)</f>
    </nc>
    <odxf>
      <fill>
        <patternFill>
          <bgColor theme="0" tint="-0.249977111117893"/>
        </patternFill>
      </fill>
      <border outline="0">
        <left/>
        <right/>
      </border>
    </odxf>
    <ndxf>
      <fill>
        <patternFill>
          <bgColor theme="0" tint="-0.14999847407452621"/>
        </patternFill>
      </fill>
      <border outline="0">
        <left style="thin">
          <color indexed="64"/>
        </left>
        <right style="thin">
          <color indexed="64"/>
        </right>
      </border>
    </ndxf>
  </rcc>
  <rcc rId="8561" sId="8" odxf="1" dxf="1">
    <oc r="AX5">
      <f>SUM(AS5:AW5)</f>
    </oc>
    <nc r="AX5">
      <f>SUM(AS5:AW5)</f>
    </nc>
    <odxf>
      <fill>
        <patternFill>
          <bgColor theme="0" tint="-0.249977111117893"/>
        </patternFill>
      </fill>
      <border outline="0">
        <left/>
        <right/>
      </border>
    </odxf>
    <ndxf>
      <fill>
        <patternFill>
          <bgColor theme="0" tint="-0.14999847407452621"/>
        </patternFill>
      </fill>
      <border outline="0">
        <left style="thin">
          <color indexed="64"/>
        </left>
        <right style="thin">
          <color indexed="64"/>
        </right>
      </border>
    </ndxf>
  </rcc>
  <rcc rId="8562" sId="8" odxf="1" dxf="1">
    <oc r="BD5">
      <f>SUM(AY5:BC5)</f>
    </oc>
    <nc r="BD5">
      <f>SUM(AY5:BC5)</f>
    </nc>
    <odxf>
      <fill>
        <patternFill>
          <bgColor theme="0" tint="-0.249977111117893"/>
        </patternFill>
      </fill>
      <border outline="0">
        <left/>
      </border>
    </odxf>
    <ndxf>
      <fill>
        <patternFill>
          <bgColor theme="0" tint="-0.14999847407452621"/>
        </patternFill>
      </fill>
      <border outline="0">
        <left style="thin">
          <color indexed="64"/>
        </left>
      </border>
    </ndxf>
  </rcc>
  <rcc rId="8563" sId="8" odxf="1" dxf="1">
    <oc r="BJ5">
      <f>SUM(BE5:BI5)</f>
    </oc>
    <nc r="BJ5">
      <f>SUM(BE5:BI5)</f>
    </nc>
    <odxf>
      <fill>
        <patternFill>
          <bgColor theme="0" tint="-0.249977111117893"/>
        </patternFill>
      </fill>
      <border outline="0">
        <left/>
      </border>
    </odxf>
    <ndxf>
      <fill>
        <patternFill>
          <bgColor theme="0" tint="-0.14999847407452621"/>
        </patternFill>
      </fill>
      <border outline="0">
        <left style="thin">
          <color indexed="64"/>
        </left>
      </border>
    </ndxf>
  </rcc>
  <rcc rId="8564" sId="8" odxf="1" dxf="1">
    <oc r="BP5">
      <f>SUM(BK5:BO5)</f>
    </oc>
    <nc r="BP5">
      <f>SUM(BK5:BO5)</f>
    </nc>
    <odxf>
      <fill>
        <patternFill>
          <bgColor theme="0" tint="-0.249977111117893"/>
        </patternFill>
      </fill>
      <border outline="0">
        <left/>
      </border>
    </odxf>
    <ndxf>
      <fill>
        <patternFill>
          <bgColor theme="0" tint="-0.14999847407452621"/>
        </patternFill>
      </fill>
      <border outline="0">
        <left style="thin">
          <color indexed="64"/>
        </left>
      </border>
    </ndxf>
  </rcc>
  <rcc rId="8565" sId="8" odxf="1" dxf="1">
    <oc r="BV5">
      <f>SUM(BQ5:BU5)</f>
    </oc>
    <nc r="BV5">
      <f>SUM(BQ5:BU5)</f>
    </nc>
    <odxf>
      <fill>
        <patternFill>
          <bgColor theme="0" tint="-0.249977111117893"/>
        </patternFill>
      </fill>
      <border outline="0">
        <left/>
      </border>
    </odxf>
    <ndxf>
      <fill>
        <patternFill>
          <bgColor theme="0" tint="-0.14999847407452621"/>
        </patternFill>
      </fill>
      <border outline="0">
        <left style="thin">
          <color indexed="64"/>
        </left>
      </border>
    </ndxf>
  </rcc>
  <rcc rId="8566" sId="8" odxf="1" dxf="1">
    <oc r="CB5">
      <f>SUM(BW5:CA5)</f>
    </oc>
    <nc r="CB5">
      <f>SUM(BW5:CA5)</f>
    </nc>
    <odxf>
      <fill>
        <patternFill>
          <bgColor theme="0" tint="-0.249977111117893"/>
        </patternFill>
      </fill>
      <border outline="0">
        <left/>
      </border>
    </odxf>
    <ndxf>
      <fill>
        <patternFill>
          <bgColor theme="0" tint="-0.14999847407452621"/>
        </patternFill>
      </fill>
      <border outline="0">
        <left style="thin">
          <color indexed="64"/>
        </left>
      </border>
    </ndxf>
  </rcc>
  <rcc rId="8567" sId="8" odxf="1" dxf="1">
    <oc r="Z6">
      <f>SUM(U6:Y6)</f>
    </oc>
    <nc r="Z6">
      <f>SUM(U6:Y6)</f>
    </nc>
    <odxf>
      <border outline="0">
        <left/>
        <right/>
      </border>
    </odxf>
    <ndxf>
      <border outline="0">
        <left style="thin">
          <color indexed="64"/>
        </left>
        <right style="thin">
          <color indexed="64"/>
        </right>
      </border>
    </ndxf>
  </rcc>
  <rcc rId="8568" sId="8" odxf="1" dxf="1">
    <oc r="AF6">
      <f>SUM(AA6:AE6)</f>
    </oc>
    <nc r="AF6">
      <f>SUM(AA6:AE6)</f>
    </nc>
    <odxf>
      <border outline="0">
        <left/>
        <right/>
      </border>
    </odxf>
    <ndxf>
      <border outline="0">
        <left style="thin">
          <color indexed="64"/>
        </left>
        <right style="thin">
          <color indexed="64"/>
        </right>
      </border>
    </ndxf>
  </rcc>
  <rcc rId="8569" sId="8" odxf="1" dxf="1">
    <oc r="AL6">
      <f>SUM(AG6:AK6)</f>
    </oc>
    <nc r="AL6">
      <f>SUM(AG6:AK6)</f>
    </nc>
    <odxf>
      <border outline="0">
        <left/>
        <right/>
      </border>
    </odxf>
    <ndxf>
      <border outline="0">
        <left style="thin">
          <color indexed="64"/>
        </left>
        <right style="thin">
          <color indexed="64"/>
        </right>
      </border>
    </ndxf>
  </rcc>
  <rcc rId="8570" sId="8" odxf="1" dxf="1">
    <oc r="AR6">
      <f>SUM(AM6:AQ6)</f>
    </oc>
    <nc r="AR6">
      <f>SUM(AM6:AQ6)</f>
    </nc>
    <odxf>
      <fill>
        <patternFill>
          <bgColor theme="0" tint="-0.249977111117893"/>
        </patternFill>
      </fill>
      <border outline="0">
        <left/>
        <right/>
      </border>
    </odxf>
    <ndxf>
      <fill>
        <patternFill>
          <bgColor theme="0" tint="-0.14999847407452621"/>
        </patternFill>
      </fill>
      <border outline="0">
        <left style="thin">
          <color indexed="64"/>
        </left>
        <right style="thin">
          <color indexed="64"/>
        </right>
      </border>
    </ndxf>
  </rcc>
  <rcc rId="8571" sId="8" odxf="1" dxf="1">
    <oc r="AX6">
      <f>SUM(AS6:AW6)</f>
    </oc>
    <nc r="AX6">
      <f>SUM(AS6:AW6)</f>
    </nc>
    <odxf>
      <fill>
        <patternFill>
          <bgColor theme="0" tint="-0.249977111117893"/>
        </patternFill>
      </fill>
      <border outline="0">
        <left/>
        <right/>
      </border>
    </odxf>
    <ndxf>
      <fill>
        <patternFill>
          <bgColor theme="0" tint="-0.14999847407452621"/>
        </patternFill>
      </fill>
      <border outline="0">
        <left style="thin">
          <color indexed="64"/>
        </left>
        <right style="thin">
          <color indexed="64"/>
        </right>
      </border>
    </ndxf>
  </rcc>
  <rcc rId="8572" sId="8" odxf="1" dxf="1">
    <oc r="BD6">
      <f>SUM(AY6:BC6)</f>
    </oc>
    <nc r="BD6">
      <f>SUM(AY6:BC6)</f>
    </nc>
    <odxf>
      <fill>
        <patternFill>
          <bgColor theme="0" tint="-0.249977111117893"/>
        </patternFill>
      </fill>
      <border outline="0">
        <left/>
      </border>
    </odxf>
    <ndxf>
      <fill>
        <patternFill>
          <bgColor theme="0" tint="-0.14999847407452621"/>
        </patternFill>
      </fill>
      <border outline="0">
        <left style="thin">
          <color indexed="64"/>
        </left>
      </border>
    </ndxf>
  </rcc>
  <rcc rId="8573" sId="8" odxf="1" dxf="1">
    <oc r="BJ6">
      <f>SUM(BE6:BI6)</f>
    </oc>
    <nc r="BJ6">
      <f>SUM(BE6:BI6)</f>
    </nc>
    <odxf>
      <fill>
        <patternFill>
          <bgColor theme="0" tint="-0.249977111117893"/>
        </patternFill>
      </fill>
      <border outline="0">
        <left/>
      </border>
    </odxf>
    <ndxf>
      <fill>
        <patternFill>
          <bgColor theme="0" tint="-0.14999847407452621"/>
        </patternFill>
      </fill>
      <border outline="0">
        <left style="thin">
          <color indexed="64"/>
        </left>
      </border>
    </ndxf>
  </rcc>
  <rcc rId="8574" sId="8" odxf="1" dxf="1">
    <oc r="BP6">
      <f>SUM(BK6:BO6)</f>
    </oc>
    <nc r="BP6">
      <f>SUM(BK6:BO6)</f>
    </nc>
    <odxf>
      <fill>
        <patternFill>
          <bgColor theme="0" tint="-0.249977111117893"/>
        </patternFill>
      </fill>
      <border outline="0">
        <left/>
      </border>
    </odxf>
    <ndxf>
      <fill>
        <patternFill>
          <bgColor theme="0" tint="-0.14999847407452621"/>
        </patternFill>
      </fill>
      <border outline="0">
        <left style="thin">
          <color indexed="64"/>
        </left>
      </border>
    </ndxf>
  </rcc>
  <rcc rId="8575" sId="8" odxf="1" dxf="1">
    <oc r="BV6">
      <f>SUM(BQ6:BU6)</f>
    </oc>
    <nc r="BV6">
      <f>SUM(BQ6:BU6)</f>
    </nc>
    <odxf>
      <fill>
        <patternFill>
          <bgColor theme="0" tint="-0.249977111117893"/>
        </patternFill>
      </fill>
      <border outline="0">
        <left/>
      </border>
    </odxf>
    <ndxf>
      <fill>
        <patternFill>
          <bgColor theme="0" tint="-0.14999847407452621"/>
        </patternFill>
      </fill>
      <border outline="0">
        <left style="thin">
          <color indexed="64"/>
        </left>
      </border>
    </ndxf>
  </rcc>
  <rcc rId="8576" sId="8" odxf="1" dxf="1">
    <oc r="CB6">
      <f>SUM(BW6:CA6)</f>
    </oc>
    <nc r="CB6">
      <f>SUM(BW6:CA6)</f>
    </nc>
    <odxf>
      <fill>
        <patternFill>
          <bgColor theme="0" tint="-0.249977111117893"/>
        </patternFill>
      </fill>
      <border outline="0">
        <left/>
      </border>
    </odxf>
    <ndxf>
      <fill>
        <patternFill>
          <bgColor theme="0" tint="-0.14999847407452621"/>
        </patternFill>
      </fill>
      <border outline="0">
        <left style="thin">
          <color indexed="64"/>
        </left>
      </border>
    </ndxf>
  </rcc>
  <rcc rId="8577" sId="8" odxf="1" dxf="1">
    <oc r="Z7">
      <f>SUM(U7:Y7)</f>
    </oc>
    <nc r="Z7">
      <f>SUM(U7:Y7)</f>
    </nc>
    <odxf>
      <border outline="0">
        <left/>
        <right/>
      </border>
    </odxf>
    <ndxf>
      <border outline="0">
        <left style="thin">
          <color indexed="64"/>
        </left>
        <right style="thin">
          <color indexed="64"/>
        </right>
      </border>
    </ndxf>
  </rcc>
  <rcc rId="8578" sId="8" odxf="1" dxf="1">
    <oc r="AF7">
      <f>SUM(AA7:AE7)</f>
    </oc>
    <nc r="AF7">
      <f>SUM(AA7:AE7)</f>
    </nc>
    <odxf>
      <border outline="0">
        <left/>
        <right/>
      </border>
    </odxf>
    <ndxf>
      <border outline="0">
        <left style="thin">
          <color indexed="64"/>
        </left>
        <right style="thin">
          <color indexed="64"/>
        </right>
      </border>
    </ndxf>
  </rcc>
  <rcc rId="8579" sId="8" odxf="1" dxf="1">
    <oc r="AL7">
      <f>SUM(AG7:AK7)</f>
    </oc>
    <nc r="AL7">
      <f>SUM(AG7:AK7)</f>
    </nc>
    <odxf>
      <border outline="0">
        <left/>
        <right/>
      </border>
    </odxf>
    <ndxf>
      <border outline="0">
        <left style="thin">
          <color indexed="64"/>
        </left>
        <right style="thin">
          <color indexed="64"/>
        </right>
      </border>
    </ndxf>
  </rcc>
  <rcc rId="8580" sId="8" odxf="1" dxf="1">
    <oc r="AR7">
      <f>SUM(AM7:AQ7)</f>
    </oc>
    <nc r="AR7">
      <f>SUM(AM7:AQ7)</f>
    </nc>
    <odxf>
      <fill>
        <patternFill>
          <bgColor theme="0" tint="-0.249977111117893"/>
        </patternFill>
      </fill>
      <border outline="0">
        <left/>
        <right/>
      </border>
    </odxf>
    <ndxf>
      <fill>
        <patternFill>
          <bgColor theme="0" tint="-0.14999847407452621"/>
        </patternFill>
      </fill>
      <border outline="0">
        <left style="thin">
          <color indexed="64"/>
        </left>
        <right style="thin">
          <color indexed="64"/>
        </right>
      </border>
    </ndxf>
  </rcc>
  <rcc rId="8581" sId="8" odxf="1" dxf="1">
    <oc r="AX7">
      <f>SUM(AS7:AW7)</f>
    </oc>
    <nc r="AX7">
      <f>SUM(AS7:AW7)</f>
    </nc>
    <odxf>
      <fill>
        <patternFill>
          <bgColor theme="0" tint="-0.249977111117893"/>
        </patternFill>
      </fill>
      <border outline="0">
        <left/>
        <right/>
      </border>
    </odxf>
    <ndxf>
      <fill>
        <patternFill>
          <bgColor theme="0" tint="-0.14999847407452621"/>
        </patternFill>
      </fill>
      <border outline="0">
        <left style="thin">
          <color indexed="64"/>
        </left>
        <right style="thin">
          <color indexed="64"/>
        </right>
      </border>
    </ndxf>
  </rcc>
  <rcc rId="8582" sId="8" odxf="1" dxf="1">
    <oc r="BD7">
      <f>SUM(AY7:BC7)</f>
    </oc>
    <nc r="BD7">
      <f>SUM(AY7:BC7)</f>
    </nc>
    <odxf>
      <fill>
        <patternFill>
          <bgColor theme="0" tint="-0.249977111117893"/>
        </patternFill>
      </fill>
      <border outline="0">
        <left/>
      </border>
    </odxf>
    <ndxf>
      <fill>
        <patternFill>
          <bgColor theme="0" tint="-0.14999847407452621"/>
        </patternFill>
      </fill>
      <border outline="0">
        <left style="thin">
          <color indexed="64"/>
        </left>
      </border>
    </ndxf>
  </rcc>
  <rcc rId="8583" sId="8" odxf="1" dxf="1">
    <oc r="BJ7">
      <f>SUM(BE7:BI7)</f>
    </oc>
    <nc r="BJ7">
      <f>SUM(BE7:BI7)</f>
    </nc>
    <odxf>
      <fill>
        <patternFill>
          <bgColor theme="0" tint="-0.249977111117893"/>
        </patternFill>
      </fill>
      <border outline="0">
        <left/>
      </border>
    </odxf>
    <ndxf>
      <fill>
        <patternFill>
          <bgColor theme="0" tint="-0.14999847407452621"/>
        </patternFill>
      </fill>
      <border outline="0">
        <left style="thin">
          <color indexed="64"/>
        </left>
      </border>
    </ndxf>
  </rcc>
  <rcc rId="8584" sId="8" odxf="1" dxf="1">
    <oc r="BP7">
      <f>SUM(BK7:BO7)</f>
    </oc>
    <nc r="BP7">
      <f>SUM(BK7:BO7)</f>
    </nc>
    <odxf>
      <fill>
        <patternFill>
          <bgColor theme="0" tint="-0.249977111117893"/>
        </patternFill>
      </fill>
      <border outline="0">
        <left/>
      </border>
    </odxf>
    <ndxf>
      <fill>
        <patternFill>
          <bgColor theme="0" tint="-0.14999847407452621"/>
        </patternFill>
      </fill>
      <border outline="0">
        <left style="thin">
          <color indexed="64"/>
        </left>
      </border>
    </ndxf>
  </rcc>
  <rcc rId="8585" sId="8" odxf="1" dxf="1">
    <oc r="BV7">
      <f>SUM(BQ7:BU7)</f>
    </oc>
    <nc r="BV7">
      <f>SUM(BQ7:BU7)</f>
    </nc>
    <odxf>
      <fill>
        <patternFill>
          <bgColor theme="0" tint="-0.249977111117893"/>
        </patternFill>
      </fill>
      <border outline="0">
        <left/>
      </border>
    </odxf>
    <ndxf>
      <fill>
        <patternFill>
          <bgColor theme="0" tint="-0.14999847407452621"/>
        </patternFill>
      </fill>
      <border outline="0">
        <left style="thin">
          <color indexed="64"/>
        </left>
      </border>
    </ndxf>
  </rcc>
  <rcc rId="8586" sId="8" odxf="1" dxf="1">
    <oc r="CB7">
      <f>SUM(BW7:CA7)</f>
    </oc>
    <nc r="CB7">
      <f>SUM(BW7:CA7)</f>
    </nc>
    <odxf>
      <fill>
        <patternFill>
          <bgColor theme="0" tint="-0.249977111117893"/>
        </patternFill>
      </fill>
      <border outline="0">
        <left/>
      </border>
    </odxf>
    <ndxf>
      <fill>
        <patternFill>
          <bgColor theme="0" tint="-0.14999847407452621"/>
        </patternFill>
      </fill>
      <border outline="0">
        <left style="thin">
          <color indexed="64"/>
        </left>
      </border>
    </ndxf>
  </rcc>
  <rcc rId="8587" sId="8" odxf="1" dxf="1">
    <oc r="Z8">
      <f>SUM(U8:Y8)</f>
    </oc>
    <nc r="Z8">
      <f>SUM(U8:Y8)</f>
    </nc>
    <odxf>
      <border outline="0">
        <left/>
        <right/>
      </border>
    </odxf>
    <ndxf>
      <border outline="0">
        <left style="thin">
          <color indexed="64"/>
        </left>
        <right style="thin">
          <color indexed="64"/>
        </right>
      </border>
    </ndxf>
  </rcc>
  <rcc rId="8588" sId="8" odxf="1" dxf="1">
    <oc r="AF8">
      <f>SUM(AA8:AE8)</f>
    </oc>
    <nc r="AF8">
      <f>SUM(AA8:AE8)</f>
    </nc>
    <odxf>
      <border outline="0">
        <left/>
        <right/>
      </border>
    </odxf>
    <ndxf>
      <border outline="0">
        <left style="thin">
          <color indexed="64"/>
        </left>
        <right style="thin">
          <color indexed="64"/>
        </right>
      </border>
    </ndxf>
  </rcc>
  <rcc rId="8589" sId="8" odxf="1" dxf="1">
    <oc r="AL8">
      <f>SUM(AG8:AK8)</f>
    </oc>
    <nc r="AL8">
      <f>SUM(AG8:AK8)</f>
    </nc>
    <odxf>
      <border outline="0">
        <left/>
        <right/>
      </border>
    </odxf>
    <ndxf>
      <border outline="0">
        <left style="thin">
          <color indexed="64"/>
        </left>
        <right style="thin">
          <color indexed="64"/>
        </right>
      </border>
    </ndxf>
  </rcc>
  <rcc rId="8590" sId="8" odxf="1" dxf="1">
    <oc r="AR8">
      <f>SUM(AM8:AQ8)</f>
    </oc>
    <nc r="AR8">
      <f>SUM(AM8:AQ8)</f>
    </nc>
    <odxf>
      <fill>
        <patternFill>
          <bgColor theme="0" tint="-0.249977111117893"/>
        </patternFill>
      </fill>
      <border outline="0">
        <left/>
        <right/>
      </border>
    </odxf>
    <ndxf>
      <fill>
        <patternFill>
          <bgColor theme="0" tint="-0.14999847407452621"/>
        </patternFill>
      </fill>
      <border outline="0">
        <left style="thin">
          <color indexed="64"/>
        </left>
        <right style="thin">
          <color indexed="64"/>
        </right>
      </border>
    </ndxf>
  </rcc>
  <rcc rId="8591" sId="8" odxf="1" dxf="1">
    <oc r="AX8">
      <f>SUM(AS8:AW8)</f>
    </oc>
    <nc r="AX8">
      <f>SUM(AS8:AW8)</f>
    </nc>
    <odxf>
      <fill>
        <patternFill>
          <bgColor theme="0" tint="-0.249977111117893"/>
        </patternFill>
      </fill>
      <border outline="0">
        <left/>
        <right/>
      </border>
    </odxf>
    <ndxf>
      <fill>
        <patternFill>
          <bgColor theme="0" tint="-0.14999847407452621"/>
        </patternFill>
      </fill>
      <border outline="0">
        <left style="thin">
          <color indexed="64"/>
        </left>
        <right style="thin">
          <color indexed="64"/>
        </right>
      </border>
    </ndxf>
  </rcc>
  <rcc rId="8592" sId="8" odxf="1" dxf="1">
    <oc r="BD8">
      <f>SUM(AY8:BC8)</f>
    </oc>
    <nc r="BD8">
      <f>SUM(AY8:BC8)</f>
    </nc>
    <odxf>
      <fill>
        <patternFill>
          <bgColor theme="0" tint="-0.249977111117893"/>
        </patternFill>
      </fill>
      <border outline="0">
        <left/>
      </border>
    </odxf>
    <ndxf>
      <fill>
        <patternFill>
          <bgColor theme="0" tint="-0.14999847407452621"/>
        </patternFill>
      </fill>
      <border outline="0">
        <left style="thin">
          <color indexed="64"/>
        </left>
      </border>
    </ndxf>
  </rcc>
  <rcc rId="8593" sId="8" odxf="1" dxf="1">
    <oc r="BJ8">
      <f>SUM(BE8:BI8)</f>
    </oc>
    <nc r="BJ8">
      <f>SUM(BE8:BI8)</f>
    </nc>
    <odxf>
      <fill>
        <patternFill>
          <bgColor theme="0" tint="-0.249977111117893"/>
        </patternFill>
      </fill>
      <border outline="0">
        <left/>
      </border>
    </odxf>
    <ndxf>
      <fill>
        <patternFill>
          <bgColor theme="0" tint="-0.14999847407452621"/>
        </patternFill>
      </fill>
      <border outline="0">
        <left style="thin">
          <color indexed="64"/>
        </left>
      </border>
    </ndxf>
  </rcc>
  <rcc rId="8594" sId="8" odxf="1" dxf="1">
    <oc r="BP8">
      <f>SUM(BK8:BO8)</f>
    </oc>
    <nc r="BP8">
      <f>SUM(BK8:BO8)</f>
    </nc>
    <odxf>
      <fill>
        <patternFill>
          <bgColor theme="0" tint="-0.249977111117893"/>
        </patternFill>
      </fill>
      <border outline="0">
        <left/>
      </border>
    </odxf>
    <ndxf>
      <fill>
        <patternFill>
          <bgColor theme="0" tint="-0.14999847407452621"/>
        </patternFill>
      </fill>
      <border outline="0">
        <left style="thin">
          <color indexed="64"/>
        </left>
      </border>
    </ndxf>
  </rcc>
  <rcc rId="8595" sId="8" odxf="1" dxf="1">
    <oc r="BV8">
      <f>SUM(BQ8:BU8)</f>
    </oc>
    <nc r="BV8">
      <f>SUM(BQ8:BU8)</f>
    </nc>
    <odxf>
      <fill>
        <patternFill>
          <bgColor theme="0" tint="-0.249977111117893"/>
        </patternFill>
      </fill>
      <border outline="0">
        <left/>
      </border>
    </odxf>
    <ndxf>
      <fill>
        <patternFill>
          <bgColor theme="0" tint="-0.14999847407452621"/>
        </patternFill>
      </fill>
      <border outline="0">
        <left style="thin">
          <color indexed="64"/>
        </left>
      </border>
    </ndxf>
  </rcc>
  <rcc rId="8596" sId="8" odxf="1" dxf="1">
    <oc r="CB8">
      <f>SUM(BW8:CA8)</f>
    </oc>
    <nc r="CB8">
      <f>SUM(BW8:CA8)</f>
    </nc>
    <odxf>
      <fill>
        <patternFill>
          <bgColor theme="0" tint="-0.249977111117893"/>
        </patternFill>
      </fill>
      <border outline="0">
        <left/>
      </border>
    </odxf>
    <ndxf>
      <fill>
        <patternFill>
          <bgColor theme="0" tint="-0.14999847407452621"/>
        </patternFill>
      </fill>
      <border outline="0">
        <left style="thin">
          <color indexed="64"/>
        </left>
      </border>
    </ndxf>
  </rcc>
  <rcc rId="8597" sId="8" odxf="1" dxf="1">
    <oc r="Z9">
      <f>SUM(U9:Y9)</f>
    </oc>
    <nc r="Z9">
      <f>SUM(U9:Y9)</f>
    </nc>
    <odxf>
      <border outline="0">
        <left/>
        <right/>
      </border>
    </odxf>
    <ndxf>
      <border outline="0">
        <left style="thin">
          <color indexed="64"/>
        </left>
        <right style="thin">
          <color indexed="64"/>
        </right>
      </border>
    </ndxf>
  </rcc>
  <rcc rId="8598" sId="8" odxf="1" dxf="1">
    <oc r="AF9">
      <f>SUM(AA9:AE9)</f>
    </oc>
    <nc r="AF9">
      <f>SUM(AA9:AE9)</f>
    </nc>
    <odxf>
      <border outline="0">
        <left/>
        <right/>
      </border>
    </odxf>
    <ndxf>
      <border outline="0">
        <left style="thin">
          <color indexed="64"/>
        </left>
        <right style="thin">
          <color indexed="64"/>
        </right>
      </border>
    </ndxf>
  </rcc>
  <rcc rId="8599" sId="8" odxf="1" dxf="1">
    <oc r="AL9">
      <f>SUM(AG9:AK9)</f>
    </oc>
    <nc r="AL9">
      <f>SUM(AG9:AK9)</f>
    </nc>
    <odxf>
      <border outline="0">
        <left/>
        <right/>
      </border>
    </odxf>
    <ndxf>
      <border outline="0">
        <left style="thin">
          <color indexed="64"/>
        </left>
        <right style="thin">
          <color indexed="64"/>
        </right>
      </border>
    </ndxf>
  </rcc>
  <rcc rId="8600" sId="8" odxf="1" dxf="1">
    <oc r="AR9">
      <f>SUM(AM9:AQ9)</f>
    </oc>
    <nc r="AR9">
      <f>SUM(AM9:AQ9)</f>
    </nc>
    <odxf>
      <fill>
        <patternFill>
          <bgColor theme="0" tint="-0.249977111117893"/>
        </patternFill>
      </fill>
      <border outline="0">
        <left/>
        <right/>
      </border>
    </odxf>
    <ndxf>
      <fill>
        <patternFill>
          <bgColor theme="0" tint="-0.14999847407452621"/>
        </patternFill>
      </fill>
      <border outline="0">
        <left style="thin">
          <color indexed="64"/>
        </left>
        <right style="thin">
          <color indexed="64"/>
        </right>
      </border>
    </ndxf>
  </rcc>
  <rcc rId="8601" sId="8" odxf="1" dxf="1">
    <oc r="AX9">
      <f>SUM(AS9:AW9)</f>
    </oc>
    <nc r="AX9">
      <f>SUM(AS9:AW9)</f>
    </nc>
    <odxf>
      <fill>
        <patternFill>
          <bgColor theme="0" tint="-0.249977111117893"/>
        </patternFill>
      </fill>
      <border outline="0">
        <left/>
        <right/>
      </border>
    </odxf>
    <ndxf>
      <fill>
        <patternFill>
          <bgColor theme="0" tint="-0.14999847407452621"/>
        </patternFill>
      </fill>
      <border outline="0">
        <left style="thin">
          <color indexed="64"/>
        </left>
        <right style="thin">
          <color indexed="64"/>
        </right>
      </border>
    </ndxf>
  </rcc>
  <rcc rId="8602" sId="8" odxf="1" dxf="1">
    <oc r="BD9">
      <f>SUM(AY9:BC9)</f>
    </oc>
    <nc r="BD9">
      <f>SUM(AY9:BC9)</f>
    </nc>
    <odxf>
      <fill>
        <patternFill>
          <bgColor theme="0" tint="-0.249977111117893"/>
        </patternFill>
      </fill>
      <border outline="0">
        <left/>
      </border>
    </odxf>
    <ndxf>
      <fill>
        <patternFill>
          <bgColor theme="0" tint="-0.14999847407452621"/>
        </patternFill>
      </fill>
      <border outline="0">
        <left style="thin">
          <color indexed="64"/>
        </left>
      </border>
    </ndxf>
  </rcc>
  <rcc rId="8603" sId="8" odxf="1" dxf="1">
    <oc r="BJ9">
      <f>SUM(BE9:BI9)</f>
    </oc>
    <nc r="BJ9">
      <f>SUM(BE9:BI9)</f>
    </nc>
    <odxf>
      <fill>
        <patternFill>
          <bgColor theme="0" tint="-0.249977111117893"/>
        </patternFill>
      </fill>
      <border outline="0">
        <left/>
      </border>
    </odxf>
    <ndxf>
      <fill>
        <patternFill>
          <bgColor theme="0" tint="-0.14999847407452621"/>
        </patternFill>
      </fill>
      <border outline="0">
        <left style="thin">
          <color indexed="64"/>
        </left>
      </border>
    </ndxf>
  </rcc>
  <rcc rId="8604" sId="8" odxf="1" dxf="1">
    <oc r="BP9">
      <f>SUM(BK9:BO9)</f>
    </oc>
    <nc r="BP9">
      <f>SUM(BK9:BO9)</f>
    </nc>
    <odxf>
      <fill>
        <patternFill>
          <bgColor theme="0" tint="-0.249977111117893"/>
        </patternFill>
      </fill>
      <border outline="0">
        <left/>
      </border>
    </odxf>
    <ndxf>
      <fill>
        <patternFill>
          <bgColor theme="0" tint="-0.14999847407452621"/>
        </patternFill>
      </fill>
      <border outline="0">
        <left style="thin">
          <color indexed="64"/>
        </left>
      </border>
    </ndxf>
  </rcc>
  <rcc rId="8605" sId="8" odxf="1" dxf="1">
    <oc r="BV9">
      <f>SUM(BQ9:BU9)</f>
    </oc>
    <nc r="BV9">
      <f>SUM(BQ9:BU9)</f>
    </nc>
    <odxf>
      <fill>
        <patternFill>
          <bgColor theme="0" tint="-0.249977111117893"/>
        </patternFill>
      </fill>
      <border outline="0">
        <left/>
      </border>
    </odxf>
    <ndxf>
      <fill>
        <patternFill>
          <bgColor theme="0" tint="-0.14999847407452621"/>
        </patternFill>
      </fill>
      <border outline="0">
        <left style="thin">
          <color indexed="64"/>
        </left>
      </border>
    </ndxf>
  </rcc>
  <rcc rId="8606" sId="8" odxf="1" dxf="1">
    <oc r="CB9">
      <f>SUM(BW9:CA9)</f>
    </oc>
    <nc r="CB9">
      <f>SUM(BW9:CA9)</f>
    </nc>
    <odxf>
      <fill>
        <patternFill>
          <bgColor theme="0" tint="-0.249977111117893"/>
        </patternFill>
      </fill>
      <border outline="0">
        <left/>
      </border>
    </odxf>
    <ndxf>
      <fill>
        <patternFill>
          <bgColor theme="0" tint="-0.14999847407452621"/>
        </patternFill>
      </fill>
      <border outline="0">
        <left style="thin">
          <color indexed="64"/>
        </left>
      </border>
    </ndxf>
  </rcc>
  <rcc rId="8607" sId="8" odxf="1" dxf="1">
    <oc r="Z10">
      <f>SUM(U10:Y10)</f>
    </oc>
    <nc r="Z10">
      <f>SUM(U10:Y10)</f>
    </nc>
    <odxf>
      <border outline="0">
        <left/>
        <right/>
      </border>
    </odxf>
    <ndxf>
      <border outline="0">
        <left style="thin">
          <color indexed="64"/>
        </left>
        <right style="thin">
          <color indexed="64"/>
        </right>
      </border>
    </ndxf>
  </rcc>
  <rcc rId="8608" sId="8" odxf="1" dxf="1">
    <oc r="AF10">
      <f>SUM(AA10:AE10)</f>
    </oc>
    <nc r="AF10">
      <f>SUM(AA10:AE10)</f>
    </nc>
    <odxf>
      <border outline="0">
        <left/>
        <right/>
      </border>
    </odxf>
    <ndxf>
      <border outline="0">
        <left style="thin">
          <color indexed="64"/>
        </left>
        <right style="thin">
          <color indexed="64"/>
        </right>
      </border>
    </ndxf>
  </rcc>
  <rcc rId="8609" sId="8" odxf="1" dxf="1">
    <oc r="AL10">
      <f>SUM(AG10:AK10)</f>
    </oc>
    <nc r="AL10">
      <f>SUM(AG10:AK10)</f>
    </nc>
    <odxf>
      <border outline="0">
        <left/>
        <right/>
      </border>
    </odxf>
    <ndxf>
      <border outline="0">
        <left style="thin">
          <color indexed="64"/>
        </left>
        <right style="thin">
          <color indexed="64"/>
        </right>
      </border>
    </ndxf>
  </rcc>
  <rcc rId="8610" sId="8" odxf="1" dxf="1">
    <oc r="AR10">
      <f>SUM(AM10:AQ10)</f>
    </oc>
    <nc r="AR10">
      <f>SUM(AM10:AQ10)</f>
    </nc>
    <odxf>
      <fill>
        <patternFill>
          <bgColor theme="0" tint="-0.249977111117893"/>
        </patternFill>
      </fill>
      <border outline="0">
        <left/>
        <right/>
      </border>
    </odxf>
    <ndxf>
      <fill>
        <patternFill>
          <bgColor theme="0" tint="-0.14999847407452621"/>
        </patternFill>
      </fill>
      <border outline="0">
        <left style="thin">
          <color indexed="64"/>
        </left>
        <right style="thin">
          <color indexed="64"/>
        </right>
      </border>
    </ndxf>
  </rcc>
  <rcc rId="8611" sId="8" odxf="1" dxf="1">
    <oc r="AX10">
      <f>SUM(AS10:AW10)</f>
    </oc>
    <nc r="AX10">
      <f>SUM(AS10:AW10)</f>
    </nc>
    <odxf>
      <fill>
        <patternFill>
          <bgColor theme="0" tint="-0.249977111117893"/>
        </patternFill>
      </fill>
      <border outline="0">
        <left/>
        <right/>
      </border>
    </odxf>
    <ndxf>
      <fill>
        <patternFill>
          <bgColor theme="0" tint="-0.14999847407452621"/>
        </patternFill>
      </fill>
      <border outline="0">
        <left style="thin">
          <color indexed="64"/>
        </left>
        <right style="thin">
          <color indexed="64"/>
        </right>
      </border>
    </ndxf>
  </rcc>
  <rcc rId="8612" sId="8" odxf="1" dxf="1">
    <oc r="BD10">
      <f>SUM(AY10:BC10)</f>
    </oc>
    <nc r="BD10">
      <f>SUM(AY10:BC10)</f>
    </nc>
    <odxf>
      <fill>
        <patternFill>
          <bgColor theme="0" tint="-0.249977111117893"/>
        </patternFill>
      </fill>
      <border outline="0">
        <left/>
      </border>
    </odxf>
    <ndxf>
      <fill>
        <patternFill>
          <bgColor theme="0" tint="-0.14999847407452621"/>
        </patternFill>
      </fill>
      <border outline="0">
        <left style="thin">
          <color indexed="64"/>
        </left>
      </border>
    </ndxf>
  </rcc>
  <rcc rId="8613" sId="8" odxf="1" dxf="1">
    <oc r="BJ10">
      <f>SUM(BE10:BI10)</f>
    </oc>
    <nc r="BJ10">
      <f>SUM(BE10:BI10)</f>
    </nc>
    <odxf>
      <fill>
        <patternFill>
          <bgColor theme="0" tint="-0.249977111117893"/>
        </patternFill>
      </fill>
      <border outline="0">
        <left/>
      </border>
    </odxf>
    <ndxf>
      <fill>
        <patternFill>
          <bgColor theme="0" tint="-0.14999847407452621"/>
        </patternFill>
      </fill>
      <border outline="0">
        <left style="thin">
          <color indexed="64"/>
        </left>
      </border>
    </ndxf>
  </rcc>
  <rcc rId="8614" sId="8" odxf="1" dxf="1">
    <oc r="BP10">
      <f>SUM(BK10:BO10)</f>
    </oc>
    <nc r="BP10">
      <f>SUM(BK10:BO10)</f>
    </nc>
    <odxf>
      <fill>
        <patternFill>
          <bgColor theme="0" tint="-0.249977111117893"/>
        </patternFill>
      </fill>
      <border outline="0">
        <left/>
      </border>
    </odxf>
    <ndxf>
      <fill>
        <patternFill>
          <bgColor theme="0" tint="-0.14999847407452621"/>
        </patternFill>
      </fill>
      <border outline="0">
        <left style="thin">
          <color indexed="64"/>
        </left>
      </border>
    </ndxf>
  </rcc>
  <rcc rId="8615" sId="8" odxf="1" dxf="1">
    <oc r="BV10">
      <f>SUM(BQ10:BU10)</f>
    </oc>
    <nc r="BV10">
      <f>SUM(BQ10:BU10)</f>
    </nc>
    <odxf>
      <fill>
        <patternFill>
          <bgColor theme="0" tint="-0.249977111117893"/>
        </patternFill>
      </fill>
      <border outline="0">
        <left/>
      </border>
    </odxf>
    <ndxf>
      <fill>
        <patternFill>
          <bgColor theme="0" tint="-0.14999847407452621"/>
        </patternFill>
      </fill>
      <border outline="0">
        <left style="thin">
          <color indexed="64"/>
        </left>
      </border>
    </ndxf>
  </rcc>
  <rcc rId="8616" sId="8" odxf="1" dxf="1">
    <oc r="CB10">
      <f>SUM(BW10:CA10)</f>
    </oc>
    <nc r="CB10">
      <f>SUM(BW10:CA10)</f>
    </nc>
    <odxf>
      <fill>
        <patternFill>
          <bgColor theme="0" tint="-0.249977111117893"/>
        </patternFill>
      </fill>
      <border outline="0">
        <left/>
      </border>
    </odxf>
    <ndxf>
      <fill>
        <patternFill>
          <bgColor theme="0" tint="-0.14999847407452621"/>
        </patternFill>
      </fill>
      <border outline="0">
        <left style="thin">
          <color indexed="64"/>
        </left>
      </border>
    </ndxf>
  </rcc>
  <rcc rId="8617" sId="8" odxf="1" dxf="1">
    <oc r="Z11">
      <f>SUM(U11:Y11)</f>
    </oc>
    <nc r="Z11">
      <f>SUM(U11:Y11)</f>
    </nc>
    <odxf>
      <border outline="0">
        <left/>
        <right/>
      </border>
    </odxf>
    <ndxf>
      <border outline="0">
        <left style="thin">
          <color indexed="64"/>
        </left>
        <right style="thin">
          <color indexed="64"/>
        </right>
      </border>
    </ndxf>
  </rcc>
  <rcc rId="8618" sId="8" odxf="1" dxf="1">
    <oc r="AF11">
      <f>SUM(AA11:AE11)</f>
    </oc>
    <nc r="AF11">
      <f>SUM(AA11:AE11)</f>
    </nc>
    <odxf>
      <border outline="0">
        <left/>
        <right/>
      </border>
    </odxf>
    <ndxf>
      <border outline="0">
        <left style="thin">
          <color indexed="64"/>
        </left>
        <right style="thin">
          <color indexed="64"/>
        </right>
      </border>
    </ndxf>
  </rcc>
  <rcc rId="8619" sId="8" odxf="1" dxf="1">
    <oc r="AL11">
      <f>SUM(AG11:AK11)</f>
    </oc>
    <nc r="AL11">
      <f>SUM(AG11:AK11)</f>
    </nc>
    <odxf>
      <border outline="0">
        <left/>
        <right/>
      </border>
    </odxf>
    <ndxf>
      <border outline="0">
        <left style="thin">
          <color indexed="64"/>
        </left>
        <right style="thin">
          <color indexed="64"/>
        </right>
      </border>
    </ndxf>
  </rcc>
  <rcc rId="8620" sId="8" odxf="1" dxf="1">
    <oc r="AR11">
      <f>SUM(AM11:AQ11)</f>
    </oc>
    <nc r="AR11">
      <f>SUM(AM11:AQ11)</f>
    </nc>
    <odxf>
      <fill>
        <patternFill>
          <bgColor theme="0" tint="-0.249977111117893"/>
        </patternFill>
      </fill>
      <border outline="0">
        <left/>
        <right/>
      </border>
    </odxf>
    <ndxf>
      <fill>
        <patternFill>
          <bgColor theme="0" tint="-0.14999847407452621"/>
        </patternFill>
      </fill>
      <border outline="0">
        <left style="thin">
          <color indexed="64"/>
        </left>
        <right style="thin">
          <color indexed="64"/>
        </right>
      </border>
    </ndxf>
  </rcc>
  <rcc rId="8621" sId="8" odxf="1" dxf="1">
    <oc r="AX11">
      <f>SUM(AS11:AW11)</f>
    </oc>
    <nc r="AX11">
      <f>SUM(AS11:AW11)</f>
    </nc>
    <odxf>
      <fill>
        <patternFill>
          <bgColor theme="0" tint="-0.249977111117893"/>
        </patternFill>
      </fill>
      <border outline="0">
        <left/>
        <right/>
      </border>
    </odxf>
    <ndxf>
      <fill>
        <patternFill>
          <bgColor theme="0" tint="-0.14999847407452621"/>
        </patternFill>
      </fill>
      <border outline="0">
        <left style="thin">
          <color indexed="64"/>
        </left>
        <right style="thin">
          <color indexed="64"/>
        </right>
      </border>
    </ndxf>
  </rcc>
  <rcc rId="8622" sId="8" odxf="1" dxf="1">
    <oc r="BD11">
      <f>SUM(AY11:BC11)</f>
    </oc>
    <nc r="BD11">
      <f>SUM(AY11:BC11)</f>
    </nc>
    <odxf>
      <fill>
        <patternFill>
          <bgColor theme="0" tint="-0.249977111117893"/>
        </patternFill>
      </fill>
      <border outline="0">
        <left/>
      </border>
    </odxf>
    <ndxf>
      <fill>
        <patternFill>
          <bgColor theme="0" tint="-0.14999847407452621"/>
        </patternFill>
      </fill>
      <border outline="0">
        <left style="thin">
          <color indexed="64"/>
        </left>
      </border>
    </ndxf>
  </rcc>
  <rcc rId="8623" sId="8" odxf="1" dxf="1">
    <oc r="BJ11">
      <f>SUM(BE11:BI11)</f>
    </oc>
    <nc r="BJ11">
      <f>SUM(BE11:BI11)</f>
    </nc>
    <odxf>
      <fill>
        <patternFill>
          <bgColor theme="0" tint="-0.249977111117893"/>
        </patternFill>
      </fill>
      <border outline="0">
        <left/>
      </border>
    </odxf>
    <ndxf>
      <fill>
        <patternFill>
          <bgColor theme="0" tint="-0.14999847407452621"/>
        </patternFill>
      </fill>
      <border outline="0">
        <left style="thin">
          <color indexed="64"/>
        </left>
      </border>
    </ndxf>
  </rcc>
  <rcc rId="8624" sId="8" odxf="1" dxf="1">
    <oc r="BP11">
      <f>SUM(BK11:BO11)</f>
    </oc>
    <nc r="BP11">
      <f>SUM(BK11:BO11)</f>
    </nc>
    <odxf>
      <fill>
        <patternFill>
          <bgColor theme="0" tint="-0.249977111117893"/>
        </patternFill>
      </fill>
      <border outline="0">
        <left/>
      </border>
    </odxf>
    <ndxf>
      <fill>
        <patternFill>
          <bgColor theme="0" tint="-0.14999847407452621"/>
        </patternFill>
      </fill>
      <border outline="0">
        <left style="thin">
          <color indexed="64"/>
        </left>
      </border>
    </ndxf>
  </rcc>
  <rcc rId="8625" sId="8" odxf="1" dxf="1">
    <oc r="BV11">
      <f>SUM(BQ11:BU11)</f>
    </oc>
    <nc r="BV11">
      <f>SUM(BQ11:BU11)</f>
    </nc>
    <odxf>
      <fill>
        <patternFill>
          <bgColor theme="0" tint="-0.249977111117893"/>
        </patternFill>
      </fill>
      <border outline="0">
        <left/>
      </border>
    </odxf>
    <ndxf>
      <fill>
        <patternFill>
          <bgColor theme="0" tint="-0.14999847407452621"/>
        </patternFill>
      </fill>
      <border outline="0">
        <left style="thin">
          <color indexed="64"/>
        </left>
      </border>
    </ndxf>
  </rcc>
  <rcc rId="8626" sId="8" odxf="1" dxf="1">
    <oc r="CB11">
      <f>SUM(BW11:CA11)</f>
    </oc>
    <nc r="CB11">
      <f>SUM(BW11:CA11)</f>
    </nc>
    <odxf>
      <fill>
        <patternFill>
          <bgColor theme="0" tint="-0.249977111117893"/>
        </patternFill>
      </fill>
      <border outline="0">
        <left/>
      </border>
    </odxf>
    <ndxf>
      <fill>
        <patternFill>
          <bgColor theme="0" tint="-0.14999847407452621"/>
        </patternFill>
      </fill>
      <border outline="0">
        <left style="thin">
          <color indexed="64"/>
        </left>
      </border>
    </ndxf>
  </rcc>
  <rcc rId="8627" sId="8" odxf="1" dxf="1">
    <oc r="Z12">
      <f>SUM(U12:Y12)</f>
    </oc>
    <nc r="Z12">
      <f>SUM(U12:Y12)</f>
    </nc>
    <odxf>
      <border outline="0">
        <left/>
        <right/>
      </border>
    </odxf>
    <ndxf>
      <border outline="0">
        <left style="thin">
          <color indexed="64"/>
        </left>
        <right style="thin">
          <color indexed="64"/>
        </right>
      </border>
    </ndxf>
  </rcc>
  <rcc rId="8628" sId="8" odxf="1" dxf="1">
    <oc r="AF12">
      <f>SUM(AA12:AE12)</f>
    </oc>
    <nc r="AF12">
      <f>SUM(AA12:AE12)</f>
    </nc>
    <odxf>
      <border outline="0">
        <left/>
        <right/>
      </border>
    </odxf>
    <ndxf>
      <border outline="0">
        <left style="thin">
          <color indexed="64"/>
        </left>
        <right style="thin">
          <color indexed="64"/>
        </right>
      </border>
    </ndxf>
  </rcc>
  <rcc rId="8629" sId="8" odxf="1" dxf="1">
    <oc r="AL12">
      <f>SUM(AG12:AK12)</f>
    </oc>
    <nc r="AL12">
      <f>SUM(AG12:AK12)</f>
    </nc>
    <odxf>
      <border outline="0">
        <left/>
        <right/>
      </border>
    </odxf>
    <ndxf>
      <border outline="0">
        <left style="thin">
          <color indexed="64"/>
        </left>
        <right style="thin">
          <color indexed="64"/>
        </right>
      </border>
    </ndxf>
  </rcc>
  <rcc rId="8630" sId="8" odxf="1" dxf="1">
    <oc r="AR12">
      <f>SUM(AM12:AQ12)</f>
    </oc>
    <nc r="AR12">
      <f>SUM(AM12:AQ12)</f>
    </nc>
    <odxf>
      <fill>
        <patternFill>
          <bgColor theme="0" tint="-0.249977111117893"/>
        </patternFill>
      </fill>
      <border outline="0">
        <left/>
        <right/>
      </border>
    </odxf>
    <ndxf>
      <fill>
        <patternFill>
          <bgColor theme="0" tint="-0.14999847407452621"/>
        </patternFill>
      </fill>
      <border outline="0">
        <left style="thin">
          <color indexed="64"/>
        </left>
        <right style="thin">
          <color indexed="64"/>
        </right>
      </border>
    </ndxf>
  </rcc>
  <rcc rId="8631" sId="8" odxf="1" dxf="1">
    <oc r="AX12">
      <f>SUM(AS12:AW12)</f>
    </oc>
    <nc r="AX12">
      <f>SUM(AS12:AW12)</f>
    </nc>
    <odxf>
      <fill>
        <patternFill>
          <bgColor theme="0" tint="-0.249977111117893"/>
        </patternFill>
      </fill>
      <border outline="0">
        <left/>
        <right/>
      </border>
    </odxf>
    <ndxf>
      <fill>
        <patternFill>
          <bgColor theme="0" tint="-0.14999847407452621"/>
        </patternFill>
      </fill>
      <border outline="0">
        <left style="thin">
          <color indexed="64"/>
        </left>
        <right style="thin">
          <color indexed="64"/>
        </right>
      </border>
    </ndxf>
  </rcc>
  <rcc rId="8632" sId="8" odxf="1" dxf="1">
    <oc r="BD12">
      <f>SUM(AY12:BC12)</f>
    </oc>
    <nc r="BD12">
      <f>SUM(AY12:BC12)</f>
    </nc>
    <odxf>
      <fill>
        <patternFill>
          <bgColor theme="0" tint="-0.249977111117893"/>
        </patternFill>
      </fill>
      <border outline="0">
        <left/>
      </border>
    </odxf>
    <ndxf>
      <fill>
        <patternFill>
          <bgColor theme="0" tint="-0.14999847407452621"/>
        </patternFill>
      </fill>
      <border outline="0">
        <left style="thin">
          <color indexed="64"/>
        </left>
      </border>
    </ndxf>
  </rcc>
  <rcc rId="8633" sId="8" odxf="1" dxf="1">
    <oc r="BJ12">
      <f>SUM(BE12:BI12)</f>
    </oc>
    <nc r="BJ12">
      <f>SUM(BE12:BI12)</f>
    </nc>
    <odxf>
      <fill>
        <patternFill>
          <bgColor theme="0" tint="-0.249977111117893"/>
        </patternFill>
      </fill>
      <border outline="0">
        <left/>
      </border>
    </odxf>
    <ndxf>
      <fill>
        <patternFill>
          <bgColor theme="0" tint="-0.14999847407452621"/>
        </patternFill>
      </fill>
      <border outline="0">
        <left style="thin">
          <color indexed="64"/>
        </left>
      </border>
    </ndxf>
  </rcc>
  <rcc rId="8634" sId="8" odxf="1" dxf="1">
    <oc r="BP12">
      <f>SUM(BK12:BO12)</f>
    </oc>
    <nc r="BP12">
      <f>SUM(BK12:BO12)</f>
    </nc>
    <odxf>
      <fill>
        <patternFill>
          <bgColor theme="0" tint="-0.249977111117893"/>
        </patternFill>
      </fill>
      <border outline="0">
        <left/>
      </border>
    </odxf>
    <ndxf>
      <fill>
        <patternFill>
          <bgColor theme="0" tint="-0.14999847407452621"/>
        </patternFill>
      </fill>
      <border outline="0">
        <left style="thin">
          <color indexed="64"/>
        </left>
      </border>
    </ndxf>
  </rcc>
  <rcc rId="8635" sId="8" odxf="1" dxf="1">
    <oc r="BV12">
      <f>SUM(BQ12:BU12)</f>
    </oc>
    <nc r="BV12">
      <f>SUM(BQ12:BU12)</f>
    </nc>
    <odxf>
      <fill>
        <patternFill>
          <bgColor theme="0" tint="-0.249977111117893"/>
        </patternFill>
      </fill>
      <border outline="0">
        <left/>
      </border>
    </odxf>
    <ndxf>
      <fill>
        <patternFill>
          <bgColor theme="0" tint="-0.14999847407452621"/>
        </patternFill>
      </fill>
      <border outline="0">
        <left style="thin">
          <color indexed="64"/>
        </left>
      </border>
    </ndxf>
  </rcc>
  <rcc rId="8636" sId="8" odxf="1" dxf="1">
    <oc r="CB12">
      <f>SUM(BW12:CA12)</f>
    </oc>
    <nc r="CB12">
      <f>SUM(BW12:CA12)</f>
    </nc>
    <odxf>
      <fill>
        <patternFill>
          <bgColor theme="0" tint="-0.249977111117893"/>
        </patternFill>
      </fill>
      <border outline="0">
        <left/>
      </border>
    </odxf>
    <ndxf>
      <fill>
        <patternFill>
          <bgColor theme="0" tint="-0.14999847407452621"/>
        </patternFill>
      </fill>
      <border outline="0">
        <left style="thin">
          <color indexed="64"/>
        </left>
      </border>
    </ndxf>
  </rcc>
  <rcc rId="8637" sId="8" odxf="1" dxf="1">
    <oc r="Z13">
      <f>SUM(U13:Y13)</f>
    </oc>
    <nc r="Z13">
      <f>SUM(U13:Y13)</f>
    </nc>
    <odxf>
      <border outline="0">
        <left/>
        <right/>
      </border>
    </odxf>
    <ndxf>
      <border outline="0">
        <left style="thin">
          <color indexed="64"/>
        </left>
        <right style="thin">
          <color indexed="64"/>
        </right>
      </border>
    </ndxf>
  </rcc>
  <rcc rId="8638" sId="8" odxf="1" dxf="1">
    <oc r="AF13">
      <f>SUM(AA13:AE13)</f>
    </oc>
    <nc r="AF13">
      <f>SUM(AA13:AE13)</f>
    </nc>
    <odxf>
      <border outline="0">
        <left/>
        <right/>
      </border>
    </odxf>
    <ndxf>
      <border outline="0">
        <left style="thin">
          <color indexed="64"/>
        </left>
        <right style="thin">
          <color indexed="64"/>
        </right>
      </border>
    </ndxf>
  </rcc>
  <rcc rId="8639" sId="8" odxf="1" dxf="1">
    <oc r="AL13">
      <f>SUM(AG13:AK13)</f>
    </oc>
    <nc r="AL13">
      <f>SUM(AG13:AK13)</f>
    </nc>
    <odxf>
      <border outline="0">
        <left/>
        <right/>
      </border>
    </odxf>
    <ndxf>
      <border outline="0">
        <left style="thin">
          <color indexed="64"/>
        </left>
        <right style="thin">
          <color indexed="64"/>
        </right>
      </border>
    </ndxf>
  </rcc>
  <rcc rId="8640" sId="8" odxf="1" dxf="1">
    <oc r="AR13">
      <f>SUM(AM13:AQ13)</f>
    </oc>
    <nc r="AR13">
      <f>SUM(AM13:AQ13)</f>
    </nc>
    <odxf>
      <fill>
        <patternFill>
          <bgColor theme="0" tint="-0.249977111117893"/>
        </patternFill>
      </fill>
      <border outline="0">
        <left/>
        <right/>
      </border>
    </odxf>
    <ndxf>
      <fill>
        <patternFill>
          <bgColor theme="0" tint="-0.14999847407452621"/>
        </patternFill>
      </fill>
      <border outline="0">
        <left style="thin">
          <color indexed="64"/>
        </left>
        <right style="thin">
          <color indexed="64"/>
        </right>
      </border>
    </ndxf>
  </rcc>
  <rcc rId="8641" sId="8" odxf="1" dxf="1">
    <oc r="AX13">
      <f>SUM(AS13:AW13)</f>
    </oc>
    <nc r="AX13">
      <f>SUM(AS13:AW13)</f>
    </nc>
    <odxf>
      <fill>
        <patternFill>
          <bgColor theme="0" tint="-0.249977111117893"/>
        </patternFill>
      </fill>
      <border outline="0">
        <left/>
        <right/>
      </border>
    </odxf>
    <ndxf>
      <fill>
        <patternFill>
          <bgColor theme="0" tint="-0.14999847407452621"/>
        </patternFill>
      </fill>
      <border outline="0">
        <left style="thin">
          <color indexed="64"/>
        </left>
        <right style="thin">
          <color indexed="64"/>
        </right>
      </border>
    </ndxf>
  </rcc>
  <rcc rId="8642" sId="8" odxf="1" dxf="1">
    <oc r="BD13">
      <f>SUM(AY13:BC13)</f>
    </oc>
    <nc r="BD13">
      <f>SUM(AY13:BC13)</f>
    </nc>
    <odxf>
      <fill>
        <patternFill>
          <bgColor theme="0" tint="-0.249977111117893"/>
        </patternFill>
      </fill>
      <border outline="0">
        <left/>
      </border>
    </odxf>
    <ndxf>
      <fill>
        <patternFill>
          <bgColor theme="0" tint="-0.14999847407452621"/>
        </patternFill>
      </fill>
      <border outline="0">
        <left style="thin">
          <color indexed="64"/>
        </left>
      </border>
    </ndxf>
  </rcc>
  <rcc rId="8643" sId="8" odxf="1" dxf="1">
    <oc r="BJ13">
      <f>SUM(BE13:BI13)</f>
    </oc>
    <nc r="BJ13">
      <f>SUM(BE13:BI13)</f>
    </nc>
    <odxf>
      <fill>
        <patternFill>
          <bgColor theme="0" tint="-0.249977111117893"/>
        </patternFill>
      </fill>
      <border outline="0">
        <left/>
      </border>
    </odxf>
    <ndxf>
      <fill>
        <patternFill>
          <bgColor theme="0" tint="-0.14999847407452621"/>
        </patternFill>
      </fill>
      <border outline="0">
        <left style="thin">
          <color indexed="64"/>
        </left>
      </border>
    </ndxf>
  </rcc>
  <rcc rId="8644" sId="8" odxf="1" dxf="1">
    <oc r="BP13">
      <f>SUM(BK13:BO13)</f>
    </oc>
    <nc r="BP13">
      <f>SUM(BK13:BO13)</f>
    </nc>
    <odxf>
      <fill>
        <patternFill>
          <bgColor theme="0" tint="-0.249977111117893"/>
        </patternFill>
      </fill>
      <border outline="0">
        <left/>
      </border>
    </odxf>
    <ndxf>
      <fill>
        <patternFill>
          <bgColor theme="0" tint="-0.14999847407452621"/>
        </patternFill>
      </fill>
      <border outline="0">
        <left style="thin">
          <color indexed="64"/>
        </left>
      </border>
    </ndxf>
  </rcc>
  <rcc rId="8645" sId="8" odxf="1" dxf="1">
    <oc r="BV13">
      <f>SUM(BQ13:BU13)</f>
    </oc>
    <nc r="BV13">
      <f>SUM(BQ13:BU13)</f>
    </nc>
    <odxf>
      <fill>
        <patternFill>
          <bgColor theme="0" tint="-0.249977111117893"/>
        </patternFill>
      </fill>
      <border outline="0">
        <left/>
      </border>
    </odxf>
    <ndxf>
      <fill>
        <patternFill>
          <bgColor theme="0" tint="-0.14999847407452621"/>
        </patternFill>
      </fill>
      <border outline="0">
        <left style="thin">
          <color indexed="64"/>
        </left>
      </border>
    </ndxf>
  </rcc>
  <rcc rId="8646" sId="8" odxf="1" dxf="1">
    <oc r="CB13">
      <f>SUM(BW13:CA13)</f>
    </oc>
    <nc r="CB13">
      <f>SUM(BW13:CA13)</f>
    </nc>
    <odxf>
      <fill>
        <patternFill>
          <bgColor theme="0" tint="-0.249977111117893"/>
        </patternFill>
      </fill>
      <border outline="0">
        <left/>
      </border>
    </odxf>
    <ndxf>
      <fill>
        <patternFill>
          <bgColor theme="0" tint="-0.14999847407452621"/>
        </patternFill>
      </fill>
      <border outline="0">
        <left style="thin">
          <color indexed="64"/>
        </left>
      </border>
    </ndxf>
  </rcc>
  <rcc rId="8647" sId="8" odxf="1" dxf="1">
    <oc r="Z14">
      <f>SUM(U14:Y14)</f>
    </oc>
    <nc r="Z14">
      <f>SUM(U14:Y14)</f>
    </nc>
    <odxf>
      <border outline="0">
        <left/>
        <right/>
      </border>
    </odxf>
    <ndxf>
      <border outline="0">
        <left style="thin">
          <color indexed="64"/>
        </left>
        <right style="thin">
          <color indexed="64"/>
        </right>
      </border>
    </ndxf>
  </rcc>
  <rcc rId="8648" sId="8" odxf="1" dxf="1">
    <oc r="AF14">
      <f>SUM(AA14:AE14)</f>
    </oc>
    <nc r="AF14">
      <f>SUM(AA14:AE14)</f>
    </nc>
    <odxf>
      <border outline="0">
        <left/>
        <right/>
      </border>
    </odxf>
    <ndxf>
      <border outline="0">
        <left style="thin">
          <color indexed="64"/>
        </left>
        <right style="thin">
          <color indexed="64"/>
        </right>
      </border>
    </ndxf>
  </rcc>
  <rcc rId="8649" sId="8" odxf="1" dxf="1">
    <oc r="AL14">
      <f>SUM(AG14:AK14)</f>
    </oc>
    <nc r="AL14">
      <f>SUM(AG14:AK14)</f>
    </nc>
    <odxf>
      <border outline="0">
        <left/>
        <right/>
      </border>
    </odxf>
    <ndxf>
      <border outline="0">
        <left style="thin">
          <color indexed="64"/>
        </left>
        <right style="thin">
          <color indexed="64"/>
        </right>
      </border>
    </ndxf>
  </rcc>
  <rcc rId="8650" sId="8" odxf="1" dxf="1">
    <oc r="AR14">
      <f>SUM(AM14:AQ14)</f>
    </oc>
    <nc r="AR14">
      <f>SUM(AM14:AQ14)</f>
    </nc>
    <odxf>
      <fill>
        <patternFill>
          <bgColor theme="0" tint="-0.249977111117893"/>
        </patternFill>
      </fill>
      <border outline="0">
        <left/>
        <right/>
      </border>
    </odxf>
    <ndxf>
      <fill>
        <patternFill>
          <bgColor theme="0" tint="-0.14999847407452621"/>
        </patternFill>
      </fill>
      <border outline="0">
        <left style="thin">
          <color indexed="64"/>
        </left>
        <right style="thin">
          <color indexed="64"/>
        </right>
      </border>
    </ndxf>
  </rcc>
  <rcc rId="8651" sId="8" odxf="1" dxf="1">
    <oc r="AX14">
      <f>SUM(AS14:AW14)</f>
    </oc>
    <nc r="AX14">
      <f>SUM(AS14:AW14)</f>
    </nc>
    <odxf>
      <fill>
        <patternFill>
          <bgColor theme="0" tint="-0.249977111117893"/>
        </patternFill>
      </fill>
      <border outline="0">
        <left/>
        <right/>
      </border>
    </odxf>
    <ndxf>
      <fill>
        <patternFill>
          <bgColor theme="0" tint="-0.14999847407452621"/>
        </patternFill>
      </fill>
      <border outline="0">
        <left style="thin">
          <color indexed="64"/>
        </left>
        <right style="thin">
          <color indexed="64"/>
        </right>
      </border>
    </ndxf>
  </rcc>
  <rcc rId="8652" sId="8" odxf="1" dxf="1">
    <oc r="BD14">
      <f>SUM(AY14:BC14)</f>
    </oc>
    <nc r="BD14">
      <f>SUM(AY14:BC14)</f>
    </nc>
    <odxf>
      <fill>
        <patternFill>
          <bgColor theme="0" tint="-0.249977111117893"/>
        </patternFill>
      </fill>
      <border outline="0">
        <left/>
      </border>
    </odxf>
    <ndxf>
      <fill>
        <patternFill>
          <bgColor theme="0" tint="-0.14999847407452621"/>
        </patternFill>
      </fill>
      <border outline="0">
        <left style="thin">
          <color indexed="64"/>
        </left>
      </border>
    </ndxf>
  </rcc>
  <rcc rId="8653" sId="8" odxf="1" dxf="1">
    <oc r="BJ14">
      <f>SUM(BE14:BI14)</f>
    </oc>
    <nc r="BJ14">
      <f>SUM(BE14:BI14)</f>
    </nc>
    <odxf>
      <fill>
        <patternFill>
          <bgColor theme="0" tint="-0.249977111117893"/>
        </patternFill>
      </fill>
      <border outline="0">
        <left/>
      </border>
    </odxf>
    <ndxf>
      <fill>
        <patternFill>
          <bgColor theme="0" tint="-0.14999847407452621"/>
        </patternFill>
      </fill>
      <border outline="0">
        <left style="thin">
          <color indexed="64"/>
        </left>
      </border>
    </ndxf>
  </rcc>
  <rcc rId="8654" sId="8" odxf="1" dxf="1">
    <oc r="BP14">
      <f>SUM(BK14:BO14)</f>
    </oc>
    <nc r="BP14">
      <f>SUM(BK14:BO14)</f>
    </nc>
    <odxf>
      <fill>
        <patternFill>
          <bgColor theme="0" tint="-0.249977111117893"/>
        </patternFill>
      </fill>
      <border outline="0">
        <left/>
      </border>
    </odxf>
    <ndxf>
      <fill>
        <patternFill>
          <bgColor theme="0" tint="-0.14999847407452621"/>
        </patternFill>
      </fill>
      <border outline="0">
        <left style="thin">
          <color indexed="64"/>
        </left>
      </border>
    </ndxf>
  </rcc>
  <rcc rId="8655" sId="8" odxf="1" dxf="1">
    <oc r="BV14">
      <f>SUM(BQ14:BU14)</f>
    </oc>
    <nc r="BV14">
      <f>SUM(BQ14:BU14)</f>
    </nc>
    <odxf>
      <fill>
        <patternFill>
          <bgColor theme="0" tint="-0.249977111117893"/>
        </patternFill>
      </fill>
      <border outline="0">
        <left/>
      </border>
    </odxf>
    <ndxf>
      <fill>
        <patternFill>
          <bgColor theme="0" tint="-0.14999847407452621"/>
        </patternFill>
      </fill>
      <border outline="0">
        <left style="thin">
          <color indexed="64"/>
        </left>
      </border>
    </ndxf>
  </rcc>
  <rcc rId="8656" sId="8" odxf="1" dxf="1">
    <oc r="CB14">
      <f>SUM(BW14:CA14)</f>
    </oc>
    <nc r="CB14">
      <f>SUM(BW14:CA14)</f>
    </nc>
    <odxf>
      <fill>
        <patternFill>
          <bgColor theme="0" tint="-0.249977111117893"/>
        </patternFill>
      </fill>
      <border outline="0">
        <left/>
      </border>
    </odxf>
    <ndxf>
      <fill>
        <patternFill>
          <bgColor theme="0" tint="-0.14999847407452621"/>
        </patternFill>
      </fill>
      <border outline="0">
        <left style="thin">
          <color indexed="64"/>
        </left>
      </border>
    </ndxf>
  </rcc>
  <rcc rId="8657" sId="8" odxf="1" dxf="1">
    <oc r="Z15">
      <f>SUM(U15:Y15)</f>
    </oc>
    <nc r="Z15">
      <f>SUM(U15:Y15)</f>
    </nc>
    <odxf>
      <border outline="0">
        <left/>
        <right/>
      </border>
    </odxf>
    <ndxf>
      <border outline="0">
        <left style="thin">
          <color indexed="64"/>
        </left>
        <right style="thin">
          <color indexed="64"/>
        </right>
      </border>
    </ndxf>
  </rcc>
  <rcc rId="8658" sId="8" odxf="1" dxf="1">
    <oc r="AF15">
      <f>SUM(AA15:AE15)</f>
    </oc>
    <nc r="AF15">
      <f>SUM(AA15:AE15)</f>
    </nc>
    <odxf>
      <border outline="0">
        <left/>
        <right/>
      </border>
    </odxf>
    <ndxf>
      <border outline="0">
        <left style="thin">
          <color indexed="64"/>
        </left>
        <right style="thin">
          <color indexed="64"/>
        </right>
      </border>
    </ndxf>
  </rcc>
  <rcc rId="8659" sId="8" odxf="1" dxf="1">
    <oc r="AL15">
      <f>SUM(AG15:AK15)</f>
    </oc>
    <nc r="AL15">
      <f>SUM(AG15:AK15)</f>
    </nc>
    <odxf>
      <border outline="0">
        <left/>
        <right/>
      </border>
    </odxf>
    <ndxf>
      <border outline="0">
        <left style="thin">
          <color indexed="64"/>
        </left>
        <right style="thin">
          <color indexed="64"/>
        </right>
      </border>
    </ndxf>
  </rcc>
  <rcc rId="8660" sId="8" odxf="1" dxf="1">
    <oc r="AR15">
      <f>SUM(AM15:AQ15)</f>
    </oc>
    <nc r="AR15">
      <f>SUM(AM15:AQ15)</f>
    </nc>
    <odxf>
      <fill>
        <patternFill>
          <bgColor theme="0" tint="-0.249977111117893"/>
        </patternFill>
      </fill>
      <border outline="0">
        <left/>
        <right/>
      </border>
    </odxf>
    <ndxf>
      <fill>
        <patternFill>
          <bgColor theme="0" tint="-0.14999847407452621"/>
        </patternFill>
      </fill>
      <border outline="0">
        <left style="thin">
          <color indexed="64"/>
        </left>
        <right style="thin">
          <color indexed="64"/>
        </right>
      </border>
    </ndxf>
  </rcc>
  <rcc rId="8661" sId="8" odxf="1" dxf="1">
    <oc r="AX15">
      <f>SUM(AS15:AW15)</f>
    </oc>
    <nc r="AX15">
      <f>SUM(AS15:AW15)</f>
    </nc>
    <odxf>
      <fill>
        <patternFill>
          <bgColor theme="0" tint="-0.249977111117893"/>
        </patternFill>
      </fill>
      <border outline="0">
        <left/>
        <right/>
      </border>
    </odxf>
    <ndxf>
      <fill>
        <patternFill>
          <bgColor theme="0" tint="-0.14999847407452621"/>
        </patternFill>
      </fill>
      <border outline="0">
        <left style="thin">
          <color indexed="64"/>
        </left>
        <right style="thin">
          <color indexed="64"/>
        </right>
      </border>
    </ndxf>
  </rcc>
  <rcc rId="8662" sId="8" odxf="1" dxf="1">
    <oc r="BD15">
      <f>SUM(AY15:BC15)</f>
    </oc>
    <nc r="BD15">
      <f>SUM(AY15:BC15)</f>
    </nc>
    <odxf>
      <fill>
        <patternFill>
          <bgColor theme="0" tint="-0.249977111117893"/>
        </patternFill>
      </fill>
      <border outline="0">
        <left/>
      </border>
    </odxf>
    <ndxf>
      <fill>
        <patternFill>
          <bgColor theme="0" tint="-0.14999847407452621"/>
        </patternFill>
      </fill>
      <border outline="0">
        <left style="thin">
          <color indexed="64"/>
        </left>
      </border>
    </ndxf>
  </rcc>
  <rcc rId="8663" sId="8" odxf="1" dxf="1">
    <oc r="BJ15">
      <f>SUM(BE15:BI15)</f>
    </oc>
    <nc r="BJ15">
      <f>SUM(BE15:BI15)</f>
    </nc>
    <odxf>
      <fill>
        <patternFill>
          <bgColor theme="0" tint="-0.249977111117893"/>
        </patternFill>
      </fill>
      <border outline="0">
        <left/>
      </border>
    </odxf>
    <ndxf>
      <fill>
        <patternFill>
          <bgColor theme="0" tint="-0.14999847407452621"/>
        </patternFill>
      </fill>
      <border outline="0">
        <left style="thin">
          <color indexed="64"/>
        </left>
      </border>
    </ndxf>
  </rcc>
  <rcc rId="8664" sId="8" odxf="1" dxf="1">
    <oc r="BP15">
      <f>SUM(BK15:BO15)</f>
    </oc>
    <nc r="BP15">
      <f>SUM(BK15:BO15)</f>
    </nc>
    <odxf>
      <fill>
        <patternFill>
          <bgColor theme="0" tint="-0.249977111117893"/>
        </patternFill>
      </fill>
      <border outline="0">
        <left/>
      </border>
    </odxf>
    <ndxf>
      <fill>
        <patternFill>
          <bgColor theme="0" tint="-0.14999847407452621"/>
        </patternFill>
      </fill>
      <border outline="0">
        <left style="thin">
          <color indexed="64"/>
        </left>
      </border>
    </ndxf>
  </rcc>
  <rcc rId="8665" sId="8" odxf="1" dxf="1">
    <oc r="BV15">
      <f>SUM(BQ15:BU15)</f>
    </oc>
    <nc r="BV15">
      <f>SUM(BQ15:BU15)</f>
    </nc>
    <odxf>
      <fill>
        <patternFill>
          <bgColor theme="0" tint="-0.249977111117893"/>
        </patternFill>
      </fill>
      <border outline="0">
        <left/>
      </border>
    </odxf>
    <ndxf>
      <fill>
        <patternFill>
          <bgColor theme="0" tint="-0.14999847407452621"/>
        </patternFill>
      </fill>
      <border outline="0">
        <left style="thin">
          <color indexed="64"/>
        </left>
      </border>
    </ndxf>
  </rcc>
  <rcc rId="8666" sId="8" odxf="1" dxf="1">
    <oc r="CB15">
      <f>SUM(BW15:CA15)</f>
    </oc>
    <nc r="CB15">
      <f>SUM(BW15:CA15)</f>
    </nc>
    <odxf>
      <fill>
        <patternFill>
          <bgColor theme="0" tint="-0.249977111117893"/>
        </patternFill>
      </fill>
      <border outline="0">
        <left/>
      </border>
    </odxf>
    <ndxf>
      <fill>
        <patternFill>
          <bgColor theme="0" tint="-0.14999847407452621"/>
        </patternFill>
      </fill>
      <border outline="0">
        <left style="thin">
          <color indexed="64"/>
        </left>
      </border>
    </ndxf>
  </rcc>
  <rcc rId="8667" sId="8" odxf="1" dxf="1">
    <oc r="Z16">
      <f>SUM(U16:Y16)</f>
    </oc>
    <nc r="Z16">
      <f>SUM(U16:Y16)</f>
    </nc>
    <odxf>
      <border outline="0">
        <left/>
        <right/>
      </border>
    </odxf>
    <ndxf>
      <border outline="0">
        <left style="thin">
          <color indexed="64"/>
        </left>
        <right style="thin">
          <color indexed="64"/>
        </right>
      </border>
    </ndxf>
  </rcc>
  <rcc rId="8668" sId="8" odxf="1" dxf="1">
    <oc r="AF16">
      <f>SUM(AA16:AE16)</f>
    </oc>
    <nc r="AF16">
      <f>SUM(AA16:AE16)</f>
    </nc>
    <odxf>
      <border outline="0">
        <left/>
        <right/>
      </border>
    </odxf>
    <ndxf>
      <border outline="0">
        <left style="thin">
          <color indexed="64"/>
        </left>
        <right style="thin">
          <color indexed="64"/>
        </right>
      </border>
    </ndxf>
  </rcc>
  <rcc rId="8669" sId="8" odxf="1" dxf="1">
    <oc r="AL16">
      <f>SUM(AG16:AK16)</f>
    </oc>
    <nc r="AL16">
      <f>SUM(AG16:AK16)</f>
    </nc>
    <odxf>
      <border outline="0">
        <left/>
        <right/>
      </border>
    </odxf>
    <ndxf>
      <border outline="0">
        <left style="thin">
          <color indexed="64"/>
        </left>
        <right style="thin">
          <color indexed="64"/>
        </right>
      </border>
    </ndxf>
  </rcc>
  <rcc rId="8670" sId="8" odxf="1" dxf="1">
    <oc r="AR16">
      <f>SUM(AM16:AQ16)</f>
    </oc>
    <nc r="AR16">
      <f>SUM(AM16:AQ16)</f>
    </nc>
    <odxf>
      <fill>
        <patternFill>
          <bgColor theme="0" tint="-0.249977111117893"/>
        </patternFill>
      </fill>
      <border outline="0">
        <left/>
        <right/>
      </border>
    </odxf>
    <ndxf>
      <fill>
        <patternFill>
          <bgColor theme="0" tint="-0.14999847407452621"/>
        </patternFill>
      </fill>
      <border outline="0">
        <left style="thin">
          <color indexed="64"/>
        </left>
        <right style="thin">
          <color indexed="64"/>
        </right>
      </border>
    </ndxf>
  </rcc>
  <rcc rId="8671" sId="8" odxf="1" dxf="1">
    <oc r="AX16">
      <f>SUM(AS16:AW16)</f>
    </oc>
    <nc r="AX16">
      <f>SUM(AS16:AW16)</f>
    </nc>
    <odxf>
      <fill>
        <patternFill>
          <bgColor theme="0" tint="-0.249977111117893"/>
        </patternFill>
      </fill>
      <border outline="0">
        <left/>
        <right/>
      </border>
    </odxf>
    <ndxf>
      <fill>
        <patternFill>
          <bgColor theme="0" tint="-0.14999847407452621"/>
        </patternFill>
      </fill>
      <border outline="0">
        <left style="thin">
          <color indexed="64"/>
        </left>
        <right style="thin">
          <color indexed="64"/>
        </right>
      </border>
    </ndxf>
  </rcc>
  <rcc rId="8672" sId="8" odxf="1" dxf="1">
    <oc r="BD16">
      <f>SUM(AY16:BC16)</f>
    </oc>
    <nc r="BD16">
      <f>SUM(AY16:BC16)</f>
    </nc>
    <odxf>
      <fill>
        <patternFill>
          <bgColor theme="0" tint="-0.249977111117893"/>
        </patternFill>
      </fill>
      <border outline="0">
        <left/>
      </border>
    </odxf>
    <ndxf>
      <fill>
        <patternFill>
          <bgColor theme="0" tint="-0.14999847407452621"/>
        </patternFill>
      </fill>
      <border outline="0">
        <left style="thin">
          <color indexed="64"/>
        </left>
      </border>
    </ndxf>
  </rcc>
  <rcc rId="8673" sId="8" odxf="1" dxf="1">
    <oc r="BJ16">
      <f>SUM(BE16:BI16)</f>
    </oc>
    <nc r="BJ16">
      <f>SUM(BE16:BI16)</f>
    </nc>
    <odxf>
      <fill>
        <patternFill>
          <bgColor theme="0" tint="-0.249977111117893"/>
        </patternFill>
      </fill>
      <border outline="0">
        <left/>
      </border>
    </odxf>
    <ndxf>
      <fill>
        <patternFill>
          <bgColor theme="0" tint="-0.14999847407452621"/>
        </patternFill>
      </fill>
      <border outline="0">
        <left style="thin">
          <color indexed="64"/>
        </left>
      </border>
    </ndxf>
  </rcc>
  <rcc rId="8674" sId="8" odxf="1" dxf="1">
    <oc r="BP16">
      <f>SUM(BK16:BO16)</f>
    </oc>
    <nc r="BP16">
      <f>SUM(BK16:BO16)</f>
    </nc>
    <odxf>
      <fill>
        <patternFill>
          <bgColor theme="0" tint="-0.249977111117893"/>
        </patternFill>
      </fill>
      <border outline="0">
        <left/>
      </border>
    </odxf>
    <ndxf>
      <fill>
        <patternFill>
          <bgColor theme="0" tint="-0.14999847407452621"/>
        </patternFill>
      </fill>
      <border outline="0">
        <left style="thin">
          <color indexed="64"/>
        </left>
      </border>
    </ndxf>
  </rcc>
  <rcc rId="8675" sId="8" odxf="1" dxf="1">
    <oc r="BV16">
      <f>SUM(BQ16:BU16)</f>
    </oc>
    <nc r="BV16">
      <f>SUM(BQ16:BU16)</f>
    </nc>
    <odxf>
      <fill>
        <patternFill>
          <bgColor theme="0" tint="-0.249977111117893"/>
        </patternFill>
      </fill>
      <border outline="0">
        <left/>
      </border>
    </odxf>
    <ndxf>
      <fill>
        <patternFill>
          <bgColor theme="0" tint="-0.14999847407452621"/>
        </patternFill>
      </fill>
      <border outline="0">
        <left style="thin">
          <color indexed="64"/>
        </left>
      </border>
    </ndxf>
  </rcc>
  <rcc rId="8676" sId="8" odxf="1" dxf="1">
    <oc r="CB16">
      <f>SUM(BW16:CA16)</f>
    </oc>
    <nc r="CB16">
      <f>SUM(BW16:CA16)</f>
    </nc>
    <odxf>
      <fill>
        <patternFill>
          <bgColor theme="0" tint="-0.249977111117893"/>
        </patternFill>
      </fill>
      <border outline="0">
        <left/>
      </border>
    </odxf>
    <ndxf>
      <fill>
        <patternFill>
          <bgColor theme="0" tint="-0.14999847407452621"/>
        </patternFill>
      </fill>
      <border outline="0">
        <left style="thin">
          <color indexed="64"/>
        </left>
      </border>
    </ndxf>
  </rcc>
  <rfmt sheetId="6" sqref="T1:T16" start="0" length="0">
    <dxf>
      <border>
        <left style="thin">
          <color indexed="64"/>
        </left>
      </border>
    </dxf>
  </rfmt>
  <rfmt sheetId="6" sqref="T1:T16" start="0" length="0">
    <dxf>
      <border>
        <right style="thin">
          <color indexed="64"/>
        </right>
      </border>
    </dxf>
  </rfmt>
  <rfmt sheetId="6" sqref="U16" start="0" length="0">
    <dxf>
      <border>
        <left style="thin">
          <color indexed="64"/>
        </left>
        <right/>
        <top/>
        <bottom style="thin">
          <color indexed="64"/>
        </bottom>
      </border>
    </dxf>
  </rfmt>
  <rfmt sheetId="8" sqref="U16" start="0" length="0">
    <dxf>
      <border>
        <left/>
        <right/>
        <top/>
        <bottom style="thin">
          <color indexed="64"/>
        </bottom>
      </border>
    </dxf>
  </rfmt>
  <rfmt sheetId="8" sqref="T1:T16" start="0" length="0">
    <dxf>
      <border>
        <left style="thin">
          <color indexed="64"/>
        </left>
      </border>
    </dxf>
  </rfmt>
  <rfmt sheetId="8" sqref="T1:T16" start="0" length="0">
    <dxf>
      <border>
        <right style="thin">
          <color indexed="64"/>
        </right>
      </border>
    </dxf>
  </rfmt>
</revisions>
</file>

<file path=xl/revisions/revisionLog4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8677" sId="6">
    <nc r="AB3">
      <v>1</v>
    </nc>
  </rcc>
  <rcc rId="8678" sId="6">
    <nc r="AB17" t="inlineStr">
      <is>
        <t>pesquisa da pasta funcional do servidor Luiz Celso Giacomini do ESPORTE</t>
      </is>
    </nc>
  </rcc>
  <rcv guid="{9B623083-AA7B-440B-95EA-C33E1AB3D963}" action="delete"/>
  <rdn rId="0" localSheetId="1" customView="1" name="Z_9B623083_AA7B_440B_95EA_C33E1AB3D963_.wvu.FilterData" hidden="1" oldHidden="1">
    <formula>Patrícia!$A$1:$A$18</formula>
    <oldFormula>Patrícia!$A$1:$A$18</oldFormula>
  </rdn>
  <rdn rId="0" localSheetId="2" customView="1" name="Z_9B623083_AA7B_440B_95EA_C33E1AB3D963_.wvu.FilterData" hidden="1" oldHidden="1">
    <formula>Marcelo!$A$1:$A$18</formula>
    <oldFormula>Marcelo!$A$1:$A$18</oldFormula>
  </rdn>
  <rdn rId="0" localSheetId="3" customView="1" name="Z_9B623083_AA7B_440B_95EA_C33E1AB3D963_.wvu.FilterData" hidden="1" oldHidden="1">
    <formula>TOTAL!$A$1:$A$18</formula>
    <oldFormula>TOTAL!$A$1:$A$18</oldFormula>
  </rdn>
  <rdn rId="0" localSheetId="4" customView="1" name="Z_9B623083_AA7B_440B_95EA_C33E1AB3D963_.wvu.FilterData" hidden="1" oldHidden="1">
    <formula>Diego!$A$1:$A$19</formula>
    <oldFormula>Diego!$A$1:$A$19</oldFormula>
  </rdn>
  <rdn rId="0" localSheetId="5" customView="1" name="Z_9B623083_AA7B_440B_95EA_C33E1AB3D963_.wvu.FilterData" hidden="1" oldHidden="1">
    <formula>Aelton!$A$1:$A$18</formula>
    <oldFormula>Aelton!$A$1:$A$18</oldFormula>
  </rdn>
  <rdn rId="0" localSheetId="6" customView="1" name="Z_9B623083_AA7B_440B_95EA_C33E1AB3D963_.wvu.FilterData" hidden="1" oldHidden="1">
    <formula>Leonam!$A$1:$BD$18</formula>
    <oldFormula>Leonam!$A$1:$BD$18</oldFormula>
  </rdn>
  <rdn rId="0" localSheetId="7" customView="1" name="Z_9B623083_AA7B_440B_95EA_C33E1AB3D963_.wvu.FilterData" hidden="1" oldHidden="1">
    <formula>Danilo!$A$1:$A$18</formula>
    <oldFormula>Danilo!$A$1:$A$18</oldFormula>
  </rdn>
  <rdn rId="0" localSheetId="8" customView="1" name="Z_9B623083_AA7B_440B_95EA_C33E1AB3D963_.wvu.FilterData" hidden="1" oldHidden="1">
    <formula>Marcos!$A$1:$A$18</formula>
    <oldFormula>Marcos!$A$1:$A$18</oldFormula>
  </rdn>
  <rdn rId="0" localSheetId="10" customView="1" name="Z_9B623083_AA7B_440B_95EA_C33E1AB3D963_.wvu.FilterData" hidden="1" oldHidden="1">
    <formula>Alessandro!$A$1:$A$18</formula>
    <oldFormula>Alessandro!$A$1:$A$18</oldFormula>
  </rdn>
  <rdn rId="0" localSheetId="9" customView="1" name="Z_9B623083_AA7B_440B_95EA_C33E1AB3D963_.wvu.FilterData" hidden="1" oldHidden="1">
    <formula>Carlos!$A$1:$A$18</formula>
    <oldFormula>Carlos!$A$1:$A$18</oldFormula>
  </rdn>
  <rcv guid="{9B623083-AA7B-440B-95EA-C33E1AB3D963}" action="add"/>
</revisions>
</file>

<file path=xl/revisions/revisionLog4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8689" sId="4">
    <nc r="AB3">
      <v>1</v>
    </nc>
  </rcc>
  <rcc rId="8690" sId="4">
    <nc r="AB17" t="inlineStr">
      <is>
        <t>pesquisa da pasta funcional do servidor Luiz Celso Giacomini do ESPORTE</t>
      </is>
    </nc>
  </rcc>
  <rcc rId="8691" sId="7">
    <nc r="AB3">
      <v>1</v>
    </nc>
  </rcc>
  <rcc rId="8692" sId="7">
    <nc r="AB17" t="inlineStr">
      <is>
        <t>pesquisa da pasta funcional do servidor Luiz Celso Giacomini do ESPORTE</t>
      </is>
    </nc>
  </rcc>
</revisions>
</file>

<file path=xl/revisions/revisionLog4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8693" sId="6">
    <nc r="AA4">
      <v>1</v>
    </nc>
  </rcc>
  <rcc rId="8694" sId="6">
    <nc r="AA13">
      <v>2</v>
    </nc>
  </rcc>
  <rfmt sheetId="6" sqref="AA16" start="0" length="0">
    <dxf>
      <border outline="0">
        <bottom/>
      </border>
    </dxf>
  </rfmt>
  <rfmt sheetId="6" sqref="AB16" start="0" length="0">
    <dxf>
      <border outline="0">
        <bottom/>
      </border>
    </dxf>
  </rfmt>
  <rfmt sheetId="6" sqref="AC16" start="0" length="0">
    <dxf>
      <border outline="0">
        <bottom/>
      </border>
    </dxf>
  </rfmt>
  <rfmt sheetId="6" sqref="AD16" start="0" length="0">
    <dxf>
      <border outline="0">
        <bottom/>
      </border>
    </dxf>
  </rfmt>
  <rfmt sheetId="6" sqref="AE16" start="0" length="0">
    <dxf>
      <border outline="0">
        <bottom/>
      </border>
    </dxf>
  </rfmt>
  <rcc rId="8695" sId="6">
    <nc r="AA17" t="inlineStr">
      <is>
        <t>1. Vistoria no Bloco Apara ver se 
há vazamentos na  sala G-15.
2. Busca por 10 caixas da DEFNAS,
9531 a 9540.
3. Arquvamento processo MESP.</t>
      </is>
    </nc>
  </rcc>
  <rfmt sheetId="6" sqref="AB1" start="0" length="0">
    <dxf>
      <border outline="0">
        <left/>
      </border>
    </dxf>
  </rfmt>
  <rfmt sheetId="6" sqref="AC1" start="0" length="0">
    <dxf>
      <border outline="0">
        <left/>
      </border>
    </dxf>
  </rfmt>
  <rfmt sheetId="6" sqref="AD1" start="0" length="0">
    <dxf>
      <border outline="0">
        <left/>
      </border>
    </dxf>
  </rfmt>
  <rfmt sheetId="6" sqref="AE1" start="0" length="0">
    <dxf>
      <border outline="0">
        <left/>
      </border>
    </dxf>
  </rfmt>
  <rcc rId="8696" sId="6">
    <nc r="AC2">
      <v>2</v>
    </nc>
  </rcc>
  <rcc rId="8697" sId="6">
    <oc r="AB3">
      <v>1</v>
    </oc>
    <nc r="AB3"/>
  </rcc>
  <rcc rId="8698" sId="6">
    <nc r="AB4">
      <v>7</v>
    </nc>
  </rcc>
  <rcc rId="8699" sId="6">
    <nc r="AC4">
      <v>7</v>
    </nc>
  </rcc>
  <rcc rId="8700" sId="6">
    <nc r="AD4">
      <v>5</v>
    </nc>
  </rcc>
  <rcc rId="8701" sId="6">
    <nc r="AC13">
      <v>1</v>
    </nc>
  </rcc>
  <rcc rId="8702" sId="6">
    <nc r="AD13">
      <v>2</v>
    </nc>
  </rcc>
  <rcc rId="8703" sId="6">
    <oc r="AB17" t="inlineStr">
      <is>
        <t>pesquisa da pasta funcional do servidor Luiz Celso Giacomini do ESPORTE</t>
      </is>
    </oc>
    <nc r="AB17" t="inlineStr">
      <is>
        <t>1. Acompanhamento transporte dos
 processos MESP: 
DNIT p/  A.
2. Vistoria no Bloco A para ver se 
há vazamentos (G-15).
3. Arquivamento processos MESP.
4. Devolução de 2 caixas para CGATA (correção).
5. Arquivamento MESP.</t>
      </is>
    </nc>
  </rcc>
  <rcc rId="8704" sId="6">
    <nc r="AC17" t="inlineStr">
      <is>
        <t xml:space="preserve">1. Vistoria no Bloco A para ver se há buracos de possível 
entrada de ratos nas salas  sala G-15, G-17.
2. Desarquivamento MESP.
3. Arquivamento MESP.
</t>
      </is>
    </nc>
  </rcc>
  <rcc rId="8705" sId="6">
    <nc r="AD17" t="inlineStr">
      <is>
        <t>1. Organização da sala G-15 
para visita.
2. Arquivamento MESP.</t>
      </is>
    </nc>
  </rcc>
  <rcc rId="8706" sId="6">
    <nc r="AE17" t="inlineStr">
      <is>
        <t>1. Confraternização CDA
 pela manhã.
2. Acompanhamento visita dos inteegrantes do Arquivo Nacional.</t>
      </is>
    </nc>
  </rcc>
  <rcv guid="{86039CF8-B158-4D70-9A6F-A10C29CBD68A}" action="delete"/>
  <rdn rId="0" localSheetId="1" customView="1" name="Z_86039CF8_B158_4D70_9A6F_A10C29CBD68A_.wvu.FilterData" hidden="1" oldHidden="1">
    <formula>Patrícia!$A$1:$A$18</formula>
    <oldFormula>Patrícia!$A$1:$A$18</oldFormula>
  </rdn>
  <rdn rId="0" localSheetId="2" customView="1" name="Z_86039CF8_B158_4D70_9A6F_A10C29CBD68A_.wvu.FilterData" hidden="1" oldHidden="1">
    <formula>Marcelo!$A$1:$A$18</formula>
    <oldFormula>Marcelo!$A$1:$A$18</oldFormula>
  </rdn>
  <rdn rId="0" localSheetId="3" customView="1" name="Z_86039CF8_B158_4D70_9A6F_A10C29CBD68A_.wvu.FilterData" hidden="1" oldHidden="1">
    <formula>TOTAL!$A$1:$A$18</formula>
    <oldFormula>TOTAL!$A$1:$A$18</oldFormula>
  </rdn>
  <rdn rId="0" localSheetId="4" customView="1" name="Z_86039CF8_B158_4D70_9A6F_A10C29CBD68A_.wvu.FilterData" hidden="1" oldHidden="1">
    <formula>Diego!$A$1:$A$19</formula>
    <oldFormula>Diego!$A$1:$A$18</oldFormula>
  </rdn>
  <rdn rId="0" localSheetId="5" customView="1" name="Z_86039CF8_B158_4D70_9A6F_A10C29CBD68A_.wvu.FilterData" hidden="1" oldHidden="1">
    <formula>Aelton!$A$1:$A$18</formula>
    <oldFormula>Aelton!$A$1:$A$18</oldFormula>
  </rdn>
  <rdn rId="0" localSheetId="6" customView="1" name="Z_86039CF8_B158_4D70_9A6F_A10C29CBD68A_.wvu.FilterData" hidden="1" oldHidden="1">
    <formula>Leonam!$A$1:$BD$18</formula>
    <oldFormula>Leonam!$A$1:$BD$18</oldFormula>
  </rdn>
  <rdn rId="0" localSheetId="7" customView="1" name="Z_86039CF8_B158_4D70_9A6F_A10C29CBD68A_.wvu.FilterData" hidden="1" oldHidden="1">
    <formula>Danilo!$A$1:$A$18</formula>
    <oldFormula>Danilo!$A$1:$A$18</oldFormula>
  </rdn>
  <rdn rId="0" localSheetId="8" customView="1" name="Z_86039CF8_B158_4D70_9A6F_A10C29CBD68A_.wvu.FilterData" hidden="1" oldHidden="1">
    <formula>Marcos!$A$1:$A$18</formula>
    <oldFormula>Marcos!$A$1:$A$18</oldFormula>
  </rdn>
  <rdn rId="0" localSheetId="10" customView="1" name="Z_86039CF8_B158_4D70_9A6F_A10C29CBD68A_.wvu.FilterData" hidden="1" oldHidden="1">
    <formula>Alessandro!$A$1:$A$18</formula>
    <oldFormula>Alessandro!$A$1:$A$18</oldFormula>
  </rdn>
  <rdn rId="0" localSheetId="9" customView="1" name="Z_86039CF8_B158_4D70_9A6F_A10C29CBD68A_.wvu.FilterData" hidden="1" oldHidden="1">
    <formula>Carlos!$A$1:$A$18</formula>
    <oldFormula>Carlos!$A$1:$A$18</oldFormula>
  </rdn>
  <rcv guid="{86039CF8-B158-4D70-9A6F-A10C29CBD68A}" action="add"/>
</revisions>
</file>

<file path=xl/revisions/revisionLog5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8717" sId="4" ref="A17:XFD17" action="insertRow"/>
  <rcc rId="8718" sId="4">
    <nc r="A17" t="inlineStr">
      <is>
        <t>Caixas substituídas(trocadas)</t>
      </is>
    </nc>
  </rcc>
  <rfmt sheetId="4" sqref="A16" start="0" length="0">
    <dxf>
      <border>
        <left/>
      </border>
    </dxf>
  </rfmt>
  <rfmt sheetId="4" sqref="A16:DC16" start="0" length="0">
    <dxf>
      <border>
        <top/>
      </border>
    </dxf>
  </rfmt>
  <rfmt sheetId="4" sqref="A16:DC16" start="0" length="0">
    <dxf>
      <border>
        <bottom/>
      </border>
    </dxf>
  </rfmt>
  <rfmt sheetId="4" sqref="A15:A17" start="0" length="0">
    <dxf>
      <border>
        <left style="thin">
          <color indexed="64"/>
        </left>
      </border>
    </dxf>
  </rfmt>
  <rfmt sheetId="4" sqref="A15:A17" start="0" length="0">
    <dxf>
      <border>
        <right style="thin">
          <color indexed="64"/>
        </right>
      </border>
    </dxf>
  </rfmt>
  <rfmt sheetId="4" sqref="A17" start="0" length="0">
    <dxf>
      <border>
        <bottom style="thin">
          <color indexed="64"/>
        </bottom>
      </border>
    </dxf>
  </rfmt>
  <rfmt sheetId="4" sqref="A15:A17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rfmt>
  <rfmt sheetId="4" sqref="B15" start="0" length="0">
    <dxf>
      <border>
        <top style="thin">
          <color indexed="64"/>
        </top>
      </border>
    </dxf>
  </rfmt>
  <rfmt sheetId="4" sqref="B15:B17" start="0" length="0">
    <dxf>
      <border>
        <right style="thin">
          <color indexed="64"/>
        </right>
      </border>
    </dxf>
  </rfmt>
  <rfmt sheetId="4" sqref="B17" start="0" length="0">
    <dxf>
      <border>
        <bottom style="thin">
          <color indexed="64"/>
        </bottom>
      </border>
    </dxf>
  </rfmt>
  <rcc rId="8719" sId="4">
    <nc r="B17">
      <v>16</v>
    </nc>
  </rcc>
  <rfmt sheetId="4" sqref="H1:H17" start="0" length="0">
    <dxf>
      <border>
        <left style="thin">
          <color indexed="64"/>
        </left>
      </border>
    </dxf>
  </rfmt>
  <rfmt sheetId="4" sqref="H1:H17" start="0" length="0">
    <dxf>
      <border>
        <right style="thin">
          <color indexed="64"/>
        </right>
      </border>
    </dxf>
  </rfmt>
  <rfmt sheetId="4" sqref="H17" start="0" length="0">
    <dxf>
      <border>
        <bottom style="thin">
          <color indexed="64"/>
        </bottom>
      </border>
    </dxf>
  </rfmt>
  <rfmt sheetId="4" sqref="N1:N17" start="0" length="0">
    <dxf>
      <border>
        <left style="thin">
          <color indexed="64"/>
        </left>
      </border>
    </dxf>
  </rfmt>
  <rfmt sheetId="4" sqref="N1:N17" start="0" length="0">
    <dxf>
      <border>
        <right style="thin">
          <color indexed="64"/>
        </right>
      </border>
    </dxf>
  </rfmt>
  <rfmt sheetId="4" sqref="N17" start="0" length="0">
    <dxf>
      <border>
        <bottom style="thin">
          <color indexed="64"/>
        </bottom>
      </border>
    </dxf>
  </rfmt>
  <rfmt sheetId="4" sqref="T1:T17" start="0" length="0">
    <dxf>
      <border>
        <left style="thin">
          <color indexed="64"/>
        </left>
      </border>
    </dxf>
  </rfmt>
  <rfmt sheetId="4" sqref="T1:T17" start="0" length="0">
    <dxf>
      <border>
        <right style="thin">
          <color indexed="64"/>
        </right>
      </border>
    </dxf>
  </rfmt>
  <rfmt sheetId="4" sqref="T17" start="0" length="0">
    <dxf>
      <border>
        <bottom style="thin">
          <color indexed="64"/>
        </bottom>
      </border>
    </dxf>
  </rfmt>
  <rfmt sheetId="4" sqref="Z1:Z17" start="0" length="0">
    <dxf>
      <border>
        <left style="thin">
          <color indexed="64"/>
        </left>
      </border>
    </dxf>
  </rfmt>
  <rfmt sheetId="4" sqref="Z1:Z17" start="0" length="0">
    <dxf>
      <border>
        <right style="thin">
          <color indexed="64"/>
        </right>
      </border>
    </dxf>
  </rfmt>
  <rfmt sheetId="4" sqref="Z17" start="0" length="0">
    <dxf>
      <border>
        <bottom style="thin">
          <color indexed="64"/>
        </bottom>
      </border>
    </dxf>
  </rfmt>
  <rfmt sheetId="4" sqref="AF1:AF17" start="0" length="0">
    <dxf>
      <border>
        <left style="thin">
          <color indexed="64"/>
        </left>
      </border>
    </dxf>
  </rfmt>
  <rfmt sheetId="4" sqref="AF1:AF17" start="0" length="0">
    <dxf>
      <border>
        <right style="thin">
          <color indexed="64"/>
        </right>
      </border>
    </dxf>
  </rfmt>
  <rfmt sheetId="4" sqref="AF17" start="0" length="0">
    <dxf>
      <border>
        <bottom style="thin">
          <color indexed="64"/>
        </bottom>
      </border>
    </dxf>
  </rfmt>
  <rfmt sheetId="4" sqref="AL1:AL17" start="0" length="0">
    <dxf>
      <border>
        <left style="thin">
          <color indexed="64"/>
        </left>
      </border>
    </dxf>
  </rfmt>
  <rfmt sheetId="4" sqref="AL1:AL17" start="0" length="0">
    <dxf>
      <border>
        <right style="thin">
          <color indexed="64"/>
        </right>
      </border>
    </dxf>
  </rfmt>
  <rfmt sheetId="4" sqref="AL17" start="0" length="0">
    <dxf>
      <border>
        <bottom style="thin">
          <color indexed="64"/>
        </bottom>
      </border>
    </dxf>
  </rfmt>
  <rfmt sheetId="4" sqref="AR1:AR17" start="0" length="0">
    <dxf>
      <border>
        <left style="thin">
          <color indexed="64"/>
        </left>
      </border>
    </dxf>
  </rfmt>
  <rfmt sheetId="4" sqref="AR1:AR17" start="0" length="0">
    <dxf>
      <border>
        <right style="thin">
          <color indexed="64"/>
        </right>
      </border>
    </dxf>
  </rfmt>
  <rfmt sheetId="4" sqref="AR17" start="0" length="0">
    <dxf>
      <border>
        <bottom style="thin">
          <color indexed="64"/>
        </bottom>
      </border>
    </dxf>
  </rfmt>
  <rfmt sheetId="4" sqref="AX1:AX17" start="0" length="0">
    <dxf>
      <border>
        <left style="thin">
          <color indexed="64"/>
        </left>
      </border>
    </dxf>
  </rfmt>
  <rfmt sheetId="4" sqref="AX1:AX17" start="0" length="0">
    <dxf>
      <border>
        <right style="thin">
          <color indexed="64"/>
        </right>
      </border>
    </dxf>
  </rfmt>
  <rfmt sheetId="4" sqref="AX17" start="0" length="0">
    <dxf>
      <border>
        <bottom style="thin">
          <color indexed="64"/>
        </bottom>
      </border>
    </dxf>
  </rfmt>
  <rfmt sheetId="4" sqref="BD1:BD17" start="0" length="0">
    <dxf>
      <border>
        <left style="thin">
          <color indexed="64"/>
        </left>
      </border>
    </dxf>
  </rfmt>
  <rfmt sheetId="4" sqref="BD1:BD17" start="0" length="0">
    <dxf>
      <border>
        <right style="thin">
          <color indexed="64"/>
        </right>
      </border>
    </dxf>
  </rfmt>
  <rfmt sheetId="4" sqref="BD17" start="0" length="0">
    <dxf>
      <border>
        <bottom style="thin">
          <color indexed="64"/>
        </bottom>
      </border>
    </dxf>
  </rfmt>
  <rfmt sheetId="4" sqref="BJ1:BJ17" start="0" length="0">
    <dxf>
      <border>
        <left style="thin">
          <color indexed="64"/>
        </left>
      </border>
    </dxf>
  </rfmt>
  <rfmt sheetId="4" sqref="BJ1:BJ17" start="0" length="0">
    <dxf>
      <border>
        <right style="thin">
          <color indexed="64"/>
        </right>
      </border>
    </dxf>
  </rfmt>
  <rfmt sheetId="4" sqref="BJ17" start="0" length="0">
    <dxf>
      <border>
        <bottom style="thin">
          <color indexed="64"/>
        </bottom>
      </border>
    </dxf>
  </rfmt>
  <rfmt sheetId="4" sqref="BP1:BP17" start="0" length="0">
    <dxf>
      <border>
        <left style="thin">
          <color indexed="64"/>
        </left>
      </border>
    </dxf>
  </rfmt>
  <rfmt sheetId="4" sqref="BP1:BP17" start="0" length="0">
    <dxf>
      <border>
        <right style="thin">
          <color indexed="64"/>
        </right>
      </border>
    </dxf>
  </rfmt>
  <rfmt sheetId="4" sqref="BP17" start="0" length="0">
    <dxf>
      <border>
        <bottom style="thin">
          <color indexed="64"/>
        </bottom>
      </border>
    </dxf>
  </rfmt>
  <rfmt sheetId="4" sqref="BV1:BV17" start="0" length="0">
    <dxf>
      <border>
        <left style="thin">
          <color indexed="64"/>
        </left>
      </border>
    </dxf>
  </rfmt>
  <rfmt sheetId="4" sqref="BV1:BV17" start="0" length="0">
    <dxf>
      <border>
        <right style="thin">
          <color indexed="64"/>
        </right>
      </border>
    </dxf>
  </rfmt>
  <rfmt sheetId="4" sqref="BV17" start="0" length="0">
    <dxf>
      <border>
        <bottom style="thin">
          <color indexed="64"/>
        </bottom>
      </border>
    </dxf>
  </rfmt>
  <rfmt sheetId="4" sqref="CB1:CB17" start="0" length="0">
    <dxf>
      <border>
        <left style="thin">
          <color indexed="64"/>
        </left>
      </border>
    </dxf>
  </rfmt>
  <rfmt sheetId="4" sqref="CB1:CB17" start="0" length="0">
    <dxf>
      <border>
        <right style="thin">
          <color indexed="64"/>
        </right>
      </border>
    </dxf>
  </rfmt>
  <rfmt sheetId="4" sqref="CB17" start="0" length="0">
    <dxf>
      <border>
        <bottom style="thin">
          <color indexed="64"/>
        </bottom>
      </border>
    </dxf>
  </rfmt>
  <rfmt sheetId="4" sqref="A17:CB17" start="0" length="0">
    <dxf>
      <border>
        <bottom style="thin">
          <color indexed="64"/>
        </bottom>
      </border>
    </dxf>
  </rfmt>
  <rcc rId="8720" sId="4">
    <nc r="H17">
      <f>SUM(C17:G17)</f>
    </nc>
  </rcc>
  <rcc rId="8721" sId="4">
    <nc r="N17">
      <f>SUM(I17:M17)</f>
    </nc>
  </rcc>
  <rcc rId="8722" sId="4">
    <nc r="T17">
      <f>SUM(O17:S17)</f>
    </nc>
  </rcc>
  <rcc rId="8723" sId="4">
    <nc r="Z17">
      <f>SUM(U17:Y17)</f>
    </nc>
  </rcc>
  <rcc rId="8724" sId="4">
    <nc r="AF17">
      <f>SUM(AA17:AE17)</f>
    </nc>
  </rcc>
  <rcc rId="8725" sId="4">
    <nc r="AL17">
      <f>SUM(AG17:AK17)</f>
    </nc>
  </rcc>
  <rcc rId="8726" sId="4">
    <nc r="AR17">
      <f>SUM(AM17:AQ17)</f>
    </nc>
  </rcc>
  <rcc rId="8727" sId="4">
    <nc r="AX17">
      <f>SUM(AS17:AW17)</f>
    </nc>
  </rcc>
  <rcc rId="8728" sId="4">
    <nc r="BD17">
      <f>SUM(AY17:BC17)</f>
    </nc>
  </rcc>
  <rcc rId="8729" sId="4">
    <nc r="BJ17">
      <f>SUM(BE17:BI17)</f>
    </nc>
  </rcc>
  <rcc rId="8730" sId="4">
    <nc r="BP17">
      <f>SUM(BK17:BO17)</f>
    </nc>
  </rcc>
  <rcc rId="8731" sId="4">
    <nc r="BV17">
      <f>SUM(BQ17:BU17)</f>
    </nc>
  </rcc>
  <rcc rId="8732" sId="4">
    <nc r="CB17">
      <f>SUM(BW17:CA17)</f>
    </nc>
  </rcc>
  <rrc rId="8733" sId="5" ref="A17:XFD17" action="insertRow"/>
  <rrc rId="8734" sId="6" ref="A17:XFD17" action="insertRow"/>
  <rrc rId="8735" sId="7" ref="A17:XFD17" action="insertRow"/>
  <rrc rId="8736" sId="8" ref="A17:XFD17" action="insertRow"/>
  <rrc rId="8737" sId="10" ref="A17:XFD17" action="insertRow"/>
  <rrc rId="8738" sId="9" ref="A17:XFD17" action="insertRow"/>
  <rcc rId="8739" sId="5" odxf="1" dxf="1">
    <nc r="A17" t="inlineStr">
      <is>
        <t>Caixas substituídas(trocadas)</t>
      </is>
    </nc>
    <odxf>
      <border outline="0">
        <left/>
        <right/>
        <top/>
        <bottom/>
      </border>
    </odxf>
    <n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ndxf>
  </rcc>
  <rcc rId="8740" sId="6" odxf="1" dxf="1">
    <nc r="A17" t="inlineStr">
      <is>
        <t>Caixas substituídas(trocadas)</t>
      </is>
    </nc>
    <odxf>
      <border outline="0">
        <left/>
        <right/>
        <top/>
        <bottom/>
      </border>
    </odxf>
    <n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ndxf>
  </rcc>
  <rcc rId="8741" sId="7" odxf="1" dxf="1">
    <nc r="A17" t="inlineStr">
      <is>
        <t>Caixas substituídas(trocadas)</t>
      </is>
    </nc>
    <odxf>
      <border outline="0">
        <left/>
        <right/>
        <top/>
        <bottom/>
      </border>
    </odxf>
    <n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ndxf>
  </rcc>
  <rcc rId="8742" sId="8" odxf="1" dxf="1">
    <nc r="A17" t="inlineStr">
      <is>
        <t>Caixas substituídas(trocadas)</t>
      </is>
    </nc>
    <odxf>
      <border outline="0">
        <left/>
        <right/>
        <top/>
        <bottom/>
      </border>
    </odxf>
    <n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ndxf>
  </rcc>
  <rcc rId="8743" sId="10" odxf="1" dxf="1">
    <nc r="A17" t="inlineStr">
      <is>
        <t>Caixas substituídas(trocadas)</t>
      </is>
    </nc>
    <odxf>
      <border outline="0">
        <left/>
        <right/>
        <top/>
        <bottom/>
      </border>
    </odxf>
    <n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ndxf>
  </rcc>
  <rcc rId="8744" sId="9" odxf="1" dxf="1">
    <nc r="A17" t="inlineStr">
      <is>
        <t>Caixas substituídas(trocadas)</t>
      </is>
    </nc>
    <odxf>
      <border outline="0">
        <left/>
        <right/>
        <top/>
        <bottom/>
      </border>
    </odxf>
    <n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ndxf>
  </rcc>
  <rfmt sheetId="9" sqref="A17" start="0" length="0">
    <dxf>
      <border>
        <left/>
      </border>
    </dxf>
  </rfmt>
  <rfmt sheetId="9" sqref="A17:CB17" start="0" length="0">
    <dxf>
      <border>
        <top/>
      </border>
    </dxf>
  </rfmt>
  <rfmt sheetId="9" sqref="A17:CB17" start="0" length="0">
    <dxf>
      <border>
        <bottom/>
      </border>
    </dxf>
  </rfmt>
  <rfmt sheetId="9" sqref="A17:CB17">
    <dxf>
      <border>
        <left/>
        <right/>
        <vertical/>
      </border>
    </dxf>
  </rfmt>
  <rfmt sheetId="9" sqref="A1:A17" start="0" length="0">
    <dxf>
      <border>
        <left style="thin">
          <color indexed="64"/>
        </left>
      </border>
    </dxf>
  </rfmt>
  <rfmt sheetId="9" sqref="CB1:CB17" start="0" length="0">
    <dxf>
      <border>
        <right style="thin">
          <color indexed="64"/>
        </right>
      </border>
    </dxf>
  </rfmt>
  <rfmt sheetId="9" sqref="A17:CB17" start="0" length="0">
    <dxf>
      <border>
        <bottom style="thin">
          <color indexed="64"/>
        </bottom>
      </border>
    </dxf>
  </rfmt>
  <rfmt sheetId="9" sqref="A16" start="0" length="0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8745" sId="9">
    <nc r="B17">
      <v>16</v>
    </nc>
  </rcc>
  <rfmt sheetId="9" sqref="B1:B17" start="0" length="0">
    <dxf>
      <border>
        <left style="thin">
          <color indexed="64"/>
        </left>
      </border>
    </dxf>
  </rfmt>
  <rfmt sheetId="9" sqref="B1:B17" start="0" length="0">
    <dxf>
      <border>
        <right style="thin">
          <color indexed="64"/>
        </right>
      </border>
    </dxf>
  </rfmt>
  <rfmt sheetId="10" sqref="A17" start="0" length="0">
    <dxf>
      <border>
        <left/>
      </border>
    </dxf>
  </rfmt>
  <rfmt sheetId="10" sqref="A17:CB17" start="0" length="0">
    <dxf>
      <border>
        <top/>
      </border>
    </dxf>
  </rfmt>
  <rfmt sheetId="10" sqref="A17:CB17" start="0" length="0">
    <dxf>
      <border>
        <bottom/>
      </border>
    </dxf>
  </rfmt>
  <rfmt sheetId="10" sqref="A17:CB17">
    <dxf>
      <border>
        <left/>
        <right/>
        <vertical/>
      </border>
    </dxf>
  </rfmt>
  <rfmt sheetId="10" sqref="A1:A17" start="0" length="0">
    <dxf>
      <border>
        <left style="thin">
          <color indexed="64"/>
        </left>
      </border>
    </dxf>
  </rfmt>
  <rfmt sheetId="10" sqref="CB1:CB17" start="0" length="0">
    <dxf>
      <border>
        <right style="thin">
          <color indexed="64"/>
        </right>
      </border>
    </dxf>
  </rfmt>
  <rfmt sheetId="10" sqref="A17:CB17" start="0" length="0">
    <dxf>
      <border>
        <bottom style="thin">
          <color indexed="64"/>
        </bottom>
      </border>
    </dxf>
  </rfmt>
  <rfmt sheetId="10" sqref="B1:B17" start="0" length="0">
    <dxf>
      <border>
        <left style="thin">
          <color indexed="64"/>
        </left>
      </border>
    </dxf>
  </rfmt>
  <rfmt sheetId="10" sqref="B1:B17" start="0" length="0">
    <dxf>
      <border>
        <right style="thin">
          <color indexed="64"/>
        </right>
      </border>
    </dxf>
  </rfmt>
  <rcc rId="8746" sId="10">
    <nc r="B17">
      <v>16</v>
    </nc>
  </rcc>
  <rfmt sheetId="10" sqref="A16" start="0" length="0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H1:H17" start="0" length="0">
    <dxf>
      <border>
        <left style="thin">
          <color indexed="64"/>
        </left>
      </border>
    </dxf>
  </rfmt>
  <rfmt sheetId="10" sqref="H1:H17" start="0" length="0">
    <dxf>
      <border>
        <right style="thin">
          <color indexed="64"/>
        </right>
      </border>
    </dxf>
  </rfmt>
  <rfmt sheetId="10" sqref="N1:N17" start="0" length="0">
    <dxf>
      <border>
        <left style="thin">
          <color indexed="64"/>
        </left>
      </border>
    </dxf>
  </rfmt>
  <rfmt sheetId="10" sqref="N1:N17" start="0" length="0">
    <dxf>
      <border>
        <right style="thin">
          <color indexed="64"/>
        </right>
      </border>
    </dxf>
  </rfmt>
  <rfmt sheetId="10" sqref="T1:T17" start="0" length="0">
    <dxf>
      <border>
        <left style="thin">
          <color indexed="64"/>
        </left>
      </border>
    </dxf>
  </rfmt>
  <rfmt sheetId="10" sqref="T1:T17" start="0" length="0">
    <dxf>
      <border>
        <right style="thin">
          <color indexed="64"/>
        </right>
      </border>
    </dxf>
  </rfmt>
  <rfmt sheetId="10" sqref="Z1:Z17" start="0" length="0">
    <dxf>
      <border>
        <left style="thin">
          <color indexed="64"/>
        </left>
      </border>
    </dxf>
  </rfmt>
  <rfmt sheetId="10" sqref="Z1:Z17" start="0" length="0">
    <dxf>
      <border>
        <right style="thin">
          <color indexed="64"/>
        </right>
      </border>
    </dxf>
  </rfmt>
  <rfmt sheetId="10" sqref="AF1:AF17" start="0" length="0">
    <dxf>
      <border>
        <left style="thin">
          <color indexed="64"/>
        </left>
      </border>
    </dxf>
  </rfmt>
  <rfmt sheetId="10" sqref="AF1:AF17" start="0" length="0">
    <dxf>
      <border>
        <right style="thin">
          <color indexed="64"/>
        </right>
      </border>
    </dxf>
  </rfmt>
  <rfmt sheetId="10" sqref="AL1:AL17" start="0" length="0">
    <dxf>
      <border>
        <left style="thin">
          <color indexed="64"/>
        </left>
      </border>
    </dxf>
  </rfmt>
  <rfmt sheetId="10" sqref="AL1:AL17" start="0" length="0">
    <dxf>
      <border>
        <right style="thin">
          <color indexed="64"/>
        </right>
      </border>
    </dxf>
  </rfmt>
  <rfmt sheetId="10" sqref="AR1:AR17" start="0" length="0">
    <dxf>
      <border>
        <left style="thin">
          <color indexed="64"/>
        </left>
      </border>
    </dxf>
  </rfmt>
  <rfmt sheetId="10" sqref="AR1:AR17" start="0" length="0">
    <dxf>
      <border>
        <right style="thin">
          <color indexed="64"/>
        </right>
      </border>
    </dxf>
  </rfmt>
  <rfmt sheetId="10" sqref="AX1:AX17" start="0" length="0">
    <dxf>
      <border>
        <left style="thin">
          <color indexed="64"/>
        </left>
      </border>
    </dxf>
  </rfmt>
  <rfmt sheetId="10" sqref="AX1:AX17" start="0" length="0">
    <dxf>
      <border>
        <right style="thin">
          <color indexed="64"/>
        </right>
      </border>
    </dxf>
  </rfmt>
  <rfmt sheetId="10" sqref="BD1:BD17" start="0" length="0">
    <dxf>
      <border>
        <left style="thin">
          <color indexed="64"/>
        </left>
      </border>
    </dxf>
  </rfmt>
  <rfmt sheetId="10" sqref="BD1:BD17" start="0" length="0">
    <dxf>
      <border>
        <right style="thin">
          <color indexed="64"/>
        </right>
      </border>
    </dxf>
  </rfmt>
  <rfmt sheetId="10" sqref="BJ1:BJ17" start="0" length="0">
    <dxf>
      <border>
        <left style="thin">
          <color indexed="64"/>
        </left>
      </border>
    </dxf>
  </rfmt>
  <rfmt sheetId="10" sqref="BJ1:BJ17" start="0" length="0">
    <dxf>
      <border>
        <right style="thin">
          <color indexed="64"/>
        </right>
      </border>
    </dxf>
  </rfmt>
  <rfmt sheetId="10" sqref="BP1:BP17" start="0" length="0">
    <dxf>
      <border>
        <left style="thin">
          <color indexed="64"/>
        </left>
      </border>
    </dxf>
  </rfmt>
  <rfmt sheetId="10" sqref="BP1:BP17" start="0" length="0">
    <dxf>
      <border>
        <right style="thin">
          <color indexed="64"/>
        </right>
      </border>
    </dxf>
  </rfmt>
  <rfmt sheetId="10" sqref="BV1:BV17" start="0" length="0">
    <dxf>
      <border>
        <left style="thin">
          <color indexed="64"/>
        </left>
      </border>
    </dxf>
  </rfmt>
  <rfmt sheetId="10" sqref="BV1:BV17" start="0" length="0">
    <dxf>
      <border>
        <right style="thin">
          <color indexed="64"/>
        </right>
      </border>
    </dxf>
  </rfmt>
  <rfmt sheetId="10" sqref="CB1:CB17" start="0" length="0">
    <dxf>
      <border>
        <left style="thin">
          <color indexed="64"/>
        </left>
      </border>
    </dxf>
  </rfmt>
  <rcc rId="8747" sId="10">
    <nc r="H17">
      <f>SUM(C17:G17)</f>
    </nc>
  </rcc>
  <rcc rId="8748" sId="10">
    <nc r="N17">
      <f>SUM(I17:M17)</f>
    </nc>
  </rcc>
  <rcc rId="8749" sId="10">
    <nc r="U17" t="inlineStr">
      <is>
        <t>FERIADO</t>
      </is>
    </nc>
  </rcc>
  <rcc rId="8750" sId="10">
    <nc r="T17">
      <f>SUM(O17:S17)</f>
    </nc>
  </rcc>
  <rcc rId="8751" sId="10">
    <nc r="Z17">
      <f>SUM(U17:Y17)</f>
    </nc>
  </rcc>
  <rcc rId="8752" sId="10">
    <nc r="AF17">
      <f>SUM(AA17:AE17)</f>
    </nc>
  </rcc>
  <rcc rId="8753" sId="10">
    <nc r="AL17">
      <f>SUM(AG17:AK17)</f>
    </nc>
  </rcc>
  <rcc rId="8754" sId="10">
    <nc r="AR17">
      <f>SUM(AM17:AQ17)</f>
    </nc>
  </rcc>
  <rcc rId="8755" sId="10">
    <nc r="AX17">
      <f>SUM(AS17:AW17)</f>
    </nc>
  </rcc>
  <rcc rId="8756" sId="10">
    <nc r="BD17">
      <f>SUM(AY17:BC17)</f>
    </nc>
  </rcc>
  <rcc rId="8757" sId="10">
    <nc r="BJ17">
      <f>SUM(BE17:BI17)</f>
    </nc>
  </rcc>
  <rcc rId="8758" sId="10">
    <nc r="BP17">
      <f>SUM(BK17:BO17)</f>
    </nc>
  </rcc>
  <rcc rId="8759" sId="10">
    <nc r="BV17">
      <f>SUM(BQ17:BU17)</f>
    </nc>
  </rcc>
  <rcc rId="8760" sId="10">
    <nc r="CB17">
      <f>SUM(BW17:CA17)</f>
    </nc>
  </rcc>
</revisions>
</file>

<file path=xl/revisions/revisionLog5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8761" sId="4">
    <oc r="H16">
      <f>SUM(C16:G16)</f>
    </oc>
    <nc r="H16">
      <f>SUM(C16:G16)</f>
    </nc>
  </rcc>
  <rcc rId="8762" sId="4">
    <nc r="U17" t="inlineStr">
      <is>
        <t>FERIADO</t>
      </is>
    </nc>
  </rcc>
  <rfmt sheetId="5" sqref="A17" start="0" length="0">
    <dxf>
      <border>
        <left/>
      </border>
    </dxf>
  </rfmt>
  <rfmt sheetId="5" sqref="A17:CB17" start="0" length="0">
    <dxf>
      <border>
        <top/>
      </border>
    </dxf>
  </rfmt>
  <rfmt sheetId="5" sqref="A17:CB17" start="0" length="0">
    <dxf>
      <border>
        <bottom/>
      </border>
    </dxf>
  </rfmt>
  <rfmt sheetId="5" sqref="A17:CB17">
    <dxf>
      <border>
        <left/>
        <right/>
        <vertical/>
      </border>
    </dxf>
  </rfmt>
  <rfmt sheetId="5" sqref="A16" start="0" length="0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8763" sId="5">
    <nc r="B17">
      <v>16</v>
    </nc>
  </rcc>
  <rcc rId="8764" sId="5" odxf="1" dxf="1">
    <nc r="B18">
      <v>16</v>
    </nc>
    <odxf>
      <font>
        <b val="0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wrapText="0"/>
    </odxf>
    <ndxf>
      <font>
        <b/>
        <sz val="11"/>
        <color auto="1"/>
        <name val="Calibri"/>
        <family val="2"/>
        <scheme val="none"/>
      </font>
      <fill>
        <patternFill patternType="solid">
          <fgColor rgb="FFDDDDDD"/>
          <bgColor rgb="FFF2F2F2"/>
        </patternFill>
      </fill>
      <alignment wrapText="1"/>
    </ndxf>
  </rcc>
  <rcc rId="8765" sId="5" odxf="1" dxf="1">
    <nc r="B19">
      <v>16</v>
    </nc>
    <odxf>
      <font>
        <b val="0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wrapText="0"/>
    </odxf>
    <ndxf>
      <font>
        <b/>
        <sz val="11"/>
        <color auto="1"/>
        <name val="Calibri"/>
        <family val="2"/>
        <scheme val="none"/>
      </font>
      <fill>
        <patternFill patternType="solid">
          <fgColor rgb="FFDDDDDD"/>
          <bgColor rgb="FFF2F2F2"/>
        </patternFill>
      </fill>
      <alignment wrapText="1"/>
    </ndxf>
  </rcc>
  <rfmt sheetId="5" sqref="B1:B17" start="0" length="0">
    <dxf>
      <border>
        <left style="thin">
          <color indexed="64"/>
        </left>
      </border>
    </dxf>
  </rfmt>
  <rfmt sheetId="5" sqref="B1:B17" start="0" length="0">
    <dxf>
      <border>
        <right style="thin">
          <color indexed="64"/>
        </right>
      </border>
    </dxf>
  </rfmt>
  <rfmt sheetId="5" sqref="B17" start="0" length="0">
    <dxf>
      <border>
        <bottom style="thin">
          <color indexed="64"/>
        </bottom>
      </border>
    </dxf>
  </rfmt>
  <rfmt sheetId="5" sqref="A1:A17" start="0" length="0">
    <dxf>
      <border>
        <left style="thin">
          <color indexed="64"/>
        </left>
      </border>
    </dxf>
  </rfmt>
  <rfmt sheetId="5" sqref="CB1:CB17" start="0" length="0">
    <dxf>
      <border>
        <right style="thin">
          <color indexed="64"/>
        </right>
      </border>
    </dxf>
  </rfmt>
  <rfmt sheetId="5" sqref="A17:CB17" start="0" length="0">
    <dxf>
      <border>
        <bottom style="thin">
          <color indexed="64"/>
        </bottom>
      </border>
    </dxf>
  </rfmt>
  <rfmt sheetId="5" sqref="CB1:CB17" start="0" length="0">
    <dxf>
      <border>
        <left style="thin">
          <color indexed="64"/>
        </left>
      </border>
    </dxf>
  </rfmt>
  <rfmt sheetId="5" sqref="BV1:BV17" start="0" length="0">
    <dxf>
      <border>
        <left style="thin">
          <color indexed="64"/>
        </left>
      </border>
    </dxf>
  </rfmt>
  <rfmt sheetId="5" sqref="BV1:BV17" start="0" length="0">
    <dxf>
      <border>
        <right style="thin">
          <color indexed="64"/>
        </right>
      </border>
    </dxf>
  </rfmt>
  <rfmt sheetId="5" sqref="BP1:BP17" start="0" length="0">
    <dxf>
      <border>
        <left style="thin">
          <color indexed="64"/>
        </left>
      </border>
    </dxf>
  </rfmt>
  <rfmt sheetId="5" sqref="BP1:BP17" start="0" length="0">
    <dxf>
      <border>
        <right style="thin">
          <color indexed="64"/>
        </right>
      </border>
    </dxf>
  </rfmt>
  <rfmt sheetId="5" sqref="BJ1:BJ17" start="0" length="0">
    <dxf>
      <border>
        <left style="thin">
          <color indexed="64"/>
        </left>
      </border>
    </dxf>
  </rfmt>
  <rfmt sheetId="5" sqref="BJ1:BJ17" start="0" length="0">
    <dxf>
      <border>
        <right style="thin">
          <color indexed="64"/>
        </right>
      </border>
    </dxf>
  </rfmt>
  <rfmt sheetId="5" sqref="BD1:BD17" start="0" length="0">
    <dxf>
      <border>
        <left style="thin">
          <color indexed="64"/>
        </left>
      </border>
    </dxf>
  </rfmt>
  <rfmt sheetId="5" sqref="BD1:BD17" start="0" length="0">
    <dxf>
      <border>
        <right style="thin">
          <color indexed="64"/>
        </right>
      </border>
    </dxf>
  </rfmt>
  <rfmt sheetId="5" sqref="AX1:AX17" start="0" length="0">
    <dxf>
      <border>
        <left style="thin">
          <color indexed="64"/>
        </left>
      </border>
    </dxf>
  </rfmt>
  <rfmt sheetId="5" sqref="AX1:AX17" start="0" length="0">
    <dxf>
      <border>
        <right style="thin">
          <color indexed="64"/>
        </right>
      </border>
    </dxf>
  </rfmt>
  <rfmt sheetId="5" sqref="AR1:AR17" start="0" length="0">
    <dxf>
      <border>
        <left style="thin">
          <color indexed="64"/>
        </left>
      </border>
    </dxf>
  </rfmt>
  <rfmt sheetId="5" sqref="AR1:AR17" start="0" length="0">
    <dxf>
      <border>
        <right style="thin">
          <color indexed="64"/>
        </right>
      </border>
    </dxf>
  </rfmt>
  <rfmt sheetId="5" sqref="AL1:AL17" start="0" length="0">
    <dxf>
      <border>
        <left style="thin">
          <color indexed="64"/>
        </left>
      </border>
    </dxf>
  </rfmt>
  <rfmt sheetId="5" sqref="AL1:AL17" start="0" length="0">
    <dxf>
      <border>
        <right style="thin">
          <color indexed="64"/>
        </right>
      </border>
    </dxf>
  </rfmt>
  <rfmt sheetId="5" sqref="Z1:Z17" start="0" length="0">
    <dxf>
      <border>
        <left style="thin">
          <color indexed="64"/>
        </left>
      </border>
    </dxf>
  </rfmt>
  <rfmt sheetId="5" sqref="Z1:Z17" start="0" length="0">
    <dxf>
      <border>
        <right style="thin">
          <color indexed="64"/>
        </right>
      </border>
    </dxf>
  </rfmt>
  <rfmt sheetId="5" sqref="T1:T17" start="0" length="0">
    <dxf>
      <border>
        <left style="thin">
          <color indexed="64"/>
        </left>
      </border>
    </dxf>
  </rfmt>
  <rfmt sheetId="5" sqref="T1:T17" start="0" length="0">
    <dxf>
      <border>
        <right style="thin">
          <color indexed="64"/>
        </right>
      </border>
    </dxf>
  </rfmt>
  <rfmt sheetId="5" sqref="N1:N17" start="0" length="0">
    <dxf>
      <border>
        <left style="thin">
          <color indexed="64"/>
        </left>
      </border>
    </dxf>
  </rfmt>
  <rfmt sheetId="5" sqref="N1:N17" start="0" length="0">
    <dxf>
      <border>
        <right style="thin">
          <color indexed="64"/>
        </right>
      </border>
    </dxf>
  </rfmt>
  <rfmt sheetId="5" sqref="H1:H17" start="0" length="0">
    <dxf>
      <border>
        <left style="thin">
          <color indexed="64"/>
        </left>
      </border>
    </dxf>
  </rfmt>
  <rfmt sheetId="5" sqref="H1:H17" start="0" length="0">
    <dxf>
      <border>
        <right style="thin">
          <color indexed="64"/>
        </right>
      </border>
    </dxf>
  </rfmt>
  <rcc rId="8766" sId="5">
    <nc r="H17">
      <f>SUM(C17:G17)</f>
    </nc>
  </rcc>
  <rcc rId="8767" sId="5">
    <nc r="N17">
      <f>SUM(I17:M17)</f>
    </nc>
  </rcc>
  <rcc rId="8768" sId="5">
    <nc r="T17">
      <f>SUM(O17:S17)</f>
    </nc>
  </rcc>
  <rcc rId="8769" sId="5">
    <nc r="Z17">
      <f>SUM(U17:Y17)</f>
    </nc>
  </rcc>
  <rcc rId="8770" sId="5" odxf="1" dxf="1">
    <nc r="AF17">
      <f>SUM(AA17:AE17)</f>
    </nc>
    <odxf>
      <border outline="0">
        <left/>
        <right/>
      </border>
    </odxf>
    <ndxf>
      <border outline="0">
        <left style="thin">
          <color indexed="64"/>
        </left>
        <right style="thin">
          <color indexed="64"/>
        </right>
      </border>
    </ndxf>
  </rcc>
  <rcc rId="8771" sId="5">
    <nc r="AL17">
      <f>SUM(AG17:AK17)</f>
    </nc>
  </rcc>
  <rcc rId="8772" sId="5">
    <nc r="AR17">
      <f>SUM(AM17:AQ17)</f>
    </nc>
  </rcc>
  <rcc rId="8773" sId="5">
    <nc r="AX17">
      <f>SUM(AS17:AW17)</f>
    </nc>
  </rcc>
  <rcc rId="8774" sId="5">
    <nc r="BD17">
      <f>SUM(AY17:BC17)</f>
    </nc>
  </rcc>
  <rcc rId="8775" sId="5">
    <nc r="BJ17">
      <f>SUM(BE17:BI17)</f>
    </nc>
  </rcc>
  <rcc rId="8776" sId="5">
    <nc r="BP17">
      <f>SUM(BK17:BO17)</f>
    </nc>
  </rcc>
  <rcc rId="8777" sId="5">
    <nc r="BV17">
      <f>SUM(BQ17:BU17)</f>
    </nc>
  </rcc>
  <rcc rId="8778" sId="5">
    <nc r="CB17">
      <f>SUM(BW17:CA17)</f>
    </nc>
  </rcc>
  <rfmt sheetId="6" sqref="A17" start="0" length="0">
    <dxf>
      <border>
        <left/>
      </border>
    </dxf>
  </rfmt>
  <rfmt sheetId="6" sqref="A17:CB17" start="0" length="0">
    <dxf>
      <border>
        <top/>
      </border>
    </dxf>
  </rfmt>
  <rfmt sheetId="6" sqref="A17:CB17" start="0" length="0">
    <dxf>
      <border>
        <bottom/>
      </border>
    </dxf>
  </rfmt>
  <rfmt sheetId="6" sqref="A17:CB17">
    <dxf>
      <border>
        <left/>
        <right/>
        <vertical/>
      </border>
    </dxf>
  </rfmt>
  <rfmt sheetId="6" sqref="A16" start="0" length="0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A1:A17" start="0" length="0">
    <dxf>
      <border>
        <left style="thin">
          <color indexed="64"/>
        </left>
      </border>
    </dxf>
  </rfmt>
  <rfmt sheetId="6" sqref="CB1:CB17" start="0" length="0">
    <dxf>
      <border>
        <right style="thin">
          <color indexed="64"/>
        </right>
      </border>
    </dxf>
  </rfmt>
  <rfmt sheetId="6" sqref="A17:CB17" start="0" length="0">
    <dxf>
      <border>
        <bottom style="thin">
          <color indexed="64"/>
        </bottom>
      </border>
    </dxf>
  </rfmt>
  <rcc rId="8779" sId="6">
    <nc r="B17">
      <v>16</v>
    </nc>
  </rcc>
  <rfmt sheetId="6" sqref="B1:B17" start="0" length="0">
    <dxf>
      <border>
        <left style="thin">
          <color indexed="64"/>
        </left>
      </border>
    </dxf>
  </rfmt>
  <rfmt sheetId="6" sqref="B1:B17" start="0" length="0">
    <dxf>
      <border>
        <right style="thin">
          <color indexed="64"/>
        </right>
      </border>
    </dxf>
  </rfmt>
  <rfmt sheetId="6" sqref="H1:H17" start="0" length="0">
    <dxf>
      <border>
        <left style="thin">
          <color indexed="64"/>
        </left>
      </border>
    </dxf>
  </rfmt>
  <rfmt sheetId="6" sqref="H1:H17" start="0" length="0">
    <dxf>
      <border>
        <right style="thin">
          <color indexed="64"/>
        </right>
      </border>
    </dxf>
  </rfmt>
  <rfmt sheetId="6" sqref="N1:N17" start="0" length="0">
    <dxf>
      <border>
        <left style="thin">
          <color indexed="64"/>
        </left>
      </border>
    </dxf>
  </rfmt>
  <rfmt sheetId="6" sqref="N1:N17" start="0" length="0">
    <dxf>
      <border>
        <right style="thin">
          <color indexed="64"/>
        </right>
      </border>
    </dxf>
  </rfmt>
  <rfmt sheetId="6" sqref="T1:T17" start="0" length="0">
    <dxf>
      <border>
        <left style="thin">
          <color indexed="64"/>
        </left>
      </border>
    </dxf>
  </rfmt>
  <rfmt sheetId="6" sqref="T1:T17" start="0" length="0">
    <dxf>
      <border>
        <right style="thin">
          <color indexed="64"/>
        </right>
      </border>
    </dxf>
  </rfmt>
  <rfmt sheetId="6" sqref="Z1:Z17" start="0" length="0">
    <dxf>
      <border>
        <left style="thin">
          <color indexed="64"/>
        </left>
      </border>
    </dxf>
  </rfmt>
  <rfmt sheetId="6" sqref="Z1:Z17" start="0" length="0">
    <dxf>
      <border>
        <right style="thin">
          <color indexed="64"/>
        </right>
      </border>
    </dxf>
  </rfmt>
  <rfmt sheetId="6" sqref="AF1:AF17" start="0" length="0">
    <dxf>
      <border>
        <left style="thin">
          <color indexed="64"/>
        </left>
      </border>
    </dxf>
  </rfmt>
  <rfmt sheetId="6" sqref="AF1:AF17" start="0" length="0">
    <dxf>
      <border>
        <right style="thin">
          <color indexed="64"/>
        </right>
      </border>
    </dxf>
  </rfmt>
  <rfmt sheetId="6" sqref="AL1:AL17" start="0" length="0">
    <dxf>
      <border>
        <left style="thin">
          <color indexed="64"/>
        </left>
      </border>
    </dxf>
  </rfmt>
  <rfmt sheetId="6" sqref="AL1:AL17" start="0" length="0">
    <dxf>
      <border>
        <right style="thin">
          <color indexed="64"/>
        </right>
      </border>
    </dxf>
  </rfmt>
  <rfmt sheetId="6" sqref="AR1:AR17" start="0" length="0">
    <dxf>
      <border>
        <left style="thin">
          <color indexed="64"/>
        </left>
      </border>
    </dxf>
  </rfmt>
  <rfmt sheetId="6" sqref="AR1:AR17" start="0" length="0">
    <dxf>
      <border>
        <right style="thin">
          <color indexed="64"/>
        </right>
      </border>
    </dxf>
  </rfmt>
  <rfmt sheetId="6" sqref="AX1:AX17" start="0" length="0">
    <dxf>
      <border>
        <left style="thin">
          <color indexed="64"/>
        </left>
      </border>
    </dxf>
  </rfmt>
  <rfmt sheetId="6" sqref="AX1:AX17" start="0" length="0">
    <dxf>
      <border>
        <right style="thin">
          <color indexed="64"/>
        </right>
      </border>
    </dxf>
  </rfmt>
  <rfmt sheetId="6" sqref="BD1:BD17" start="0" length="0">
    <dxf>
      <border>
        <left style="thin">
          <color indexed="64"/>
        </left>
      </border>
    </dxf>
  </rfmt>
  <rfmt sheetId="6" sqref="BD1:BD17" start="0" length="0">
    <dxf>
      <border>
        <right style="thin">
          <color indexed="64"/>
        </right>
      </border>
    </dxf>
  </rfmt>
  <rfmt sheetId="6" sqref="BJ1:BJ17" start="0" length="0">
    <dxf>
      <border>
        <left style="thin">
          <color indexed="64"/>
        </left>
      </border>
    </dxf>
  </rfmt>
  <rfmt sheetId="6" sqref="BJ1:BJ17" start="0" length="0">
    <dxf>
      <border>
        <right style="thin">
          <color indexed="64"/>
        </right>
      </border>
    </dxf>
  </rfmt>
  <rfmt sheetId="6" sqref="BP1:BP17" start="0" length="0">
    <dxf>
      <border>
        <left style="thin">
          <color indexed="64"/>
        </left>
      </border>
    </dxf>
  </rfmt>
  <rfmt sheetId="6" sqref="BP1:BP17" start="0" length="0">
    <dxf>
      <border>
        <right style="thin">
          <color indexed="64"/>
        </right>
      </border>
    </dxf>
  </rfmt>
  <rfmt sheetId="6" sqref="BV1:BV17" start="0" length="0">
    <dxf>
      <border>
        <left style="thin">
          <color indexed="64"/>
        </left>
      </border>
    </dxf>
  </rfmt>
  <rfmt sheetId="6" sqref="BV1:BV17" start="0" length="0">
    <dxf>
      <border>
        <right style="thin">
          <color indexed="64"/>
        </right>
      </border>
    </dxf>
  </rfmt>
  <rfmt sheetId="6" sqref="CB1:CB17" start="0" length="0">
    <dxf>
      <border>
        <left style="thin">
          <color indexed="64"/>
        </left>
      </border>
    </dxf>
  </rfmt>
  <rcc rId="8780" sId="6">
    <nc r="H17">
      <f>SUM(C17:G17)</f>
    </nc>
  </rcc>
  <rcc rId="8781" sId="6" odxf="1" dxf="1">
    <nc r="N17">
      <f>SUM(I17:M17)</f>
    </nc>
    <odxf>
      <fill>
        <patternFill patternType="none">
          <bgColor indexed="65"/>
        </patternFill>
      </fill>
    </odxf>
    <ndxf>
      <fill>
        <patternFill patternType="solid">
          <bgColor theme="0" tint="-0.14999847407452621"/>
        </patternFill>
      </fill>
    </ndxf>
  </rcc>
  <rcc rId="8782" sId="6">
    <nc r="T17">
      <f>SUM(O17:S17)</f>
    </nc>
  </rcc>
  <rcc rId="8783" sId="6">
    <nc r="Z17">
      <f>SUM(U17:Y17)</f>
    </nc>
  </rcc>
  <rcc rId="8784" sId="6">
    <nc r="AF17">
      <f>SUM(AA17:AE17)</f>
    </nc>
  </rcc>
  <rcc rId="8785" sId="6">
    <nc r="AL17">
      <f>SUM(AG17:AK17)</f>
    </nc>
  </rcc>
  <rcc rId="8786" sId="6">
    <nc r="AR17">
      <f>SUM(AM17:AQ17)</f>
    </nc>
  </rcc>
  <rcc rId="8787" sId="6">
    <nc r="AX17">
      <f>SUM(AS17:AW17)</f>
    </nc>
  </rcc>
  <rcc rId="8788" sId="6">
    <nc r="BD17">
      <f>SUM(AY17:BC17)</f>
    </nc>
  </rcc>
  <rcc rId="8789" sId="6">
    <nc r="BJ17">
      <f>SUM(BE17:BI17)</f>
    </nc>
  </rcc>
  <rcc rId="8790" sId="6">
    <nc r="BP17">
      <f>SUM(BK17:BO17)</f>
    </nc>
  </rcc>
  <rcc rId="8791" sId="6">
    <nc r="BV17">
      <f>SUM(BQ17:BU17)</f>
    </nc>
  </rcc>
  <rcc rId="8792" sId="6">
    <nc r="CB17">
      <f>SUM(BW17:CA17)</f>
    </nc>
  </rcc>
  <rcc rId="8793" sId="6" odxf="1" dxf="1">
    <oc r="N16">
      <v>150</v>
    </oc>
    <nc r="N16">
      <f>SUM(I16:M16)</f>
    </nc>
    <odxf>
      <fill>
        <patternFill patternType="none">
          <bgColor indexed="65"/>
        </patternFill>
      </fill>
    </odxf>
    <ndxf>
      <fill>
        <patternFill patternType="solid">
          <bgColor theme="0" tint="-0.14999847407452621"/>
        </patternFill>
      </fill>
    </ndxf>
  </rcc>
  <rfmt sheetId="7" sqref="A17" start="0" length="0">
    <dxf>
      <border>
        <left/>
      </border>
    </dxf>
  </rfmt>
  <rfmt sheetId="7" sqref="A17:CB17" start="0" length="0">
    <dxf>
      <border>
        <top/>
      </border>
    </dxf>
  </rfmt>
  <rfmt sheetId="7" sqref="A17:CB17" start="0" length="0">
    <dxf>
      <border>
        <bottom/>
      </border>
    </dxf>
  </rfmt>
  <rfmt sheetId="7" sqref="A17:CB17">
    <dxf>
      <border>
        <left/>
        <right/>
        <vertical/>
      </border>
    </dxf>
  </rfmt>
  <rfmt sheetId="7" sqref="A1:A17" start="0" length="0">
    <dxf>
      <border>
        <left style="thin">
          <color indexed="64"/>
        </left>
      </border>
    </dxf>
  </rfmt>
  <rfmt sheetId="7" sqref="CB1:CB17" start="0" length="0">
    <dxf>
      <border>
        <right style="thin">
          <color indexed="64"/>
        </right>
      </border>
    </dxf>
  </rfmt>
  <rfmt sheetId="7" sqref="A17:CB17" start="0" length="0">
    <dxf>
      <border>
        <bottom style="thin">
          <color indexed="64"/>
        </bottom>
      </border>
    </dxf>
  </rfmt>
  <rfmt sheetId="7" sqref="A16" start="0" length="0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B1:B17" start="0" length="0">
    <dxf>
      <border>
        <left style="thin">
          <color indexed="64"/>
        </left>
      </border>
    </dxf>
  </rfmt>
  <rfmt sheetId="7" sqref="B1:B17" start="0" length="0">
    <dxf>
      <border>
        <right style="thin">
          <color indexed="64"/>
        </right>
      </border>
    </dxf>
  </rfmt>
  <rcc rId="8794" sId="7">
    <nc r="B17">
      <v>16</v>
    </nc>
  </rcc>
  <rfmt sheetId="7" sqref="H1:H17" start="0" length="0">
    <dxf>
      <border>
        <left style="thin">
          <color indexed="64"/>
        </left>
      </border>
    </dxf>
  </rfmt>
  <rfmt sheetId="7" sqref="H1:H17" start="0" length="0">
    <dxf>
      <border>
        <right style="thin">
          <color indexed="64"/>
        </right>
      </border>
    </dxf>
  </rfmt>
  <rfmt sheetId="7" sqref="N1:N17" start="0" length="0">
    <dxf>
      <border>
        <left style="thin">
          <color indexed="64"/>
        </left>
      </border>
    </dxf>
  </rfmt>
  <rfmt sheetId="7" sqref="N1:N17" start="0" length="0">
    <dxf>
      <border>
        <right style="thin">
          <color indexed="64"/>
        </right>
      </border>
    </dxf>
  </rfmt>
  <rfmt sheetId="7" sqref="T1:T17" start="0" length="0">
    <dxf>
      <border>
        <left style="thin">
          <color indexed="64"/>
        </left>
      </border>
    </dxf>
  </rfmt>
  <rfmt sheetId="7" sqref="T1:T17" start="0" length="0">
    <dxf>
      <border>
        <right style="thin">
          <color indexed="64"/>
        </right>
      </border>
    </dxf>
  </rfmt>
  <rcc rId="8795" sId="7">
    <nc r="U17" t="inlineStr">
      <is>
        <t>FERIADO</t>
      </is>
    </nc>
  </rcc>
  <rfmt sheetId="7" sqref="Z1:Z17" start="0" length="0">
    <dxf>
      <border>
        <left style="thin">
          <color indexed="64"/>
        </left>
      </border>
    </dxf>
  </rfmt>
  <rfmt sheetId="7" sqref="Z1:Z17" start="0" length="0">
    <dxf>
      <border>
        <right style="thin">
          <color indexed="64"/>
        </right>
      </border>
    </dxf>
  </rfmt>
  <rfmt sheetId="7" sqref="AF1:AF17" start="0" length="0">
    <dxf>
      <border>
        <left style="thin">
          <color indexed="64"/>
        </left>
      </border>
    </dxf>
  </rfmt>
  <rfmt sheetId="7" sqref="AF1:AF17" start="0" length="0">
    <dxf>
      <border>
        <right style="thin">
          <color indexed="64"/>
        </right>
      </border>
    </dxf>
  </rfmt>
  <rfmt sheetId="7" sqref="AL1:AL17" start="0" length="0">
    <dxf>
      <border>
        <left style="thin">
          <color indexed="64"/>
        </left>
      </border>
    </dxf>
  </rfmt>
  <rfmt sheetId="7" sqref="AL1:AL17" start="0" length="0">
    <dxf>
      <border>
        <right style="thin">
          <color indexed="64"/>
        </right>
      </border>
    </dxf>
  </rfmt>
  <rfmt sheetId="7" sqref="AR1:AR17" start="0" length="0">
    <dxf>
      <border>
        <left style="thin">
          <color indexed="64"/>
        </left>
      </border>
    </dxf>
  </rfmt>
  <rfmt sheetId="7" sqref="AR1:AR17" start="0" length="0">
    <dxf>
      <border>
        <right style="thin">
          <color indexed="64"/>
        </right>
      </border>
    </dxf>
  </rfmt>
  <rfmt sheetId="7" sqref="AX1:AX17" start="0" length="0">
    <dxf>
      <border>
        <left style="thin">
          <color indexed="64"/>
        </left>
      </border>
    </dxf>
  </rfmt>
  <rfmt sheetId="7" sqref="AX1:AX17" start="0" length="0">
    <dxf>
      <border>
        <right style="thin">
          <color indexed="64"/>
        </right>
      </border>
    </dxf>
  </rfmt>
  <rfmt sheetId="7" sqref="BD1:BD17" start="0" length="0">
    <dxf>
      <border>
        <left style="thin">
          <color indexed="64"/>
        </left>
      </border>
    </dxf>
  </rfmt>
  <rfmt sheetId="7" sqref="BD1:BD17" start="0" length="0">
    <dxf>
      <border>
        <right style="thin">
          <color indexed="64"/>
        </right>
      </border>
    </dxf>
  </rfmt>
  <rfmt sheetId="7" sqref="BJ1:BJ17" start="0" length="0">
    <dxf>
      <border>
        <left style="thin">
          <color indexed="64"/>
        </left>
      </border>
    </dxf>
  </rfmt>
  <rfmt sheetId="7" sqref="BJ1:BJ17" start="0" length="0">
    <dxf>
      <border>
        <right style="thin">
          <color indexed="64"/>
        </right>
      </border>
    </dxf>
  </rfmt>
  <rfmt sheetId="7" sqref="BP1:BP17" start="0" length="0">
    <dxf>
      <border>
        <left style="thin">
          <color indexed="64"/>
        </left>
      </border>
    </dxf>
  </rfmt>
  <rfmt sheetId="7" sqref="BP1:BP17" start="0" length="0">
    <dxf>
      <border>
        <right style="thin">
          <color indexed="64"/>
        </right>
      </border>
    </dxf>
  </rfmt>
  <rfmt sheetId="7" sqref="BV1:BV17" start="0" length="0">
    <dxf>
      <border>
        <left style="thin">
          <color indexed="64"/>
        </left>
      </border>
    </dxf>
  </rfmt>
  <rfmt sheetId="7" sqref="BV1:BV17" start="0" length="0">
    <dxf>
      <border>
        <right style="thin">
          <color indexed="64"/>
        </right>
      </border>
    </dxf>
  </rfmt>
  <rfmt sheetId="7" sqref="CB1:CB17" start="0" length="0">
    <dxf>
      <border>
        <left style="thin">
          <color indexed="64"/>
        </left>
      </border>
    </dxf>
  </rfmt>
  <rcc rId="8796" sId="7" odxf="1" dxf="1">
    <nc r="H17">
      <f>SUM(C17:G17)</f>
    </nc>
    <odxf>
      <border outline="0">
        <bottom style="thin">
          <color indexed="64"/>
        </bottom>
      </border>
    </odxf>
    <ndxf>
      <border outline="0">
        <bottom/>
      </border>
    </ndxf>
  </rcc>
  <rcc rId="8797" sId="7" odxf="1" dxf="1">
    <nc r="N17">
      <f>SUM(I17:M17)</f>
    </nc>
    <odxf>
      <border outline="0">
        <bottom style="thin">
          <color indexed="64"/>
        </bottom>
      </border>
    </odxf>
    <ndxf>
      <border outline="0">
        <bottom/>
      </border>
    </ndxf>
  </rcc>
  <rcc rId="8798" sId="7" odxf="1" dxf="1">
    <nc r="T17">
      <f>SUM(O17:S17)</f>
    </nc>
    <odxf>
      <border outline="0">
        <bottom style="thin">
          <color indexed="64"/>
        </bottom>
      </border>
    </odxf>
    <ndxf>
      <border outline="0">
        <bottom/>
      </border>
    </ndxf>
  </rcc>
  <rcc rId="8799" sId="7" odxf="1" dxf="1">
    <nc r="Z17">
      <f>SUM(U17:Y17)</f>
    </nc>
    <ndxf>
      <border outline="0">
        <bottom/>
      </border>
    </ndxf>
  </rcc>
  <rcc rId="8800" sId="7" odxf="1" dxf="1">
    <nc r="AF17">
      <f>SUM(AA17:AE17)</f>
    </nc>
    <odxf>
      <border outline="0">
        <bottom style="thin">
          <color indexed="64"/>
        </bottom>
      </border>
    </odxf>
    <ndxf>
      <border outline="0">
        <bottom/>
      </border>
    </ndxf>
  </rcc>
  <rcc rId="8801" sId="7" odxf="1" dxf="1">
    <nc r="AL17">
      <f>SUM(AG17:AK17)</f>
    </nc>
    <odxf>
      <border outline="0">
        <bottom style="thin">
          <color indexed="64"/>
        </bottom>
      </border>
    </odxf>
    <ndxf>
      <border outline="0">
        <bottom/>
      </border>
    </ndxf>
  </rcc>
  <rcc rId="8802" sId="7" odxf="1" dxf="1">
    <nc r="AR17">
      <f>SUM(AM17:AQ17)</f>
    </nc>
    <odxf>
      <border outline="0">
        <bottom style="thin">
          <color indexed="64"/>
        </bottom>
      </border>
    </odxf>
    <ndxf>
      <border outline="0">
        <bottom/>
      </border>
    </ndxf>
  </rcc>
  <rcc rId="8803" sId="7" odxf="1" dxf="1">
    <nc r="AX17">
      <f>SUM(AS17:AW17)</f>
    </nc>
    <odxf>
      <border outline="0">
        <bottom style="thin">
          <color indexed="64"/>
        </bottom>
      </border>
    </odxf>
    <ndxf>
      <border outline="0">
        <bottom/>
      </border>
    </ndxf>
  </rcc>
  <rcc rId="8804" sId="7" odxf="1" dxf="1">
    <nc r="BD17">
      <f>SUM(AY17:BC17)</f>
    </nc>
    <odxf>
      <border outline="0">
        <bottom style="thin">
          <color indexed="64"/>
        </bottom>
      </border>
    </odxf>
    <ndxf>
      <border outline="0">
        <bottom/>
      </border>
    </ndxf>
  </rcc>
  <rcc rId="8805" sId="7" odxf="1" dxf="1">
    <nc r="BJ17">
      <f>SUM(BE17:BI17)</f>
    </nc>
    <odxf>
      <border outline="0">
        <bottom style="thin">
          <color indexed="64"/>
        </bottom>
      </border>
    </odxf>
    <ndxf>
      <border outline="0">
        <bottom/>
      </border>
    </ndxf>
  </rcc>
  <rcc rId="8806" sId="7" odxf="1" dxf="1">
    <nc r="BP17">
      <f>SUM(BK17:BO17)</f>
    </nc>
    <odxf>
      <border outline="0">
        <bottom style="thin">
          <color indexed="64"/>
        </bottom>
      </border>
    </odxf>
    <ndxf>
      <border outline="0">
        <bottom/>
      </border>
    </ndxf>
  </rcc>
  <rcc rId="8807" sId="7" odxf="1" dxf="1">
    <nc r="BV17">
      <f>SUM(BQ17:BU17)</f>
    </nc>
    <odxf>
      <border outline="0">
        <bottom style="thin">
          <color indexed="64"/>
        </bottom>
      </border>
    </odxf>
    <ndxf>
      <border outline="0">
        <bottom/>
      </border>
    </ndxf>
  </rcc>
  <rcc rId="8808" sId="7" odxf="1" dxf="1">
    <nc r="CB17">
      <f>SUM(BW17:CA17)</f>
    </nc>
    <odxf>
      <border outline="0">
        <bottom style="thin">
          <color indexed="64"/>
        </bottom>
      </border>
    </odxf>
    <ndxf>
      <border outline="0">
        <bottom/>
      </border>
    </ndxf>
  </rcc>
  <rfmt sheetId="7" sqref="A17:CB17" start="0" length="0">
    <dxf>
      <border>
        <bottom style="thin">
          <color indexed="64"/>
        </bottom>
      </border>
    </dxf>
  </rfmt>
</revisions>
</file>

<file path=xl/revisions/revisionLog5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8" sqref="A17" start="0" length="0">
    <dxf>
      <border>
        <left/>
      </border>
    </dxf>
  </rfmt>
  <rfmt sheetId="8" sqref="A17:CB17" start="0" length="0">
    <dxf>
      <border>
        <top/>
      </border>
    </dxf>
  </rfmt>
  <rfmt sheetId="8" sqref="A17:CB17" start="0" length="0">
    <dxf>
      <border>
        <bottom/>
      </border>
    </dxf>
  </rfmt>
  <rfmt sheetId="8" sqref="A17:CB17">
    <dxf>
      <border>
        <left/>
        <right/>
        <vertical/>
      </border>
    </dxf>
  </rfmt>
  <rfmt sheetId="8" sqref="A1:A17" start="0" length="0">
    <dxf>
      <border>
        <left style="thin">
          <color indexed="64"/>
        </left>
      </border>
    </dxf>
  </rfmt>
  <rfmt sheetId="8" sqref="CB1:CB17" start="0" length="0">
    <dxf>
      <border>
        <right style="thin">
          <color indexed="64"/>
        </right>
      </border>
    </dxf>
  </rfmt>
  <rfmt sheetId="8" sqref="A17:CB17" start="0" length="0">
    <dxf>
      <border>
        <bottom style="thin">
          <color indexed="64"/>
        </bottom>
      </border>
    </dxf>
  </rfmt>
  <rfmt sheetId="8" sqref="B1:B17" start="0" length="0">
    <dxf>
      <border>
        <left style="thin">
          <color indexed="64"/>
        </left>
      </border>
    </dxf>
  </rfmt>
  <rfmt sheetId="8" sqref="B1:B17" start="0" length="0">
    <dxf>
      <border>
        <right style="thin">
          <color indexed="64"/>
        </right>
      </border>
    </dxf>
  </rfmt>
  <rfmt sheetId="8" sqref="A16" start="0" length="0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H1:H17" start="0" length="0">
    <dxf>
      <border>
        <left style="thin">
          <color indexed="64"/>
        </left>
      </border>
    </dxf>
  </rfmt>
  <rfmt sheetId="8" sqref="H1:H17" start="0" length="0">
    <dxf>
      <border>
        <right style="thin">
          <color indexed="64"/>
        </right>
      </border>
    </dxf>
  </rfmt>
  <rfmt sheetId="8" sqref="N1:N17" start="0" length="0">
    <dxf>
      <border>
        <left style="thin">
          <color indexed="64"/>
        </left>
      </border>
    </dxf>
  </rfmt>
  <rfmt sheetId="8" sqref="N1:N17" start="0" length="0">
    <dxf>
      <border>
        <right style="thin">
          <color indexed="64"/>
        </right>
      </border>
    </dxf>
  </rfmt>
  <rfmt sheetId="8" sqref="T1:T17" start="0" length="0">
    <dxf>
      <border>
        <left style="thin">
          <color indexed="64"/>
        </left>
      </border>
    </dxf>
  </rfmt>
  <rfmt sheetId="8" sqref="T1:T17" start="0" length="0">
    <dxf>
      <border>
        <right style="thin">
          <color indexed="64"/>
        </right>
      </border>
    </dxf>
  </rfmt>
  <rfmt sheetId="8" sqref="Z1:Z17" start="0" length="0">
    <dxf>
      <border>
        <left style="thin">
          <color indexed="64"/>
        </left>
      </border>
    </dxf>
  </rfmt>
  <rfmt sheetId="8" sqref="Z1:Z17" start="0" length="0">
    <dxf>
      <border>
        <right style="thin">
          <color indexed="64"/>
        </right>
      </border>
    </dxf>
  </rfmt>
  <rfmt sheetId="8" sqref="AF1:AF17" start="0" length="0">
    <dxf>
      <border>
        <left style="thin">
          <color indexed="64"/>
        </left>
      </border>
    </dxf>
  </rfmt>
  <rfmt sheetId="8" sqref="AF1:AF17" start="0" length="0">
    <dxf>
      <border>
        <right style="thin">
          <color indexed="64"/>
        </right>
      </border>
    </dxf>
  </rfmt>
  <rfmt sheetId="8" sqref="AL1:AL17" start="0" length="0">
    <dxf>
      <border>
        <left style="thin">
          <color indexed="64"/>
        </left>
      </border>
    </dxf>
  </rfmt>
  <rfmt sheetId="8" sqref="AL1:AL17" start="0" length="0">
    <dxf>
      <border>
        <right style="thin">
          <color indexed="64"/>
        </right>
      </border>
    </dxf>
  </rfmt>
  <rfmt sheetId="8" sqref="AR1:AR17" start="0" length="0">
    <dxf>
      <border>
        <left style="thin">
          <color indexed="64"/>
        </left>
      </border>
    </dxf>
  </rfmt>
  <rfmt sheetId="8" sqref="AR1:AR17" start="0" length="0">
    <dxf>
      <border>
        <right style="thin">
          <color indexed="64"/>
        </right>
      </border>
    </dxf>
  </rfmt>
  <rfmt sheetId="8" sqref="AX1:AX17" start="0" length="0">
    <dxf>
      <border>
        <left style="thin">
          <color indexed="64"/>
        </left>
      </border>
    </dxf>
  </rfmt>
  <rfmt sheetId="8" sqref="AX1:AX17" start="0" length="0">
    <dxf>
      <border>
        <right style="thin">
          <color indexed="64"/>
        </right>
      </border>
    </dxf>
  </rfmt>
  <rfmt sheetId="8" sqref="BD1:BD17" start="0" length="0">
    <dxf>
      <border>
        <left style="thin">
          <color indexed="64"/>
        </left>
      </border>
    </dxf>
  </rfmt>
  <rfmt sheetId="8" sqref="BD1:BD17" start="0" length="0">
    <dxf>
      <border>
        <right style="thin">
          <color indexed="64"/>
        </right>
      </border>
    </dxf>
  </rfmt>
  <rfmt sheetId="8" sqref="BJ1:BJ17" start="0" length="0">
    <dxf>
      <border>
        <left style="thin">
          <color indexed="64"/>
        </left>
      </border>
    </dxf>
  </rfmt>
  <rfmt sheetId="8" sqref="BJ1:BJ17" start="0" length="0">
    <dxf>
      <border>
        <right style="thin">
          <color indexed="64"/>
        </right>
      </border>
    </dxf>
  </rfmt>
  <rfmt sheetId="8" sqref="BP1:BP17" start="0" length="0">
    <dxf>
      <border>
        <left style="thin">
          <color indexed="64"/>
        </left>
      </border>
    </dxf>
  </rfmt>
  <rfmt sheetId="8" sqref="BP1:BP17" start="0" length="0">
    <dxf>
      <border>
        <right style="thin">
          <color indexed="64"/>
        </right>
      </border>
    </dxf>
  </rfmt>
  <rfmt sheetId="8" sqref="BV1:BV17" start="0" length="0">
    <dxf>
      <border>
        <left style="thin">
          <color indexed="64"/>
        </left>
      </border>
    </dxf>
  </rfmt>
  <rfmt sheetId="8" sqref="BV1:BV17" start="0" length="0">
    <dxf>
      <border>
        <right style="thin">
          <color indexed="64"/>
        </right>
      </border>
    </dxf>
  </rfmt>
  <rfmt sheetId="8" sqref="CB1:CB17" start="0" length="0">
    <dxf>
      <border>
        <left style="thin">
          <color indexed="64"/>
        </left>
      </border>
    </dxf>
  </rfmt>
  <rfmt sheetId="8" sqref="CB1:CB17" start="0" length="0">
    <dxf>
      <border>
        <right style="thin">
          <color indexed="64"/>
        </right>
      </border>
    </dxf>
  </rfmt>
  <rcc rId="8809" sId="8">
    <oc r="N15">
      <f>SUM(I15:M15)</f>
    </oc>
    <nc r="N15">
      <f>SUM(I15:M15)</f>
    </nc>
  </rcc>
  <rcc rId="8810" sId="8" odxf="1" dxf="1">
    <oc r="N16">
      <v>150</v>
    </oc>
    <nc r="N16">
      <f>SUM(I16:M16)</f>
    </nc>
    <odxf>
      <numFmt numFmtId="3" formatCode="#,##0"/>
      <fill>
        <patternFill patternType="none">
          <bgColor indexed="65"/>
        </patternFill>
      </fill>
    </odxf>
    <ndxf>
      <numFmt numFmtId="0" formatCode="General"/>
      <fill>
        <patternFill patternType="solid">
          <bgColor theme="0" tint="-0.14999847407452621"/>
        </patternFill>
      </fill>
    </ndxf>
  </rcc>
  <rfmt sheetId="8" sqref="N17" start="0" length="0">
    <dxf>
      <numFmt numFmtId="0" formatCode="General"/>
      <fill>
        <patternFill patternType="solid">
          <bgColor theme="0" tint="-0.14999847407452621"/>
        </patternFill>
      </fill>
      <border outline="0">
        <bottom/>
      </border>
    </dxf>
  </rfmt>
  <rfmt sheetId="8" sqref="N17" start="0" length="0">
    <dxf>
      <border>
        <bottom style="thin">
          <color indexed="64"/>
        </bottom>
      </border>
    </dxf>
  </rfmt>
  <rcc rId="8811" sId="8" odxf="1" dxf="1">
    <nc r="H17">
      <f>SUM(C17:G17)</f>
    </nc>
    <odxf>
      <border outline="0">
        <bottom style="thin">
          <color indexed="64"/>
        </bottom>
      </border>
    </odxf>
    <ndxf>
      <border outline="0">
        <bottom/>
      </border>
    </ndxf>
  </rcc>
  <rcc rId="8812" sId="8">
    <nc r="B17">
      <v>16</v>
    </nc>
  </rcc>
  <rfmt sheetId="8" sqref="H17" start="0" length="0">
    <dxf>
      <border>
        <bottom style="thin">
          <color indexed="64"/>
        </bottom>
      </border>
    </dxf>
  </rfmt>
  <rcc rId="8813" sId="8">
    <nc r="N17">
      <f>SUM(I17:M17)</f>
    </nc>
  </rcc>
  <rcc rId="8814" sId="8">
    <nc r="T17">
      <f>SUM(O17:S17)</f>
    </nc>
  </rcc>
  <rcc rId="8815" sId="8">
    <nc r="U17" t="inlineStr">
      <is>
        <t>FERIADO</t>
      </is>
    </nc>
  </rcc>
  <rcc rId="8816" sId="8">
    <nc r="Z17">
      <f>SUM(U17:Y17)</f>
    </nc>
  </rcc>
  <rcc rId="8817" sId="8">
    <nc r="AF17">
      <f>SUM(AA17:AE17)</f>
    </nc>
  </rcc>
  <rcc rId="8818" sId="8">
    <nc r="AL17">
      <f>SUM(AG17:AK17)</f>
    </nc>
  </rcc>
  <rcc rId="8819" sId="8">
    <nc r="AR17">
      <f>SUM(AM17:AQ17)</f>
    </nc>
  </rcc>
  <rcc rId="8820" sId="8">
    <nc r="AX17">
      <f>SUM(AS17:AW17)</f>
    </nc>
  </rcc>
  <rcc rId="8821" sId="8">
    <nc r="BD17">
      <f>SUM(AY17:BC17)</f>
    </nc>
  </rcc>
  <rcc rId="8822" sId="8">
    <nc r="BJ17">
      <f>SUM(BE17:BI17)</f>
    </nc>
  </rcc>
  <rcc rId="8823" sId="8">
    <nc r="BP17">
      <f>SUM(BK17:BO17)</f>
    </nc>
  </rcc>
  <rcv guid="{3D987F8E-A6EA-454D-9537-6BFC5053CB00}" action="delete"/>
  <rdn rId="0" localSheetId="1" customView="1" name="Z_3D987F8E_A6EA_454D_9537_6BFC5053CB00_.wvu.FilterData" hidden="1" oldHidden="1">
    <formula>Patrícia!$A$1:$A$18</formula>
    <oldFormula>Patrícia!$A$1:$A$18</oldFormula>
  </rdn>
  <rdn rId="0" localSheetId="2" customView="1" name="Z_3D987F8E_A6EA_454D_9537_6BFC5053CB00_.wvu.FilterData" hidden="1" oldHidden="1">
    <formula>Marcelo!$A$1:$A$18</formula>
    <oldFormula>Marcelo!$A$1:$A$18</oldFormula>
  </rdn>
  <rdn rId="0" localSheetId="3" customView="1" name="Z_3D987F8E_A6EA_454D_9537_6BFC5053CB00_.wvu.FilterData" hidden="1" oldHidden="1">
    <formula>TOTAL!$A$1:$A$18</formula>
    <oldFormula>TOTAL!$A$1:$A$18</oldFormula>
  </rdn>
  <rdn rId="0" localSheetId="4" customView="1" name="Z_3D987F8E_A6EA_454D_9537_6BFC5053CB00_.wvu.FilterData" hidden="1" oldHidden="1">
    <formula>Diego!$A$1:$A$20</formula>
    <oldFormula>Diego!$A$1:$A$20</oldFormula>
  </rdn>
  <rdn rId="0" localSheetId="5" customView="1" name="Z_3D987F8E_A6EA_454D_9537_6BFC5053CB00_.wvu.FilterData" hidden="1" oldHidden="1">
    <formula>Aelton!$A$1:$A$19</formula>
    <oldFormula>Aelton!$A$1:$A$19</oldFormula>
  </rdn>
  <rdn rId="0" localSheetId="6" customView="1" name="Z_3D987F8E_A6EA_454D_9537_6BFC5053CB00_.wvu.FilterData" hidden="1" oldHidden="1">
    <formula>Leonam!$A$1:$BD$19</formula>
    <oldFormula>Leonam!$A$1:$BD$19</oldFormula>
  </rdn>
  <rdn rId="0" localSheetId="7" customView="1" name="Z_3D987F8E_A6EA_454D_9537_6BFC5053CB00_.wvu.FilterData" hidden="1" oldHidden="1">
    <formula>Danilo!$A$1:$A$19</formula>
    <oldFormula>Danilo!$A$1:$A$19</oldFormula>
  </rdn>
  <rdn rId="0" localSheetId="8" customView="1" name="Z_3D987F8E_A6EA_454D_9537_6BFC5053CB00_.wvu.FilterData" hidden="1" oldHidden="1">
    <formula>Marcos!$A$1:$A$19</formula>
    <oldFormula>Marcos!$A$1:$A$19</oldFormula>
  </rdn>
  <rdn rId="0" localSheetId="10" customView="1" name="Z_3D987F8E_A6EA_454D_9537_6BFC5053CB00_.wvu.FilterData" hidden="1" oldHidden="1">
    <formula>Alessandro!$A$1:$A$19</formula>
    <oldFormula>Alessandro!$A$1:$A$19</oldFormula>
  </rdn>
  <rdn rId="0" localSheetId="9" customView="1" name="Z_3D987F8E_A6EA_454D_9537_6BFC5053CB00_.wvu.FilterData" hidden="1" oldHidden="1">
    <formula>Carlos!$A$1:$A$19</formula>
    <oldFormula>Carlos!$A$1:$A$19</oldFormula>
  </rdn>
  <rcv guid="{3D987F8E-A6EA-454D-9537-6BFC5053CB00}" action="add"/>
</revisions>
</file>

<file path=xl/revisions/revisionLog5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8834" sId="8">
    <nc r="BV17">
      <f>SUM(BQ17:BU17)</f>
    </nc>
  </rcc>
  <rcc rId="8835" sId="8">
    <nc r="CB17">
      <f>SUM(BW17:CA17)</f>
    </nc>
  </rcc>
</revisions>
</file>

<file path=xl/revisions/revisionLog5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8836" sId="9">
    <nc r="H17">
      <f>SUM(C17:G17)</f>
    </nc>
  </rcc>
  <rcc rId="8837" sId="9">
    <nc r="N17">
      <f>SUM(I17:M17)</f>
    </nc>
  </rcc>
  <rcc rId="8838" sId="9">
    <nc r="T17">
      <f>SUM(O17:S17)</f>
    </nc>
  </rcc>
  <rcc rId="8839" sId="9">
    <nc r="Z17">
      <f>SUM(U17:Y17)</f>
    </nc>
  </rcc>
  <rcc rId="8840" sId="9">
    <nc r="AF17">
      <f>SUM(AA17:AE17)</f>
    </nc>
  </rcc>
  <rcc rId="8841" sId="9">
    <nc r="AL17">
      <f>SUM(AG17:AK17)</f>
    </nc>
  </rcc>
  <rcc rId="8842" sId="9" odxf="1" dxf="1">
    <nc r="AR17">
      <f>SUM(AM17:AQ17)</f>
    </nc>
    <odxf>
      <fill>
        <patternFill>
          <bgColor theme="0" tint="-0.249977111117893"/>
        </patternFill>
      </fill>
    </odxf>
    <ndxf>
      <fill>
        <patternFill>
          <bgColor theme="0" tint="-0.14999847407452621"/>
        </patternFill>
      </fill>
    </ndxf>
  </rcc>
  <rcc rId="8843" sId="9" odxf="1" dxf="1">
    <nc r="AX17">
      <f>SUM(AS17:AW17)</f>
    </nc>
    <odxf>
      <fill>
        <patternFill>
          <bgColor theme="0" tint="-0.249977111117893"/>
        </patternFill>
      </fill>
    </odxf>
    <ndxf>
      <fill>
        <patternFill>
          <bgColor theme="0" tint="-0.14999847407452621"/>
        </patternFill>
      </fill>
    </ndxf>
  </rcc>
  <rcc rId="8844" sId="9" odxf="1" dxf="1">
    <nc r="BD17">
      <f>SUM(AY17:BC17)</f>
    </nc>
    <odxf>
      <fill>
        <patternFill>
          <bgColor theme="0" tint="-0.249977111117893"/>
        </patternFill>
      </fill>
    </odxf>
    <ndxf>
      <fill>
        <patternFill>
          <bgColor theme="0" tint="-0.14999847407452621"/>
        </patternFill>
      </fill>
    </ndxf>
  </rcc>
  <rcc rId="8845" sId="9" odxf="1" dxf="1">
    <nc r="BJ17">
      <f>SUM(BE17:BI17)</f>
    </nc>
    <odxf>
      <fill>
        <patternFill>
          <bgColor theme="0" tint="-0.249977111117893"/>
        </patternFill>
      </fill>
    </odxf>
    <ndxf>
      <fill>
        <patternFill>
          <bgColor theme="0" tint="-0.14999847407452621"/>
        </patternFill>
      </fill>
    </ndxf>
  </rcc>
  <rcc rId="8846" sId="9" odxf="1" dxf="1">
    <nc r="BP17">
      <f>SUM(BK17:BO17)</f>
    </nc>
    <odxf>
      <fill>
        <patternFill>
          <bgColor theme="0" tint="-0.249977111117893"/>
        </patternFill>
      </fill>
    </odxf>
    <ndxf>
      <fill>
        <patternFill>
          <bgColor theme="0" tint="-0.14999847407452621"/>
        </patternFill>
      </fill>
    </ndxf>
  </rcc>
  <rcc rId="8847" sId="9" odxf="1" dxf="1">
    <nc r="BV17">
      <f>SUM(BQ17:BU17)</f>
    </nc>
    <odxf>
      <fill>
        <patternFill>
          <bgColor theme="0" tint="-0.249977111117893"/>
        </patternFill>
      </fill>
    </odxf>
    <ndxf>
      <fill>
        <patternFill>
          <bgColor theme="0" tint="-0.14999847407452621"/>
        </patternFill>
      </fill>
    </ndxf>
  </rcc>
  <rcc rId="8848" sId="9" odxf="1" dxf="1">
    <nc r="CB17">
      <f>SUM(BW17:CA17)</f>
    </nc>
    <odxf>
      <fill>
        <patternFill>
          <bgColor theme="0" tint="-0.249977111117893"/>
        </patternFill>
      </fill>
      <border outline="0">
        <right style="thin">
          <color indexed="64"/>
        </right>
      </border>
    </odxf>
    <ndxf>
      <fill>
        <patternFill>
          <bgColor theme="0" tint="-0.14999847407452621"/>
        </patternFill>
      </fill>
      <border outline="0">
        <right/>
      </border>
    </ndxf>
  </rcc>
  <rfmt sheetId="9" sqref="CB1:CB17" start="0" length="0">
    <dxf>
      <border>
        <left style="thin">
          <color indexed="64"/>
        </left>
      </border>
    </dxf>
  </rfmt>
  <rfmt sheetId="9" sqref="CB1:CB17" start="0" length="0">
    <dxf>
      <border>
        <right style="thin">
          <color indexed="64"/>
        </right>
      </border>
    </dxf>
  </rfmt>
  <rfmt sheetId="9" sqref="BV1:BV17" start="0" length="0">
    <dxf>
      <border>
        <left style="thin">
          <color indexed="64"/>
        </left>
      </border>
    </dxf>
  </rfmt>
  <rfmt sheetId="9" sqref="BV1:BV17" start="0" length="0">
    <dxf>
      <border>
        <right style="thin">
          <color indexed="64"/>
        </right>
      </border>
    </dxf>
  </rfmt>
  <rfmt sheetId="9" sqref="BP1:BP17" start="0" length="0">
    <dxf>
      <border>
        <left style="thin">
          <color indexed="64"/>
        </left>
      </border>
    </dxf>
  </rfmt>
  <rfmt sheetId="9" sqref="BP1:BP17" start="0" length="0">
    <dxf>
      <border>
        <right style="thin">
          <color indexed="64"/>
        </right>
      </border>
    </dxf>
  </rfmt>
  <rfmt sheetId="9" sqref="BJ1:BJ17" start="0" length="0">
    <dxf>
      <border>
        <left style="thin">
          <color indexed="64"/>
        </left>
      </border>
    </dxf>
  </rfmt>
  <rfmt sheetId="9" sqref="BJ1:BJ17" start="0" length="0">
    <dxf>
      <border>
        <right style="thin">
          <color indexed="64"/>
        </right>
      </border>
    </dxf>
  </rfmt>
  <rfmt sheetId="9" sqref="BD1:BD17" start="0" length="0">
    <dxf>
      <border>
        <left style="thin">
          <color indexed="64"/>
        </left>
      </border>
    </dxf>
  </rfmt>
  <rfmt sheetId="9" sqref="BD1:BD17" start="0" length="0">
    <dxf>
      <border>
        <right style="thin">
          <color indexed="64"/>
        </right>
      </border>
    </dxf>
  </rfmt>
  <rfmt sheetId="9" sqref="AX1:AX17" start="0" length="0">
    <dxf>
      <border>
        <left style="thin">
          <color indexed="64"/>
        </left>
      </border>
    </dxf>
  </rfmt>
  <rfmt sheetId="9" sqref="AX1:AX17" start="0" length="0">
    <dxf>
      <border>
        <right style="thin">
          <color indexed="64"/>
        </right>
      </border>
    </dxf>
  </rfmt>
  <rfmt sheetId="9" sqref="AR1:AR17" start="0" length="0">
    <dxf>
      <border>
        <left style="thin">
          <color indexed="64"/>
        </left>
      </border>
    </dxf>
  </rfmt>
  <rfmt sheetId="9" sqref="AR1:AR17" start="0" length="0">
    <dxf>
      <border>
        <right style="thin">
          <color indexed="64"/>
        </right>
      </border>
    </dxf>
  </rfmt>
  <rfmt sheetId="9" sqref="AL1:AL17" start="0" length="0">
    <dxf>
      <border>
        <left style="thin">
          <color indexed="64"/>
        </left>
      </border>
    </dxf>
  </rfmt>
  <rfmt sheetId="9" sqref="AL1:AL17" start="0" length="0">
    <dxf>
      <border>
        <right style="thin">
          <color indexed="64"/>
        </right>
      </border>
    </dxf>
  </rfmt>
  <rfmt sheetId="9" sqref="AF1:AF17" start="0" length="0">
    <dxf>
      <border>
        <left style="thin">
          <color indexed="64"/>
        </left>
      </border>
    </dxf>
  </rfmt>
  <rfmt sheetId="9" sqref="AF1:AF17" start="0" length="0">
    <dxf>
      <border>
        <right style="thin">
          <color indexed="64"/>
        </right>
      </border>
    </dxf>
  </rfmt>
  <rfmt sheetId="9" sqref="Z1:Z17" start="0" length="0">
    <dxf>
      <border>
        <left style="thin">
          <color indexed="64"/>
        </left>
      </border>
    </dxf>
  </rfmt>
  <rfmt sheetId="9" sqref="Z1:Z17" start="0" length="0">
    <dxf>
      <border>
        <right style="thin">
          <color indexed="64"/>
        </right>
      </border>
    </dxf>
  </rfmt>
  <rfmt sheetId="9" sqref="T1:T17" start="0" length="0">
    <dxf>
      <border>
        <left style="thin">
          <color indexed="64"/>
        </left>
      </border>
    </dxf>
  </rfmt>
  <rfmt sheetId="9" sqref="T1:T17" start="0" length="0">
    <dxf>
      <border>
        <right style="thin">
          <color indexed="64"/>
        </right>
      </border>
    </dxf>
  </rfmt>
  <rfmt sheetId="9" sqref="H1:H17" start="0" length="0">
    <dxf>
      <border>
        <left style="thin">
          <color indexed="64"/>
        </left>
      </border>
    </dxf>
  </rfmt>
  <rfmt sheetId="9" sqref="H1:H17" start="0" length="0">
    <dxf>
      <border>
        <right style="thin">
          <color indexed="64"/>
        </right>
      </border>
    </dxf>
  </rfmt>
  <rfmt sheetId="9" sqref="N1:N17" start="0" length="0">
    <dxf>
      <border>
        <left style="thin">
          <color indexed="64"/>
        </left>
      </border>
    </dxf>
  </rfmt>
  <rfmt sheetId="9" sqref="N1:N17" start="0" length="0">
    <dxf>
      <border>
        <right style="thin">
          <color indexed="64"/>
        </right>
      </border>
    </dxf>
  </rfmt>
  <rfmt sheetId="9" sqref="AR1:AR17">
    <dxf>
      <fill>
        <patternFill>
          <bgColor theme="0" tint="-0.14999847407452621"/>
        </patternFill>
      </fill>
    </dxf>
  </rfmt>
  <rfmt sheetId="9" sqref="AX1:AX17 BD1:BD17 BJ1:BJ17 BP1:BP17">
    <dxf>
      <fill>
        <patternFill>
          <bgColor theme="0" tint="-0.14999847407452621"/>
        </patternFill>
      </fill>
    </dxf>
  </rfmt>
  <rfmt sheetId="9" sqref="BV1:BV17 CB1:CB17">
    <dxf>
      <fill>
        <patternFill>
          <bgColor theme="0" tint="-0.14999847407452621"/>
        </patternFill>
      </fill>
    </dxf>
  </rfmt>
  <rcv guid="{3D987F8E-A6EA-454D-9537-6BFC5053CB00}" action="delete"/>
  <rdn rId="0" localSheetId="1" customView="1" name="Z_3D987F8E_A6EA_454D_9537_6BFC5053CB00_.wvu.FilterData" hidden="1" oldHidden="1">
    <formula>Patrícia!$A$1:$A$18</formula>
    <oldFormula>Patrícia!$A$1:$A$18</oldFormula>
  </rdn>
  <rdn rId="0" localSheetId="2" customView="1" name="Z_3D987F8E_A6EA_454D_9537_6BFC5053CB00_.wvu.FilterData" hidden="1" oldHidden="1">
    <formula>Marcelo!$A$1:$A$18</formula>
    <oldFormula>Marcelo!$A$1:$A$18</oldFormula>
  </rdn>
  <rdn rId="0" localSheetId="3" customView="1" name="Z_3D987F8E_A6EA_454D_9537_6BFC5053CB00_.wvu.FilterData" hidden="1" oldHidden="1">
    <formula>TOTAL!$A$1:$A$18</formula>
    <oldFormula>TOTAL!$A$1:$A$18</oldFormula>
  </rdn>
  <rdn rId="0" localSheetId="4" customView="1" name="Z_3D987F8E_A6EA_454D_9537_6BFC5053CB00_.wvu.FilterData" hidden="1" oldHidden="1">
    <formula>Diego!$A$1:$A$20</formula>
    <oldFormula>Diego!$A$1:$A$20</oldFormula>
  </rdn>
  <rdn rId="0" localSheetId="5" customView="1" name="Z_3D987F8E_A6EA_454D_9537_6BFC5053CB00_.wvu.FilterData" hidden="1" oldHidden="1">
    <formula>Aelton!$A$1:$A$19</formula>
    <oldFormula>Aelton!$A$1:$A$19</oldFormula>
  </rdn>
  <rdn rId="0" localSheetId="6" customView="1" name="Z_3D987F8E_A6EA_454D_9537_6BFC5053CB00_.wvu.FilterData" hidden="1" oldHidden="1">
    <formula>Leonam!$A$1:$BD$19</formula>
    <oldFormula>Leonam!$A$1:$BD$19</oldFormula>
  </rdn>
  <rdn rId="0" localSheetId="7" customView="1" name="Z_3D987F8E_A6EA_454D_9537_6BFC5053CB00_.wvu.FilterData" hidden="1" oldHidden="1">
    <formula>Danilo!$A$1:$A$19</formula>
    <oldFormula>Danilo!$A$1:$A$19</oldFormula>
  </rdn>
  <rdn rId="0" localSheetId="8" customView="1" name="Z_3D987F8E_A6EA_454D_9537_6BFC5053CB00_.wvu.FilterData" hidden="1" oldHidden="1">
    <formula>Marcos!$A$1:$A$19</formula>
    <oldFormula>Marcos!$A$1:$A$19</oldFormula>
  </rdn>
  <rdn rId="0" localSheetId="10" customView="1" name="Z_3D987F8E_A6EA_454D_9537_6BFC5053CB00_.wvu.FilterData" hidden="1" oldHidden="1">
    <formula>Alessandro!$A$1:$A$19</formula>
    <oldFormula>Alessandro!$A$1:$A$19</oldFormula>
  </rdn>
  <rdn rId="0" localSheetId="9" customView="1" name="Z_3D987F8E_A6EA_454D_9537_6BFC5053CB00_.wvu.FilterData" hidden="1" oldHidden="1">
    <formula>Carlos!$A$1:$A$19</formula>
    <oldFormula>Carlos!$A$1:$A$19</oldFormula>
  </rdn>
  <rcv guid="{3D987F8E-A6EA-454D-9537-6BFC5053CB00}" action="add"/>
</revisions>
</file>

<file path=xl/revisions/revisionLog5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8859" sId="3" ref="A17:XFD17" action="insertRow"/>
  <rcc rId="8860" sId="3" xfDxf="1" dxf="1">
    <nc r="A17" t="inlineStr">
      <is>
        <t>Caixas substituídas(trocadas)</t>
      </is>
    </nc>
    <ndxf>
      <font>
        <b/>
        <color auto="1"/>
        <name val="Calibri"/>
        <scheme val="none"/>
      </font>
      <fill>
        <patternFill patternType="solid">
          <fgColor rgb="FFEDEDED"/>
          <bgColor rgb="FFFFFF00"/>
        </patternFill>
      </fill>
      <alignment horizontal="right" vertical="center" wrapText="1"/>
    </ndxf>
  </rcc>
  <rcc rId="8861" sId="3">
    <nc r="B17" t="inlineStr">
      <is>
        <t>Substituição de caixas degradadas por novas</t>
      </is>
    </nc>
  </rcc>
  <rfmt sheetId="3" sqref="A17:O17" start="0" length="0">
    <dxf>
      <border>
        <top/>
      </border>
    </dxf>
  </rfmt>
  <rfmt sheetId="3" sqref="A1:A17" start="0" length="0">
    <dxf>
      <border>
        <left style="thin">
          <color indexed="64"/>
        </left>
      </border>
    </dxf>
  </rfmt>
  <rfmt sheetId="3" sqref="A1:O1" start="0" length="0">
    <dxf>
      <border>
        <top style="thin">
          <color indexed="64"/>
        </top>
      </border>
    </dxf>
  </rfmt>
  <rfmt sheetId="3" sqref="O1:O17" start="0" length="0">
    <dxf>
      <border>
        <right style="thin">
          <color indexed="64"/>
        </right>
      </border>
    </dxf>
  </rfmt>
  <rfmt sheetId="3" sqref="A17:O17" start="0" length="0">
    <dxf>
      <border>
        <bottom style="thin">
          <color indexed="64"/>
        </bottom>
      </border>
    </dxf>
  </rfmt>
  <rfmt sheetId="3" sqref="A1:O17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rfmt>
</revisions>
</file>

<file path=xl/revisions/revisionLog5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8862" sId="10">
    <nc r="AE18" t="inlineStr">
      <is>
        <t>Café da manhã de aniversariantes CDA e DIARQ (manhã)
______
Acompanhamento visita dos inteegrantes do Arquivo Nacional.</t>
      </is>
    </nc>
  </rcc>
</revisions>
</file>

<file path=xl/revisions/revisionLog5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8863" sId="4">
    <nc r="V17">
      <v>10</v>
    </nc>
  </rcc>
  <rcc rId="8864" sId="4">
    <nc r="X17">
      <v>10</v>
    </nc>
  </rcc>
  <rcc rId="8865" sId="4">
    <nc r="Y17">
      <v>10</v>
    </nc>
  </rcc>
  <rcc rId="8866" sId="4">
    <oc r="Z17">
      <f>SUM(U17:Y17)</f>
    </oc>
    <nc r="Z17">
      <f>SUM(U17:Y17)</f>
    </nc>
  </rcc>
  <rcc rId="8867" sId="10">
    <nc r="S2">
      <v>16</v>
    </nc>
  </rcc>
  <rcc rId="8868" sId="10">
    <oc r="S18" t="inlineStr">
      <is>
        <t xml:space="preserve">1. Desarquivamento 
71000.009460/2005-64
Total 32 volumes.
2. Relatório sobre o estado dos Arquivos Deslizantes lotados no DNIT.
</t>
      </is>
    </oc>
    <nc r="S18" t="inlineStr">
      <is>
        <t xml:space="preserve">1. Desarquivamento 
71000.009460/2005-64
Total 32 volumes.
2. Relatório sobre o estado dos Arquivos Deslizantes lotados no DNIT junto com Aelton.
</t>
      </is>
    </nc>
  </rcc>
  <rcc rId="8869" sId="6">
    <nc r="U17" t="inlineStr">
      <is>
        <t>FERIADO</t>
      </is>
    </nc>
  </rcc>
  <rcc rId="8870" sId="6">
    <nc r="V17">
      <v>10</v>
    </nc>
  </rcc>
  <rcc rId="8871" sId="4">
    <nc r="W4">
      <v>8</v>
    </nc>
  </rcc>
  <rcc rId="8872" sId="6">
    <nc r="W4">
      <v>7</v>
    </nc>
  </rcc>
  <rcc rId="8873" sId="6">
    <nc r="X17">
      <v>10</v>
    </nc>
  </rcc>
  <rcc rId="8874" sId="6">
    <nc r="Y17">
      <v>10</v>
    </nc>
  </rcc>
  <rcc rId="8875" sId="6">
    <oc r="AA18" t="inlineStr">
      <is>
        <t>1. Vistoria no Bloco Apara ver se 
há vazamentos na  sala G-15.
2. Busca por 10 caixas da DEFNAS,
9531 a 9540.
3. Arquvamento processo MESP.</t>
      </is>
    </oc>
    <nc r="AA18" t="inlineStr">
      <is>
        <t>1. Vistoria no Bloco A para ver se 
há vazamentos na  sala G-15.
2. Busca por 10 caixas da DEFNAS,
9531 a 9540.
3. Arquvamento processo MESP.</t>
      </is>
    </nc>
  </rcc>
  <rcc rId="8876" sId="10">
    <nc r="AC18" t="inlineStr">
      <is>
        <t xml:space="preserve">Vistoria no Bloco A para averiguação se há locais onde possam passar ratos (buracos, rachaduras), acervos das  salas: G-07, G-15 e  G-17.
</t>
      </is>
    </nc>
  </rcc>
  <rcc rId="8877" sId="3">
    <nc r="C17">
      <f>Diego!H17+Aelton!H17+Leonam!H17+Danilo!H17+Marcos!H17+Alessandro!H17</f>
    </nc>
  </rcc>
  <rcc rId="8878" sId="3">
    <nc r="D17">
      <f>Diego!N17+Aelton!N17+Leonam!N17+Danilo!N17+Marcos!N17+Alessandro!N17+Carlos!N17</f>
    </nc>
  </rcc>
  <rcc rId="8879" sId="3">
    <nc r="E17">
      <f>Diego!T17+Aelton!T17+Leonam!T17+Danilo!T17+Marcos!T17+Alessandro!T17+Carlos!T17</f>
    </nc>
  </rcc>
  <rcc rId="8880" sId="3">
    <nc r="F17">
      <f>Diego!Z17+Aelton!Z17+Leonam!Z17+Danilo!Z17+Marcos!Z17+Alessandro!Z17+Carlos!Z17</f>
    </nc>
  </rcc>
  <rcc rId="8881" sId="3">
    <nc r="G17">
      <f>Diego!AF17+Aelton!AF17+Leonam!AF17+Danilo!AF17+Marcos!AF17+Alessandro!AF17+Carlos!AF17</f>
    </nc>
  </rcc>
  <rcc rId="8882" sId="3">
    <nc r="H17">
      <f>Diego!AL17+Aelton!AL17+Leonam!AL17+Danilo!AL17+Marcos!AL17+Alessandro!AL17+Carlos!AL17</f>
    </nc>
  </rcc>
  <rcc rId="8883" sId="3">
    <nc r="I17">
      <f>Diego!AR17+Aelton!AR17+Leonam!AR17+Danilo!AR17+Marcos!AR17+Alessandro!AR17+Carlos!AR17</f>
    </nc>
  </rcc>
  <rcc rId="8884" sId="3">
    <nc r="J17">
      <f>Diego!AX17+Aelton!AX17+Leonam!AX17+Danilo!AX17+Marcos!AX17+Alessandro!AX17+Carlos!AX17</f>
    </nc>
  </rcc>
  <rcc rId="8885" sId="3">
    <nc r="K17">
      <f>Diego!BD17+Aelton!BD17+Leonam!BD17+Danilo!BD17+Marcos!BD17+Alessandro!BD17+Carlos!BD17</f>
    </nc>
  </rcc>
  <rcc rId="8886" sId="3">
    <nc r="L17">
      <f>Diego!BJ17+Aelton!BJ17+Leonam!BJ17+Danilo!BJ17+Marcos!BJ17+Alessandro!BJ17+Carlos!BJ17</f>
    </nc>
  </rcc>
  <rcc rId="8887" sId="3">
    <nc r="M17">
      <f>Diego!BP17+Aelton!BP17+Leonam!BP17+Danilo!BP17+Marcos!BP17+Alessandro!BP17+Carlos!BP17</f>
    </nc>
  </rcc>
  <rcc rId="8888" sId="3">
    <nc r="N17">
      <f>Diego!BV17+Aelton!BV17+Leonam!BV17+Danilo!BV17+Marcos!BV17+Alessandro!BV17+Carlos!BV17</f>
    </nc>
  </rcc>
  <rcc rId="8889" sId="3">
    <nc r="O17">
      <f>Diego!CB17+Aelton!CB17+Leonam!CB17+Danilo!CB17+Marcos!CB17+Alessandro!CB17+Carlos!CB17</f>
    </nc>
  </rcc>
</revisions>
</file>

<file path=xl/revisions/revisionLog5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m rId="8890" sheetId="5" source="AA2:AE18" destination="AA2:AE18" sourceSheetId="6">
    <undo index="65535" exp="area" dr="AA2:AE2" r="AF2" sId="5"/>
    <undo index="65535" exp="area" dr="AA3:AE3" r="AF3" sId="5"/>
    <undo index="65535" exp="area" dr="AA4:AE4" r="AF4" sId="5"/>
    <undo index="65535" exp="area" dr="AA5:AE5" r="AF5" sId="5"/>
    <undo index="65535" exp="area" dr="AA6:AE6" r="AF6" sId="5"/>
    <undo index="65535" exp="area" dr="AA7:AE7" r="AF7" sId="5"/>
    <undo index="65535" exp="area" dr="AA8:AE8" r="AF8" sId="5"/>
    <undo index="65535" exp="area" dr="AA9:AE9" r="AF9" sId="5"/>
    <undo index="65535" exp="area" dr="AA10:AE10" r="AF10" sId="5"/>
    <undo index="65535" exp="area" dr="AA11:AE11" r="AF11" sId="5"/>
    <undo index="65535" exp="area" dr="AA12:AE12" r="AF12" sId="5"/>
    <undo index="65535" exp="area" dr="AA13:AE13" r="AF13" sId="5"/>
    <undo index="65535" exp="area" dr="AA14:AE14" r="AF14" sId="5"/>
    <undo index="65535" exp="area" dr="AA15:AE15" r="AF15" sId="5"/>
    <undo index="65535" exp="area" dr="AA16:AE16" r="AF16" sId="5"/>
    <undo index="65535" exp="area" dr="AA17:AE17" r="AF17" sId="5"/>
    <rfmt sheetId="5" sqref="AA2" start="0" length="0">
      <dxf>
        <alignment horizontal="center" vertical="center"/>
      </dxf>
    </rfmt>
    <rfmt sheetId="5" sqref="AB2" start="0" length="0">
      <dxf>
        <alignment horizontal="center" vertical="center"/>
      </dxf>
    </rfmt>
    <rfmt sheetId="5" sqref="AC2" start="0" length="0">
      <dxf>
        <alignment horizontal="center" vertical="center"/>
      </dxf>
    </rfmt>
    <rfmt sheetId="5" sqref="AD2" start="0" length="0">
      <dxf>
        <alignment horizontal="center" vertical="center"/>
      </dxf>
    </rfmt>
    <rfmt sheetId="5" sqref="AE2" start="0" length="0">
      <dxf>
        <alignment horizontal="center" vertical="center"/>
      </dxf>
    </rfmt>
    <rfmt sheetId="5" sqref="AA3" start="0" length="0">
      <dxf>
        <alignment horizontal="center" vertical="center"/>
      </dxf>
    </rfmt>
    <rfmt sheetId="5" sqref="AB3" start="0" length="0">
      <dxf>
        <alignment horizontal="center" vertical="center"/>
      </dxf>
    </rfmt>
    <rfmt sheetId="5" sqref="AC3" start="0" length="0">
      <dxf>
        <alignment horizontal="center" vertical="center"/>
      </dxf>
    </rfmt>
    <rfmt sheetId="5" sqref="AD3" start="0" length="0">
      <dxf>
        <alignment horizontal="center" vertical="center"/>
      </dxf>
    </rfmt>
    <rfmt sheetId="5" sqref="AE3" start="0" length="0">
      <dxf>
        <alignment horizontal="center" vertical="center"/>
      </dxf>
    </rfmt>
    <rfmt sheetId="5" sqref="AA4" start="0" length="0">
      <dxf>
        <alignment horizontal="center" vertical="center"/>
      </dxf>
    </rfmt>
    <rfmt sheetId="5" sqref="AB4" start="0" length="0">
      <dxf>
        <alignment horizontal="center" vertical="center"/>
      </dxf>
    </rfmt>
    <rfmt sheetId="5" sqref="AC4" start="0" length="0">
      <dxf>
        <alignment horizontal="center" vertical="center"/>
      </dxf>
    </rfmt>
    <rfmt sheetId="5" sqref="AD4" start="0" length="0">
      <dxf>
        <alignment horizontal="center" vertical="center"/>
      </dxf>
    </rfmt>
    <rfmt sheetId="5" sqref="AE4" start="0" length="0">
      <dxf>
        <alignment horizontal="center" vertical="center"/>
      </dxf>
    </rfmt>
    <rfmt sheetId="5" sqref="AA5" start="0" length="0">
      <dxf>
        <alignment horizontal="center" vertical="center"/>
      </dxf>
    </rfmt>
    <rfmt sheetId="5" sqref="AB5" start="0" length="0">
      <dxf>
        <alignment horizontal="center" vertical="center"/>
      </dxf>
    </rfmt>
    <rfmt sheetId="5" sqref="AC5" start="0" length="0">
      <dxf>
        <alignment horizontal="center" vertical="center"/>
      </dxf>
    </rfmt>
    <rfmt sheetId="5" sqref="AD5" start="0" length="0">
      <dxf>
        <alignment horizontal="center" vertical="center"/>
      </dxf>
    </rfmt>
    <rfmt sheetId="5" sqref="AE5" start="0" length="0">
      <dxf>
        <alignment horizontal="center" vertical="center"/>
      </dxf>
    </rfmt>
    <rfmt sheetId="5" sqref="AA6" start="0" length="0">
      <dxf>
        <alignment horizontal="center" vertical="center"/>
      </dxf>
    </rfmt>
    <rfmt sheetId="5" sqref="AB6" start="0" length="0">
      <dxf>
        <alignment horizontal="center" vertical="center"/>
      </dxf>
    </rfmt>
    <rfmt sheetId="5" sqref="AC6" start="0" length="0">
      <dxf>
        <alignment horizontal="center" vertical="center"/>
      </dxf>
    </rfmt>
    <rfmt sheetId="5" sqref="AD6" start="0" length="0">
      <dxf>
        <alignment horizontal="center" vertical="center"/>
      </dxf>
    </rfmt>
    <rfmt sheetId="5" sqref="AE6" start="0" length="0">
      <dxf>
        <alignment horizontal="center" vertical="center"/>
      </dxf>
    </rfmt>
    <rfmt sheetId="5" sqref="AA7" start="0" length="0">
      <dxf>
        <alignment horizontal="center" vertical="center"/>
      </dxf>
    </rfmt>
    <rfmt sheetId="5" sqref="AB7" start="0" length="0">
      <dxf>
        <alignment horizontal="center" vertical="center"/>
      </dxf>
    </rfmt>
    <rfmt sheetId="5" sqref="AC7" start="0" length="0">
      <dxf>
        <alignment horizontal="center" vertical="center"/>
      </dxf>
    </rfmt>
    <rfmt sheetId="5" sqref="AD7" start="0" length="0">
      <dxf>
        <alignment horizontal="center" vertical="center"/>
      </dxf>
    </rfmt>
    <rfmt sheetId="5" sqref="AE7" start="0" length="0">
      <dxf>
        <alignment horizontal="center" vertical="center"/>
      </dxf>
    </rfmt>
    <rfmt sheetId="5" sqref="AA8" start="0" length="0">
      <dxf>
        <alignment horizontal="center" vertical="center"/>
      </dxf>
    </rfmt>
    <rfmt sheetId="5" sqref="AB8" start="0" length="0">
      <dxf>
        <alignment horizontal="center" vertical="center"/>
      </dxf>
    </rfmt>
    <rfmt sheetId="5" sqref="AC8" start="0" length="0">
      <dxf>
        <alignment horizontal="center" vertical="center"/>
      </dxf>
    </rfmt>
    <rfmt sheetId="5" sqref="AD8" start="0" length="0">
      <dxf>
        <alignment horizontal="center" vertical="center"/>
      </dxf>
    </rfmt>
    <rfmt sheetId="5" sqref="AE8" start="0" length="0">
      <dxf>
        <alignment horizontal="center" vertical="center"/>
      </dxf>
    </rfmt>
    <rfmt sheetId="5" sqref="AA9" start="0" length="0">
      <dxf>
        <alignment horizontal="center" vertical="center"/>
      </dxf>
    </rfmt>
    <rfmt sheetId="5" sqref="AB9" start="0" length="0">
      <dxf>
        <alignment horizontal="center" vertical="center"/>
      </dxf>
    </rfmt>
    <rfmt sheetId="5" sqref="AC9" start="0" length="0">
      <dxf>
        <alignment horizontal="center" vertical="center"/>
      </dxf>
    </rfmt>
    <rfmt sheetId="5" sqref="AD9" start="0" length="0">
      <dxf>
        <alignment horizontal="center" vertical="center"/>
      </dxf>
    </rfmt>
    <rfmt sheetId="5" sqref="AE9" start="0" length="0">
      <dxf>
        <alignment horizontal="center" vertical="center"/>
      </dxf>
    </rfmt>
    <rfmt sheetId="5" sqref="AA10" start="0" length="0">
      <dxf>
        <alignment horizontal="center" vertical="center"/>
      </dxf>
    </rfmt>
    <rfmt sheetId="5" sqref="AB10" start="0" length="0">
      <dxf>
        <alignment horizontal="center" vertical="center"/>
      </dxf>
    </rfmt>
    <rfmt sheetId="5" sqref="AC10" start="0" length="0">
      <dxf>
        <alignment horizontal="center" vertical="center"/>
      </dxf>
    </rfmt>
    <rfmt sheetId="5" sqref="AD10" start="0" length="0">
      <dxf>
        <alignment horizontal="center" vertical="center"/>
      </dxf>
    </rfmt>
    <rfmt sheetId="5" sqref="AE10" start="0" length="0">
      <dxf>
        <alignment horizontal="center" vertical="center"/>
      </dxf>
    </rfmt>
    <rfmt sheetId="5" sqref="AA11" start="0" length="0">
      <dxf>
        <alignment horizontal="center" vertical="center"/>
      </dxf>
    </rfmt>
    <rfmt sheetId="5" sqref="AB11" start="0" length="0">
      <dxf>
        <alignment horizontal="center" vertical="center"/>
      </dxf>
    </rfmt>
    <rfmt sheetId="5" sqref="AC11" start="0" length="0">
      <dxf>
        <alignment horizontal="center" vertical="center"/>
      </dxf>
    </rfmt>
    <rfmt sheetId="5" sqref="AD11" start="0" length="0">
      <dxf>
        <alignment horizontal="center" vertical="center"/>
      </dxf>
    </rfmt>
    <rfmt sheetId="5" sqref="AE11" start="0" length="0">
      <dxf>
        <alignment horizontal="center" vertical="center"/>
      </dxf>
    </rfmt>
    <rfmt sheetId="5" sqref="AA12" start="0" length="0">
      <dxf>
        <alignment horizontal="center" vertical="center"/>
      </dxf>
    </rfmt>
    <rfmt sheetId="5" sqref="AB12" start="0" length="0">
      <dxf>
        <alignment horizontal="center" vertical="center"/>
      </dxf>
    </rfmt>
    <rfmt sheetId="5" sqref="AC12" start="0" length="0">
      <dxf>
        <alignment horizontal="center" vertical="center"/>
      </dxf>
    </rfmt>
    <rfmt sheetId="5" sqref="AD12" start="0" length="0">
      <dxf>
        <alignment horizontal="center" vertical="center"/>
      </dxf>
    </rfmt>
    <rfmt sheetId="5" sqref="AE12" start="0" length="0">
      <dxf>
        <alignment horizontal="center" vertical="center"/>
      </dxf>
    </rfmt>
    <rfmt sheetId="5" sqref="AA13" start="0" length="0">
      <dxf>
        <alignment horizontal="center" vertical="center"/>
      </dxf>
    </rfmt>
    <rfmt sheetId="5" sqref="AB13" start="0" length="0">
      <dxf>
        <alignment horizontal="center" vertical="center"/>
      </dxf>
    </rfmt>
    <rfmt sheetId="5" sqref="AC13" start="0" length="0">
      <dxf>
        <alignment horizontal="center" vertical="center"/>
      </dxf>
    </rfmt>
    <rfmt sheetId="5" sqref="AD13" start="0" length="0">
      <dxf>
        <alignment horizontal="center" vertical="center"/>
      </dxf>
    </rfmt>
    <rfmt sheetId="5" sqref="AE13" start="0" length="0">
      <dxf>
        <alignment horizontal="center" vertical="center"/>
      </dxf>
    </rfmt>
    <rfmt sheetId="5" sqref="AA14" start="0" length="0">
      <dxf>
        <alignment horizontal="center" vertical="center"/>
      </dxf>
    </rfmt>
    <rfmt sheetId="5" sqref="AB14" start="0" length="0">
      <dxf>
        <alignment horizontal="center" vertical="center"/>
      </dxf>
    </rfmt>
    <rfmt sheetId="5" sqref="AC14" start="0" length="0">
      <dxf>
        <alignment horizontal="center" vertical="center"/>
      </dxf>
    </rfmt>
    <rfmt sheetId="5" sqref="AD14" start="0" length="0">
      <dxf>
        <alignment horizontal="center" vertical="center"/>
      </dxf>
    </rfmt>
    <rfmt sheetId="5" sqref="AE14" start="0" length="0">
      <dxf>
        <alignment horizontal="center" vertical="center"/>
      </dxf>
    </rfmt>
    <rfmt sheetId="5" sqref="AA15" start="0" length="0">
      <dxf>
        <alignment horizontal="center" vertical="center"/>
      </dxf>
    </rfmt>
    <rfmt sheetId="5" sqref="AB15" start="0" length="0">
      <dxf>
        <alignment horizontal="center" vertical="center"/>
      </dxf>
    </rfmt>
    <rfmt sheetId="5" sqref="AC15" start="0" length="0">
      <dxf>
        <alignment horizontal="center" vertical="center"/>
      </dxf>
    </rfmt>
    <rfmt sheetId="5" sqref="AD15" start="0" length="0">
      <dxf>
        <alignment horizontal="center" vertical="center"/>
      </dxf>
    </rfmt>
    <rfmt sheetId="5" sqref="AE15" start="0" length="0">
      <dxf>
        <alignment horizontal="center" vertical="center"/>
      </dxf>
    </rfmt>
    <rfmt sheetId="5" sqref="AA16" start="0" length="0">
      <dxf>
        <alignment horizontal="center" vertical="center"/>
      </dxf>
    </rfmt>
    <rfmt sheetId="5" sqref="AB16" start="0" length="0">
      <dxf>
        <alignment horizontal="center" vertical="center"/>
      </dxf>
    </rfmt>
    <rfmt sheetId="5" sqref="AC16" start="0" length="0">
      <dxf>
        <alignment horizontal="center" vertical="center"/>
      </dxf>
    </rfmt>
    <rfmt sheetId="5" sqref="AD16" start="0" length="0">
      <dxf>
        <alignment horizontal="center" vertical="center"/>
      </dxf>
    </rfmt>
    <rfmt sheetId="5" sqref="AE16" start="0" length="0">
      <dxf>
        <alignment horizontal="center" vertical="center"/>
      </dxf>
    </rfmt>
    <rfmt sheetId="5" sqref="AA17" start="0" length="0">
      <dxf>
        <alignment horizontal="center" vertical="center"/>
        <border outline="0">
          <bottom style="thin">
            <color indexed="64"/>
          </bottom>
        </border>
      </dxf>
    </rfmt>
    <rfmt sheetId="5" sqref="AB17" start="0" length="0">
      <dxf>
        <alignment horizontal="center" vertical="center"/>
        <border outline="0">
          <bottom style="thin">
            <color indexed="64"/>
          </bottom>
        </border>
      </dxf>
    </rfmt>
    <rfmt sheetId="5" sqref="AC17" start="0" length="0">
      <dxf>
        <alignment horizontal="center" vertical="center"/>
        <border outline="0">
          <bottom style="thin">
            <color indexed="64"/>
          </bottom>
        </border>
      </dxf>
    </rfmt>
    <rfmt sheetId="5" sqref="AD17" start="0" length="0">
      <dxf>
        <alignment horizontal="center" vertical="center"/>
        <border outline="0">
          <bottom style="thin">
            <color indexed="64"/>
          </bottom>
        </border>
      </dxf>
    </rfmt>
    <rfmt sheetId="5" sqref="AE17" start="0" length="0">
      <dxf>
        <alignment horizontal="center" vertical="center"/>
        <border outline="0">
          <bottom style="thin">
            <color indexed="64"/>
          </bottom>
        </border>
      </dxf>
    </rfmt>
    <rfmt sheetId="5" sqref="AA18" start="0" length="0">
      <dxf>
        <alignment horizontal="center" vertical="center" wrapText="1"/>
      </dxf>
    </rfmt>
    <rfmt sheetId="5" sqref="AB18" start="0" length="0">
      <dxf>
        <alignment horizontal="center" vertical="center" wrapText="1"/>
      </dxf>
    </rfmt>
    <rfmt sheetId="5" sqref="AC18" start="0" length="0">
      <dxf>
        <alignment horizontal="center" vertical="center" wrapText="1"/>
      </dxf>
    </rfmt>
    <rfmt sheetId="5" sqref="AD18" start="0" length="0">
      <dxf>
        <alignment horizontal="center" vertical="center" wrapText="1"/>
      </dxf>
    </rfmt>
    <rfmt sheetId="5" sqref="AE18" start="0" length="0">
      <dxf>
        <alignment horizontal="center" vertical="center" wrapText="1"/>
      </dxf>
    </rfmt>
  </rm>
  <rcv guid="{E3841903-5B68-44FD-8F09-58E03D1025C5}" action="delete"/>
  <rdn rId="0" localSheetId="1" customView="1" name="Z_E3841903_5B68_44FD_8F09_58E03D1025C5_.wvu.FilterData" hidden="1" oldHidden="1">
    <formula>Patrícia!$A$1:$A$18</formula>
    <oldFormula>Patrícia!$A$1:$A$18</oldFormula>
  </rdn>
  <rdn rId="0" localSheetId="2" customView="1" name="Z_E3841903_5B68_44FD_8F09_58E03D1025C5_.wvu.FilterData" hidden="1" oldHidden="1">
    <formula>Marcelo!$A$1:$A$18</formula>
    <oldFormula>Marcelo!$A$1:$A$18</oldFormula>
  </rdn>
  <rdn rId="0" localSheetId="3" customView="1" name="Z_E3841903_5B68_44FD_8F09_58E03D1025C5_.wvu.FilterData" hidden="1" oldHidden="1">
    <formula>TOTAL!$A$1:$A$19</formula>
    <oldFormula>TOTAL!$A$1:$A$19</oldFormula>
  </rdn>
  <rdn rId="0" localSheetId="4" customView="1" name="Z_E3841903_5B68_44FD_8F09_58E03D1025C5_.wvu.FilterData" hidden="1" oldHidden="1">
    <formula>Diego!$A$1:$A$20</formula>
    <oldFormula>Diego!$A$1:$A$19</oldFormula>
  </rdn>
  <rdn rId="0" localSheetId="5" customView="1" name="Z_E3841903_5B68_44FD_8F09_58E03D1025C5_.wvu.FilterData" hidden="1" oldHidden="1">
    <formula>Aelton!$A$1:$A$19</formula>
    <oldFormula>Aelton!$A$1:$A$19</oldFormula>
  </rdn>
  <rdn rId="0" localSheetId="6" customView="1" name="Z_E3841903_5B68_44FD_8F09_58E03D1025C5_.wvu.FilterData" hidden="1" oldHidden="1">
    <formula>Leonam!$A$1:$BD$19</formula>
    <oldFormula>Leonam!$A$1:$BD$19</oldFormula>
  </rdn>
  <rdn rId="0" localSheetId="7" customView="1" name="Z_E3841903_5B68_44FD_8F09_58E03D1025C5_.wvu.FilterData" hidden="1" oldHidden="1">
    <formula>Danilo!$A$1:$A$19</formula>
    <oldFormula>Danilo!$A$1:$A$19</oldFormula>
  </rdn>
  <rdn rId="0" localSheetId="8" customView="1" name="Z_E3841903_5B68_44FD_8F09_58E03D1025C5_.wvu.FilterData" hidden="1" oldHidden="1">
    <formula>Marcos!$A$1:$A$19</formula>
    <oldFormula>Marcos!$A$1:$A$19</oldFormula>
  </rdn>
  <rdn rId="0" localSheetId="10" customView="1" name="Z_E3841903_5B68_44FD_8F09_58E03D1025C5_.wvu.FilterData" hidden="1" oldHidden="1">
    <formula>Alessandro!$A$1:$A$19</formula>
    <oldFormula>Alessandro!$A$1:$A$19</oldFormula>
  </rdn>
  <rdn rId="0" localSheetId="9" customView="1" name="Z_E3841903_5B68_44FD_8F09_58E03D1025C5_.wvu.FilterData" hidden="1" oldHidden="1">
    <formula>Carlos!$A$1:$A$19</formula>
    <oldFormula>Carlos!$A$1:$A$19</oldFormula>
  </rdn>
  <rcv guid="{E3841903-5B68-44FD-8F09-58E03D1025C5}" action="add"/>
</revisions>
</file>

<file path=xl/revisions/revisionLog5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8901" sId="6">
    <nc r="AB3">
      <v>1</v>
    </nc>
  </rcc>
  <rfmt sheetId="6" sqref="AB17" start="0" length="0">
    <dxf>
      <border outline="0">
        <bottom style="thin">
          <color indexed="64"/>
        </bottom>
      </border>
    </dxf>
  </rfmt>
  <rcc rId="8902" sId="6" odxf="1" dxf="1">
    <nc r="AB18" t="inlineStr">
      <is>
        <t>pesquisa da pasta funcional do servidor Luiz Celso Giacomini do ESPORTE</t>
      </is>
    </nc>
    <odxf>
      <alignment wrapText="0"/>
    </odxf>
    <ndxf>
      <alignment wrapText="1"/>
    </ndxf>
  </rcc>
</revisions>
</file>

<file path=xl/revisions/revisionLog6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8903" sId="5">
    <oc r="AF2">
      <f>SUM(#REF!)</f>
    </oc>
    <nc r="AF2">
      <f>SUM(AA2:AE2)</f>
    </nc>
  </rcc>
  <rcc rId="8904" sId="5">
    <oc r="AF3">
      <f>SUM(#REF!)</f>
    </oc>
    <nc r="AF3">
      <f>SUM(AA3:AE3)</f>
    </nc>
  </rcc>
  <rcc rId="8905" sId="5">
    <oc r="AF4">
      <f>SUM(#REF!)</f>
    </oc>
    <nc r="AF4">
      <f>SUM(AA4:AE4)</f>
    </nc>
  </rcc>
  <rcc rId="8906" sId="5">
    <oc r="AF5">
      <f>SUM(#REF!)</f>
    </oc>
    <nc r="AF5">
      <f>SUM(AA5:AE5)</f>
    </nc>
  </rcc>
  <rcc rId="8907" sId="5">
    <oc r="AF6">
      <f>SUM(#REF!)</f>
    </oc>
    <nc r="AF6">
      <f>SUM(AA6:AE6)</f>
    </nc>
  </rcc>
  <rcc rId="8908" sId="5">
    <oc r="AF7">
      <f>SUM(#REF!)</f>
    </oc>
    <nc r="AF7">
      <f>SUM(AA7:AE7)</f>
    </nc>
  </rcc>
  <rcc rId="8909" sId="5">
    <oc r="AF8">
      <f>SUM(#REF!)</f>
    </oc>
    <nc r="AF8">
      <f>SUM(AA8:AE8)</f>
    </nc>
  </rcc>
  <rcc rId="8910" sId="5">
    <oc r="AF9">
      <f>SUM(#REF!)</f>
    </oc>
    <nc r="AF9">
      <f>SUM(AA9:AE9)</f>
    </nc>
  </rcc>
  <rcc rId="8911" sId="5">
    <oc r="AF10">
      <f>SUM(#REF!)</f>
    </oc>
    <nc r="AF10">
      <f>SUM(AA10:AE10)</f>
    </nc>
  </rcc>
  <rcc rId="8912" sId="5">
    <oc r="AF11">
      <f>SUM(#REF!)</f>
    </oc>
    <nc r="AF11">
      <f>SUM(AA11:AE11)</f>
    </nc>
  </rcc>
  <rcc rId="8913" sId="5">
    <oc r="AF12">
      <f>SUM(#REF!)</f>
    </oc>
    <nc r="AF12">
      <f>SUM(AA12:AE12)</f>
    </nc>
  </rcc>
  <rcc rId="8914" sId="5">
    <oc r="AF13">
      <f>SUM(#REF!)</f>
    </oc>
    <nc r="AF13">
      <f>SUM(AA13:AE13)</f>
    </nc>
  </rcc>
  <rcc rId="8915" sId="5">
    <oc r="AF14">
      <f>SUM(#REF!)</f>
    </oc>
    <nc r="AF14">
      <f>SUM(AA14:AE14)</f>
    </nc>
  </rcc>
  <rcc rId="8916" sId="5">
    <oc r="AF15">
      <f>SUM(#REF!)</f>
    </oc>
    <nc r="AF15">
      <f>SUM(AA15:AE15)</f>
    </nc>
  </rcc>
  <rcc rId="8917" sId="5">
    <oc r="AF16">
      <f>SUM(#REF!)</f>
    </oc>
    <nc r="AF16">
      <f>SUM(AA16:AE16)</f>
    </nc>
  </rcc>
  <rcc rId="8918" sId="5">
    <oc r="AF17">
      <f>SUM(#REF!)</f>
    </oc>
    <nc r="AF17">
      <f>SUM(AA17:AE17)</f>
    </nc>
  </rcc>
  <rcc rId="8919" sId="10">
    <nc r="AB18" t="inlineStr">
      <is>
        <t xml:space="preserve">Arquivamento processos MESP
_____
Devolução de 2 caixas para CGATA (correção)
</t>
      </is>
    </nc>
  </rcc>
  <rcc rId="8920" sId="10">
    <nc r="AB3">
      <v>1</v>
    </nc>
  </rcc>
  <rcc rId="8921" sId="10">
    <nc r="AD18" t="inlineStr">
      <is>
        <t>Arquivamento processos MESP
_____
Arrumada na sala G-15 para visita pessoal Arquivo Nacional</t>
      </is>
    </nc>
  </rcc>
  <rcc rId="8922" sId="10">
    <oc r="AE18" t="inlineStr">
      <is>
        <t>Café da manhã de aniversariantes CDA e DIARQ (manhã)
______
Acompanhamento visita dos inteegrantes do Arquivo Nacional.</t>
      </is>
    </oc>
    <nc r="AE18" t="inlineStr">
      <is>
        <t>Café da manhã de aniversariantes CDA e DIARQ (manhã)
______
Preparação da sala para visita pessoal do Arquivo Nacional</t>
      </is>
    </nc>
  </rcc>
  <rcc rId="8923" sId="10">
    <nc r="AB4">
      <v>4</v>
    </nc>
  </rcc>
  <rcc rId="8924" sId="10">
    <nc r="AC4">
      <v>7</v>
    </nc>
  </rcc>
  <rcc rId="8925" sId="10">
    <nc r="AD4">
      <v>4</v>
    </nc>
  </rcc>
  <rcc rId="8926" sId="6">
    <oc r="AF13">
      <f>SUM(Aelton!AA13:AE13)</f>
    </oc>
    <nc r="AF13">
      <f>SUM(AA13:AE13)</f>
    </nc>
  </rcc>
  <rfmt sheetId="6" sqref="AA17:AE17" start="0" length="0">
    <dxf>
      <border>
        <bottom style="thin">
          <color indexed="64"/>
        </bottom>
      </border>
    </dxf>
  </rfmt>
  <rcv guid="{3D987F8E-A6EA-454D-9537-6BFC5053CB00}" action="delete"/>
  <rdn rId="0" localSheetId="1" customView="1" name="Z_3D987F8E_A6EA_454D_9537_6BFC5053CB00_.wvu.FilterData" hidden="1" oldHidden="1">
    <formula>Patrícia!$A$1:$A$18</formula>
    <oldFormula>Patrícia!$A$1:$A$18</oldFormula>
  </rdn>
  <rdn rId="0" localSheetId="2" customView="1" name="Z_3D987F8E_A6EA_454D_9537_6BFC5053CB00_.wvu.FilterData" hidden="1" oldHidden="1">
    <formula>Marcelo!$A$1:$A$18</formula>
    <oldFormula>Marcelo!$A$1:$A$18</oldFormula>
  </rdn>
  <rdn rId="0" localSheetId="3" customView="1" name="Z_3D987F8E_A6EA_454D_9537_6BFC5053CB00_.wvu.FilterData" hidden="1" oldHidden="1">
    <formula>TOTAL!$A$1:$A$19</formula>
    <oldFormula>TOTAL!$A$1:$A$19</oldFormula>
  </rdn>
  <rdn rId="0" localSheetId="4" customView="1" name="Z_3D987F8E_A6EA_454D_9537_6BFC5053CB00_.wvu.FilterData" hidden="1" oldHidden="1">
    <formula>Diego!$A$1:$A$20</formula>
    <oldFormula>Diego!$A$1:$A$20</oldFormula>
  </rdn>
  <rdn rId="0" localSheetId="5" customView="1" name="Z_3D987F8E_A6EA_454D_9537_6BFC5053CB00_.wvu.FilterData" hidden="1" oldHidden="1">
    <formula>Aelton!$A$1:$A$19</formula>
    <oldFormula>Aelton!$A$1:$A$19</oldFormula>
  </rdn>
  <rdn rId="0" localSheetId="6" customView="1" name="Z_3D987F8E_A6EA_454D_9537_6BFC5053CB00_.wvu.FilterData" hidden="1" oldHidden="1">
    <formula>Leonam!$A$1:$BD$19</formula>
    <oldFormula>Leonam!$A$1:$BD$19</oldFormula>
  </rdn>
  <rdn rId="0" localSheetId="7" customView="1" name="Z_3D987F8E_A6EA_454D_9537_6BFC5053CB00_.wvu.FilterData" hidden="1" oldHidden="1">
    <formula>Danilo!$A$1:$A$19</formula>
    <oldFormula>Danilo!$A$1:$A$19</oldFormula>
  </rdn>
  <rdn rId="0" localSheetId="8" customView="1" name="Z_3D987F8E_A6EA_454D_9537_6BFC5053CB00_.wvu.FilterData" hidden="1" oldHidden="1">
    <formula>Marcos!$A$1:$A$19</formula>
    <oldFormula>Marcos!$A$1:$A$19</oldFormula>
  </rdn>
  <rdn rId="0" localSheetId="10" customView="1" name="Z_3D987F8E_A6EA_454D_9537_6BFC5053CB00_.wvu.FilterData" hidden="1" oldHidden="1">
    <formula>Alessandro!$A$1:$A$19</formula>
    <oldFormula>Alessandro!$A$1:$A$19</oldFormula>
  </rdn>
  <rdn rId="0" localSheetId="9" customView="1" name="Z_3D987F8E_A6EA_454D_9537_6BFC5053CB00_.wvu.FilterData" hidden="1" oldHidden="1">
    <formula>Carlos!$A$1:$A$19</formula>
    <oldFormula>Carlos!$A$1:$A$19</oldFormula>
  </rdn>
  <rcv guid="{3D987F8E-A6EA-454D-9537-6BFC5053CB00}" action="add"/>
</revisions>
</file>

<file path=xl/revisions/revisionLog6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8937" sId="6">
    <oc r="AF2">
      <f>SUM(Aelton!AA2:AE2)</f>
    </oc>
    <nc r="AF2">
      <f>SUM(AA2:AE2)</f>
    </nc>
  </rcc>
  <rcc rId="8938" sId="6">
    <oc r="AF3">
      <f>SUM(Aelton!AA3:AE3)</f>
    </oc>
    <nc r="AF3">
      <f>SUM(AA3:AE3)</f>
    </nc>
  </rcc>
  <rcc rId="8939" sId="6">
    <oc r="AF4">
      <f>SUM(Aelton!AA4:AE4)</f>
    </oc>
    <nc r="AF4">
      <f>SUM(AA4:AE4)</f>
    </nc>
  </rcc>
  <rcc rId="8940" sId="6">
    <oc r="AF5">
      <f>SUM(Aelton!AA5:AE5)</f>
    </oc>
    <nc r="AF5">
      <f>SUM(AA5:AE5)</f>
    </nc>
  </rcc>
  <rcc rId="8941" sId="6">
    <oc r="AF6">
      <f>SUM(Aelton!AA6:AE6)</f>
    </oc>
    <nc r="AF6">
      <f>SUM(AA6:AE6)</f>
    </nc>
  </rcc>
  <rcc rId="8942" sId="6">
    <oc r="AF7">
      <f>SUM(Aelton!AA7:AE7)</f>
    </oc>
    <nc r="AF7">
      <f>SUM(AA7:AE7)</f>
    </nc>
  </rcc>
  <rcc rId="8943" sId="6">
    <oc r="AF8">
      <f>SUM(Aelton!AA8:AE8)</f>
    </oc>
    <nc r="AF8">
      <f>SUM(AA8:AE8)</f>
    </nc>
  </rcc>
  <rcc rId="8944" sId="6">
    <oc r="AF9">
      <f>SUM(Aelton!AA9:AE9)</f>
    </oc>
    <nc r="AF9">
      <f>SUM(AA9:AE9)</f>
    </nc>
  </rcc>
  <rcc rId="8945" sId="6">
    <oc r="AF10">
      <f>SUM(Aelton!AA10:AE10)</f>
    </oc>
    <nc r="AF10">
      <f>SUM(AA10:AE10)</f>
    </nc>
  </rcc>
  <rcc rId="8946" sId="6">
    <oc r="AF11">
      <f>SUM(Aelton!AA11:AE11)</f>
    </oc>
    <nc r="AF11">
      <f>SUM(AA11:AE11)</f>
    </nc>
  </rcc>
  <rcc rId="8947" sId="6">
    <oc r="AF12">
      <f>SUM(Aelton!AA12:AE12)</f>
    </oc>
    <nc r="AF12">
      <f>SUM(AA12:AE12)</f>
    </nc>
  </rcc>
  <rcc rId="8948" sId="6">
    <oc r="AF13">
      <f>SUM(AA13:AE13)</f>
    </oc>
    <nc r="AF13">
      <f>SUM(AA13:AE13)</f>
    </nc>
  </rcc>
  <rcc rId="8949" sId="6">
    <oc r="AF14">
      <f>SUM(Aelton!AA14:AE14)</f>
    </oc>
    <nc r="AF14">
      <f>SUM(AA14:AE14)</f>
    </nc>
  </rcc>
  <rcc rId="8950" sId="6">
    <oc r="AF15">
      <f>SUM(Aelton!AA15:AE15)</f>
    </oc>
    <nc r="AF15">
      <f>SUM(AA15:AE15)</f>
    </nc>
  </rcc>
  <rcc rId="8951" sId="6">
    <oc r="AF16">
      <f>SUM(Aelton!AA16:AE16)</f>
    </oc>
    <nc r="AF16">
      <f>SUM(AA16:AE16)</f>
    </nc>
  </rcc>
  <rcc rId="8952" sId="6">
    <oc r="AF17">
      <f>SUM(Aelton!AA17:AE17)</f>
    </oc>
    <nc r="AF17">
      <f>SUM(AA17:AE17)</f>
    </nc>
  </rcc>
</revisions>
</file>

<file path=xl/revisions/revisionLog6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9000" sId="6" odxf="1" dxf="1">
    <nc r="AA2">
      <v>3</v>
    </nc>
    <odxf>
      <border outline="0">
        <left style="thin">
          <color indexed="64"/>
        </left>
      </border>
    </odxf>
    <ndxf>
      <border outline="0">
        <left/>
      </border>
    </ndxf>
  </rcc>
  <rfmt sheetId="6" sqref="AE2" start="0" length="0">
    <dxf>
      <border outline="0">
        <right/>
      </border>
    </dxf>
  </rfmt>
  <rcc rId="9001" sId="6" odxf="1" dxf="1">
    <nc r="AA3">
      <v>3</v>
    </nc>
    <odxf>
      <border outline="0">
        <left style="thin">
          <color indexed="64"/>
        </left>
      </border>
    </odxf>
    <ndxf>
      <border outline="0">
        <left/>
      </border>
    </ndxf>
  </rcc>
  <rfmt sheetId="6" sqref="AE3" start="0" length="0">
    <dxf>
      <border outline="0">
        <right/>
      </border>
    </dxf>
  </rfmt>
  <rfmt sheetId="6" sqref="AA4" start="0" length="0">
    <dxf>
      <border outline="0">
        <left/>
      </border>
    </dxf>
  </rfmt>
  <rfmt sheetId="6" sqref="AE4" start="0" length="0">
    <dxf>
      <border outline="0">
        <right/>
      </border>
    </dxf>
  </rfmt>
  <rfmt sheetId="6" sqref="AA5" start="0" length="0">
    <dxf>
      <border outline="0">
        <left/>
      </border>
    </dxf>
  </rfmt>
  <rfmt sheetId="6" sqref="AE5" start="0" length="0">
    <dxf>
      <border outline="0">
        <right/>
      </border>
    </dxf>
  </rfmt>
  <rfmt sheetId="6" sqref="AA6" start="0" length="0">
    <dxf>
      <border outline="0">
        <left/>
      </border>
    </dxf>
  </rfmt>
  <rfmt sheetId="6" sqref="AE6" start="0" length="0">
    <dxf>
      <border outline="0">
        <right/>
      </border>
    </dxf>
  </rfmt>
  <rfmt sheetId="6" sqref="AA7" start="0" length="0">
    <dxf>
      <border outline="0">
        <left/>
      </border>
    </dxf>
  </rfmt>
  <rfmt sheetId="6" sqref="AE7" start="0" length="0">
    <dxf>
      <border outline="0">
        <right/>
      </border>
    </dxf>
  </rfmt>
  <rfmt sheetId="6" sqref="AA8" start="0" length="0">
    <dxf>
      <border outline="0">
        <left/>
      </border>
    </dxf>
  </rfmt>
  <rfmt sheetId="6" sqref="AE8" start="0" length="0">
    <dxf>
      <border outline="0">
        <right/>
      </border>
    </dxf>
  </rfmt>
  <rfmt sheetId="6" sqref="AA9" start="0" length="0">
    <dxf>
      <border outline="0">
        <left/>
      </border>
    </dxf>
  </rfmt>
  <rfmt sheetId="6" sqref="AE9" start="0" length="0">
    <dxf>
      <border outline="0">
        <right/>
      </border>
    </dxf>
  </rfmt>
  <rfmt sheetId="6" sqref="AA10" start="0" length="0">
    <dxf>
      <border outline="0">
        <left/>
      </border>
    </dxf>
  </rfmt>
  <rfmt sheetId="6" sqref="AE10" start="0" length="0">
    <dxf>
      <border outline="0">
        <right/>
      </border>
    </dxf>
  </rfmt>
  <rfmt sheetId="6" sqref="AA11" start="0" length="0">
    <dxf>
      <border outline="0">
        <left/>
      </border>
    </dxf>
  </rfmt>
  <rfmt sheetId="6" sqref="AE11" start="0" length="0">
    <dxf>
      <border outline="0">
        <right/>
      </border>
    </dxf>
  </rfmt>
  <rfmt sheetId="6" sqref="AA12" start="0" length="0">
    <dxf>
      <border outline="0">
        <left/>
      </border>
    </dxf>
  </rfmt>
  <rfmt sheetId="6" sqref="AE12" start="0" length="0">
    <dxf>
      <border outline="0">
        <right/>
      </border>
    </dxf>
  </rfmt>
  <rfmt sheetId="6" sqref="AA13" start="0" length="0">
    <dxf>
      <border outline="0">
        <left/>
      </border>
    </dxf>
  </rfmt>
  <rcc rId="9002" sId="6">
    <nc r="AC13">
      <v>2</v>
    </nc>
  </rcc>
  <rfmt sheetId="6" sqref="AE13" start="0" length="0">
    <dxf>
      <border outline="0">
        <right/>
      </border>
    </dxf>
  </rfmt>
  <rfmt sheetId="6" sqref="AA14" start="0" length="0">
    <dxf>
      <border outline="0">
        <left/>
      </border>
    </dxf>
  </rfmt>
  <rfmt sheetId="6" sqref="AE14" start="0" length="0">
    <dxf>
      <border outline="0">
        <right/>
      </border>
    </dxf>
  </rfmt>
  <rfmt sheetId="6" sqref="AA15" start="0" length="0">
    <dxf>
      <border outline="0">
        <left/>
      </border>
    </dxf>
  </rfmt>
  <rfmt sheetId="6" sqref="AE15" start="0" length="0">
    <dxf>
      <border outline="0">
        <right/>
      </border>
    </dxf>
  </rfmt>
  <rfmt sheetId="6" sqref="AA16" start="0" length="0">
    <dxf>
      <border outline="0">
        <left/>
      </border>
    </dxf>
  </rfmt>
  <rfmt sheetId="6" sqref="AE16" start="0" length="0">
    <dxf>
      <border outline="0">
        <right/>
      </border>
    </dxf>
  </rfmt>
  <rfmt sheetId="6" sqref="AA17" start="0" length="0">
    <dxf>
      <border outline="0">
        <left/>
      </border>
    </dxf>
  </rfmt>
  <rfmt sheetId="6" sqref="AE17" start="0" length="0">
    <dxf>
      <border outline="0">
        <right/>
      </border>
    </dxf>
  </rfmt>
  <rcc rId="9003" sId="6" odxf="1" dxf="1">
    <nc r="AC18" t="inlineStr">
      <is>
        <t xml:space="preserve">TROCANDO CAIXAS NO ARQUIVO 10 , </t>
      </is>
    </nc>
    <odxf>
      <alignment wrapText="0"/>
    </odxf>
    <ndxf>
      <alignment wrapText="1"/>
    </ndxf>
  </rcc>
  <rcc rId="9004" sId="6" odxf="1" dxf="1">
    <nc r="AD18" t="inlineStr">
      <is>
        <t>Organização da sala 4.47 para recepicinar integrantes do arquivo central</t>
      </is>
    </nc>
    <odxf>
      <alignment wrapText="0"/>
    </odxf>
    <ndxf>
      <alignment wrapText="1"/>
    </ndxf>
  </rcc>
  <rcc rId="9005" sId="6" odxf="1" dxf="1">
    <nc r="AE18" t="inlineStr">
      <is>
        <t>1. Confraternização CDA
 pela manhã.
2. Acompanhamento visita dos inteegrantes do Arquivo Nacional.</t>
      </is>
    </nc>
    <odxf>
      <alignment wrapText="0"/>
    </odxf>
    <ndxf>
      <alignment wrapText="1"/>
    </ndxf>
  </rcc>
  <rcc rId="9006" sId="7">
    <nc r="AB3">
      <v>1</v>
    </nc>
  </rcc>
</revisions>
</file>

<file path=xl/revisions/revisionLog6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9007" sId="6">
    <nc r="AC17">
      <v>10</v>
    </nc>
  </rcc>
  <rcc rId="9008" sId="7">
    <nc r="V17">
      <v>10</v>
    </nc>
  </rcc>
  <rcc rId="9009" sId="7">
    <nc r="W17">
      <v>15</v>
    </nc>
  </rcc>
  <rcc rId="9010" sId="7">
    <nc r="X17">
      <v>10</v>
    </nc>
  </rcc>
  <rcc rId="9011" sId="7">
    <nc r="Y17">
      <v>10</v>
    </nc>
  </rcc>
  <rcc rId="9012" sId="7">
    <nc r="AC17">
      <v>10</v>
    </nc>
  </rcc>
  <rcc rId="9013" sId="8">
    <nc r="X17">
      <v>10</v>
    </nc>
  </rcc>
  <rcc rId="9014" sId="8">
    <nc r="Y17">
      <v>10</v>
    </nc>
  </rcc>
  <rcv guid="{3D987F8E-A6EA-454D-9537-6BFC5053CB00}" action="delete"/>
  <rdn rId="0" localSheetId="1" customView="1" name="Z_3D987F8E_A6EA_454D_9537_6BFC5053CB00_.wvu.FilterData" hidden="1" oldHidden="1">
    <formula>Patrícia!$A$1:$A$18</formula>
    <oldFormula>Patrícia!$A$1:$A$18</oldFormula>
  </rdn>
  <rdn rId="0" localSheetId="2" customView="1" name="Z_3D987F8E_A6EA_454D_9537_6BFC5053CB00_.wvu.FilterData" hidden="1" oldHidden="1">
    <formula>Marcelo!$A$1:$A$18</formula>
    <oldFormula>Marcelo!$A$1:$A$18</oldFormula>
  </rdn>
  <rdn rId="0" localSheetId="3" customView="1" name="Z_3D987F8E_A6EA_454D_9537_6BFC5053CB00_.wvu.FilterData" hidden="1" oldHidden="1">
    <formula>TOTAL!$A$1:$A$19</formula>
    <oldFormula>TOTAL!$A$1:$A$19</oldFormula>
  </rdn>
  <rdn rId="0" localSheetId="4" customView="1" name="Z_3D987F8E_A6EA_454D_9537_6BFC5053CB00_.wvu.FilterData" hidden="1" oldHidden="1">
    <formula>Diego!$A$1:$A$20</formula>
    <oldFormula>Diego!$A$1:$A$20</oldFormula>
  </rdn>
  <rdn rId="0" localSheetId="5" customView="1" name="Z_3D987F8E_A6EA_454D_9537_6BFC5053CB00_.wvu.FilterData" hidden="1" oldHidden="1">
    <formula>Aelton!$A$1:$A$19</formula>
    <oldFormula>Aelton!$A$1:$A$19</oldFormula>
  </rdn>
  <rdn rId="0" localSheetId="6" customView="1" name="Z_3D987F8E_A6EA_454D_9537_6BFC5053CB00_.wvu.FilterData" hidden="1" oldHidden="1">
    <formula>Leonam!$A$1:$BD$19</formula>
    <oldFormula>Leonam!$A$1:$BD$19</oldFormula>
  </rdn>
  <rdn rId="0" localSheetId="7" customView="1" name="Z_3D987F8E_A6EA_454D_9537_6BFC5053CB00_.wvu.FilterData" hidden="1" oldHidden="1">
    <formula>Danilo!$A$1:$A$19</formula>
    <oldFormula>Danilo!$A$1:$A$19</oldFormula>
  </rdn>
  <rdn rId="0" localSheetId="8" customView="1" name="Z_3D987F8E_A6EA_454D_9537_6BFC5053CB00_.wvu.FilterData" hidden="1" oldHidden="1">
    <formula>Marcos!$A$1:$A$19</formula>
    <oldFormula>Marcos!$A$1:$A$19</oldFormula>
  </rdn>
  <rdn rId="0" localSheetId="10" customView="1" name="Z_3D987F8E_A6EA_454D_9537_6BFC5053CB00_.wvu.FilterData" hidden="1" oldHidden="1">
    <formula>Alessandro!$A$1:$A$19</formula>
    <oldFormula>Alessandro!$A$1:$A$19</oldFormula>
  </rdn>
  <rdn rId="0" localSheetId="9" customView="1" name="Z_3D987F8E_A6EA_454D_9537_6BFC5053CB00_.wvu.FilterData" hidden="1" oldHidden="1">
    <formula>Carlos!$A$1:$A$19</formula>
    <oldFormula>Carlos!$A$1:$A$19</oldFormula>
  </rdn>
  <rcv guid="{3D987F8E-A6EA-454D-9537-6BFC5053CB00}" action="add"/>
</revisions>
</file>

<file path=xl/revisions/revisionLog6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9025" sId="4">
    <nc r="AC18" t="inlineStr">
      <is>
        <t xml:space="preserve">TROCANDO CAIXAS NO ARQUIVO 10 , </t>
      </is>
    </nc>
  </rcc>
  <rcc rId="9026" sId="4">
    <nc r="AD18" t="inlineStr">
      <is>
        <t>Organização da sala 4.47 para recepicinar integrantes do arquivo central</t>
      </is>
    </nc>
  </rcc>
  <rcc rId="9027" sId="4">
    <nc r="AE18" t="inlineStr">
      <is>
        <t>1. Confraternização CDA
 pela manhã.
2. Acompanhamento visita dos inteegrantes do Arquivo Nacional.</t>
      </is>
    </nc>
  </rcc>
  <rcc rId="9028" sId="4">
    <nc r="AA17">
      <v>10</v>
    </nc>
  </rcc>
  <rcc rId="9029" sId="4">
    <nc r="AB17">
      <v>10</v>
    </nc>
  </rcc>
  <rcc rId="9030" sId="4">
    <nc r="AC17">
      <v>10</v>
    </nc>
  </rcc>
  <rcc rId="9031" sId="4">
    <nc r="AD17">
      <v>10</v>
    </nc>
  </rcc>
  <rcc rId="9032" sId="4">
    <nc r="AE17">
      <v>10</v>
    </nc>
  </rcc>
  <rcv guid="{20CB6D8F-C24D-4D4B-A424-AF380F620455}" action="delete"/>
  <rdn rId="0" localSheetId="1" customView="1" name="Z_20CB6D8F_C24D_4D4B_A424_AF380F620455_.wvu.FilterData" hidden="1" oldHidden="1">
    <formula>Patrícia!$A$1:$A$18</formula>
    <oldFormula>Patrícia!$A$1:$A$18</oldFormula>
  </rdn>
  <rdn rId="0" localSheetId="2" customView="1" name="Z_20CB6D8F_C24D_4D4B_A424_AF380F620455_.wvu.FilterData" hidden="1" oldHidden="1">
    <formula>Marcelo!$A$1:$A$18</formula>
    <oldFormula>Marcelo!$A$1:$A$18</oldFormula>
  </rdn>
  <rdn rId="0" localSheetId="3" customView="1" name="Z_20CB6D8F_C24D_4D4B_A424_AF380F620455_.wvu.FilterData" hidden="1" oldHidden="1">
    <formula>TOTAL!$A$1:$A$19</formula>
    <oldFormula>TOTAL!$A$1:$A$19</oldFormula>
  </rdn>
  <rdn rId="0" localSheetId="4" customView="1" name="Z_20CB6D8F_C24D_4D4B_A424_AF380F620455_.wvu.FilterData" hidden="1" oldHidden="1">
    <formula>Diego!$A$1:$A$20</formula>
    <oldFormula>Diego!$A$1:$A$20</oldFormula>
  </rdn>
  <rdn rId="0" localSheetId="5" customView="1" name="Z_20CB6D8F_C24D_4D4B_A424_AF380F620455_.wvu.FilterData" hidden="1" oldHidden="1">
    <formula>Aelton!$A$1:$A$19</formula>
    <oldFormula>Aelton!$A$1:$A$19</oldFormula>
  </rdn>
  <rdn rId="0" localSheetId="6" customView="1" name="Z_20CB6D8F_C24D_4D4B_A424_AF380F620455_.wvu.FilterData" hidden="1" oldHidden="1">
    <formula>Leonam!$A$1:$BD$19</formula>
    <oldFormula>Leonam!$A$1:$BD$19</oldFormula>
  </rdn>
  <rdn rId="0" localSheetId="7" customView="1" name="Z_20CB6D8F_C24D_4D4B_A424_AF380F620455_.wvu.FilterData" hidden="1" oldHidden="1">
    <formula>Danilo!$A$1:$A$19</formula>
    <oldFormula>Danilo!$A$1:$A$19</oldFormula>
  </rdn>
  <rdn rId="0" localSheetId="8" customView="1" name="Z_20CB6D8F_C24D_4D4B_A424_AF380F620455_.wvu.FilterData" hidden="1" oldHidden="1">
    <formula>Marcos!$A$1:$A$19</formula>
    <oldFormula>Marcos!$A$1:$A$19</oldFormula>
  </rdn>
  <rdn rId="0" localSheetId="10" customView="1" name="Z_20CB6D8F_C24D_4D4B_A424_AF380F620455_.wvu.FilterData" hidden="1" oldHidden="1">
    <formula>Alessandro!$A$1:$A$19</formula>
    <oldFormula>Alessandro!$A$1:$A$19</oldFormula>
  </rdn>
  <rdn rId="0" localSheetId="9" customView="1" name="Z_20CB6D8F_C24D_4D4B_A424_AF380F620455_.wvu.FilterData" hidden="1" oldHidden="1">
    <formula>Carlos!$A$1:$A$19</formula>
    <oldFormula>Carlos!$A$1:$A$19</oldFormula>
  </rdn>
  <rcv guid="{20CB6D8F-C24D-4D4B-A424-AF380F620455}" action="add"/>
</revisions>
</file>

<file path=xl/revisions/revisionLog6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9175" sId="7">
    <nc r="AI4">
      <v>3</v>
    </nc>
  </rcc>
  <rcc rId="9176" sId="7">
    <nc r="AM5">
      <v>13</v>
    </nc>
  </rcc>
  <rcc rId="9177" sId="7">
    <nc r="AM4">
      <v>13</v>
    </nc>
  </rcc>
  <rcc rId="9178" sId="7">
    <nc r="AM13">
      <v>1</v>
    </nc>
  </rcc>
</revisions>
</file>

<file path=xl/revisions/revisionLog6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9179" sId="8">
    <nc r="AJ18" t="inlineStr">
      <is>
        <t xml:space="preserve">colocando os espelhos nas caixas novas </t>
      </is>
    </nc>
  </rcc>
  <rcc rId="9180" sId="8">
    <nc r="AK18" t="inlineStr">
      <is>
        <t xml:space="preserve">colocando os espelhos nas caixas novas </t>
      </is>
    </nc>
  </rcc>
  <rcv guid="{E3841903-5B68-44FD-8F09-58E03D1025C5}" action="delete"/>
  <rdn rId="0" localSheetId="1" customView="1" name="Z_E3841903_5B68_44FD_8F09_58E03D1025C5_.wvu.FilterData" hidden="1" oldHidden="1">
    <formula>Patrícia!$A$1:$A$18</formula>
    <oldFormula>Patrícia!$A$1:$A$18</oldFormula>
  </rdn>
  <rdn rId="0" localSheetId="2" customView="1" name="Z_E3841903_5B68_44FD_8F09_58E03D1025C5_.wvu.FilterData" hidden="1" oldHidden="1">
    <formula>Marcelo!$A$1:$A$18</formula>
    <oldFormula>Marcelo!$A$1:$A$18</oldFormula>
  </rdn>
  <rdn rId="0" localSheetId="3" customView="1" name="Z_E3841903_5B68_44FD_8F09_58E03D1025C5_.wvu.FilterData" hidden="1" oldHidden="1">
    <formula>TOTAL!$A$1:$A$19</formula>
    <oldFormula>TOTAL!$A$1:$A$19</oldFormula>
  </rdn>
  <rdn rId="0" localSheetId="4" customView="1" name="Z_E3841903_5B68_44FD_8F09_58E03D1025C5_.wvu.FilterData" hidden="1" oldHidden="1">
    <formula>Diego!$A$1:$A$20</formula>
    <oldFormula>Diego!$A$1:$A$20</oldFormula>
  </rdn>
  <rdn rId="0" localSheetId="5" customView="1" name="Z_E3841903_5B68_44FD_8F09_58E03D1025C5_.wvu.FilterData" hidden="1" oldHidden="1">
    <formula>Aelton!$A$1:$A$19</formula>
    <oldFormula>Aelton!$A$1:$A$19</oldFormula>
  </rdn>
  <rdn rId="0" localSheetId="6" customView="1" name="Z_E3841903_5B68_44FD_8F09_58E03D1025C5_.wvu.FilterData" hidden="1" oldHidden="1">
    <formula>Leonam!$A$1:$BD$19</formula>
    <oldFormula>Leonam!$A$1:$BD$19</oldFormula>
  </rdn>
  <rdn rId="0" localSheetId="7" customView="1" name="Z_E3841903_5B68_44FD_8F09_58E03D1025C5_.wvu.FilterData" hidden="1" oldHidden="1">
    <formula>Danilo!$A$1:$A$19</formula>
    <oldFormula>Danilo!$A$1:$A$19</oldFormula>
  </rdn>
  <rdn rId="0" localSheetId="8" customView="1" name="Z_E3841903_5B68_44FD_8F09_58E03D1025C5_.wvu.FilterData" hidden="1" oldHidden="1">
    <formula>Marcos!$A$1:$A$19</formula>
    <oldFormula>Marcos!$A$1:$A$19</oldFormula>
  </rdn>
  <rdn rId="0" localSheetId="10" customView="1" name="Z_E3841903_5B68_44FD_8F09_58E03D1025C5_.wvu.FilterData" hidden="1" oldHidden="1">
    <formula>Alessandro!$A$1:$A$19</formula>
    <oldFormula>Alessandro!$A$1:$A$19</oldFormula>
  </rdn>
  <rdn rId="0" localSheetId="9" customView="1" name="Z_E3841903_5B68_44FD_8F09_58E03D1025C5_.wvu.FilterData" hidden="1" oldHidden="1">
    <formula>Carlos!$A$1:$A$19</formula>
    <oldFormula>Carlos!$A$1:$A$19</oldFormula>
  </rdn>
  <rcv guid="{E3841903-5B68-44FD-8F09-58E03D1025C5}" action="add"/>
</revisions>
</file>

<file path=xl/revisions/revisionLog6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9191" sId="4">
    <nc r="AK2">
      <v>35</v>
    </nc>
  </rcc>
  <rcc rId="9192" sId="4">
    <nc r="AM15">
      <v>100</v>
    </nc>
  </rcc>
  <rcc rId="9193" sId="4">
    <nc r="AM18" t="inlineStr">
      <is>
        <t>CAIXAS REMANEJADAS  DA LBA,ARQUIVO SNAS DA  4.47 PARA 3.71</t>
      </is>
    </nc>
  </rcc>
  <rcv guid="{20CB6D8F-C24D-4D4B-A424-AF380F620455}" action="delete"/>
  <rdn rId="0" localSheetId="1" customView="1" name="Z_20CB6D8F_C24D_4D4B_A424_AF380F620455_.wvu.FilterData" hidden="1" oldHidden="1">
    <formula>Patrícia!$A$1:$A$18</formula>
    <oldFormula>Patrícia!$A$1:$A$18</oldFormula>
  </rdn>
  <rdn rId="0" localSheetId="2" customView="1" name="Z_20CB6D8F_C24D_4D4B_A424_AF380F620455_.wvu.FilterData" hidden="1" oldHidden="1">
    <formula>Marcelo!$A$1:$A$18</formula>
    <oldFormula>Marcelo!$A$1:$A$18</oldFormula>
  </rdn>
  <rdn rId="0" localSheetId="3" customView="1" name="Z_20CB6D8F_C24D_4D4B_A424_AF380F620455_.wvu.FilterData" hidden="1" oldHidden="1">
    <formula>TOTAL!$A$1:$A$19</formula>
    <oldFormula>TOTAL!$A$1:$A$19</oldFormula>
  </rdn>
  <rdn rId="0" localSheetId="4" customView="1" name="Z_20CB6D8F_C24D_4D4B_A424_AF380F620455_.wvu.FilterData" hidden="1" oldHidden="1">
    <formula>Diego!$A$1:$A$20</formula>
    <oldFormula>Diego!$A$1:$A$20</oldFormula>
  </rdn>
  <rdn rId="0" localSheetId="5" customView="1" name="Z_20CB6D8F_C24D_4D4B_A424_AF380F620455_.wvu.FilterData" hidden="1" oldHidden="1">
    <formula>Aelton!$A$1:$A$19</formula>
    <oldFormula>Aelton!$A$1:$A$19</oldFormula>
  </rdn>
  <rdn rId="0" localSheetId="6" customView="1" name="Z_20CB6D8F_C24D_4D4B_A424_AF380F620455_.wvu.FilterData" hidden="1" oldHidden="1">
    <formula>Leonam!$A$1:$BD$19</formula>
    <oldFormula>Leonam!$A$1:$BD$19</oldFormula>
  </rdn>
  <rdn rId="0" localSheetId="7" customView="1" name="Z_20CB6D8F_C24D_4D4B_A424_AF380F620455_.wvu.FilterData" hidden="1" oldHidden="1">
    <formula>Danilo!$A$1:$A$19</formula>
    <oldFormula>Danilo!$A$1:$A$19</oldFormula>
  </rdn>
  <rdn rId="0" localSheetId="8" customView="1" name="Z_20CB6D8F_C24D_4D4B_A424_AF380F620455_.wvu.FilterData" hidden="1" oldHidden="1">
    <formula>Marcos!$A$1:$A$19</formula>
    <oldFormula>Marcos!$A$1:$A$19</oldFormula>
  </rdn>
  <rdn rId="0" localSheetId="10" customView="1" name="Z_20CB6D8F_C24D_4D4B_A424_AF380F620455_.wvu.FilterData" hidden="1" oldHidden="1">
    <formula>Alessandro!$A$1:$A$19</formula>
    <oldFormula>Alessandro!$A$1:$A$19</oldFormula>
  </rdn>
  <rdn rId="0" localSheetId="9" customView="1" name="Z_20CB6D8F_C24D_4D4B_A424_AF380F620455_.wvu.FilterData" hidden="1" oldHidden="1">
    <formula>Carlos!$A$1:$A$19</formula>
    <oldFormula>Carlos!$A$1:$A$19</oldFormula>
  </rdn>
  <rcv guid="{20CB6D8F-C24D-4D4B-A424-AF380F620455}" action="add"/>
</revisions>
</file>

<file path=xl/revisions/revisionLog6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9204" sId="4">
    <nc r="AN15">
      <v>126</v>
    </nc>
  </rcc>
  <rcc rId="9205" sId="4">
    <nc r="AN18" t="inlineStr">
      <is>
        <t>LEITURA DO MODULO 15 DA SALA 3.71</t>
      </is>
    </nc>
  </rcc>
  <rfmt sheetId="4" sqref="AN18">
    <dxf>
      <alignment wrapText="1"/>
    </dxf>
  </rfmt>
  <rcv guid="{20CB6D8F-C24D-4D4B-A424-AF380F620455}" action="delete"/>
  <rdn rId="0" localSheetId="1" customView="1" name="Z_20CB6D8F_C24D_4D4B_A424_AF380F620455_.wvu.FilterData" hidden="1" oldHidden="1">
    <formula>Patrícia!$A$1:$A$18</formula>
    <oldFormula>Patrícia!$A$1:$A$18</oldFormula>
  </rdn>
  <rdn rId="0" localSheetId="2" customView="1" name="Z_20CB6D8F_C24D_4D4B_A424_AF380F620455_.wvu.FilterData" hidden="1" oldHidden="1">
    <formula>Marcelo!$A$1:$A$18</formula>
    <oldFormula>Marcelo!$A$1:$A$18</oldFormula>
  </rdn>
  <rdn rId="0" localSheetId="3" customView="1" name="Z_20CB6D8F_C24D_4D4B_A424_AF380F620455_.wvu.FilterData" hidden="1" oldHidden="1">
    <formula>TOTAL!$A$1:$A$19</formula>
    <oldFormula>TOTAL!$A$1:$A$19</oldFormula>
  </rdn>
  <rdn rId="0" localSheetId="4" customView="1" name="Z_20CB6D8F_C24D_4D4B_A424_AF380F620455_.wvu.FilterData" hidden="1" oldHidden="1">
    <formula>Diego!$A$1:$A$20</formula>
    <oldFormula>Diego!$A$1:$A$20</oldFormula>
  </rdn>
  <rdn rId="0" localSheetId="5" customView="1" name="Z_20CB6D8F_C24D_4D4B_A424_AF380F620455_.wvu.FilterData" hidden="1" oldHidden="1">
    <formula>Aelton!$A$1:$A$19</formula>
    <oldFormula>Aelton!$A$1:$A$19</oldFormula>
  </rdn>
  <rdn rId="0" localSheetId="6" customView="1" name="Z_20CB6D8F_C24D_4D4B_A424_AF380F620455_.wvu.FilterData" hidden="1" oldHidden="1">
    <formula>Leonam!$A$1:$BD$19</formula>
    <oldFormula>Leonam!$A$1:$BD$19</oldFormula>
  </rdn>
  <rdn rId="0" localSheetId="7" customView="1" name="Z_20CB6D8F_C24D_4D4B_A424_AF380F620455_.wvu.FilterData" hidden="1" oldHidden="1">
    <formula>Danilo!$A$1:$A$19</formula>
    <oldFormula>Danilo!$A$1:$A$19</oldFormula>
  </rdn>
  <rdn rId="0" localSheetId="8" customView="1" name="Z_20CB6D8F_C24D_4D4B_A424_AF380F620455_.wvu.FilterData" hidden="1" oldHidden="1">
    <formula>Marcos!$A$1:$A$19</formula>
    <oldFormula>Marcos!$A$1:$A$19</oldFormula>
  </rdn>
  <rdn rId="0" localSheetId="10" customView="1" name="Z_20CB6D8F_C24D_4D4B_A424_AF380F620455_.wvu.FilterData" hidden="1" oldHidden="1">
    <formula>Alessandro!$A$1:$A$19</formula>
    <oldFormula>Alessandro!$A$1:$A$19</oldFormula>
  </rdn>
  <rdn rId="0" localSheetId="9" customView="1" name="Z_20CB6D8F_C24D_4D4B_A424_AF380F620455_.wvu.FilterData" hidden="1" oldHidden="1">
    <formula>Carlos!$A$1:$A$19</formula>
    <oldFormula>Carlos!$A$1:$A$19</oldFormula>
  </rdn>
  <rcv guid="{20CB6D8F-C24D-4D4B-A424-AF380F620455}" action="add"/>
</revisions>
</file>

<file path=xl/revisions/revisionLog6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9216" sId="8">
    <nc r="AM15">
      <v>100</v>
    </nc>
  </rcc>
  <rcc rId="9217" sId="8">
    <nc r="AN15">
      <v>126</v>
    </nc>
  </rcc>
  <rcc rId="9218" sId="8">
    <nc r="AM18" t="inlineStr">
      <is>
        <t>CAIXAS REMANEJADAS  DA LBA,ARQUIVO SNAS DA  4.47 PARA 3.71</t>
      </is>
    </nc>
  </rcc>
  <rfmt sheetId="8" sqref="AN18" start="0" length="0">
    <dxf>
      <alignment wrapText="1"/>
    </dxf>
  </rfmt>
</revisions>
</file>

<file path=xl/revisions/revisionLog7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9219" sId="5">
    <nc r="AG18" t="inlineStr">
      <is>
        <t>1. Pesquisa localização dos processos vindos da SESAN.
Resultado: Não passou pela DIARQ, vão ter que fazer Guia de Transferência.
2. Documento produzido:
Despacho 273/2025.</t>
      </is>
    </nc>
  </rcc>
  <rcc rId="9220" sId="5">
    <nc r="AH18" t="inlineStr">
      <is>
        <t xml:space="preserve">1. Conclusão da demanda.
17739664
2. Conclusão da demanda. 
17774356
3. Documento produzido:
E-mail de registro - Processos do Esporte arquivados nos dias 4 , 5 e 6-11-2025.
</t>
      </is>
    </nc>
  </rcc>
  <rcc rId="9221" sId="5">
    <nc r="AI18" t="inlineStr">
      <is>
        <t>1. Remanejamento de 20 caixas da LBA
na sala 4.47.
2. Pesquisa e busca por Pasta Funcionais para serem enviadas ao MGI.</t>
      </is>
    </nc>
  </rcc>
  <rcc rId="9222" sId="5">
    <nc r="AJ18" t="inlineStr">
      <is>
        <t>1. Pesquisa e busca por Pasta Funcionais para 
serem enviadas ao MGI.
2. Desarquivamento
36 pastas funcionais de servidores do MDS para o MGI.</t>
      </is>
    </nc>
  </rcc>
  <rcc rId="9223" sId="5" odxf="1" dxf="1">
    <nc r="AK18" t="inlineStr">
      <is>
        <t>Colagem dos espelhos das caixas da LBA.
Total: 19 caixas.</t>
      </is>
    </nc>
    <odxf>
      <border outline="0">
        <left/>
        <right/>
        <top/>
        <bottom/>
      </border>
    </odxf>
    <n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ndxf>
  </rcc>
  <rcc rId="9224" sId="5">
    <oc r="AG17" t="inlineStr">
      <is>
        <t>1. Pesquisa localização dos processos vindos da SESAN.
Resultado: Não passou pela DIARQ, vão ter que fazer Guia de Transferência.
2. Documento produzido:
Despacho 273/2025.</t>
      </is>
    </oc>
    <nc r="AG17"/>
  </rcc>
  <rcc rId="9225" sId="5">
    <oc r="AH17" t="inlineStr">
      <is>
        <t xml:space="preserve">1. Conclusão da demanda.
17739664
2. Conclusão da demanda. 
17774356
3. Documento produzido:
E-mail de registro - Processos do Esporte arquivados nos dias 4 , 5 e 6-11-2025.
</t>
      </is>
    </oc>
    <nc r="AH17"/>
  </rcc>
  <rcc rId="9226" sId="5">
    <oc r="AI17" t="inlineStr">
      <is>
        <t>1. Remanejamento de 20 caixas da LBA
na sala 4.47.
2. Pesquisa e busca por Pasta Funcionais para serem enviadas ao MGI.</t>
      </is>
    </oc>
    <nc r="AI17"/>
  </rcc>
  <rcc rId="9227" sId="5">
    <oc r="AJ17" t="inlineStr">
      <is>
        <t>1. Pesquisa e busca por Pasta Funcionais para 
serem enviadas ao MGI.
2. Desarquivamento
36 pastas funcionais de servidores do MDS para o MGI.</t>
      </is>
    </oc>
    <nc r="AJ17"/>
  </rcc>
  <rcc rId="9228" sId="5">
    <oc r="AK17" t="inlineStr">
      <is>
        <t>Colagem dos espelhos das caixas da LBA.
Total: 19 caixas.</t>
      </is>
    </oc>
    <nc r="AK17">
      <v>19</v>
    </nc>
  </rcc>
  <rfmt sheetId="5" sqref="AG17:AK17" start="0" length="0">
    <dxf>
      <border>
        <bottom style="thin">
          <color indexed="64"/>
        </bottom>
      </border>
    </dxf>
  </rfmt>
  <rfmt sheetId="5" sqref="AK17" start="0" length="0">
    <dxf>
      <border>
        <left/>
        <right/>
        <top/>
        <bottom/>
      </border>
    </dxf>
  </rfmt>
  <rfmt sheetId="5" sqref="AK17" start="0" length="0">
    <dxf>
      <border>
        <left/>
        <right/>
        <top/>
        <bottom style="thin">
          <color indexed="64"/>
        </bottom>
      </border>
    </dxf>
  </rfmt>
  <rfmt sheetId="5" sqref="AL2:AL17" start="0" length="0">
    <dxf>
      <border>
        <left style="thin">
          <color indexed="64"/>
        </left>
      </border>
    </dxf>
  </rfmt>
  <rfmt sheetId="5" sqref="AK18" start="0" length="0">
    <dxf>
      <border>
        <left/>
        <right/>
        <top/>
        <bottom/>
      </border>
    </dxf>
  </rfmt>
  <rfmt sheetId="5" sqref="AK17" start="0" length="0">
    <dxf>
      <border>
        <left/>
        <right style="thin">
          <color indexed="64"/>
        </right>
        <top/>
        <bottom style="thin">
          <color indexed="64"/>
        </bottom>
      </border>
    </dxf>
  </rfmt>
  <rcc rId="9229" sId="7">
    <oc r="AK18" t="inlineStr">
      <is>
        <t xml:space="preserve">colocando os espelhos nas caixas novas </t>
      </is>
    </oc>
    <nc r="AK18" t="inlineStr">
      <is>
        <t xml:space="preserve">colando os espelhos nas caixas novas </t>
      </is>
    </nc>
  </rcc>
  <rcc rId="9230" sId="7">
    <oc r="AI18" t="inlineStr">
      <is>
        <t xml:space="preserve">colocando os espelhos nas caixas novas </t>
      </is>
    </oc>
    <nc r="AI18" t="inlineStr">
      <is>
        <t xml:space="preserve">colando os espelhos nas caixas novas </t>
      </is>
    </nc>
  </rcc>
  <rcc rId="9231" sId="7">
    <oc r="AJ18" t="inlineStr">
      <is>
        <t xml:space="preserve">colocando os espelhos nas caixas novas </t>
      </is>
    </oc>
    <nc r="AJ18" t="inlineStr">
      <is>
        <t xml:space="preserve">colando os espelhos nas caixas novas </t>
      </is>
    </nc>
  </rcc>
  <rcc rId="9232" sId="8">
    <oc r="AK18" t="inlineStr">
      <is>
        <t xml:space="preserve">colocando os espelhos nas caixas novas </t>
      </is>
    </oc>
    <nc r="AK18" t="inlineStr">
      <is>
        <t xml:space="preserve">colando os espelhos nas caixas novas </t>
      </is>
    </nc>
  </rcc>
  <rcc rId="9233" sId="8">
    <oc r="AJ18" t="inlineStr">
      <is>
        <t xml:space="preserve">colocando os espelhos nas caixas novas </t>
      </is>
    </oc>
    <nc r="AJ18" t="inlineStr">
      <is>
        <t xml:space="preserve">colando os espelhos nas caixas novas </t>
      </is>
    </nc>
  </rcc>
  <rcc rId="9234" sId="10">
    <nc r="AK18" t="inlineStr">
      <is>
        <t>Correção da  Guia Fora (acréscimo de 2 e substituição de 1 Pastas Funcionais</t>
      </is>
    </nc>
  </rcc>
  <rcc rId="9235" sId="10">
    <nc r="AM18" t="inlineStr">
      <is>
        <r>
          <t xml:space="preserve">Otimizando/corrigindo a planilha do Inventário do </t>
        </r>
        <r>
          <rPr>
            <b/>
            <sz val="11"/>
            <color theme="1"/>
            <rFont val="Aptos Narrow"/>
            <family val="2"/>
          </rPr>
          <t>ARCEN</t>
        </r>
        <r>
          <rPr>
            <sz val="11"/>
            <color theme="1"/>
            <rFont val="Aptos Narrow"/>
            <family val="2"/>
          </rPr>
          <t xml:space="preserve">
(</t>
        </r>
        <r>
          <rPr>
            <b/>
            <sz val="11"/>
            <color theme="1"/>
            <rFont val="Aptos Narrow"/>
            <family val="2"/>
          </rPr>
          <t>Continuação</t>
        </r>
        <r>
          <rPr>
            <sz val="11"/>
            <color theme="1"/>
            <rFont val="Aptos Narrow"/>
            <family val="2"/>
          </rPr>
          <t>)</t>
        </r>
      </is>
    </nc>
  </rcc>
</revisions>
</file>

<file path=xl/revisions/revisionLog7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9236" sId="4">
    <nc r="AN19" t="inlineStr">
      <is>
        <t>GUARDANDO TODAS  VHS/MICROFILMES NA 4.47</t>
      </is>
    </nc>
  </rcc>
  <rcv guid="{20CB6D8F-C24D-4D4B-A424-AF380F620455}" action="delete"/>
  <rdn rId="0" localSheetId="1" customView="1" name="Z_20CB6D8F_C24D_4D4B_A424_AF380F620455_.wvu.FilterData" hidden="1" oldHidden="1">
    <formula>Patrícia!$A$1:$A$18</formula>
    <oldFormula>Patrícia!$A$1:$A$18</oldFormula>
  </rdn>
  <rdn rId="0" localSheetId="2" customView="1" name="Z_20CB6D8F_C24D_4D4B_A424_AF380F620455_.wvu.FilterData" hidden="1" oldHidden="1">
    <formula>Marcelo!$A$1:$A$18</formula>
    <oldFormula>Marcelo!$A$1:$A$18</oldFormula>
  </rdn>
  <rdn rId="0" localSheetId="3" customView="1" name="Z_20CB6D8F_C24D_4D4B_A424_AF380F620455_.wvu.FilterData" hidden="1" oldHidden="1">
    <formula>TOTAL!$A$1:$A$19</formula>
    <oldFormula>TOTAL!$A$1:$A$19</oldFormula>
  </rdn>
  <rdn rId="0" localSheetId="4" customView="1" name="Z_20CB6D8F_C24D_4D4B_A424_AF380F620455_.wvu.FilterData" hidden="1" oldHidden="1">
    <formula>Diego!$A$1:$A$20</formula>
    <oldFormula>Diego!$A$1:$A$20</oldFormula>
  </rdn>
  <rdn rId="0" localSheetId="5" customView="1" name="Z_20CB6D8F_C24D_4D4B_A424_AF380F620455_.wvu.FilterData" hidden="1" oldHidden="1">
    <formula>Aelton!$A$1:$A$19</formula>
    <oldFormula>Aelton!$A$1:$A$19</oldFormula>
  </rdn>
  <rdn rId="0" localSheetId="6" customView="1" name="Z_20CB6D8F_C24D_4D4B_A424_AF380F620455_.wvu.FilterData" hidden="1" oldHidden="1">
    <formula>Leonam!$A$1:$BD$19</formula>
    <oldFormula>Leonam!$A$1:$BD$19</oldFormula>
  </rdn>
  <rdn rId="0" localSheetId="7" customView="1" name="Z_20CB6D8F_C24D_4D4B_A424_AF380F620455_.wvu.FilterData" hidden="1" oldHidden="1">
    <formula>Danilo!$A$1:$A$19</formula>
    <oldFormula>Danilo!$A$1:$A$19</oldFormula>
  </rdn>
  <rdn rId="0" localSheetId="8" customView="1" name="Z_20CB6D8F_C24D_4D4B_A424_AF380F620455_.wvu.FilterData" hidden="1" oldHidden="1">
    <formula>Marcos!$A$1:$A$19</formula>
    <oldFormula>Marcos!$A$1:$A$19</oldFormula>
  </rdn>
  <rdn rId="0" localSheetId="10" customView="1" name="Z_20CB6D8F_C24D_4D4B_A424_AF380F620455_.wvu.FilterData" hidden="1" oldHidden="1">
    <formula>Alessandro!$A$1:$A$19</formula>
    <oldFormula>Alessandro!$A$1:$A$19</oldFormula>
  </rdn>
  <rdn rId="0" localSheetId="9" customView="1" name="Z_20CB6D8F_C24D_4D4B_A424_AF380F620455_.wvu.FilterData" hidden="1" oldHidden="1">
    <formula>Carlos!$A$1:$A$19</formula>
    <oldFormula>Carlos!$A$1:$A$19</oldFormula>
  </rdn>
  <rcv guid="{20CB6D8F-C24D-4D4B-A424-AF380F620455}" action="add"/>
</revisions>
</file>

<file path=xl/revisions/revisionLog7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9247" sId="4">
    <oc r="AN19" t="inlineStr">
      <is>
        <t>GUARDANDO TODAS  VHS/MICROFILMES NA 4.47</t>
      </is>
    </oc>
    <nc r="AN19" t="inlineStr">
      <is>
        <t>GUARDANDO TODAS  FITAS VHS/MICROFILMES NA 4.47</t>
      </is>
    </nc>
  </rcc>
</revisions>
</file>

<file path=xl/revisions/revisionLog7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9469" sId="10">
    <oc r="AO13">
      <v>1</v>
    </oc>
    <nc r="AO13"/>
  </rcc>
  <rcc rId="9470" sId="10" odxf="1" dxf="1">
    <nc r="AU18" t="inlineStr">
      <is>
        <r>
          <t xml:space="preserve">Atualização indicadores (planilha Gustavo) / Otimizando/corrigindo a planilha do Inventário do </t>
        </r>
        <r>
          <rPr>
            <b/>
            <sz val="11"/>
            <color theme="1"/>
            <rFont val="Aptos Narrow"/>
            <family val="2"/>
          </rPr>
          <t>ARCEN
(Continuação)</t>
        </r>
        <r>
          <rPr>
            <sz val="11"/>
            <color theme="1"/>
            <rFont val="Aptos Narrow"/>
            <family val="2"/>
          </rPr>
          <t xml:space="preserve"> </t>
        </r>
      </is>
    </nc>
    <odxf>
      <alignment wrapText="0"/>
    </odxf>
    <ndxf>
      <alignment wrapText="1"/>
    </ndxf>
  </rcc>
  <rcv guid="{3D987F8E-A6EA-454D-9537-6BFC5053CB00}" action="delete"/>
  <rdn rId="0" localSheetId="1" customView="1" name="Z_3D987F8E_A6EA_454D_9537_6BFC5053CB00_.wvu.FilterData" hidden="1" oldHidden="1">
    <formula>Patrícia!$A$1:$A$18</formula>
    <oldFormula>Patrícia!$A$1:$A$18</oldFormula>
  </rdn>
  <rdn rId="0" localSheetId="2" customView="1" name="Z_3D987F8E_A6EA_454D_9537_6BFC5053CB00_.wvu.FilterData" hidden="1" oldHidden="1">
    <formula>Marcelo!$A$1:$A$18</formula>
    <oldFormula>Marcelo!$A$1:$A$18</oldFormula>
  </rdn>
  <rdn rId="0" localSheetId="3" customView="1" name="Z_3D987F8E_A6EA_454D_9537_6BFC5053CB00_.wvu.FilterData" hidden="1" oldHidden="1">
    <formula>TOTAL!$A$1:$A$19</formula>
    <oldFormula>TOTAL!$A$1:$A$19</oldFormula>
  </rdn>
  <rdn rId="0" localSheetId="4" customView="1" name="Z_3D987F8E_A6EA_454D_9537_6BFC5053CB00_.wvu.FilterData" hidden="1" oldHidden="1">
    <formula>Diego!$A$1:$A$20</formula>
    <oldFormula>Diego!$A$1:$A$20</oldFormula>
  </rdn>
  <rdn rId="0" localSheetId="5" customView="1" name="Z_3D987F8E_A6EA_454D_9537_6BFC5053CB00_.wvu.FilterData" hidden="1" oldHidden="1">
    <formula>Aelton!$A$1:$A$19</formula>
    <oldFormula>Aelton!$A$1:$A$19</oldFormula>
  </rdn>
  <rdn rId="0" localSheetId="6" customView="1" name="Z_3D987F8E_A6EA_454D_9537_6BFC5053CB00_.wvu.FilterData" hidden="1" oldHidden="1">
    <formula>Leonam!$A$1:$BD$19</formula>
    <oldFormula>Leonam!$A$1:$BD$19</oldFormula>
  </rdn>
  <rdn rId="0" localSheetId="7" customView="1" name="Z_3D987F8E_A6EA_454D_9537_6BFC5053CB00_.wvu.FilterData" hidden="1" oldHidden="1">
    <formula>Danilo!$A$1:$A$19</formula>
    <oldFormula>Danilo!$A$1:$A$19</oldFormula>
  </rdn>
  <rdn rId="0" localSheetId="8" customView="1" name="Z_3D987F8E_A6EA_454D_9537_6BFC5053CB00_.wvu.FilterData" hidden="1" oldHidden="1">
    <formula>Marcos!$A$1:$A$19</formula>
    <oldFormula>Marcos!$A$1:$A$19</oldFormula>
  </rdn>
  <rdn rId="0" localSheetId="10" customView="1" name="Z_3D987F8E_A6EA_454D_9537_6BFC5053CB00_.wvu.FilterData" hidden="1" oldHidden="1">
    <formula>Alessandro!$A$1:$A$19</formula>
    <oldFormula>Alessandro!$A$1:$A$19</oldFormula>
  </rdn>
  <rdn rId="0" localSheetId="9" customView="1" name="Z_3D987F8E_A6EA_454D_9537_6BFC5053CB00_.wvu.FilterData" hidden="1" oldHidden="1">
    <formula>Carlos!$A$1:$A$19</formula>
    <oldFormula>Carlos!$A$1:$A$19</oldFormula>
  </rdn>
  <rcv guid="{3D987F8E-A6EA-454D-9537-6BFC5053CB00}" action="add"/>
</revisions>
</file>

<file path=xl/revisions/revisionLog7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9481" sId="8" odxf="1" dxf="1">
    <oc r="AQ18" t="inlineStr">
      <is>
        <t>FOLGA</t>
      </is>
    </oc>
    <nc r="AQ18" t="inlineStr">
      <is>
        <t>PROCURANDO PASTAS FUNCIONAIS</t>
      </is>
    </nc>
    <ndxf>
      <alignment wrapText="1"/>
    </ndxf>
  </rcc>
  <rcc rId="9482" sId="8">
    <oc r="AP18" t="inlineStr">
      <is>
        <t>PROCURANDO PASTAS FUNCIONAIS</t>
      </is>
    </oc>
    <nc r="AP18" t="inlineStr">
      <is>
        <t>FERÍADO NACIONAL DIA DA CONCIÊNCIA NEGRA</t>
      </is>
    </nc>
  </rcc>
  <rcc rId="9483" sId="8">
    <nc r="AS18" t="inlineStr">
      <is>
        <t>CAIXAS CONFERIDAS</t>
      </is>
    </nc>
  </rcc>
  <rcc rId="9484" sId="8">
    <nc r="AV17">
      <v>50</v>
    </nc>
  </rcc>
  <rcc rId="9485" sId="8">
    <oc r="AV18" t="inlineStr">
      <is>
        <t xml:space="preserve">trocando as caxas do arquivo </t>
      </is>
    </oc>
    <nc r="AV18" t="inlineStr">
      <is>
        <t>TROCANDO OS ESPELHOS</t>
      </is>
    </nc>
  </rcc>
  <rcv guid="{E3841903-5B68-44FD-8F09-58E03D1025C5}" action="delete"/>
  <rdn rId="0" localSheetId="1" customView="1" name="Z_E3841903_5B68_44FD_8F09_58E03D1025C5_.wvu.FilterData" hidden="1" oldHidden="1">
    <formula>Patrícia!$A$1:$A$18</formula>
    <oldFormula>Patrícia!$A$1:$A$18</oldFormula>
  </rdn>
  <rdn rId="0" localSheetId="2" customView="1" name="Z_E3841903_5B68_44FD_8F09_58E03D1025C5_.wvu.FilterData" hidden="1" oldHidden="1">
    <formula>Marcelo!$A$1:$A$18</formula>
    <oldFormula>Marcelo!$A$1:$A$18</oldFormula>
  </rdn>
  <rdn rId="0" localSheetId="3" customView="1" name="Z_E3841903_5B68_44FD_8F09_58E03D1025C5_.wvu.FilterData" hidden="1" oldHidden="1">
    <formula>TOTAL!$A$1:$A$19</formula>
    <oldFormula>TOTAL!$A$1:$A$19</oldFormula>
  </rdn>
  <rdn rId="0" localSheetId="4" customView="1" name="Z_E3841903_5B68_44FD_8F09_58E03D1025C5_.wvu.FilterData" hidden="1" oldHidden="1">
    <formula>Diego!$A$1:$A$20</formula>
    <oldFormula>Diego!$A$1:$A$20</oldFormula>
  </rdn>
  <rdn rId="0" localSheetId="5" customView="1" name="Z_E3841903_5B68_44FD_8F09_58E03D1025C5_.wvu.FilterData" hidden="1" oldHidden="1">
    <formula>Aelton!$A$1:$A$19</formula>
    <oldFormula>Aelton!$A$1:$A$19</oldFormula>
  </rdn>
  <rdn rId="0" localSheetId="6" customView="1" name="Z_E3841903_5B68_44FD_8F09_58E03D1025C5_.wvu.FilterData" hidden="1" oldHidden="1">
    <formula>Leonam!$A$1:$BD$19</formula>
    <oldFormula>Leonam!$A$1:$BD$19</oldFormula>
  </rdn>
  <rdn rId="0" localSheetId="7" customView="1" name="Z_E3841903_5B68_44FD_8F09_58E03D1025C5_.wvu.FilterData" hidden="1" oldHidden="1">
    <formula>Danilo!$A$1:$A$19</formula>
    <oldFormula>Danilo!$A$1:$A$19</oldFormula>
  </rdn>
  <rdn rId="0" localSheetId="8" customView="1" name="Z_E3841903_5B68_44FD_8F09_58E03D1025C5_.wvu.FilterData" hidden="1" oldHidden="1">
    <formula>Marcos!$A$1:$A$19</formula>
    <oldFormula>Marcos!$A$1:$A$19</oldFormula>
  </rdn>
  <rdn rId="0" localSheetId="10" customView="1" name="Z_E3841903_5B68_44FD_8F09_58E03D1025C5_.wvu.FilterData" hidden="1" oldHidden="1">
    <formula>Alessandro!$A$1:$A$19</formula>
    <oldFormula>Alessandro!$A$1:$A$19</oldFormula>
  </rdn>
  <rdn rId="0" localSheetId="9" customView="1" name="Z_E3841903_5B68_44FD_8F09_58E03D1025C5_.wvu.FilterData" hidden="1" oldHidden="1">
    <formula>Carlos!$A$1:$A$19</formula>
    <oldFormula>Carlos!$A$1:$A$19</oldFormula>
  </rdn>
  <rcv guid="{E3841903-5B68-44FD-8F09-58E03D1025C5}" action="add"/>
</revisions>
</file>

<file path=xl/revisions/revisionLog7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9496" sId="4">
    <nc r="AV17">
      <v>50</v>
    </nc>
  </rcc>
  <rcc rId="9497" sId="4">
    <oc r="AV18" t="inlineStr">
      <is>
        <t xml:space="preserve">trocando as caxas do arquivo </t>
      </is>
    </oc>
    <nc r="AV18" t="inlineStr">
      <is>
        <t xml:space="preserve">TROCANDO OS ESPELHOS </t>
      </is>
    </nc>
  </rcc>
  <rcv guid="{20CB6D8F-C24D-4D4B-A424-AF380F620455}" action="delete"/>
  <rdn rId="0" localSheetId="1" customView="1" name="Z_20CB6D8F_C24D_4D4B_A424_AF380F620455_.wvu.FilterData" hidden="1" oldHidden="1">
    <formula>Patrícia!$A$1:$A$18</formula>
    <oldFormula>Patrícia!$A$1:$A$18</oldFormula>
  </rdn>
  <rdn rId="0" localSheetId="2" customView="1" name="Z_20CB6D8F_C24D_4D4B_A424_AF380F620455_.wvu.FilterData" hidden="1" oldHidden="1">
    <formula>Marcelo!$A$1:$A$18</formula>
    <oldFormula>Marcelo!$A$1:$A$18</oldFormula>
  </rdn>
  <rdn rId="0" localSheetId="3" customView="1" name="Z_20CB6D8F_C24D_4D4B_A424_AF380F620455_.wvu.FilterData" hidden="1" oldHidden="1">
    <formula>TOTAL!$A$1:$A$19</formula>
    <oldFormula>TOTAL!$A$1:$A$19</oldFormula>
  </rdn>
  <rdn rId="0" localSheetId="4" customView="1" name="Z_20CB6D8F_C24D_4D4B_A424_AF380F620455_.wvu.FilterData" hidden="1" oldHidden="1">
    <formula>Diego!$A$1:$A$20</formula>
    <oldFormula>Diego!$A$1:$A$20</oldFormula>
  </rdn>
  <rdn rId="0" localSheetId="5" customView="1" name="Z_20CB6D8F_C24D_4D4B_A424_AF380F620455_.wvu.FilterData" hidden="1" oldHidden="1">
    <formula>Aelton!$A$1:$A$19</formula>
    <oldFormula>Aelton!$A$1:$A$19</oldFormula>
  </rdn>
  <rdn rId="0" localSheetId="6" customView="1" name="Z_20CB6D8F_C24D_4D4B_A424_AF380F620455_.wvu.FilterData" hidden="1" oldHidden="1">
    <formula>Leonam!$A$1:$BD$19</formula>
    <oldFormula>Leonam!$A$1:$BD$19</oldFormula>
  </rdn>
  <rdn rId="0" localSheetId="7" customView="1" name="Z_20CB6D8F_C24D_4D4B_A424_AF380F620455_.wvu.FilterData" hidden="1" oldHidden="1">
    <formula>Danilo!$A$1:$A$19</formula>
    <oldFormula>Danilo!$A$1:$A$19</oldFormula>
  </rdn>
  <rdn rId="0" localSheetId="8" customView="1" name="Z_20CB6D8F_C24D_4D4B_A424_AF380F620455_.wvu.FilterData" hidden="1" oldHidden="1">
    <formula>Marcos!$A$1:$A$19</formula>
    <oldFormula>Marcos!$A$1:$A$19</oldFormula>
  </rdn>
  <rdn rId="0" localSheetId="10" customView="1" name="Z_20CB6D8F_C24D_4D4B_A424_AF380F620455_.wvu.FilterData" hidden="1" oldHidden="1">
    <formula>Alessandro!$A$1:$A$19</formula>
    <oldFormula>Alessandro!$A$1:$A$19</oldFormula>
  </rdn>
  <rdn rId="0" localSheetId="9" customView="1" name="Z_20CB6D8F_C24D_4D4B_A424_AF380F620455_.wvu.FilterData" hidden="1" oldHidden="1">
    <formula>Carlos!$A$1:$A$19</formula>
    <oldFormula>Carlos!$A$1:$A$19</oldFormula>
  </rdn>
  <rcv guid="{20CB6D8F-C24D-4D4B-A424-AF380F620455}" action="add"/>
</revisions>
</file>

<file path=xl/revisions/revisionLog7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9508" sId="5">
    <nc r="AW17">
      <v>5</v>
    </nc>
  </rcc>
  <rcv guid="{86039CF8-B158-4D70-9A6F-A10C29CBD68A}" action="delete"/>
  <rdn rId="0" localSheetId="1" customView="1" name="Z_86039CF8_B158_4D70_9A6F_A10C29CBD68A_.wvu.FilterData" hidden="1" oldHidden="1">
    <formula>Patrícia!$A$1:$A$18</formula>
    <oldFormula>Patrícia!$A$1:$A$18</oldFormula>
  </rdn>
  <rdn rId="0" localSheetId="2" customView="1" name="Z_86039CF8_B158_4D70_9A6F_A10C29CBD68A_.wvu.FilterData" hidden="1" oldHidden="1">
    <formula>Marcelo!$A$1:$A$18</formula>
    <oldFormula>Marcelo!$A$1:$A$18</oldFormula>
  </rdn>
  <rdn rId="0" localSheetId="3" customView="1" name="Z_86039CF8_B158_4D70_9A6F_A10C29CBD68A_.wvu.FilterData" hidden="1" oldHidden="1">
    <formula>TOTAL!$A$1:$A$19</formula>
    <oldFormula>TOTAL!$A$1:$A$19</oldFormula>
  </rdn>
  <rdn rId="0" localSheetId="4" customView="1" name="Z_86039CF8_B158_4D70_9A6F_A10C29CBD68A_.wvu.FilterData" hidden="1" oldHidden="1">
    <formula>Diego!$A$1:$A$20</formula>
    <oldFormula>Diego!$A$1:$A$20</oldFormula>
  </rdn>
  <rdn rId="0" localSheetId="5" customView="1" name="Z_86039CF8_B158_4D70_9A6F_A10C29CBD68A_.wvu.FilterData" hidden="1" oldHidden="1">
    <formula>Aelton!$A$1:$A$19</formula>
    <oldFormula>Aelton!$A$1:$A$19</oldFormula>
  </rdn>
  <rdn rId="0" localSheetId="6" customView="1" name="Z_86039CF8_B158_4D70_9A6F_A10C29CBD68A_.wvu.FilterData" hidden="1" oldHidden="1">
    <formula>Leonam!$A$1:$BD$19</formula>
    <oldFormula>Leonam!$A$1:$BD$19</oldFormula>
  </rdn>
  <rdn rId="0" localSheetId="7" customView="1" name="Z_86039CF8_B158_4D70_9A6F_A10C29CBD68A_.wvu.FilterData" hidden="1" oldHidden="1">
    <formula>Danilo!$A$1:$A$19</formula>
    <oldFormula>Danilo!$A$1:$A$19</oldFormula>
  </rdn>
  <rdn rId="0" localSheetId="8" customView="1" name="Z_86039CF8_B158_4D70_9A6F_A10C29CBD68A_.wvu.FilterData" hidden="1" oldHidden="1">
    <formula>Marcos!$A$1:$A$19</formula>
    <oldFormula>Marcos!$A$1:$A$19</oldFormula>
  </rdn>
  <rdn rId="0" localSheetId="10" customView="1" name="Z_86039CF8_B158_4D70_9A6F_A10C29CBD68A_.wvu.FilterData" hidden="1" oldHidden="1">
    <formula>Alessandro!$A$1:$A$19</formula>
    <oldFormula>Alessandro!$A$1:$A$19</oldFormula>
  </rdn>
  <rdn rId="0" localSheetId="9" customView="1" name="Z_86039CF8_B158_4D70_9A6F_A10C29CBD68A_.wvu.FilterData" hidden="1" oldHidden="1">
    <formula>Carlos!$A$1:$A$19</formula>
    <oldFormula>Carlos!$A$1:$A$19</oldFormula>
  </rdn>
  <rcv guid="{86039CF8-B158-4D70-9A6F-A10C29CBD68A}" action="add"/>
</revisions>
</file>

<file path=xl/revisions/revisionLog7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5" sqref="AT1" start="0" length="0">
    <dxf>
      <border outline="0">
        <left/>
      </border>
    </dxf>
  </rfmt>
  <rfmt sheetId="5" sqref="AU1" start="0" length="0">
    <dxf>
      <border outline="0">
        <left/>
      </border>
    </dxf>
  </rfmt>
  <rfmt sheetId="5" sqref="AV1" start="0" length="0">
    <dxf>
      <border outline="0">
        <left/>
      </border>
    </dxf>
  </rfmt>
  <rfmt sheetId="5" sqref="AW1" start="0" length="0">
    <dxf>
      <border outline="0">
        <left/>
      </border>
    </dxf>
  </rfmt>
  <rfmt sheetId="5" sqref="AU18" start="0" length="0">
    <dxf>
      <alignment wrapText="1"/>
    </dxf>
  </rfmt>
  <rfmt sheetId="5" sqref="AV19" start="0" length="0">
    <dxf>
      <alignment wrapText="1"/>
    </dxf>
  </rfmt>
  <rcv guid="{86039CF8-B158-4D70-9A6F-A10C29CBD68A}" action="delete"/>
  <rdn rId="0" localSheetId="1" customView="1" name="Z_86039CF8_B158_4D70_9A6F_A10C29CBD68A_.wvu.FilterData" hidden="1" oldHidden="1">
    <formula>Patrícia!$A$1:$A$18</formula>
    <oldFormula>Patrícia!$A$1:$A$18</oldFormula>
  </rdn>
  <rdn rId="0" localSheetId="2" customView="1" name="Z_86039CF8_B158_4D70_9A6F_A10C29CBD68A_.wvu.FilterData" hidden="1" oldHidden="1">
    <formula>Marcelo!$A$1:$A$18</formula>
    <oldFormula>Marcelo!$A$1:$A$18</oldFormula>
  </rdn>
  <rdn rId="0" localSheetId="3" customView="1" name="Z_86039CF8_B158_4D70_9A6F_A10C29CBD68A_.wvu.FilterData" hidden="1" oldHidden="1">
    <formula>TOTAL!$A$1:$A$19</formula>
    <oldFormula>TOTAL!$A$1:$A$19</oldFormula>
  </rdn>
  <rdn rId="0" localSheetId="4" customView="1" name="Z_86039CF8_B158_4D70_9A6F_A10C29CBD68A_.wvu.FilterData" hidden="1" oldHidden="1">
    <formula>Diego!$A$1:$A$20</formula>
    <oldFormula>Diego!$A$1:$A$20</oldFormula>
  </rdn>
  <rdn rId="0" localSheetId="5" customView="1" name="Z_86039CF8_B158_4D70_9A6F_A10C29CBD68A_.wvu.FilterData" hidden="1" oldHidden="1">
    <formula>Aelton!$A$1:$A$19</formula>
    <oldFormula>Aelton!$A$1:$A$19</oldFormula>
  </rdn>
  <rdn rId="0" localSheetId="6" customView="1" name="Z_86039CF8_B158_4D70_9A6F_A10C29CBD68A_.wvu.FilterData" hidden="1" oldHidden="1">
    <formula>Leonam!$A$1:$BD$19</formula>
    <oldFormula>Leonam!$A$1:$BD$19</oldFormula>
  </rdn>
  <rdn rId="0" localSheetId="7" customView="1" name="Z_86039CF8_B158_4D70_9A6F_A10C29CBD68A_.wvu.FilterData" hidden="1" oldHidden="1">
    <formula>Danilo!$A$1:$A$19</formula>
    <oldFormula>Danilo!$A$1:$A$19</oldFormula>
  </rdn>
  <rdn rId="0" localSheetId="8" customView="1" name="Z_86039CF8_B158_4D70_9A6F_A10C29CBD68A_.wvu.FilterData" hidden="1" oldHidden="1">
    <formula>Marcos!$A$1:$A$19</formula>
    <oldFormula>Marcos!$A$1:$A$19</oldFormula>
  </rdn>
  <rdn rId="0" localSheetId="10" customView="1" name="Z_86039CF8_B158_4D70_9A6F_A10C29CBD68A_.wvu.FilterData" hidden="1" oldHidden="1">
    <formula>Alessandro!$A$1:$A$19</formula>
    <oldFormula>Alessandro!$A$1:$A$19</oldFormula>
  </rdn>
  <rdn rId="0" localSheetId="9" customView="1" name="Z_86039CF8_B158_4D70_9A6F_A10C29CBD68A_.wvu.FilterData" hidden="1" oldHidden="1">
    <formula>Carlos!$A$1:$A$19</formula>
    <oldFormula>Carlos!$A$1:$A$19</oldFormula>
  </rdn>
  <rcv guid="{86039CF8-B158-4D70-9A6F-A10C29CBD68A}" action="add"/>
</revisions>
</file>

<file path=xl/revisions/revisionLog7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9529" sId="5" odxf="1" dxf="1">
    <nc r="AS18" t="inlineStr">
      <is>
        <t xml:space="preserve"> Conferindo os 105 volumes que a 
DIPRO devolveu após digitalizar.
Total: 20 caixas conferidas.</t>
      </is>
    </nc>
    <odxf>
      <border outline="0">
        <left/>
        <right/>
        <top/>
        <bottom/>
      </border>
    </odxf>
    <n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ndxf>
  </rcc>
  <rcc rId="9530" sId="5">
    <nc r="AS16">
      <v>20</v>
    </nc>
  </rcc>
</revisions>
</file>

<file path=xl/revisions/revisionLog7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9531" sId="5" odxf="1" dxf="1">
    <nc r="AT18" t="inlineStr">
      <is>
        <t>Produzindo Relatório com a equipe sobre situação do Arquivo do Esporte e Inventário da DIARQ a respeito do processo 
58701.000350/2007-33 para a chefe elaborar resposta no Despacho 276.</t>
      </is>
    </nc>
    <odxf>
      <border outline="0">
        <left/>
        <right/>
        <top/>
        <bottom/>
      </border>
    </odxf>
    <n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ndxf>
  </rcc>
  <rcc rId="9532" sId="5">
    <nc r="AT13">
      <v>1</v>
    </nc>
  </rcc>
</revisions>
</file>

<file path=xl/revisions/revisionLog8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9533" sId="5">
    <nc r="AU18" t="inlineStr">
      <is>
        <t xml:space="preserve"> 1. Reunião com a chefe Patrícia sobre o Relatório de ontem, 25/11/2025.
2. Pesquisa sobre a localização dos processos CGPC/DEFNAS
71001.166735/2008-07 e 71001.064921/2008-02.
3. Atualização planilha - 
Transferência Pasta Funcionais para o MGI.</t>
      </is>
    </nc>
  </rcc>
</revisions>
</file>

<file path=xl/revisions/revisionLog8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9534" sId="5">
    <nc r="AV18" t="inlineStr">
      <is>
        <t xml:space="preserve">1. Pesquisa sobre a localização dos processos CGPC/DEFNAS
71001.166735/2008-07 e 71001.064921/2008-02.
2. Atualização planilha - 
Transferência Pasta Funcionais para o MGI.
</t>
      </is>
    </nc>
  </rcc>
</revisions>
</file>

<file path=xl/revisions/revisionLog8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9535" sId="5">
    <nc r="AW18" t="inlineStr">
      <is>
        <t xml:space="preserve">1. Troca de caixas.
Total: 5 caixas.
2. Dcumento produzido.
Despacho 280.
3. Arquivamento.
</t>
      </is>
    </nc>
  </rcc>
</revisions>
</file>

<file path=xl/revisions/revisionLog8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9536" sId="5">
    <nc r="AW4">
      <v>3</v>
    </nc>
  </rcc>
</revisions>
</file>

<file path=xl/revisions/revisionLog8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9537" sId="5">
    <oc r="AW4">
      <v>3</v>
    </oc>
    <nc r="AW4">
      <v>1</v>
    </nc>
  </rcc>
</revisions>
</file>

<file path=xl/revisions/revisionLog8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9538" sId="5">
    <nc r="AW13">
      <v>1</v>
    </nc>
  </rcc>
</revisions>
</file>

<file path=xl/revisions/revisionLog8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9539" sId="10">
    <nc r="AV18" t="inlineStr">
      <is>
        <r>
          <t xml:space="preserve">Atualização indicadores (planilha Gustavo) / Otimizando/corrigindo a planilha do Inventário do </t>
        </r>
        <r>
          <rPr>
            <b/>
            <sz val="11"/>
            <color theme="1"/>
            <rFont val="Aptos Narrow"/>
            <family val="2"/>
          </rPr>
          <t>ARCEN
(Continuação)</t>
        </r>
        <r>
          <rPr>
            <sz val="11"/>
            <color theme="1"/>
            <rFont val="Aptos Narrow"/>
            <family val="2"/>
          </rPr>
          <t xml:space="preserve"> </t>
        </r>
      </is>
    </nc>
  </rcc>
</revisions>
</file>

<file path=xl/revisions/revisionLog8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9540" sId="10">
    <nc r="AW18" t="inlineStr">
      <is>
        <r>
          <t xml:space="preserve">Atualização indicadores (planilha Gustavo) / Otimizando/corrigindo a planilha do Inventário do </t>
        </r>
        <r>
          <rPr>
            <b/>
            <sz val="11"/>
            <color theme="1"/>
            <rFont val="Aptos Narrow"/>
            <family val="2"/>
          </rPr>
          <t>ARCEN
(Continuação)</t>
        </r>
        <r>
          <rPr>
            <sz val="11"/>
            <color theme="1"/>
            <rFont val="Aptos Narrow"/>
            <family val="2"/>
          </rPr>
          <t xml:space="preserve"> </t>
        </r>
      </is>
    </nc>
  </rcc>
</revisions>
</file>

<file path=xl/revisions/revisionLog8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9541" sId="8">
    <nc r="AW18" t="inlineStr">
      <is>
        <t>TROCANDO OS ESPELHOS</t>
      </is>
    </nc>
  </rcc>
  <rcc rId="9542" sId="8">
    <nc r="AY18" t="inlineStr">
      <is>
        <t>ATESTADO MÉDICO DOAÇÃO DE SANGUE</t>
      </is>
    </nc>
  </rcc>
</revisions>
</file>

<file path=xl/revisions/revisionLog8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8" sqref="AY18">
    <dxf>
      <alignment wrapText="1"/>
    </dxf>
  </rfmt>
  <rcv guid="{E3841903-5B68-44FD-8F09-58E03D1025C5}" action="delete"/>
  <rdn rId="0" localSheetId="1" customView="1" name="Z_E3841903_5B68_44FD_8F09_58E03D1025C5_.wvu.FilterData" hidden="1" oldHidden="1">
    <formula>Patrícia!$A$1:$A$18</formula>
    <oldFormula>Patrícia!$A$1:$A$18</oldFormula>
  </rdn>
  <rdn rId="0" localSheetId="2" customView="1" name="Z_E3841903_5B68_44FD_8F09_58E03D1025C5_.wvu.FilterData" hidden="1" oldHidden="1">
    <formula>Marcelo!$A$1:$A$18</formula>
    <oldFormula>Marcelo!$A$1:$A$18</oldFormula>
  </rdn>
  <rdn rId="0" localSheetId="3" customView="1" name="Z_E3841903_5B68_44FD_8F09_58E03D1025C5_.wvu.FilterData" hidden="1" oldHidden="1">
    <formula>TOTAL!$A$1:$A$19</formula>
    <oldFormula>TOTAL!$A$1:$A$19</oldFormula>
  </rdn>
  <rdn rId="0" localSheetId="4" customView="1" name="Z_E3841903_5B68_44FD_8F09_58E03D1025C5_.wvu.FilterData" hidden="1" oldHidden="1">
    <formula>Diego!$A$1:$A$20</formula>
    <oldFormula>Diego!$A$1:$A$20</oldFormula>
  </rdn>
  <rdn rId="0" localSheetId="5" customView="1" name="Z_E3841903_5B68_44FD_8F09_58E03D1025C5_.wvu.FilterData" hidden="1" oldHidden="1">
    <formula>Aelton!$A$1:$A$19</formula>
    <oldFormula>Aelton!$A$1:$A$19</oldFormula>
  </rdn>
  <rdn rId="0" localSheetId="6" customView="1" name="Z_E3841903_5B68_44FD_8F09_58E03D1025C5_.wvu.FilterData" hidden="1" oldHidden="1">
    <formula>Leonam!$A$1:$BD$19</formula>
    <oldFormula>Leonam!$A$1:$BD$19</oldFormula>
  </rdn>
  <rdn rId="0" localSheetId="7" customView="1" name="Z_E3841903_5B68_44FD_8F09_58E03D1025C5_.wvu.FilterData" hidden="1" oldHidden="1">
    <formula>Danilo!$A$1:$A$19</formula>
    <oldFormula>Danilo!$A$1:$A$19</oldFormula>
  </rdn>
  <rdn rId="0" localSheetId="8" customView="1" name="Z_E3841903_5B68_44FD_8F09_58E03D1025C5_.wvu.FilterData" hidden="1" oldHidden="1">
    <formula>Marcos!$A$1:$A$19</formula>
    <oldFormula>Marcos!$A$1:$A$19</oldFormula>
  </rdn>
  <rdn rId="0" localSheetId="10" customView="1" name="Z_E3841903_5B68_44FD_8F09_58E03D1025C5_.wvu.FilterData" hidden="1" oldHidden="1">
    <formula>Alessandro!$A$1:$A$19</formula>
    <oldFormula>Alessandro!$A$1:$A$19</oldFormula>
  </rdn>
  <rdn rId="0" localSheetId="9" customView="1" name="Z_E3841903_5B68_44FD_8F09_58E03D1025C5_.wvu.FilterData" hidden="1" oldHidden="1">
    <formula>Carlos!$A$1:$A$19</formula>
    <oldFormula>Carlos!$A$1:$A$19</oldFormula>
  </rdn>
  <rcv guid="{E3841903-5B68-44FD-8F09-58E03D1025C5}" action="add"/>
</revisions>
</file>

<file path=xl/revisions/revisionLog9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9553" sId="8">
    <oc r="AV18" t="inlineStr">
      <is>
        <t>TROCANDO OS ESPELHOS</t>
      </is>
    </oc>
    <nc r="AV18" t="inlineStr">
      <is>
        <t>TROCANDO  CAIXAS E OS ESPELHOS</t>
      </is>
    </nc>
  </rcc>
  <rcc rId="9554" sId="8">
    <oc r="AW18" t="inlineStr">
      <is>
        <t>TROCANDO OS ESPELHOS</t>
      </is>
    </oc>
    <nc r="AW18" t="inlineStr">
      <is>
        <t>TROCANDO  CAIXAS E OS ESPELHOS</t>
      </is>
    </nc>
  </rcc>
  <rcc rId="9555" sId="8">
    <nc r="AZ18" t="inlineStr">
      <is>
        <t>TROCANDO  CAIXAS E OS ESPELHOS</t>
      </is>
    </nc>
  </rcc>
  <rcc rId="9556" sId="8">
    <nc r="AW17">
      <v>10</v>
    </nc>
  </rcc>
  <rcc rId="9557" sId="8">
    <nc r="AZ17">
      <v>11</v>
    </nc>
  </rcc>
</revisions>
</file>

<file path=xl/revisions/revisionLog9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9558" sId="4">
    <nc r="AW18" t="inlineStr">
      <is>
        <t xml:space="preserve">TROCANDO OS ESPELHOS </t>
      </is>
    </nc>
  </rcc>
  <rcc rId="9559" sId="4">
    <nc r="AW17">
      <v>20</v>
    </nc>
  </rcc>
  <rcv guid="{20CB6D8F-C24D-4D4B-A424-AF380F620455}" action="delete"/>
  <rdn rId="0" localSheetId="1" customView="1" name="Z_20CB6D8F_C24D_4D4B_A424_AF380F620455_.wvu.FilterData" hidden="1" oldHidden="1">
    <formula>Patrícia!$A$1:$A$18</formula>
    <oldFormula>Patrícia!$A$1:$A$18</oldFormula>
  </rdn>
  <rdn rId="0" localSheetId="2" customView="1" name="Z_20CB6D8F_C24D_4D4B_A424_AF380F620455_.wvu.FilterData" hidden="1" oldHidden="1">
    <formula>Marcelo!$A$1:$A$18</formula>
    <oldFormula>Marcelo!$A$1:$A$18</oldFormula>
  </rdn>
  <rdn rId="0" localSheetId="3" customView="1" name="Z_20CB6D8F_C24D_4D4B_A424_AF380F620455_.wvu.FilterData" hidden="1" oldHidden="1">
    <formula>TOTAL!$A$1:$A$19</formula>
    <oldFormula>TOTAL!$A$1:$A$19</oldFormula>
  </rdn>
  <rdn rId="0" localSheetId="4" customView="1" name="Z_20CB6D8F_C24D_4D4B_A424_AF380F620455_.wvu.FilterData" hidden="1" oldHidden="1">
    <formula>Diego!$A$1:$A$20</formula>
    <oldFormula>Diego!$A$1:$A$20</oldFormula>
  </rdn>
  <rdn rId="0" localSheetId="5" customView="1" name="Z_20CB6D8F_C24D_4D4B_A424_AF380F620455_.wvu.FilterData" hidden="1" oldHidden="1">
    <formula>Aelton!$A$1:$A$19</formula>
    <oldFormula>Aelton!$A$1:$A$19</oldFormula>
  </rdn>
  <rdn rId="0" localSheetId="6" customView="1" name="Z_20CB6D8F_C24D_4D4B_A424_AF380F620455_.wvu.FilterData" hidden="1" oldHidden="1">
    <formula>Leonam!$A$1:$BD$19</formula>
    <oldFormula>Leonam!$A$1:$BD$19</oldFormula>
  </rdn>
  <rdn rId="0" localSheetId="7" customView="1" name="Z_20CB6D8F_C24D_4D4B_A424_AF380F620455_.wvu.FilterData" hidden="1" oldHidden="1">
    <formula>Danilo!$A$1:$A$19</formula>
    <oldFormula>Danilo!$A$1:$A$19</oldFormula>
  </rdn>
  <rdn rId="0" localSheetId="8" customView="1" name="Z_20CB6D8F_C24D_4D4B_A424_AF380F620455_.wvu.FilterData" hidden="1" oldHidden="1">
    <formula>Marcos!$A$1:$A$19</formula>
    <oldFormula>Marcos!$A$1:$A$19</oldFormula>
  </rdn>
  <rdn rId="0" localSheetId="10" customView="1" name="Z_20CB6D8F_C24D_4D4B_A424_AF380F620455_.wvu.FilterData" hidden="1" oldHidden="1">
    <formula>Alessandro!$A$1:$A$19</formula>
    <oldFormula>Alessandro!$A$1:$A$19</oldFormula>
  </rdn>
  <rdn rId="0" localSheetId="9" customView="1" name="Z_20CB6D8F_C24D_4D4B_A424_AF380F620455_.wvu.FilterData" hidden="1" oldHidden="1">
    <formula>Carlos!$A$1:$A$19</formula>
    <oldFormula>Carlos!$A$1:$A$19</oldFormula>
  </rdn>
  <rcv guid="{20CB6D8F-C24D-4D4B-A424-AF380F620455}" action="add"/>
</revisions>
</file>

<file path=xl/revisions/revisionLog9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9570" sId="4" odxf="1" dxf="1">
    <nc r="AY18" t="inlineStr">
      <is>
        <t xml:space="preserve">TROCANDO OS ESPELHOS </t>
      </is>
    </nc>
    <odxf>
      <alignment wrapText="0"/>
    </odxf>
    <ndxf>
      <alignment wrapText="1"/>
    </ndxf>
  </rcc>
  <rcc rId="9571" sId="4">
    <nc r="AY17">
      <v>15</v>
    </nc>
  </rcc>
  <rcc rId="9572" sId="4">
    <nc r="AZ17">
      <v>15</v>
    </nc>
  </rcc>
  <rcc rId="9573" sId="4">
    <nc r="AZ18" t="inlineStr">
      <is>
        <t xml:space="preserve">TROCANDO OS ESPELHOS </t>
      </is>
    </nc>
  </rcc>
  <rcv guid="{20CB6D8F-C24D-4D4B-A424-AF380F620455}" action="delete"/>
  <rdn rId="0" localSheetId="1" customView="1" name="Z_20CB6D8F_C24D_4D4B_A424_AF380F620455_.wvu.FilterData" hidden="1" oldHidden="1">
    <formula>Patrícia!$A$1:$A$18</formula>
    <oldFormula>Patrícia!$A$1:$A$18</oldFormula>
  </rdn>
  <rdn rId="0" localSheetId="2" customView="1" name="Z_20CB6D8F_C24D_4D4B_A424_AF380F620455_.wvu.FilterData" hidden="1" oldHidden="1">
    <formula>Marcelo!$A$1:$A$18</formula>
    <oldFormula>Marcelo!$A$1:$A$18</oldFormula>
  </rdn>
  <rdn rId="0" localSheetId="3" customView="1" name="Z_20CB6D8F_C24D_4D4B_A424_AF380F620455_.wvu.FilterData" hidden="1" oldHidden="1">
    <formula>TOTAL!$A$1:$A$19</formula>
    <oldFormula>TOTAL!$A$1:$A$19</oldFormula>
  </rdn>
  <rdn rId="0" localSheetId="4" customView="1" name="Z_20CB6D8F_C24D_4D4B_A424_AF380F620455_.wvu.FilterData" hidden="1" oldHidden="1">
    <formula>Diego!$A$1:$A$20</formula>
    <oldFormula>Diego!$A$1:$A$20</oldFormula>
  </rdn>
  <rdn rId="0" localSheetId="5" customView="1" name="Z_20CB6D8F_C24D_4D4B_A424_AF380F620455_.wvu.FilterData" hidden="1" oldHidden="1">
    <formula>Aelton!$A$1:$A$19</formula>
    <oldFormula>Aelton!$A$1:$A$19</oldFormula>
  </rdn>
  <rdn rId="0" localSheetId="6" customView="1" name="Z_20CB6D8F_C24D_4D4B_A424_AF380F620455_.wvu.FilterData" hidden="1" oldHidden="1">
    <formula>Leonam!$A$1:$BD$19</formula>
    <oldFormula>Leonam!$A$1:$BD$19</oldFormula>
  </rdn>
  <rdn rId="0" localSheetId="7" customView="1" name="Z_20CB6D8F_C24D_4D4B_A424_AF380F620455_.wvu.FilterData" hidden="1" oldHidden="1">
    <formula>Danilo!$A$1:$A$19</formula>
    <oldFormula>Danilo!$A$1:$A$19</oldFormula>
  </rdn>
  <rdn rId="0" localSheetId="8" customView="1" name="Z_20CB6D8F_C24D_4D4B_A424_AF380F620455_.wvu.FilterData" hidden="1" oldHidden="1">
    <formula>Marcos!$A$1:$A$19</formula>
    <oldFormula>Marcos!$A$1:$A$19</oldFormula>
  </rdn>
  <rdn rId="0" localSheetId="10" customView="1" name="Z_20CB6D8F_C24D_4D4B_A424_AF380F620455_.wvu.FilterData" hidden="1" oldHidden="1">
    <formula>Alessandro!$A$1:$A$19</formula>
    <oldFormula>Alessandro!$A$1:$A$19</oldFormula>
  </rdn>
  <rdn rId="0" localSheetId="9" customView="1" name="Z_20CB6D8F_C24D_4D4B_A424_AF380F620455_.wvu.FilterData" hidden="1" oldHidden="1">
    <formula>Carlos!$A$1:$A$19</formula>
    <oldFormula>Carlos!$A$1:$A$19</oldFormula>
  </rdn>
  <rcv guid="{20CB6D8F-C24D-4D4B-A424-AF380F620455}" action="add"/>
</revisions>
</file>

<file path=xl/revisions/revisionLog9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9584" sId="10" odxf="1" dxf="1">
    <nc r="AY18" t="inlineStr">
      <is>
        <r>
          <t xml:space="preserve">Atualização indicadores (planilha Gustavo) / Otimizando/corrigindo a planilha do Inventário do </t>
        </r>
        <r>
          <rPr>
            <b/>
            <sz val="11"/>
            <color theme="1"/>
            <rFont val="Aptos Narrow"/>
            <family val="2"/>
          </rPr>
          <t>ARCEN
(Continuação)</t>
        </r>
        <r>
          <rPr>
            <sz val="11"/>
            <color theme="1"/>
            <rFont val="Aptos Narrow"/>
            <family val="2"/>
          </rPr>
          <t xml:space="preserve"> </t>
        </r>
      </is>
    </nc>
    <odxf>
      <alignment wrapText="0"/>
    </odxf>
    <ndxf>
      <alignment wrapText="1"/>
    </ndxf>
  </rcc>
  <rcc rId="9585" sId="10">
    <oc r="AU18" t="inlineStr">
      <is>
        <r>
          <t xml:space="preserve">Atualização indicadores (planilha Gustavo) / Otimizando/corrigindo a planilha do Inventário do </t>
        </r>
        <r>
          <rPr>
            <b/>
            <sz val="11"/>
            <color theme="1"/>
            <rFont val="Aptos Narrow"/>
            <family val="2"/>
          </rPr>
          <t>ARCEN
(Continuação)</t>
        </r>
        <r>
          <rPr>
            <sz val="11"/>
            <color theme="1"/>
            <rFont val="Aptos Narrow"/>
            <family val="2"/>
          </rPr>
          <t xml:space="preserve"> </t>
        </r>
      </is>
    </oc>
    <nc r="AU18" t="inlineStr">
      <is>
        <r>
          <t xml:space="preserve"> Otimizando/corrigindo a planilha do Inventário do </t>
        </r>
        <r>
          <rPr>
            <b/>
            <sz val="11"/>
            <color theme="1"/>
            <rFont val="Aptos Narrow"/>
            <family val="2"/>
          </rPr>
          <t>ARCEN
(Continuação)</t>
        </r>
        <r>
          <rPr>
            <sz val="11"/>
            <color theme="1"/>
            <rFont val="Aptos Narrow"/>
            <family val="2"/>
          </rPr>
          <t xml:space="preserve"> </t>
        </r>
      </is>
    </nc>
  </rcc>
  <rcc rId="9586" sId="10">
    <oc r="AV18" t="inlineStr">
      <is>
        <r>
          <t xml:space="preserve">Atualização indicadores (planilha Gustavo) / Otimizando/corrigindo a planilha do Inventário do </t>
        </r>
        <r>
          <rPr>
            <b/>
            <sz val="11"/>
            <color theme="1"/>
            <rFont val="Aptos Narrow"/>
            <family val="2"/>
          </rPr>
          <t>ARCEN
(Continuação)</t>
        </r>
        <r>
          <rPr>
            <sz val="11"/>
            <color theme="1"/>
            <rFont val="Aptos Narrow"/>
            <family val="2"/>
          </rPr>
          <t xml:space="preserve"> </t>
        </r>
      </is>
    </oc>
    <nc r="AV18" t="inlineStr">
      <is>
        <r>
          <t xml:space="preserve"> Otimizando/corrigindo a planilha do Inventário do </t>
        </r>
        <r>
          <rPr>
            <b/>
            <sz val="11"/>
            <color theme="1"/>
            <rFont val="Aptos Narrow"/>
            <family val="2"/>
          </rPr>
          <t>ARCEN
(Continuação)</t>
        </r>
        <r>
          <rPr>
            <sz val="11"/>
            <color theme="1"/>
            <rFont val="Aptos Narrow"/>
            <family val="2"/>
          </rPr>
          <t xml:space="preserve"> </t>
        </r>
      </is>
    </nc>
  </rcc>
  <rcc rId="9587" sId="10">
    <oc r="AW18" t="inlineStr">
      <is>
        <r>
          <t xml:space="preserve">Atualização indicadores (planilha Gustavo) / Otimizando/corrigindo a planilha do Inventário do </t>
        </r>
        <r>
          <rPr>
            <b/>
            <sz val="11"/>
            <color theme="1"/>
            <rFont val="Aptos Narrow"/>
            <family val="2"/>
          </rPr>
          <t>ARCEN
(Continuação)</t>
        </r>
        <r>
          <rPr>
            <sz val="11"/>
            <color theme="1"/>
            <rFont val="Aptos Narrow"/>
            <family val="2"/>
          </rPr>
          <t xml:space="preserve"> </t>
        </r>
      </is>
    </oc>
    <nc r="AW18" t="inlineStr">
      <is>
        <r>
          <t xml:space="preserve"> Otimizando/corrigindo a planilha do Inventário do </t>
        </r>
        <r>
          <rPr>
            <b/>
            <sz val="11"/>
            <color theme="1"/>
            <rFont val="Aptos Narrow"/>
            <family val="2"/>
          </rPr>
          <t>ARCEN
(Continuação)</t>
        </r>
        <r>
          <rPr>
            <sz val="11"/>
            <color theme="1"/>
            <rFont val="Aptos Narrow"/>
            <family val="2"/>
          </rPr>
          <t xml:space="preserve"> </t>
        </r>
      </is>
    </nc>
  </rcc>
  <rcc rId="9588" sId="10">
    <nc r="AZ18" t="inlineStr">
      <is>
        <r>
          <t xml:space="preserve"> Otimizando/corrigindo a planilha do Inventário do </t>
        </r>
        <r>
          <rPr>
            <b/>
            <sz val="11"/>
            <color theme="1"/>
            <rFont val="Aptos Narrow"/>
            <family val="2"/>
          </rPr>
          <t>ARCEN
(Continuação)</t>
        </r>
        <r>
          <rPr>
            <sz val="11"/>
            <color theme="1"/>
            <rFont val="Aptos Narrow"/>
            <family val="2"/>
          </rPr>
          <t xml:space="preserve"> </t>
        </r>
      </is>
    </nc>
  </rcc>
  <rfmt sheetId="10" sqref="BA18">
    <dxf>
      <alignment wrapText="1"/>
    </dxf>
  </rfmt>
  <rcc rId="9589" sId="10">
    <nc r="BA18" t="inlineStr">
      <is>
        <t>Levantamento dos metros lineares dos deslizantes localizados no Bloco A (G-7 e G-15)</t>
      </is>
    </nc>
  </rcc>
  <rcv guid="{3D987F8E-A6EA-454D-9537-6BFC5053CB00}" action="delete"/>
  <rdn rId="0" localSheetId="1" customView="1" name="Z_3D987F8E_A6EA_454D_9537_6BFC5053CB00_.wvu.FilterData" hidden="1" oldHidden="1">
    <formula>Patrícia!$A$1:$A$18</formula>
    <oldFormula>Patrícia!$A$1:$A$18</oldFormula>
  </rdn>
  <rdn rId="0" localSheetId="2" customView="1" name="Z_3D987F8E_A6EA_454D_9537_6BFC5053CB00_.wvu.FilterData" hidden="1" oldHidden="1">
    <formula>Marcelo!$A$1:$A$18</formula>
    <oldFormula>Marcelo!$A$1:$A$18</oldFormula>
  </rdn>
  <rdn rId="0" localSheetId="3" customView="1" name="Z_3D987F8E_A6EA_454D_9537_6BFC5053CB00_.wvu.FilterData" hidden="1" oldHidden="1">
    <formula>TOTAL!$A$1:$A$19</formula>
    <oldFormula>TOTAL!$A$1:$A$19</oldFormula>
  </rdn>
  <rdn rId="0" localSheetId="4" customView="1" name="Z_3D987F8E_A6EA_454D_9537_6BFC5053CB00_.wvu.FilterData" hidden="1" oldHidden="1">
    <formula>Diego!$A$1:$A$20</formula>
    <oldFormula>Diego!$A$1:$A$20</oldFormula>
  </rdn>
  <rdn rId="0" localSheetId="5" customView="1" name="Z_3D987F8E_A6EA_454D_9537_6BFC5053CB00_.wvu.FilterData" hidden="1" oldHidden="1">
    <formula>Aelton!$A$1:$A$19</formula>
    <oldFormula>Aelton!$A$1:$A$19</oldFormula>
  </rdn>
  <rdn rId="0" localSheetId="6" customView="1" name="Z_3D987F8E_A6EA_454D_9537_6BFC5053CB00_.wvu.FilterData" hidden="1" oldHidden="1">
    <formula>Leonam!$A$1:$BD$19</formula>
    <oldFormula>Leonam!$A$1:$BD$19</oldFormula>
  </rdn>
  <rdn rId="0" localSheetId="7" customView="1" name="Z_3D987F8E_A6EA_454D_9537_6BFC5053CB00_.wvu.FilterData" hidden="1" oldHidden="1">
    <formula>Danilo!$A$1:$A$19</formula>
    <oldFormula>Danilo!$A$1:$A$19</oldFormula>
  </rdn>
  <rdn rId="0" localSheetId="8" customView="1" name="Z_3D987F8E_A6EA_454D_9537_6BFC5053CB00_.wvu.FilterData" hidden="1" oldHidden="1">
    <formula>Marcos!$A$1:$A$19</formula>
    <oldFormula>Marcos!$A$1:$A$19</oldFormula>
  </rdn>
  <rdn rId="0" localSheetId="10" customView="1" name="Z_3D987F8E_A6EA_454D_9537_6BFC5053CB00_.wvu.FilterData" hidden="1" oldHidden="1">
    <formula>Alessandro!$A$1:$A$19</formula>
    <oldFormula>Alessandro!$A$1:$A$19</oldFormula>
  </rdn>
  <rdn rId="0" localSheetId="9" customView="1" name="Z_3D987F8E_A6EA_454D_9537_6BFC5053CB00_.wvu.FilterData" hidden="1" oldHidden="1">
    <formula>Carlos!$A$1:$A$19</formula>
    <oldFormula>Carlos!$A$1:$A$19</oldFormula>
  </rdn>
  <rcv guid="{3D987F8E-A6EA-454D-9537-6BFC5053CB00}" action="add"/>
</revisions>
</file>

<file path=xl/revisions/revisionLog9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9600" sId="8" odxf="1" dxf="1">
    <nc r="BA18" t="inlineStr">
      <is>
        <t>TROCANDO  CAIXAS E OS ESPELHOS</t>
      </is>
    </nc>
    <odxf>
      <alignment wrapText="0"/>
    </odxf>
    <ndxf>
      <alignment wrapText="1"/>
    </ndxf>
  </rcc>
  <rcc rId="9601" sId="8" odxf="1" dxf="1">
    <nc r="BB18" t="inlineStr">
      <is>
        <t>TROCANDO  CAIXAS E OS ESPELHOS</t>
      </is>
    </nc>
    <odxf>
      <alignment wrapText="0"/>
    </odxf>
    <ndxf>
      <alignment wrapText="1"/>
    </ndxf>
  </rcc>
  <rcv guid="{E3841903-5B68-44FD-8F09-58E03D1025C5}" action="delete"/>
  <rdn rId="0" localSheetId="1" customView="1" name="Z_E3841903_5B68_44FD_8F09_58E03D1025C5_.wvu.FilterData" hidden="1" oldHidden="1">
    <formula>Patrícia!$A$1:$A$18</formula>
    <oldFormula>Patrícia!$A$1:$A$18</oldFormula>
  </rdn>
  <rdn rId="0" localSheetId="2" customView="1" name="Z_E3841903_5B68_44FD_8F09_58E03D1025C5_.wvu.FilterData" hidden="1" oldHidden="1">
    <formula>Marcelo!$A$1:$A$18</formula>
    <oldFormula>Marcelo!$A$1:$A$18</oldFormula>
  </rdn>
  <rdn rId="0" localSheetId="3" customView="1" name="Z_E3841903_5B68_44FD_8F09_58E03D1025C5_.wvu.FilterData" hidden="1" oldHidden="1">
    <formula>TOTAL!$A$1:$A$19</formula>
    <oldFormula>TOTAL!$A$1:$A$19</oldFormula>
  </rdn>
  <rdn rId="0" localSheetId="4" customView="1" name="Z_E3841903_5B68_44FD_8F09_58E03D1025C5_.wvu.FilterData" hidden="1" oldHidden="1">
    <formula>Diego!$A$1:$A$20</formula>
    <oldFormula>Diego!$A$1:$A$20</oldFormula>
  </rdn>
  <rdn rId="0" localSheetId="5" customView="1" name="Z_E3841903_5B68_44FD_8F09_58E03D1025C5_.wvu.FilterData" hidden="1" oldHidden="1">
    <formula>Aelton!$A$1:$A$19</formula>
    <oldFormula>Aelton!$A$1:$A$19</oldFormula>
  </rdn>
  <rdn rId="0" localSheetId="6" customView="1" name="Z_E3841903_5B68_44FD_8F09_58E03D1025C5_.wvu.FilterData" hidden="1" oldHidden="1">
    <formula>Leonam!$A$1:$BD$19</formula>
    <oldFormula>Leonam!$A$1:$BD$19</oldFormula>
  </rdn>
  <rdn rId="0" localSheetId="7" customView="1" name="Z_E3841903_5B68_44FD_8F09_58E03D1025C5_.wvu.FilterData" hidden="1" oldHidden="1">
    <formula>Danilo!$A$1:$A$19</formula>
    <oldFormula>Danilo!$A$1:$A$19</oldFormula>
  </rdn>
  <rdn rId="0" localSheetId="8" customView="1" name="Z_E3841903_5B68_44FD_8F09_58E03D1025C5_.wvu.FilterData" hidden="1" oldHidden="1">
    <formula>Marcos!$A$1:$A$19</formula>
    <oldFormula>Marcos!$A$1:$A$19</oldFormula>
  </rdn>
  <rdn rId="0" localSheetId="10" customView="1" name="Z_E3841903_5B68_44FD_8F09_58E03D1025C5_.wvu.FilterData" hidden="1" oldHidden="1">
    <formula>Alessandro!$A$1:$A$19</formula>
    <oldFormula>Alessandro!$A$1:$A$19</oldFormula>
  </rdn>
  <rdn rId="0" localSheetId="9" customView="1" name="Z_E3841903_5B68_44FD_8F09_58E03D1025C5_.wvu.FilterData" hidden="1" oldHidden="1">
    <formula>Carlos!$A$1:$A$19</formula>
    <oldFormula>Carlos!$A$1:$A$19</oldFormula>
  </rdn>
  <rcv guid="{E3841903-5B68-44FD-8F09-58E03D1025C5}" action="add"/>
</revisions>
</file>

<file path=xl/revisions/revisionLog9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9612" sId="10" odxf="1" dxf="1">
    <nc r="BB18" t="inlineStr">
      <is>
        <r>
          <t xml:space="preserve"> Otimizando/corrigindo a planilha do Inventário do </t>
        </r>
        <r>
          <rPr>
            <b/>
            <sz val="11"/>
            <color theme="1"/>
            <rFont val="Aptos Narrow"/>
            <family val="2"/>
          </rPr>
          <t>ARCEN
(Continuação)</t>
        </r>
        <r>
          <rPr>
            <sz val="11"/>
            <color theme="1"/>
            <rFont val="Aptos Narrow"/>
            <family val="2"/>
          </rPr>
          <t xml:space="preserve"> </t>
        </r>
      </is>
    </nc>
    <odxf>
      <alignment wrapText="0"/>
    </odxf>
    <ndxf>
      <alignment wrapText="1"/>
    </ndxf>
  </rcc>
  <rcc rId="9613" sId="10" odxf="1" dxf="1">
    <nc r="BC18" t="inlineStr">
      <is>
        <r>
          <t xml:space="preserve"> Otimizando/corrigindo a planilha do Inventário do </t>
        </r>
        <r>
          <rPr>
            <b/>
            <sz val="11"/>
            <color theme="1"/>
            <rFont val="Aptos Narrow"/>
            <family val="2"/>
          </rPr>
          <t>ARCEN
(Continuação)</t>
        </r>
        <r>
          <rPr>
            <sz val="11"/>
            <color theme="1"/>
            <rFont val="Aptos Narrow"/>
            <family val="2"/>
          </rPr>
          <t xml:space="preserve"> </t>
        </r>
      </is>
    </nc>
    <odxf>
      <alignment wrapText="0"/>
    </odxf>
    <ndxf>
      <alignment wrapText="1"/>
    </ndxf>
  </rcc>
  <rcv guid="{3D987F8E-A6EA-454D-9537-6BFC5053CB00}" action="delete"/>
  <rdn rId="0" localSheetId="1" customView="1" name="Z_3D987F8E_A6EA_454D_9537_6BFC5053CB00_.wvu.FilterData" hidden="1" oldHidden="1">
    <formula>Patrícia!$A$1:$A$18</formula>
    <oldFormula>Patrícia!$A$1:$A$18</oldFormula>
  </rdn>
  <rdn rId="0" localSheetId="2" customView="1" name="Z_3D987F8E_A6EA_454D_9537_6BFC5053CB00_.wvu.FilterData" hidden="1" oldHidden="1">
    <formula>Marcelo!$A$1:$A$18</formula>
    <oldFormula>Marcelo!$A$1:$A$18</oldFormula>
  </rdn>
  <rdn rId="0" localSheetId="3" customView="1" name="Z_3D987F8E_A6EA_454D_9537_6BFC5053CB00_.wvu.FilterData" hidden="1" oldHidden="1">
    <formula>TOTAL!$A$1:$A$19</formula>
    <oldFormula>TOTAL!$A$1:$A$19</oldFormula>
  </rdn>
  <rdn rId="0" localSheetId="4" customView="1" name="Z_3D987F8E_A6EA_454D_9537_6BFC5053CB00_.wvu.FilterData" hidden="1" oldHidden="1">
    <formula>Diego!$A$1:$A$20</formula>
    <oldFormula>Diego!$A$1:$A$20</oldFormula>
  </rdn>
  <rdn rId="0" localSheetId="5" customView="1" name="Z_3D987F8E_A6EA_454D_9537_6BFC5053CB00_.wvu.FilterData" hidden="1" oldHidden="1">
    <formula>Aelton!$A$1:$A$19</formula>
    <oldFormula>Aelton!$A$1:$A$19</oldFormula>
  </rdn>
  <rdn rId="0" localSheetId="6" customView="1" name="Z_3D987F8E_A6EA_454D_9537_6BFC5053CB00_.wvu.FilterData" hidden="1" oldHidden="1">
    <formula>Leonam!$A$1:$BD$19</formula>
    <oldFormula>Leonam!$A$1:$BD$19</oldFormula>
  </rdn>
  <rdn rId="0" localSheetId="7" customView="1" name="Z_3D987F8E_A6EA_454D_9537_6BFC5053CB00_.wvu.FilterData" hidden="1" oldHidden="1">
    <formula>Danilo!$A$1:$A$19</formula>
    <oldFormula>Danilo!$A$1:$A$19</oldFormula>
  </rdn>
  <rdn rId="0" localSheetId="8" customView="1" name="Z_3D987F8E_A6EA_454D_9537_6BFC5053CB00_.wvu.FilterData" hidden="1" oldHidden="1">
    <formula>Marcos!$A$1:$A$19</formula>
    <oldFormula>Marcos!$A$1:$A$19</oldFormula>
  </rdn>
  <rdn rId="0" localSheetId="10" customView="1" name="Z_3D987F8E_A6EA_454D_9537_6BFC5053CB00_.wvu.FilterData" hidden="1" oldHidden="1">
    <formula>Alessandro!$A$1:$A$19</formula>
    <oldFormula>Alessandro!$A$1:$A$19</oldFormula>
  </rdn>
  <rdn rId="0" localSheetId="9" customView="1" name="Z_3D987F8E_A6EA_454D_9537_6BFC5053CB00_.wvu.FilterData" hidden="1" oldHidden="1">
    <formula>Carlos!$A$1:$A$19</formula>
    <oldFormula>Carlos!$A$1:$A$19</oldFormula>
  </rdn>
  <rcv guid="{3D987F8E-A6EA-454D-9537-6BFC5053CB00}" action="add"/>
</revisions>
</file>

<file path=xl/revisions/revisionLog9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9624" sId="5">
    <nc r="AY15">
      <v>20</v>
    </nc>
  </rcc>
  <rcc rId="9625" sId="5" odxf="1" dxf="1">
    <nc r="AY17">
      <v>10</v>
    </nc>
    <odxf>
      <border outline="0">
        <bottom style="thin">
          <color indexed="64"/>
        </bottom>
      </border>
    </odxf>
    <ndxf>
      <border outline="0">
        <bottom/>
      </border>
    </ndxf>
  </rcc>
  <rfmt sheetId="5" sqref="AZ17" start="0" length="0">
    <dxf>
      <border outline="0">
        <bottom/>
      </border>
    </dxf>
  </rfmt>
  <rfmt sheetId="5" sqref="BA17" start="0" length="0">
    <dxf>
      <border outline="0">
        <bottom/>
      </border>
    </dxf>
  </rfmt>
  <rfmt sheetId="5" sqref="BB17" start="0" length="0">
    <dxf>
      <border outline="0">
        <bottom/>
      </border>
    </dxf>
  </rfmt>
  <rfmt sheetId="5" sqref="BC17" start="0" length="0">
    <dxf>
      <border outline="0">
        <bottom/>
      </border>
    </dxf>
  </rfmt>
  <rfmt sheetId="5" sqref="AZ18" start="0" length="0">
    <dxf>
      <alignment wrapText="0"/>
    </dxf>
  </rfmt>
  <rfmt sheetId="5" sqref="BA18" start="0" length="0">
    <dxf>
      <alignment wrapText="1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rfmt>
  <rfmt sheetId="5" sqref="BB18" start="0" length="0">
    <dxf>
      <alignment wrapText="1"/>
    </dxf>
  </rfmt>
  <rfmt sheetId="5" sqref="AZ1" start="0" length="0">
    <dxf>
      <border outline="0">
        <left/>
      </border>
    </dxf>
  </rfmt>
  <rfmt sheetId="5" sqref="BA1" start="0" length="0">
    <dxf>
      <border outline="0">
        <left/>
      </border>
    </dxf>
  </rfmt>
  <rfmt sheetId="5" sqref="BB1" start="0" length="0">
    <dxf>
      <border outline="0">
        <left/>
      </border>
    </dxf>
  </rfmt>
  <rfmt sheetId="5" sqref="BC1" start="0" length="0">
    <dxf>
      <border outline="0">
        <left/>
      </border>
    </dxf>
  </rfmt>
  <rcc rId="9626" sId="5">
    <nc r="BA13">
      <v>1</v>
    </nc>
  </rcc>
  <rcc rId="9627" sId="5">
    <nc r="BB13">
      <v>1</v>
    </nc>
  </rcc>
  <rcc rId="9628" sId="5">
    <nc r="AZ15">
      <v>20</v>
    </nc>
  </rcc>
  <rcc rId="9629" sId="5">
    <nc r="BA15">
      <v>10</v>
    </nc>
  </rcc>
  <rcc rId="9630" sId="5">
    <nc r="BB15">
      <v>16</v>
    </nc>
  </rcc>
  <rcc rId="9631" sId="5">
    <nc r="BC15">
      <v>14</v>
    </nc>
  </rcc>
  <rcc rId="9632" sId="5">
    <nc r="AZ17">
      <v>10</v>
    </nc>
  </rcc>
  <rcc rId="9633" sId="5">
    <nc r="BB17">
      <v>8</v>
    </nc>
  </rcc>
  <rcc rId="9634" sId="5">
    <nc r="BC17">
      <v>7</v>
    </nc>
  </rcc>
  <rcc rId="9635" sId="5" odxf="1" dxf="1">
    <nc r="BA18" t="inlineStr">
      <is>
        <t>Relatório - Medição em metro linear dos Arquivos Deslizantes Bloco A.</t>
      </is>
    </nc>
    <ndxf>
      <alignment wrapText="0"/>
      <border outline="0">
        <left/>
        <right/>
        <top/>
        <bottom/>
      </border>
    </ndxf>
  </rcc>
  <rcc rId="9636" sId="5" odxf="1" dxf="1">
    <nc r="BB18" t="inlineStr">
      <is>
        <t>Documento produzido:
E-mail solicitação de tranporte para DITRAN.</t>
      </is>
    </nc>
    <ndxf>
      <alignment wrapText="0"/>
    </ndxf>
  </rcc>
  <rfmt sheetId="5" sqref="BC19" start="0" length="0">
    <dxf>
      <alignment wrapText="1"/>
    </dxf>
  </rfmt>
  <rcv guid="{86039CF8-B158-4D70-9A6F-A10C29CBD68A}" action="delete"/>
  <rdn rId="0" localSheetId="1" customView="1" name="Z_86039CF8_B158_4D70_9A6F_A10C29CBD68A_.wvu.FilterData" hidden="1" oldHidden="1">
    <formula>Patrícia!$A$1:$A$18</formula>
    <oldFormula>Patrícia!$A$1:$A$18</oldFormula>
  </rdn>
  <rdn rId="0" localSheetId="2" customView="1" name="Z_86039CF8_B158_4D70_9A6F_A10C29CBD68A_.wvu.FilterData" hidden="1" oldHidden="1">
    <formula>Marcelo!$A$1:$A$18</formula>
    <oldFormula>Marcelo!$A$1:$A$18</oldFormula>
  </rdn>
  <rdn rId="0" localSheetId="3" customView="1" name="Z_86039CF8_B158_4D70_9A6F_A10C29CBD68A_.wvu.FilterData" hidden="1" oldHidden="1">
    <formula>TOTAL!$A$1:$A$19</formula>
    <oldFormula>TOTAL!$A$1:$A$19</oldFormula>
  </rdn>
  <rdn rId="0" localSheetId="4" customView="1" name="Z_86039CF8_B158_4D70_9A6F_A10C29CBD68A_.wvu.FilterData" hidden="1" oldHidden="1">
    <formula>Diego!$A$1:$A$20</formula>
    <oldFormula>Diego!$A$1:$A$20</oldFormula>
  </rdn>
  <rdn rId="0" localSheetId="5" customView="1" name="Z_86039CF8_B158_4D70_9A6F_A10C29CBD68A_.wvu.FilterData" hidden="1" oldHidden="1">
    <formula>Aelton!$A$1:$A$19</formula>
    <oldFormula>Aelton!$A$1:$A$19</oldFormula>
  </rdn>
  <rdn rId="0" localSheetId="6" customView="1" name="Z_86039CF8_B158_4D70_9A6F_A10C29CBD68A_.wvu.FilterData" hidden="1" oldHidden="1">
    <formula>Leonam!$A$1:$BD$19</formula>
    <oldFormula>Leonam!$A$1:$BD$19</oldFormula>
  </rdn>
  <rdn rId="0" localSheetId="7" customView="1" name="Z_86039CF8_B158_4D70_9A6F_A10C29CBD68A_.wvu.FilterData" hidden="1" oldHidden="1">
    <formula>Danilo!$A$1:$A$19</formula>
    <oldFormula>Danilo!$A$1:$A$19</oldFormula>
  </rdn>
  <rdn rId="0" localSheetId="8" customView="1" name="Z_86039CF8_B158_4D70_9A6F_A10C29CBD68A_.wvu.FilterData" hidden="1" oldHidden="1">
    <formula>Marcos!$A$1:$A$19</formula>
    <oldFormula>Marcos!$A$1:$A$19</oldFormula>
  </rdn>
  <rdn rId="0" localSheetId="10" customView="1" name="Z_86039CF8_B158_4D70_9A6F_A10C29CBD68A_.wvu.FilterData" hidden="1" oldHidden="1">
    <formula>Alessandro!$A$1:$A$19</formula>
    <oldFormula>Alessandro!$A$1:$A$19</oldFormula>
  </rdn>
  <rdn rId="0" localSheetId="9" customView="1" name="Z_86039CF8_B158_4D70_9A6F_A10C29CBD68A_.wvu.FilterData" hidden="1" oldHidden="1">
    <formula>Carlos!$A$1:$A$19</formula>
    <oldFormula>Carlos!$A$1:$A$19</oldFormula>
  </rdn>
  <rcv guid="{86039CF8-B158-4D70-9A6F-A10C29CBD68A}" action="add"/>
</revisions>
</file>

<file path=xl/revisions/revisionLog9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9647" sId="5" odxf="1" dxf="1">
    <oc r="BA18" t="inlineStr">
      <is>
        <t>Relatório - Medição em metro linear dos Arquivos Deslizantes Bloco A.</t>
      </is>
    </oc>
    <nc r="BA18" t="inlineStr">
      <is>
        <t>Relatório - Medição em metro linear
 dos Arquivos Deslizantes Bloco A.</t>
      </is>
    </nc>
    <odxf>
      <alignment wrapText="0"/>
    </odxf>
    <ndxf>
      <alignment wrapText="1"/>
    </ndxf>
  </rcc>
  <rfmt sheetId="5" sqref="BB18" start="0" length="0">
    <dxf>
      <alignment wrapText="1"/>
    </dxf>
  </rfmt>
</revisions>
</file>

<file path=xl/revisions/revisionLog9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9648" sId="10" odxf="1" dxf="1">
    <nc r="BE18" t="inlineStr">
      <is>
        <r>
          <t xml:space="preserve"> Otimizando/corrigindo a planilha do Inventário do </t>
        </r>
        <r>
          <rPr>
            <b/>
            <sz val="11"/>
            <color theme="1"/>
            <rFont val="Aptos Narrow"/>
            <family val="2"/>
          </rPr>
          <t>ARCEN
(Continuação)</t>
        </r>
        <r>
          <rPr>
            <sz val="11"/>
            <color theme="1"/>
            <rFont val="Aptos Narrow"/>
            <family val="2"/>
          </rPr>
          <t xml:space="preserve"> </t>
        </r>
      </is>
    </nc>
    <odxf>
      <alignment wrapText="0"/>
    </odxf>
    <ndxf>
      <alignment wrapText="1"/>
    </ndxf>
  </rcc>
</revisions>
</file>

<file path=xl/revisions/revisionLog9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9649" sId="7">
    <nc r="AT18" t="inlineStr">
      <is>
        <t>TROCANDO  CAIXAS E OS ESPELHOS</t>
      </is>
    </nc>
  </rcc>
  <rcc rId="9650" sId="7" odxf="1" dxf="1">
    <nc r="AU18" t="inlineStr">
      <is>
        <t>TROCANDO  CAIXAS E OS ESPELHOS</t>
      </is>
    </nc>
    <odxf>
      <alignment wrapText="0"/>
    </odxf>
    <ndxf>
      <alignment wrapText="1"/>
    </ndxf>
  </rcc>
  <rcc rId="9651" sId="7">
    <nc r="AV18" t="inlineStr">
      <is>
        <t>TROCANDO  CAIXAS E OS ESPELHOS</t>
      </is>
    </nc>
  </rcc>
  <rcc rId="9652" sId="7">
    <nc r="AW18" t="inlineStr">
      <is>
        <t>TROCANDO  CAIXAS E OS ESPELHOS</t>
      </is>
    </nc>
  </rcc>
  <rfmt sheetId="7" sqref="AY18" start="0" length="0">
    <dxf>
      <alignment wrapText="1"/>
    </dxf>
  </rfmt>
  <rfmt sheetId="7" sqref="BA18" start="0" length="0">
    <dxf>
      <alignment wrapText="1"/>
    </dxf>
  </rfmt>
  <rfmt sheetId="7" sqref="BB18" start="0" length="0">
    <dxf>
      <alignment wrapText="1"/>
    </dxf>
  </rfmt>
  <rfmt sheetId="7" sqref="BC18" start="0" length="0">
    <dxf>
      <alignment wrapText="1"/>
    </dxf>
  </rfmt>
  <rfmt sheetId="7" sqref="BD18" start="0" length="0">
    <dxf>
      <alignment wrapText="1"/>
    </dxf>
  </rfmt>
  <rcc rId="9653" sId="7">
    <nc r="AT17">
      <v>15</v>
    </nc>
  </rcc>
  <rcc rId="9654" sId="7">
    <nc r="AU17">
      <v>15</v>
    </nc>
  </rcc>
  <rcc rId="9655" sId="7">
    <nc r="AV17">
      <v>15</v>
    </nc>
  </rcc>
  <rcc rId="9656" sId="7">
    <nc r="AW17">
      <v>15</v>
    </nc>
  </rcc>
  <rcc rId="9657" sId="7">
    <nc r="AY18" t="inlineStr">
      <is>
        <t xml:space="preserve">PARTE DA MANHÃ ACOMPANHANDO A LIMPEZA DA SALA E DA ESTANTES DA SALA G07 BL A. PARTE DA TARDE ACOMPANHANDO, OS CARREGADORES PARA A RECOLOCAÇÃO DAS CAIXAS </t>
      </is>
    </nc>
  </rcc>
  <rcc rId="9658" sId="7" xfDxf="1" dxf="1">
    <nc r="AZ18" t="inlineStr">
      <is>
        <t>PARTE DA MANHÃ ACOMPANHANDO A LIMPEZA DA SALA E DA ESTANTES DA SALA G07 BL A. PARTE DA TARDE ACOMPANHANDO, OS CARREGADORES PARA A RECOLOCAÇÃO DAS CAIX</t>
      </is>
    </nc>
    <ndxf>
      <alignment horizontal="center" vertical="center" wrapText="1"/>
    </ndxf>
  </rcc>
  <rcc rId="9659" sId="7" xfDxf="1" dxf="1">
    <nc r="BA18" t="inlineStr">
      <is>
        <t>PARTE DA MANHÃ ACOMPANHANDO A LIMPEZA DA SALA E DA ESTANTES DA SALA G07 BL A. PARTE DA TARDE ACOMPANHANDO, OS CARREGADORES PARA A RECOLOCAÇÃO DAS CAIX</t>
      </is>
    </nc>
    <ndxf>
      <alignment horizontal="center" vertical="center" wrapText="1"/>
    </ndxf>
  </rcc>
  <rcc rId="9660" sId="7" xfDxf="1" dxf="1">
    <nc r="BB18" t="inlineStr">
      <is>
        <t>PARTE DA MANHÃ ACOMPANHANDO A LIMPEZA DA SALA E DA ESTANTES DA SALA G07 BL A. PARTE DA TARDE ACOMPANHANDO, OS CARREGADORES PARA A RECOLOCAÇÃO DAS CAIX</t>
      </is>
    </nc>
    <ndxf>
      <alignment horizontal="center" vertical="center" wrapText="1"/>
    </ndxf>
  </rcc>
  <rcc rId="9661" sId="7" xfDxf="1" dxf="1">
    <nc r="BC18" t="inlineStr">
      <is>
        <t>PARTE DA MANHÃ ACOMPANHANDO A LIMPEZA DA SALA E DA ESTANTES DA SALA G07 BL A. PARTE DA TARDE ACOMPANHANDO, OS CARREGADORES PARA A RECOLOCAÇÃO DAS CAIX</t>
      </is>
    </nc>
    <ndxf>
      <alignment horizontal="center" vertical="center" wrapText="1"/>
    </ndxf>
  </rcc>
  <rcc rId="9662" sId="7">
    <nc r="BE18" t="inlineStr">
      <is>
        <t>ACOMPANHAMENTO DA LIMPEZA REFERENTE A SALA G 07 BL A</t>
      </is>
    </nc>
  </rcc>
  <rfmt sheetId="7" sqref="BE18">
    <dxf>
      <alignment wrapText="1"/>
    </dxf>
  </rfmt>
  <rcv guid="{B3CDE377-BA5D-4E06-91D9-3A48E1959BA5}" action="delete"/>
  <rdn rId="0" localSheetId="1" customView="1" name="Z_B3CDE377_BA5D_4E06_91D9_3A48E1959BA5_.wvu.FilterData" hidden="1" oldHidden="1">
    <formula>Patrícia!$A$1:$A$18</formula>
    <oldFormula>Patrícia!$A$1:$A$18</oldFormula>
  </rdn>
  <rdn rId="0" localSheetId="2" customView="1" name="Z_B3CDE377_BA5D_4E06_91D9_3A48E1959BA5_.wvu.FilterData" hidden="1" oldHidden="1">
    <formula>Marcelo!$A$1:$A$18</formula>
    <oldFormula>Marcelo!$A$1:$A$18</oldFormula>
  </rdn>
  <rdn rId="0" localSheetId="3" customView="1" name="Z_B3CDE377_BA5D_4E06_91D9_3A48E1959BA5_.wvu.FilterData" hidden="1" oldHidden="1">
    <formula>TOTAL!$A$1:$A$19</formula>
    <oldFormula>TOTAL!$A$1:$A$19</oldFormula>
  </rdn>
  <rdn rId="0" localSheetId="4" customView="1" name="Z_B3CDE377_BA5D_4E06_91D9_3A48E1959BA5_.wvu.FilterData" hidden="1" oldHidden="1">
    <formula>Diego!$A$1:$A$20</formula>
    <oldFormula>Diego!$A$1:$A$20</oldFormula>
  </rdn>
  <rdn rId="0" localSheetId="5" customView="1" name="Z_B3CDE377_BA5D_4E06_91D9_3A48E1959BA5_.wvu.FilterData" hidden="1" oldHidden="1">
    <formula>Aelton!$A$1:$A$19</formula>
    <oldFormula>Aelton!$A$1:$A$19</oldFormula>
  </rdn>
  <rdn rId="0" localSheetId="6" customView="1" name="Z_B3CDE377_BA5D_4E06_91D9_3A48E1959BA5_.wvu.FilterData" hidden="1" oldHidden="1">
    <formula>Leonam!$A$1:$BD$19</formula>
    <oldFormula>Leonam!$A$1:$BD$19</oldFormula>
  </rdn>
  <rdn rId="0" localSheetId="7" customView="1" name="Z_B3CDE377_BA5D_4E06_91D9_3A48E1959BA5_.wvu.FilterData" hidden="1" oldHidden="1">
    <formula>Danilo!$A$1:$A$19</formula>
    <oldFormula>Danilo!$A$1:$A$19</oldFormula>
  </rdn>
  <rdn rId="0" localSheetId="8" customView="1" name="Z_B3CDE377_BA5D_4E06_91D9_3A48E1959BA5_.wvu.FilterData" hidden="1" oldHidden="1">
    <formula>Marcos!$A$1:$A$19</formula>
    <oldFormula>Marcos!$A$1:$A$19</oldFormula>
  </rdn>
  <rdn rId="0" localSheetId="10" customView="1" name="Z_B3CDE377_BA5D_4E06_91D9_3A48E1959BA5_.wvu.FilterData" hidden="1" oldHidden="1">
    <formula>Alessandro!$A$1:$A$19</formula>
    <oldFormula>Alessandro!$A$1:$A$19</oldFormula>
  </rdn>
  <rdn rId="0" localSheetId="9" customView="1" name="Z_B3CDE377_BA5D_4E06_91D9_3A48E1959BA5_.wvu.FilterData" hidden="1" oldHidden="1">
    <formula>Carlos!$A$1:$A$19</formula>
    <oldFormula>Carlos!$A$1:$A$19</oldFormula>
  </rdn>
  <rcv guid="{B3CDE377-BA5D-4E06-91D9-3A48E1959BA5}" action="add"/>
</revisions>
</file>

<file path=xl/revisions/revisionLog10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9673" sId="6" odxf="1" dxf="1">
    <nc r="AS19" t="inlineStr">
      <is>
        <t xml:space="preserve">RECEBIMENTO E CONFERENCIA DO PROCESSO DE 105 VOLUMES </t>
      </is>
    </nc>
    <odxf>
      <alignment wrapText="0"/>
    </odxf>
    <ndxf>
      <alignment wrapText="1"/>
    </ndxf>
  </rcc>
  <rcc rId="9674" sId="6">
    <oc r="AS18" t="inlineStr">
      <is>
        <t xml:space="preserve">RECEBIMENTO E CONFERENCIA DO PROCESSO DE 105 VOLUMES </t>
      </is>
    </oc>
    <nc r="AS18" t="inlineStr">
      <is>
        <t>PARTE DA MANHÃ,  REVISTA REALIZADA NAS INSTALAÇÕES DO ARQUIVO BLOCO A.</t>
      </is>
    </nc>
  </rcc>
  <rcc rId="9675" sId="6">
    <nc r="AT18" t="inlineStr">
      <is>
        <t>TROCANDO  CAIXAS E OS ESPELHOS</t>
      </is>
    </nc>
  </rcc>
  <rcc rId="9676" sId="6" odxf="1" dxf="1">
    <nc r="AU18" t="inlineStr">
      <is>
        <t>TROCANDO  CAIXAS E OS ESPELHOS</t>
      </is>
    </nc>
    <odxf>
      <alignment wrapText="0"/>
    </odxf>
    <ndxf>
      <alignment wrapText="1"/>
    </ndxf>
  </rcc>
  <rcc rId="9677" sId="6">
    <nc r="AV18" t="inlineStr">
      <is>
        <t>TROCANDO  CAIXAS E OS ESPELHOS</t>
      </is>
    </nc>
  </rcc>
  <rcc rId="9678" sId="6">
    <nc r="AW18" t="inlineStr">
      <is>
        <t>TROCANDO  CAIXAS E OS ESPELHOS</t>
      </is>
    </nc>
  </rcc>
  <rcc rId="9679" sId="6">
    <nc r="AY18" t="inlineStr">
      <is>
        <t xml:space="preserve">ACOMPANHAR A LIMPEZA PESADA NO BLOCO 'A' </t>
      </is>
    </nc>
  </rcc>
  <rfmt sheetId="6" sqref="AY18">
    <dxf>
      <alignment wrapText="1"/>
    </dxf>
  </rfmt>
  <rcc rId="9680" sId="6">
    <nc r="AZ18" t="inlineStr">
      <is>
        <t xml:space="preserve">ACOMPANHAR A LIMPEZA PESADA NO BLOCO 'A' </t>
      </is>
    </nc>
  </rcc>
  <rcc rId="9681" sId="6" odxf="1" dxf="1">
    <nc r="BA18" t="inlineStr">
      <is>
        <t xml:space="preserve">ACOMPANHAR A LIMPEZA PESADA NO BLOCO 'A' </t>
      </is>
    </nc>
    <odxf>
      <alignment wrapText="0"/>
    </odxf>
    <ndxf>
      <alignment wrapText="1"/>
    </ndxf>
  </rcc>
  <rcc rId="9682" sId="6" odxf="1" dxf="1">
    <nc r="BB18" t="inlineStr">
      <is>
        <t xml:space="preserve">ACOMPANHAR A LIMPEZA PESADA NO BLOCO 'A' </t>
      </is>
    </nc>
    <odxf>
      <alignment wrapText="0"/>
    </odxf>
    <ndxf>
      <alignment wrapText="1"/>
    </ndxf>
  </rcc>
  <rcc rId="9683" sId="6" odxf="1" dxf="1">
    <nc r="BC18" t="inlineStr">
      <is>
        <t xml:space="preserve">ACOMPANHAR A LIMPEZA PESADA NO BLOCO 'A' </t>
      </is>
    </nc>
    <odxf>
      <alignment wrapText="0"/>
    </odxf>
    <ndxf>
      <alignment wrapText="1"/>
    </ndxf>
  </rcc>
  <rcc rId="9684" sId="6" odxf="1" dxf="1">
    <nc r="BE18" t="inlineStr">
      <is>
        <t xml:space="preserve">ACOMPANHAR A LIMPEZA PESADA NO BLOCO 'A' </t>
      </is>
    </nc>
    <odxf>
      <alignment wrapText="0"/>
    </odxf>
    <ndxf>
      <alignment wrapText="1"/>
    </ndxf>
  </rcc>
  <rcc rId="9685" sId="6">
    <nc r="BF18" t="inlineStr">
      <is>
        <t xml:space="preserve">FESTA NO PERIODO DA MANHA PARA O GUSTAVO </t>
      </is>
    </nc>
  </rcc>
  <rfmt sheetId="6" sqref="BF18:BI18">
    <dxf>
      <alignment wrapText="1"/>
    </dxf>
  </rfmt>
  <rcc rId="9686" sId="6">
    <nc r="BG18" t="inlineStr">
      <is>
        <t>CONFRATERNIZAÇÃO  DA SAA</t>
      </is>
    </nc>
  </rcc>
  <rcv guid="{9B623083-AA7B-440B-95EA-C33E1AB3D963}" action="delete"/>
  <rdn rId="0" localSheetId="1" customView="1" name="Z_9B623083_AA7B_440B_95EA_C33E1AB3D963_.wvu.FilterData" hidden="1" oldHidden="1">
    <formula>Patrícia!$A$1:$A$18</formula>
    <oldFormula>Patrícia!$A$1:$A$18</oldFormula>
  </rdn>
  <rdn rId="0" localSheetId="2" customView="1" name="Z_9B623083_AA7B_440B_95EA_C33E1AB3D963_.wvu.FilterData" hidden="1" oldHidden="1">
    <formula>Marcelo!$A$1:$A$18</formula>
    <oldFormula>Marcelo!$A$1:$A$18</oldFormula>
  </rdn>
  <rdn rId="0" localSheetId="3" customView="1" name="Z_9B623083_AA7B_440B_95EA_C33E1AB3D963_.wvu.FilterData" hidden="1" oldHidden="1">
    <formula>TOTAL!$A$1:$A$19</formula>
    <oldFormula>TOTAL!$A$1:$A$19</oldFormula>
  </rdn>
  <rdn rId="0" localSheetId="4" customView="1" name="Z_9B623083_AA7B_440B_95EA_C33E1AB3D963_.wvu.FilterData" hidden="1" oldHidden="1">
    <formula>Diego!$A$1:$A$20</formula>
    <oldFormula>Diego!$A$1:$A$20</oldFormula>
  </rdn>
  <rdn rId="0" localSheetId="5" customView="1" name="Z_9B623083_AA7B_440B_95EA_C33E1AB3D963_.wvu.FilterData" hidden="1" oldHidden="1">
    <formula>Aelton!$A$1:$A$19</formula>
    <oldFormula>Aelton!$A$1:$A$19</oldFormula>
  </rdn>
  <rdn rId="0" localSheetId="6" customView="1" name="Z_9B623083_AA7B_440B_95EA_C33E1AB3D963_.wvu.FilterData" hidden="1" oldHidden="1">
    <formula>Leonam!$A$1:$BD$19</formula>
    <oldFormula>Leonam!$A$1:$BD$19</oldFormula>
  </rdn>
  <rdn rId="0" localSheetId="7" customView="1" name="Z_9B623083_AA7B_440B_95EA_C33E1AB3D963_.wvu.FilterData" hidden="1" oldHidden="1">
    <formula>Danilo!$A$1:$A$19</formula>
    <oldFormula>Danilo!$A$1:$A$19</oldFormula>
  </rdn>
  <rdn rId="0" localSheetId="8" customView="1" name="Z_9B623083_AA7B_440B_95EA_C33E1AB3D963_.wvu.FilterData" hidden="1" oldHidden="1">
    <formula>Marcos!$A$1:$A$19</formula>
    <oldFormula>Marcos!$A$1:$A$19</oldFormula>
  </rdn>
  <rdn rId="0" localSheetId="10" customView="1" name="Z_9B623083_AA7B_440B_95EA_C33E1AB3D963_.wvu.FilterData" hidden="1" oldHidden="1">
    <formula>Alessandro!$A$1:$A$19</formula>
    <oldFormula>Alessandro!$A$1:$A$19</oldFormula>
  </rdn>
  <rdn rId="0" localSheetId="9" customView="1" name="Z_9B623083_AA7B_440B_95EA_C33E1AB3D963_.wvu.FilterData" hidden="1" oldHidden="1">
    <formula>Carlos!$A$1:$A$19</formula>
    <oldFormula>Carlos!$A$1:$A$19</oldFormula>
  </rdn>
  <rcv guid="{9B623083-AA7B-440B-95EA-C33E1AB3D963}" action="add"/>
</revisions>
</file>

<file path=xl/revisions/revisionLog10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9697" sId="8" odxf="1" dxf="1">
    <nc r="BC18" t="inlineStr">
      <is>
        <t>TROCANDO  CAIXAS E OS ESPELHOS</t>
      </is>
    </nc>
    <odxf>
      <alignment wrapText="0"/>
    </odxf>
    <ndxf>
      <alignment wrapText="1"/>
    </ndxf>
  </rcc>
  <rcc rId="9698" sId="8">
    <nc r="BE18" t="inlineStr">
      <is>
        <t xml:space="preserve">ACOMPANHANDO OBRA DNIT NA SALA  3.11 </t>
      </is>
    </nc>
  </rcc>
  <rfmt sheetId="8" sqref="BE18">
    <dxf>
      <alignment wrapText="1"/>
    </dxf>
  </rfmt>
  <rcc rId="9699" sId="8" odxf="1" dxf="1">
    <nc r="BF18" t="inlineStr">
      <is>
        <t xml:space="preserve">ACOMPANHANDO OBRA DNIT NA SALA  3.11 </t>
      </is>
    </nc>
    <odxf>
      <alignment wrapText="0"/>
    </odxf>
    <ndxf>
      <alignment wrapText="1"/>
    </ndxf>
  </rcc>
  <rcc rId="9700" sId="8">
    <nc r="BG18" t="inlineStr">
      <is>
        <t>CONFRATERNIZAÇÃO SAA</t>
      </is>
    </nc>
  </rcc>
  <rfmt sheetId="8" sqref="BG18">
    <dxf>
      <alignment wrapText="1"/>
    </dxf>
  </rfmt>
  <rcv guid="{E3841903-5B68-44FD-8F09-58E03D1025C5}" action="delete"/>
  <rdn rId="0" localSheetId="1" customView="1" name="Z_E3841903_5B68_44FD_8F09_58E03D1025C5_.wvu.FilterData" hidden="1" oldHidden="1">
    <formula>Patrícia!$A$1:$A$18</formula>
    <oldFormula>Patrícia!$A$1:$A$18</oldFormula>
  </rdn>
  <rdn rId="0" localSheetId="2" customView="1" name="Z_E3841903_5B68_44FD_8F09_58E03D1025C5_.wvu.FilterData" hidden="1" oldHidden="1">
    <formula>Marcelo!$A$1:$A$18</formula>
    <oldFormula>Marcelo!$A$1:$A$18</oldFormula>
  </rdn>
  <rdn rId="0" localSheetId="3" customView="1" name="Z_E3841903_5B68_44FD_8F09_58E03D1025C5_.wvu.FilterData" hidden="1" oldHidden="1">
    <formula>TOTAL!$A$1:$A$19</formula>
    <oldFormula>TOTAL!$A$1:$A$19</oldFormula>
  </rdn>
  <rdn rId="0" localSheetId="4" customView="1" name="Z_E3841903_5B68_44FD_8F09_58E03D1025C5_.wvu.FilterData" hidden="1" oldHidden="1">
    <formula>Diego!$A$1:$A$20</formula>
    <oldFormula>Diego!$A$1:$A$20</oldFormula>
  </rdn>
  <rdn rId="0" localSheetId="5" customView="1" name="Z_E3841903_5B68_44FD_8F09_58E03D1025C5_.wvu.FilterData" hidden="1" oldHidden="1">
    <formula>Aelton!$A$1:$A$19</formula>
    <oldFormula>Aelton!$A$1:$A$19</oldFormula>
  </rdn>
  <rdn rId="0" localSheetId="6" customView="1" name="Z_E3841903_5B68_44FD_8F09_58E03D1025C5_.wvu.FilterData" hidden="1" oldHidden="1">
    <formula>Leonam!$A$1:$BD$19</formula>
    <oldFormula>Leonam!$A$1:$BD$19</oldFormula>
  </rdn>
  <rdn rId="0" localSheetId="7" customView="1" name="Z_E3841903_5B68_44FD_8F09_58E03D1025C5_.wvu.FilterData" hidden="1" oldHidden="1">
    <formula>Danilo!$A$1:$A$19</formula>
    <oldFormula>Danilo!$A$1:$A$19</oldFormula>
  </rdn>
  <rdn rId="0" localSheetId="8" customView="1" name="Z_E3841903_5B68_44FD_8F09_58E03D1025C5_.wvu.FilterData" hidden="1" oldHidden="1">
    <formula>Marcos!$A$1:$A$19</formula>
    <oldFormula>Marcos!$A$1:$A$19</oldFormula>
  </rdn>
  <rdn rId="0" localSheetId="10" customView="1" name="Z_E3841903_5B68_44FD_8F09_58E03D1025C5_.wvu.FilterData" hidden="1" oldHidden="1">
    <formula>Alessandro!$A$1:$A$19</formula>
    <oldFormula>Alessandro!$A$1:$A$19</oldFormula>
  </rdn>
  <rdn rId="0" localSheetId="9" customView="1" name="Z_E3841903_5B68_44FD_8F09_58E03D1025C5_.wvu.FilterData" hidden="1" oldHidden="1">
    <formula>Carlos!$A$1:$A$19</formula>
    <oldFormula>Carlos!$A$1:$A$19</oldFormula>
  </rdn>
  <rcv guid="{E3841903-5B68-44FD-8F09-58E03D1025C5}" action="add"/>
</revisions>
</file>

<file path=xl/revisions/revisionLog10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9711" sId="10" odxf="1" dxf="1">
    <nc r="BF18" t="inlineStr">
      <is>
        <r>
          <t xml:space="preserve"> Otimizando/corrigindo a planilha do Inventário do </t>
        </r>
        <r>
          <rPr>
            <b/>
            <sz val="11"/>
            <color theme="1"/>
            <rFont val="Aptos Narrow"/>
            <family val="2"/>
          </rPr>
          <t>ARCEN
(Continuação)</t>
        </r>
        <r>
          <rPr>
            <sz val="11"/>
            <color theme="1"/>
            <rFont val="Aptos Narrow"/>
            <family val="2"/>
          </rPr>
          <t xml:space="preserve"> </t>
        </r>
      </is>
    </nc>
    <odxf>
      <alignment wrapText="0"/>
    </odxf>
    <ndxf>
      <alignment wrapText="1"/>
    </ndxf>
  </rcc>
  <rcc rId="9712" sId="10">
    <nc r="BG18" t="inlineStr">
      <is>
        <t>Confraternização SAA/CGLA</t>
      </is>
    </nc>
  </rcc>
  <rfmt sheetId="10" sqref="BG18">
    <dxf>
      <alignment wrapText="1"/>
    </dxf>
  </rfmt>
  <rfmt sheetId="5" sqref="AY17:BC17" start="0" length="0">
    <dxf>
      <border>
        <bottom style="thin">
          <color indexed="64"/>
        </bottom>
      </border>
    </dxf>
  </rfmt>
  <rcv guid="{3D987F8E-A6EA-454D-9537-6BFC5053CB00}" action="delete"/>
  <rdn rId="0" localSheetId="1" customView="1" name="Z_3D987F8E_A6EA_454D_9537_6BFC5053CB00_.wvu.FilterData" hidden="1" oldHidden="1">
    <formula>Patrícia!$A$1:$A$18</formula>
    <oldFormula>Patrícia!$A$1:$A$18</oldFormula>
  </rdn>
  <rdn rId="0" localSheetId="2" customView="1" name="Z_3D987F8E_A6EA_454D_9537_6BFC5053CB00_.wvu.FilterData" hidden="1" oldHidden="1">
    <formula>Marcelo!$A$1:$A$18</formula>
    <oldFormula>Marcelo!$A$1:$A$18</oldFormula>
  </rdn>
  <rdn rId="0" localSheetId="3" customView="1" name="Z_3D987F8E_A6EA_454D_9537_6BFC5053CB00_.wvu.FilterData" hidden="1" oldHidden="1">
    <formula>TOTAL!$A$1:$A$19</formula>
    <oldFormula>TOTAL!$A$1:$A$19</oldFormula>
  </rdn>
  <rdn rId="0" localSheetId="4" customView="1" name="Z_3D987F8E_A6EA_454D_9537_6BFC5053CB00_.wvu.FilterData" hidden="1" oldHidden="1">
    <formula>Diego!$A$1:$A$20</formula>
    <oldFormula>Diego!$A$1:$A$20</oldFormula>
  </rdn>
  <rdn rId="0" localSheetId="5" customView="1" name="Z_3D987F8E_A6EA_454D_9537_6BFC5053CB00_.wvu.FilterData" hidden="1" oldHidden="1">
    <formula>Aelton!$A$1:$A$19</formula>
    <oldFormula>Aelton!$A$1:$A$19</oldFormula>
  </rdn>
  <rdn rId="0" localSheetId="6" customView="1" name="Z_3D987F8E_A6EA_454D_9537_6BFC5053CB00_.wvu.FilterData" hidden="1" oldHidden="1">
    <formula>Leonam!$A$1:$BD$19</formula>
    <oldFormula>Leonam!$A$1:$BD$19</oldFormula>
  </rdn>
  <rdn rId="0" localSheetId="7" customView="1" name="Z_3D987F8E_A6EA_454D_9537_6BFC5053CB00_.wvu.FilterData" hidden="1" oldHidden="1">
    <formula>Danilo!$A$1:$A$19</formula>
    <oldFormula>Danilo!$A$1:$A$19</oldFormula>
  </rdn>
  <rdn rId="0" localSheetId="8" customView="1" name="Z_3D987F8E_A6EA_454D_9537_6BFC5053CB00_.wvu.FilterData" hidden="1" oldHidden="1">
    <formula>Marcos!$A$1:$A$19</formula>
    <oldFormula>Marcos!$A$1:$A$19</oldFormula>
  </rdn>
  <rdn rId="0" localSheetId="10" customView="1" name="Z_3D987F8E_A6EA_454D_9537_6BFC5053CB00_.wvu.FilterData" hidden="1" oldHidden="1">
    <formula>Alessandro!$A$1:$A$19</formula>
    <oldFormula>Alessandro!$A$1:$A$19</oldFormula>
  </rdn>
  <rdn rId="0" localSheetId="9" customView="1" name="Z_3D987F8E_A6EA_454D_9537_6BFC5053CB00_.wvu.FilterData" hidden="1" oldHidden="1">
    <formula>Carlos!$A$1:$A$19</formula>
    <oldFormula>Carlos!$A$1:$A$19</oldFormula>
  </rdn>
  <rcv guid="{3D987F8E-A6EA-454D-9537-6BFC5053CB00}" action="add"/>
</revisions>
</file>

<file path=xl/revisions/revisionLog10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10" sqref="BG18" start="0" length="2147483647">
    <dxf>
      <font>
        <b/>
      </font>
    </dxf>
  </rfmt>
</revisions>
</file>

<file path=xl/revisions/revisionLog10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9723" sId="4">
    <nc r="BA17">
      <v>20</v>
    </nc>
  </rcc>
  <rcc rId="9724" sId="4">
    <nc r="BB17">
      <v>20</v>
    </nc>
  </rcc>
  <rcc rId="9725" sId="4">
    <nc r="BC17">
      <v>20</v>
    </nc>
  </rcc>
  <rcc rId="9726" sId="4" odxf="1" dxf="1">
    <nc r="BA18" t="inlineStr">
      <is>
        <t xml:space="preserve">TROCANDO OS ESPELHOS </t>
      </is>
    </nc>
    <odxf>
      <alignment wrapText="0"/>
    </odxf>
    <ndxf>
      <alignment wrapText="1"/>
    </ndxf>
  </rcc>
  <rcc rId="9727" sId="4" odxf="1" dxf="1">
    <nc r="BB18" t="inlineStr">
      <is>
        <t xml:space="preserve">TROCANDO OS ESPELHOS </t>
      </is>
    </nc>
    <odxf>
      <alignment wrapText="0"/>
    </odxf>
    <ndxf>
      <alignment wrapText="1"/>
    </ndxf>
  </rcc>
  <rcc rId="9728" sId="4" odxf="1" dxf="1">
    <nc r="BC18" t="inlineStr">
      <is>
        <t xml:space="preserve">TROCANDO OS ESPELHOS </t>
      </is>
    </nc>
    <odxf>
      <alignment wrapText="0"/>
    </odxf>
    <ndxf>
      <alignment wrapText="1"/>
    </ndxf>
  </rcc>
  <rcc rId="9729" sId="4" odxf="1" dxf="1">
    <nc r="BD18" t="inlineStr">
      <is>
        <t xml:space="preserve">TROCANDO OS ESPELHOS </t>
      </is>
    </nc>
    <odxf>
      <alignment wrapText="0"/>
    </odxf>
    <ndxf>
      <alignment wrapText="1"/>
    </ndxf>
  </rcc>
  <rcc rId="9730" sId="4" odxf="1" dxf="1">
    <nc r="BE18" t="inlineStr">
      <is>
        <t xml:space="preserve">TROCANDO OS ESPELHOS </t>
      </is>
    </nc>
    <odxf>
      <alignment wrapText="0"/>
    </odxf>
    <ndxf>
      <alignment wrapText="1"/>
    </ndxf>
  </rcc>
  <rcc rId="9731" sId="4" odxf="1" dxf="1">
    <nc r="BF18" t="inlineStr">
      <is>
        <t xml:space="preserve">TROCANDO OS ESPELHOS </t>
      </is>
    </nc>
    <odxf>
      <alignment wrapText="0"/>
    </odxf>
    <ndxf>
      <alignment wrapText="1"/>
    </ndxf>
  </rcc>
  <rcc rId="9732" sId="4">
    <nc r="BE17">
      <v>20</v>
    </nc>
  </rcc>
  <rcc rId="9733" sId="4">
    <nc r="BF17">
      <v>20</v>
    </nc>
  </rcc>
  <rcc rId="9734" sId="4">
    <nc r="BG18" t="inlineStr">
      <is>
        <t xml:space="preserve">Confraternização </t>
      </is>
    </nc>
  </rcc>
  <rfmt sheetId="4" sqref="BG18">
    <dxf>
      <alignment wrapText="1"/>
    </dxf>
  </rfmt>
  <rcv guid="{20CB6D8F-C24D-4D4B-A424-AF380F620455}" action="delete"/>
  <rdn rId="0" localSheetId="1" customView="1" name="Z_20CB6D8F_C24D_4D4B_A424_AF380F620455_.wvu.FilterData" hidden="1" oldHidden="1">
    <formula>Patrícia!$A$1:$A$18</formula>
    <oldFormula>Patrícia!$A$1:$A$18</oldFormula>
  </rdn>
  <rdn rId="0" localSheetId="2" customView="1" name="Z_20CB6D8F_C24D_4D4B_A424_AF380F620455_.wvu.FilterData" hidden="1" oldHidden="1">
    <formula>Marcelo!$A$1:$A$18</formula>
    <oldFormula>Marcelo!$A$1:$A$18</oldFormula>
  </rdn>
  <rdn rId="0" localSheetId="3" customView="1" name="Z_20CB6D8F_C24D_4D4B_A424_AF380F620455_.wvu.FilterData" hidden="1" oldHidden="1">
    <formula>TOTAL!$A$1:$A$19</formula>
    <oldFormula>TOTAL!$A$1:$A$19</oldFormula>
  </rdn>
  <rdn rId="0" localSheetId="4" customView="1" name="Z_20CB6D8F_C24D_4D4B_A424_AF380F620455_.wvu.FilterData" hidden="1" oldHidden="1">
    <formula>Diego!$A$1:$A$20</formula>
    <oldFormula>Diego!$A$1:$A$20</oldFormula>
  </rdn>
  <rdn rId="0" localSheetId="5" customView="1" name="Z_20CB6D8F_C24D_4D4B_A424_AF380F620455_.wvu.FilterData" hidden="1" oldHidden="1">
    <formula>Aelton!$A$1:$A$19</formula>
    <oldFormula>Aelton!$A$1:$A$19</oldFormula>
  </rdn>
  <rdn rId="0" localSheetId="6" customView="1" name="Z_20CB6D8F_C24D_4D4B_A424_AF380F620455_.wvu.FilterData" hidden="1" oldHidden="1">
    <formula>Leonam!$A$1:$BD$19</formula>
    <oldFormula>Leonam!$A$1:$BD$19</oldFormula>
  </rdn>
  <rdn rId="0" localSheetId="7" customView="1" name="Z_20CB6D8F_C24D_4D4B_A424_AF380F620455_.wvu.FilterData" hidden="1" oldHidden="1">
    <formula>Danilo!$A$1:$A$19</formula>
    <oldFormula>Danilo!$A$1:$A$19</oldFormula>
  </rdn>
  <rdn rId="0" localSheetId="8" customView="1" name="Z_20CB6D8F_C24D_4D4B_A424_AF380F620455_.wvu.FilterData" hidden="1" oldHidden="1">
    <formula>Marcos!$A$1:$A$19</formula>
    <oldFormula>Marcos!$A$1:$A$19</oldFormula>
  </rdn>
  <rdn rId="0" localSheetId="10" customView="1" name="Z_20CB6D8F_C24D_4D4B_A424_AF380F620455_.wvu.FilterData" hidden="1" oldHidden="1">
    <formula>Alessandro!$A$1:$A$19</formula>
    <oldFormula>Alessandro!$A$1:$A$19</oldFormula>
  </rdn>
  <rdn rId="0" localSheetId="9" customView="1" name="Z_20CB6D8F_C24D_4D4B_A424_AF380F620455_.wvu.FilterData" hidden="1" oldHidden="1">
    <formula>Carlos!$A$1:$A$19</formula>
    <oldFormula>Carlos!$A$1:$A$19</oldFormula>
  </rdn>
  <rcv guid="{20CB6D8F-C24D-4D4B-A424-AF380F620455}" action="add"/>
</revisions>
</file>

<file path=xl/revisions/revisionLog10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9745" sId="4">
    <oc r="BF18" t="inlineStr">
      <is>
        <t xml:space="preserve">TROCANDO OS ESPELHOS </t>
      </is>
    </oc>
    <nc r="BF18" t="inlineStr">
      <is>
        <t xml:space="preserve">ACOMPANHANDO OBRA DNIT NA SALA  3.11 </t>
      </is>
    </nc>
  </rcc>
  <rcc rId="9746" sId="4">
    <oc r="BE18" t="inlineStr">
      <is>
        <t xml:space="preserve">TROCANDO OS ESPELHOS </t>
      </is>
    </oc>
    <nc r="BE18" t="inlineStr">
      <is>
        <t xml:space="preserve">ACOMPANHANDO OBRA DNIT NA SALA  3.11 </t>
      </is>
    </nc>
  </rcc>
  <rcc rId="9747" sId="4">
    <oc r="BE17">
      <v>20</v>
    </oc>
    <nc r="BE17"/>
  </rcc>
  <rcc rId="9748" sId="4">
    <oc r="BF17">
      <v>20</v>
    </oc>
    <nc r="BF17"/>
  </rcc>
  <rcc rId="9749" sId="4">
    <nc r="BB19" t="inlineStr">
      <is>
        <t>separando as caixas para CGPC</t>
      </is>
    </nc>
  </rcc>
</revisions>
</file>

<file path=xl/revisions/revisionLog10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20CB6D8F-C24D-4D4B-A424-AF380F620455}" action="delete"/>
  <rdn rId="0" localSheetId="1" customView="1" name="Z_20CB6D8F_C24D_4D4B_A424_AF380F620455_.wvu.FilterData" hidden="1" oldHidden="1">
    <formula>Patrícia!$A$1:$A$18</formula>
    <oldFormula>Patrícia!$A$1:$A$18</oldFormula>
  </rdn>
  <rdn rId="0" localSheetId="2" customView="1" name="Z_20CB6D8F_C24D_4D4B_A424_AF380F620455_.wvu.FilterData" hidden="1" oldHidden="1">
    <formula>Marcelo!$A$1:$A$18</formula>
    <oldFormula>Marcelo!$A$1:$A$18</oldFormula>
  </rdn>
  <rdn rId="0" localSheetId="3" customView="1" name="Z_20CB6D8F_C24D_4D4B_A424_AF380F620455_.wvu.FilterData" hidden="1" oldHidden="1">
    <formula>TOTAL!$A$1:$A$19</formula>
    <oldFormula>TOTAL!$A$1:$A$19</oldFormula>
  </rdn>
  <rdn rId="0" localSheetId="4" customView="1" name="Z_20CB6D8F_C24D_4D4B_A424_AF380F620455_.wvu.FilterData" hidden="1" oldHidden="1">
    <formula>Diego!$A$1:$A$20</formula>
    <oldFormula>Diego!$A$1:$A$20</oldFormula>
  </rdn>
  <rdn rId="0" localSheetId="5" customView="1" name="Z_20CB6D8F_C24D_4D4B_A424_AF380F620455_.wvu.FilterData" hidden="1" oldHidden="1">
    <formula>Aelton!$A$1:$A$19</formula>
    <oldFormula>Aelton!$A$1:$A$19</oldFormula>
  </rdn>
  <rdn rId="0" localSheetId="6" customView="1" name="Z_20CB6D8F_C24D_4D4B_A424_AF380F620455_.wvu.FilterData" hidden="1" oldHidden="1">
    <formula>Leonam!$A$1:$BD$19</formula>
    <oldFormula>Leonam!$A$1:$BD$19</oldFormula>
  </rdn>
  <rdn rId="0" localSheetId="7" customView="1" name="Z_20CB6D8F_C24D_4D4B_A424_AF380F620455_.wvu.FilterData" hidden="1" oldHidden="1">
    <formula>Danilo!$A$1:$A$19</formula>
    <oldFormula>Danilo!$A$1:$A$19</oldFormula>
  </rdn>
  <rdn rId="0" localSheetId="8" customView="1" name="Z_20CB6D8F_C24D_4D4B_A424_AF380F620455_.wvu.FilterData" hidden="1" oldHidden="1">
    <formula>Marcos!$A$1:$A$19</formula>
    <oldFormula>Marcos!$A$1:$A$19</oldFormula>
  </rdn>
  <rdn rId="0" localSheetId="10" customView="1" name="Z_20CB6D8F_C24D_4D4B_A424_AF380F620455_.wvu.FilterData" hidden="1" oldHidden="1">
    <formula>Alessandro!$A$1:$A$19</formula>
    <oldFormula>Alessandro!$A$1:$A$19</oldFormula>
  </rdn>
  <rdn rId="0" localSheetId="9" customView="1" name="Z_20CB6D8F_C24D_4D4B_A424_AF380F620455_.wvu.FilterData" hidden="1" oldHidden="1">
    <formula>Carlos!$A$1:$A$19</formula>
    <oldFormula>Carlos!$A$1:$A$19</oldFormula>
  </rdn>
  <rcv guid="{20CB6D8F-C24D-4D4B-A424-AF380F620455}" action="add"/>
</revisions>
</file>

<file path=xl/revisions/revisionLog10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10" sqref="BH18" start="0" length="0">
    <dxf>
      <alignment wrapText="1"/>
    </dxf>
  </rfmt>
  <rcc rId="9760" sId="10">
    <nc r="BH18" t="inlineStr">
      <is>
        <r>
          <t xml:space="preserve">Levantamento dos metros lineares dos deslizantes localizados no </t>
        </r>
        <r>
          <rPr>
            <b/>
            <sz val="11"/>
            <color theme="1"/>
            <rFont val="Aptos Narrow"/>
            <family val="2"/>
          </rPr>
          <t>DNIT - Salas 3.25, 3.61, 4.47</t>
        </r>
      </is>
    </nc>
  </rcc>
  <rcc rId="9761" sId="10">
    <oc r="BA18" t="inlineStr">
      <is>
        <t>Levantamento dos metros lineares dos deslizantes localizados no Bloco A (G-7 e G-15)</t>
      </is>
    </oc>
    <nc r="BA18" t="inlineStr">
      <is>
        <r>
          <t xml:space="preserve">Levantamento dos metros lineares dos deslizantes localizados no </t>
        </r>
        <r>
          <rPr>
            <b/>
            <sz val="11"/>
            <color theme="1"/>
            <rFont val="Aptos Narrow"/>
            <family val="2"/>
          </rPr>
          <t>Bloco A - G-15</t>
        </r>
      </is>
    </nc>
  </rcc>
  <rcv guid="{3D987F8E-A6EA-454D-9537-6BFC5053CB00}" action="delete"/>
  <rdn rId="0" localSheetId="1" customView="1" name="Z_3D987F8E_A6EA_454D_9537_6BFC5053CB00_.wvu.FilterData" hidden="1" oldHidden="1">
    <formula>Patrícia!$A$1:$A$18</formula>
    <oldFormula>Patrícia!$A$1:$A$18</oldFormula>
  </rdn>
  <rdn rId="0" localSheetId="2" customView="1" name="Z_3D987F8E_A6EA_454D_9537_6BFC5053CB00_.wvu.FilterData" hidden="1" oldHidden="1">
    <formula>Marcelo!$A$1:$A$18</formula>
    <oldFormula>Marcelo!$A$1:$A$18</oldFormula>
  </rdn>
  <rdn rId="0" localSheetId="3" customView="1" name="Z_3D987F8E_A6EA_454D_9537_6BFC5053CB00_.wvu.FilterData" hidden="1" oldHidden="1">
    <formula>TOTAL!$A$1:$A$19</formula>
    <oldFormula>TOTAL!$A$1:$A$19</oldFormula>
  </rdn>
  <rdn rId="0" localSheetId="4" customView="1" name="Z_3D987F8E_A6EA_454D_9537_6BFC5053CB00_.wvu.FilterData" hidden="1" oldHidden="1">
    <formula>Diego!$A$1:$A$20</formula>
    <oldFormula>Diego!$A$1:$A$20</oldFormula>
  </rdn>
  <rdn rId="0" localSheetId="5" customView="1" name="Z_3D987F8E_A6EA_454D_9537_6BFC5053CB00_.wvu.FilterData" hidden="1" oldHidden="1">
    <formula>Aelton!$A$1:$A$19</formula>
    <oldFormula>Aelton!$A$1:$A$19</oldFormula>
  </rdn>
  <rdn rId="0" localSheetId="6" customView="1" name="Z_3D987F8E_A6EA_454D_9537_6BFC5053CB00_.wvu.FilterData" hidden="1" oldHidden="1">
    <formula>Leonam!$A$1:$BD$19</formula>
    <oldFormula>Leonam!$A$1:$BD$19</oldFormula>
  </rdn>
  <rdn rId="0" localSheetId="7" customView="1" name="Z_3D987F8E_A6EA_454D_9537_6BFC5053CB00_.wvu.FilterData" hidden="1" oldHidden="1">
    <formula>Danilo!$A$1:$A$19</formula>
    <oldFormula>Danilo!$A$1:$A$19</oldFormula>
  </rdn>
  <rdn rId="0" localSheetId="8" customView="1" name="Z_3D987F8E_A6EA_454D_9537_6BFC5053CB00_.wvu.FilterData" hidden="1" oldHidden="1">
    <formula>Marcos!$A$1:$A$19</formula>
    <oldFormula>Marcos!$A$1:$A$19</oldFormula>
  </rdn>
  <rdn rId="0" localSheetId="10" customView="1" name="Z_3D987F8E_A6EA_454D_9537_6BFC5053CB00_.wvu.FilterData" hidden="1" oldHidden="1">
    <formula>Alessandro!$A$1:$A$19</formula>
    <oldFormula>Alessandro!$A$1:$A$19</oldFormula>
  </rdn>
  <rdn rId="0" localSheetId="9" customView="1" name="Z_3D987F8E_A6EA_454D_9537_6BFC5053CB00_.wvu.FilterData" hidden="1" oldHidden="1">
    <formula>Carlos!$A$1:$A$19</formula>
    <oldFormula>Carlos!$A$1:$A$19</oldFormula>
  </rdn>
  <rcv guid="{3D987F8E-A6EA-454D-9537-6BFC5053CB00}" action="add"/>
</revisions>
</file>

<file path=xl/revisions/revisionLog10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9772" sId="10">
    <nc r="BI16">
      <v>3</v>
    </nc>
  </rcc>
</revisions>
</file>

<file path=xl/revisions/revisionLog10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9773" sId="10" odxf="1" dxf="1">
    <nc r="BI18" t="inlineStr">
      <is>
        <r>
          <t xml:space="preserve"> Otimizando/corrigindo a planilha do Inventário do </t>
        </r>
        <r>
          <rPr>
            <b/>
            <sz val="11"/>
            <color theme="1"/>
            <rFont val="Aptos Narrow"/>
            <family val="2"/>
          </rPr>
          <t>ARCEN
(Continuação)</t>
        </r>
        <r>
          <rPr>
            <sz val="11"/>
            <color theme="1"/>
            <rFont val="Aptos Narrow"/>
            <family val="2"/>
          </rPr>
          <t xml:space="preserve"> </t>
        </r>
      </is>
    </nc>
    <odxf>
      <alignment wrapText="0"/>
    </odxf>
    <ndxf>
      <alignment wrapText="1"/>
    </ndxf>
  </rcc>
</revisions>
</file>

<file path=xl/revisions/revisionLog11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9774" sId="6">
    <nc r="BH18" t="inlineStr">
      <is>
        <t>TROCANDO  CAIXAS E OS ESPELHOS</t>
      </is>
    </nc>
  </rcc>
  <rcc rId="9775" sId="6">
    <nc r="BI18" t="inlineStr">
      <is>
        <t>TROCANDO  CAIXAS E OS ESPELHOS</t>
      </is>
    </nc>
  </rcc>
  <rcv guid="{9B623083-AA7B-440B-95EA-C33E1AB3D963}" action="delete"/>
  <rdn rId="0" localSheetId="1" customView="1" name="Z_9B623083_AA7B_440B_95EA_C33E1AB3D963_.wvu.FilterData" hidden="1" oldHidden="1">
    <formula>Patrícia!$A$1:$A$18</formula>
    <oldFormula>Patrícia!$A$1:$A$18</oldFormula>
  </rdn>
  <rdn rId="0" localSheetId="2" customView="1" name="Z_9B623083_AA7B_440B_95EA_C33E1AB3D963_.wvu.FilterData" hidden="1" oldHidden="1">
    <formula>Marcelo!$A$1:$A$18</formula>
    <oldFormula>Marcelo!$A$1:$A$18</oldFormula>
  </rdn>
  <rdn rId="0" localSheetId="3" customView="1" name="Z_9B623083_AA7B_440B_95EA_C33E1AB3D963_.wvu.FilterData" hidden="1" oldHidden="1">
    <formula>TOTAL!$A$1:$A$19</formula>
    <oldFormula>TOTAL!$A$1:$A$19</oldFormula>
  </rdn>
  <rdn rId="0" localSheetId="4" customView="1" name="Z_9B623083_AA7B_440B_95EA_C33E1AB3D963_.wvu.FilterData" hidden="1" oldHidden="1">
    <formula>Diego!$A$1:$A$20</formula>
    <oldFormula>Diego!$A$1:$A$20</oldFormula>
  </rdn>
  <rdn rId="0" localSheetId="5" customView="1" name="Z_9B623083_AA7B_440B_95EA_C33E1AB3D963_.wvu.FilterData" hidden="1" oldHidden="1">
    <formula>Aelton!$A$1:$A$19</formula>
    <oldFormula>Aelton!$A$1:$A$19</oldFormula>
  </rdn>
  <rdn rId="0" localSheetId="6" customView="1" name="Z_9B623083_AA7B_440B_95EA_C33E1AB3D963_.wvu.FilterData" hidden="1" oldHidden="1">
    <formula>Leonam!$A$1:$BD$19</formula>
    <oldFormula>Leonam!$A$1:$BD$19</oldFormula>
  </rdn>
  <rdn rId="0" localSheetId="7" customView="1" name="Z_9B623083_AA7B_440B_95EA_C33E1AB3D963_.wvu.FilterData" hidden="1" oldHidden="1">
    <formula>Danilo!$A$1:$A$19</formula>
    <oldFormula>Danilo!$A$1:$A$19</oldFormula>
  </rdn>
  <rdn rId="0" localSheetId="8" customView="1" name="Z_9B623083_AA7B_440B_95EA_C33E1AB3D963_.wvu.FilterData" hidden="1" oldHidden="1">
    <formula>Marcos!$A$1:$A$19</formula>
    <oldFormula>Marcos!$A$1:$A$19</oldFormula>
  </rdn>
  <rdn rId="0" localSheetId="10" customView="1" name="Z_9B623083_AA7B_440B_95EA_C33E1AB3D963_.wvu.FilterData" hidden="1" oldHidden="1">
    <formula>Alessandro!$A$1:$A$19</formula>
    <oldFormula>Alessandro!$A$1:$A$19</oldFormula>
  </rdn>
  <rdn rId="0" localSheetId="9" customView="1" name="Z_9B623083_AA7B_440B_95EA_C33E1AB3D963_.wvu.FilterData" hidden="1" oldHidden="1">
    <formula>Carlos!$A$1:$A$19</formula>
    <oldFormula>Carlos!$A$1:$A$19</oldFormula>
  </rdn>
  <rcv guid="{9B623083-AA7B-440B-95EA-C33E1AB3D963}" action="add"/>
</revisions>
</file>

<file path=xl/revisions/revisionLog11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9786" sId="4" odxf="1" dxf="1">
    <nc r="BH18" t="inlineStr">
      <is>
        <t xml:space="preserve">TROCANDO OS ESPELHOS </t>
      </is>
    </nc>
    <odxf>
      <alignment wrapText="0"/>
    </odxf>
    <ndxf>
      <alignment wrapText="1"/>
    </ndxf>
  </rcc>
  <rcc rId="9787" sId="4" odxf="1" dxf="1">
    <nc r="BI18" t="inlineStr">
      <is>
        <t xml:space="preserve">TROCANDO OS ESPELHOS </t>
      </is>
    </nc>
    <odxf>
      <alignment wrapText="0"/>
    </odxf>
    <ndxf>
      <alignment wrapText="1"/>
    </ndxf>
  </rcc>
  <rcc rId="9788" sId="4">
    <nc r="BH17">
      <v>20</v>
    </nc>
  </rcc>
  <rcc rId="9789" sId="4">
    <nc r="BI17">
      <v>20</v>
    </nc>
  </rcc>
  <rcv guid="{20CB6D8F-C24D-4D4B-A424-AF380F620455}" action="delete"/>
  <rdn rId="0" localSheetId="1" customView="1" name="Z_20CB6D8F_C24D_4D4B_A424_AF380F620455_.wvu.FilterData" hidden="1" oldHidden="1">
    <formula>Patrícia!$A$1:$A$18</formula>
    <oldFormula>Patrícia!$A$1:$A$18</oldFormula>
  </rdn>
  <rdn rId="0" localSheetId="2" customView="1" name="Z_20CB6D8F_C24D_4D4B_A424_AF380F620455_.wvu.FilterData" hidden="1" oldHidden="1">
    <formula>Marcelo!$A$1:$A$18</formula>
    <oldFormula>Marcelo!$A$1:$A$18</oldFormula>
  </rdn>
  <rdn rId="0" localSheetId="3" customView="1" name="Z_20CB6D8F_C24D_4D4B_A424_AF380F620455_.wvu.FilterData" hidden="1" oldHidden="1">
    <formula>TOTAL!$A$1:$A$19</formula>
    <oldFormula>TOTAL!$A$1:$A$19</oldFormula>
  </rdn>
  <rdn rId="0" localSheetId="4" customView="1" name="Z_20CB6D8F_C24D_4D4B_A424_AF380F620455_.wvu.FilterData" hidden="1" oldHidden="1">
    <formula>Diego!$A$1:$A$20</formula>
    <oldFormula>Diego!$A$1:$A$20</oldFormula>
  </rdn>
  <rdn rId="0" localSheetId="5" customView="1" name="Z_20CB6D8F_C24D_4D4B_A424_AF380F620455_.wvu.FilterData" hidden="1" oldHidden="1">
    <formula>Aelton!$A$1:$A$19</formula>
    <oldFormula>Aelton!$A$1:$A$19</oldFormula>
  </rdn>
  <rdn rId="0" localSheetId="6" customView="1" name="Z_20CB6D8F_C24D_4D4B_A424_AF380F620455_.wvu.FilterData" hidden="1" oldHidden="1">
    <formula>Leonam!$A$1:$BD$19</formula>
    <oldFormula>Leonam!$A$1:$BD$19</oldFormula>
  </rdn>
  <rdn rId="0" localSheetId="7" customView="1" name="Z_20CB6D8F_C24D_4D4B_A424_AF380F620455_.wvu.FilterData" hidden="1" oldHidden="1">
    <formula>Danilo!$A$1:$A$19</formula>
    <oldFormula>Danilo!$A$1:$A$19</oldFormula>
  </rdn>
  <rdn rId="0" localSheetId="8" customView="1" name="Z_20CB6D8F_C24D_4D4B_A424_AF380F620455_.wvu.FilterData" hidden="1" oldHidden="1">
    <formula>Marcos!$A$1:$A$19</formula>
    <oldFormula>Marcos!$A$1:$A$19</oldFormula>
  </rdn>
  <rdn rId="0" localSheetId="10" customView="1" name="Z_20CB6D8F_C24D_4D4B_A424_AF380F620455_.wvu.FilterData" hidden="1" oldHidden="1">
    <formula>Alessandro!$A$1:$A$19</formula>
    <oldFormula>Alessandro!$A$1:$A$19</oldFormula>
  </rdn>
  <rdn rId="0" localSheetId="9" customView="1" name="Z_20CB6D8F_C24D_4D4B_A424_AF380F620455_.wvu.FilterData" hidden="1" oldHidden="1">
    <formula>Carlos!$A$1:$A$19</formula>
    <oldFormula>Carlos!$A$1:$A$19</oldFormula>
  </rdn>
  <rcv guid="{20CB6D8F-C24D-4D4B-A424-AF380F620455}" action="add"/>
</revisions>
</file>

<file path=xl/revisions/revisionLog11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9800" sId="8" odxf="1" dxf="1">
    <nc r="BH18" t="inlineStr">
      <is>
        <t>TROCANDO  CAIXAS E OS ESPELHOS</t>
      </is>
    </nc>
    <odxf>
      <alignment wrapText="0"/>
    </odxf>
    <ndxf>
      <alignment wrapText="1"/>
    </ndxf>
  </rcc>
  <rcc rId="9801" sId="8" odxf="1" dxf="1">
    <nc r="BI18" t="inlineStr">
      <is>
        <t>TROCANDO  CAIXAS E OS ESPELHOS</t>
      </is>
    </nc>
    <odxf>
      <alignment wrapText="0"/>
    </odxf>
    <ndxf>
      <alignment wrapText="1"/>
    </ndxf>
  </rcc>
  <rcc rId="9802" sId="8">
    <nc r="BA17">
      <v>20</v>
    </nc>
  </rcc>
  <rcc rId="9803" sId="8">
    <nc r="BB17">
      <v>20</v>
    </nc>
  </rcc>
  <rcc rId="9804" sId="8">
    <nc r="BC17">
      <v>20</v>
    </nc>
  </rcc>
  <rcc rId="9805" sId="8">
    <nc r="BH17">
      <v>20</v>
    </nc>
  </rcc>
  <rcc rId="9806" sId="8">
    <nc r="BI17">
      <v>20</v>
    </nc>
  </rcc>
  <rcv guid="{E3841903-5B68-44FD-8F09-58E03D1025C5}" action="delete"/>
  <rdn rId="0" localSheetId="1" customView="1" name="Z_E3841903_5B68_44FD_8F09_58E03D1025C5_.wvu.FilterData" hidden="1" oldHidden="1">
    <formula>Patrícia!$A$1:$A$18</formula>
    <oldFormula>Patrícia!$A$1:$A$18</oldFormula>
  </rdn>
  <rdn rId="0" localSheetId="2" customView="1" name="Z_E3841903_5B68_44FD_8F09_58E03D1025C5_.wvu.FilterData" hidden="1" oldHidden="1">
    <formula>Marcelo!$A$1:$A$18</formula>
    <oldFormula>Marcelo!$A$1:$A$18</oldFormula>
  </rdn>
  <rdn rId="0" localSheetId="3" customView="1" name="Z_E3841903_5B68_44FD_8F09_58E03D1025C5_.wvu.FilterData" hidden="1" oldHidden="1">
    <formula>TOTAL!$A$1:$A$19</formula>
    <oldFormula>TOTAL!$A$1:$A$19</oldFormula>
  </rdn>
  <rdn rId="0" localSheetId="4" customView="1" name="Z_E3841903_5B68_44FD_8F09_58E03D1025C5_.wvu.FilterData" hidden="1" oldHidden="1">
    <formula>Diego!$A$1:$A$20</formula>
    <oldFormula>Diego!$A$1:$A$20</oldFormula>
  </rdn>
  <rdn rId="0" localSheetId="5" customView="1" name="Z_E3841903_5B68_44FD_8F09_58E03D1025C5_.wvu.FilterData" hidden="1" oldHidden="1">
    <formula>Aelton!$A$1:$A$19</formula>
    <oldFormula>Aelton!$A$1:$A$19</oldFormula>
  </rdn>
  <rdn rId="0" localSheetId="6" customView="1" name="Z_E3841903_5B68_44FD_8F09_58E03D1025C5_.wvu.FilterData" hidden="1" oldHidden="1">
    <formula>Leonam!$A$1:$BD$19</formula>
    <oldFormula>Leonam!$A$1:$BD$19</oldFormula>
  </rdn>
  <rdn rId="0" localSheetId="7" customView="1" name="Z_E3841903_5B68_44FD_8F09_58E03D1025C5_.wvu.FilterData" hidden="1" oldHidden="1">
    <formula>Danilo!$A$1:$A$19</formula>
    <oldFormula>Danilo!$A$1:$A$19</oldFormula>
  </rdn>
  <rdn rId="0" localSheetId="8" customView="1" name="Z_E3841903_5B68_44FD_8F09_58E03D1025C5_.wvu.FilterData" hidden="1" oldHidden="1">
    <formula>Marcos!$A$1:$A$19</formula>
    <oldFormula>Marcos!$A$1:$A$19</oldFormula>
  </rdn>
  <rdn rId="0" localSheetId="10" customView="1" name="Z_E3841903_5B68_44FD_8F09_58E03D1025C5_.wvu.FilterData" hidden="1" oldHidden="1">
    <formula>Alessandro!$A$1:$A$19</formula>
    <oldFormula>Alessandro!$A$1:$A$19</oldFormula>
  </rdn>
  <rdn rId="0" localSheetId="9" customView="1" name="Z_E3841903_5B68_44FD_8F09_58E03D1025C5_.wvu.FilterData" hidden="1" oldHidden="1">
    <formula>Carlos!$A$1:$A$19</formula>
    <oldFormula>Carlos!$A$1:$A$19</oldFormula>
  </rdn>
  <rcv guid="{E3841903-5B68-44FD-8F09-58E03D1025C5}" action="add"/>
</revisions>
</file>

<file path=xl/revisions/revisionLog11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9817" sId="5">
    <nc r="BE13">
      <v>1</v>
    </nc>
  </rcc>
  <rcc rId="9818" sId="5">
    <nc r="BE15">
      <v>23</v>
    </nc>
  </rcc>
  <rfmt sheetId="5" sqref="BE17" start="0" length="0">
    <dxf>
      <border outline="0">
        <bottom/>
      </border>
    </dxf>
  </rfmt>
  <rfmt sheetId="5" sqref="BF17" start="0" length="0">
    <dxf>
      <border outline="0">
        <bottom/>
      </border>
    </dxf>
  </rfmt>
  <rfmt sheetId="5" sqref="BG17" start="0" length="0">
    <dxf>
      <border outline="0">
        <bottom/>
      </border>
    </dxf>
  </rfmt>
  <rfmt sheetId="5" sqref="BH17" start="0" length="0">
    <dxf>
      <border outline="0">
        <bottom/>
      </border>
    </dxf>
  </rfmt>
  <rfmt sheetId="5" sqref="BI17" start="0" length="0">
    <dxf>
      <border outline="0">
        <bottom/>
      </border>
    </dxf>
  </rfmt>
  <rcc rId="9819" sId="5" odxf="1" dxf="1">
    <nc r="BE18" t="inlineStr">
      <is>
        <t>1. Preparação das 70
 caixas do DEFNAS.
2. Acompanhamento reforma da sala 3.11.</t>
      </is>
    </nc>
    <odxf>
      <alignment wrapText="0"/>
    </odxf>
    <ndxf>
      <alignment wrapText="1"/>
    </ndxf>
  </rcc>
  <rfmt sheetId="5" sqref="BF18" start="0" length="0">
    <dxf>
      <fill>
        <patternFill patternType="solid">
          <bgColor theme="0"/>
        </patternFill>
      </fill>
      <alignment wrapText="1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rfmt>
  <rfmt sheetId="5" sqref="BG18" start="0" length="0">
    <dxf>
      <font>
        <sz val="11"/>
        <color rgb="FFFF0000"/>
        <name val="Aptos Narrow"/>
        <family val="2"/>
        <scheme val="minor"/>
      </font>
      <fill>
        <patternFill patternType="solid">
          <bgColor theme="9" tint="0.59999389629810485"/>
        </patternFill>
      </fill>
      <alignment wrapText="1"/>
    </dxf>
  </rfmt>
  <rfmt sheetId="5" sqref="BH18" start="0" length="0">
    <dxf>
      <alignment wrapText="1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rfmt>
  <rfmt sheetId="5" sqref="BF1" start="0" length="0">
    <dxf>
      <border outline="0">
        <left/>
      </border>
    </dxf>
  </rfmt>
  <rfmt sheetId="5" sqref="BG1" start="0" length="0">
    <dxf>
      <border outline="0">
        <left/>
      </border>
    </dxf>
  </rfmt>
  <rfmt sheetId="5" sqref="BH1" start="0" length="0">
    <dxf>
      <border outline="0">
        <left/>
      </border>
    </dxf>
  </rfmt>
  <rfmt sheetId="5" sqref="BI1" start="0" length="0">
    <dxf>
      <border outline="0">
        <left/>
      </border>
    </dxf>
  </rfmt>
  <rcc rId="9820" sId="5">
    <nc r="BI13">
      <v>1</v>
    </nc>
  </rcc>
  <rcc rId="9821" sId="5">
    <nc r="BI15">
      <v>5</v>
    </nc>
  </rcc>
  <rcc rId="9822" sId="5">
    <nc r="BG17">
      <v>5</v>
    </nc>
  </rcc>
  <rcc rId="9823" sId="5">
    <nc r="BH17">
      <v>5</v>
    </nc>
  </rcc>
  <rcc rId="9824" sId="5">
    <nc r="BI17">
      <v>5</v>
    </nc>
  </rcc>
  <rcc rId="9825" sId="5" odxf="1" dxf="1">
    <nc r="BF18" t="inlineStr">
      <is>
        <t>Acompanhamento reforma da sala 3.11.</t>
      </is>
    </nc>
    <ndxf>
      <fill>
        <patternFill patternType="none">
          <bgColor indexed="65"/>
        </patternFill>
      </fill>
      <border outline="0">
        <left/>
        <right/>
        <top/>
        <bottom/>
      </border>
    </ndxf>
  </rcc>
  <rcc rId="9826" sId="5" odxf="1" dxf="1">
    <nc r="BG18" t="inlineStr">
      <is>
        <t>Confraternização 
SAA no período da tarde.</t>
      </is>
    </nc>
    <ndxf>
      <font>
        <sz val="11"/>
        <color theme="1"/>
        <name val="Aptos Narrow"/>
        <family val="2"/>
        <scheme val="minor"/>
      </font>
      <fill>
        <patternFill patternType="none">
          <bgColor indexed="65"/>
        </patternFill>
      </fill>
    </ndxf>
  </rcc>
  <rcc rId="9827" sId="5" odxf="1" dxf="1">
    <nc r="BH18" t="inlineStr">
      <is>
        <t>Relatório - Medição em metro linear dos Arquivos Deslizantes Bloco A.</t>
      </is>
    </nc>
    <ndxf>
      <border outline="0">
        <left/>
        <right/>
        <top/>
        <bottom/>
      </border>
    </ndxf>
  </rcc>
  <rfmt sheetId="5" sqref="BI18" start="0" length="0">
    <dxf>
      <alignment wrapText="1"/>
    </dxf>
  </rfmt>
  <rcv guid="{86039CF8-B158-4D70-9A6F-A10C29CBD68A}" action="delete"/>
  <rdn rId="0" localSheetId="1" customView="1" name="Z_86039CF8_B158_4D70_9A6F_A10C29CBD68A_.wvu.FilterData" hidden="1" oldHidden="1">
    <formula>Patrícia!$A$1:$A$18</formula>
    <oldFormula>Patrícia!$A$1:$A$18</oldFormula>
  </rdn>
  <rdn rId="0" localSheetId="2" customView="1" name="Z_86039CF8_B158_4D70_9A6F_A10C29CBD68A_.wvu.FilterData" hidden="1" oldHidden="1">
    <formula>Marcelo!$A$1:$A$18</formula>
    <oldFormula>Marcelo!$A$1:$A$18</oldFormula>
  </rdn>
  <rdn rId="0" localSheetId="3" customView="1" name="Z_86039CF8_B158_4D70_9A6F_A10C29CBD68A_.wvu.FilterData" hidden="1" oldHidden="1">
    <formula>TOTAL!$A$1:$A$19</formula>
    <oldFormula>TOTAL!$A$1:$A$19</oldFormula>
  </rdn>
  <rdn rId="0" localSheetId="4" customView="1" name="Z_86039CF8_B158_4D70_9A6F_A10C29CBD68A_.wvu.FilterData" hidden="1" oldHidden="1">
    <formula>Diego!$A$1:$A$20</formula>
    <oldFormula>Diego!$A$1:$A$20</oldFormula>
  </rdn>
  <rdn rId="0" localSheetId="5" customView="1" name="Z_86039CF8_B158_4D70_9A6F_A10C29CBD68A_.wvu.FilterData" hidden="1" oldHidden="1">
    <formula>Aelton!$A$1:$A$19</formula>
    <oldFormula>Aelton!$A$1:$A$19</oldFormula>
  </rdn>
  <rdn rId="0" localSheetId="6" customView="1" name="Z_86039CF8_B158_4D70_9A6F_A10C29CBD68A_.wvu.FilterData" hidden="1" oldHidden="1">
    <formula>Leonam!$A$1:$BD$19</formula>
    <oldFormula>Leonam!$A$1:$BD$19</oldFormula>
  </rdn>
  <rdn rId="0" localSheetId="7" customView="1" name="Z_86039CF8_B158_4D70_9A6F_A10C29CBD68A_.wvu.FilterData" hidden="1" oldHidden="1">
    <formula>Danilo!$A$1:$A$19</formula>
    <oldFormula>Danilo!$A$1:$A$19</oldFormula>
  </rdn>
  <rdn rId="0" localSheetId="8" customView="1" name="Z_86039CF8_B158_4D70_9A6F_A10C29CBD68A_.wvu.FilterData" hidden="1" oldHidden="1">
    <formula>Marcos!$A$1:$A$19</formula>
    <oldFormula>Marcos!$A$1:$A$19</oldFormula>
  </rdn>
  <rdn rId="0" localSheetId="10" customView="1" name="Z_86039CF8_B158_4D70_9A6F_A10C29CBD68A_.wvu.FilterData" hidden="1" oldHidden="1">
    <formula>Alessandro!$A$1:$A$19</formula>
    <oldFormula>Alessandro!$A$1:$A$19</oldFormula>
  </rdn>
  <rdn rId="0" localSheetId="9" customView="1" name="Z_86039CF8_B158_4D70_9A6F_A10C29CBD68A_.wvu.FilterData" hidden="1" oldHidden="1">
    <formula>Carlos!$A$1:$A$19</formula>
    <oldFormula>Carlos!$A$1:$A$19</oldFormula>
  </rdn>
  <rcv guid="{86039CF8-B158-4D70-9A6F-A10C29CBD68A}" action="add"/>
</revisions>
</file>

<file path=xl/revisions/revisionLog11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5" sqref="BF18" start="0" length="0">
    <dxf>
      <font>
        <sz val="11"/>
        <color rgb="FFFF0000"/>
        <name val="Aptos Narrow"/>
        <family val="2"/>
        <scheme val="minor"/>
      </font>
    </dxf>
  </rfmt>
</revisions>
</file>

<file path=xl/revisions/revisionLog11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9838" sId="5">
    <oc r="BE18" t="inlineStr">
      <is>
        <t>1. Preparação das 70
 caixas do DEFNAS.
2. Acompanhamento reforma da sala 3.11.</t>
      </is>
    </oc>
    <nc r="BE18" t="inlineStr">
      <is>
        <r>
          <t>1. Preparação das 70
 caixas do DEFNAS.
2.</t>
        </r>
        <r>
          <rPr>
            <sz val="11"/>
            <color rgb="FFFF0000"/>
            <rFont val="Aptos Narrow"/>
            <family val="2"/>
          </rPr>
          <t xml:space="preserve"> Acompanhamento reforma da sala 3.11.</t>
        </r>
      </is>
    </nc>
  </rcc>
</revisions>
</file>

<file path=xl/revisions/revisionLog11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9839" sId="5">
    <nc r="BH13">
      <v>1</v>
    </nc>
  </rcc>
</revisions>
</file>

<file path=xl/revisions/revisionLog11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3" sqref="F18" start="0" length="0">
    <dxf>
      <alignment vertical="top" wrapText="1"/>
    </dxf>
  </rfmt>
  <rcc rId="9840" sId="3">
    <nc r="F18" t="inlineStr">
      <is>
        <r>
          <t xml:space="preserve">1. </t>
        </r>
        <r>
          <rPr>
            <b/>
            <sz val="11"/>
            <color theme="1"/>
            <rFont val="Aptos Narrow"/>
            <family val="2"/>
          </rPr>
          <t>Troca/substituição</t>
        </r>
        <r>
          <rPr>
            <sz val="11"/>
            <color theme="1"/>
            <rFont val="Aptos Narrow"/>
            <family val="2"/>
          </rPr>
          <t xml:space="preserve"> de caixas
2. Guarda/devolução de processos </t>
        </r>
        <r>
          <rPr>
            <b/>
            <sz val="11"/>
            <color theme="1"/>
            <rFont val="Aptos Narrow"/>
            <family val="2"/>
          </rPr>
          <t xml:space="preserve">MESP </t>
        </r>
        <r>
          <rPr>
            <sz val="11"/>
            <color theme="1"/>
            <rFont val="Aptos Narrow"/>
            <family val="2"/>
          </rPr>
          <t xml:space="preserve">
3. Conferência de </t>
        </r>
        <r>
          <rPr>
            <b/>
            <sz val="11"/>
            <color theme="1"/>
            <rFont val="Aptos Narrow"/>
            <family val="2"/>
          </rPr>
          <t>patrimônio salas 1S3.25 e 1S1.20</t>
        </r>
        <r>
          <rPr>
            <sz val="11"/>
            <color theme="1"/>
            <rFont val="Aptos Narrow"/>
            <family val="2"/>
          </rPr>
          <t xml:space="preserve"> </t>
        </r>
      </is>
    </nc>
  </rcc>
  <rfmt sheetId="3" sqref="G18">
    <dxf>
      <alignment horizontal="center" vertical="center" textRotation="0" wrapText="1" indent="0" justifyLastLine="0" shrinkToFit="0" readingOrder="0"/>
    </dxf>
  </rfmt>
  <rcc rId="9841" sId="3">
    <nc r="G18" t="inlineStr">
      <is>
        <r>
          <t>1.</t>
        </r>
        <r>
          <rPr>
            <b/>
            <sz val="11"/>
            <color theme="1"/>
            <rFont val="Aptos Narrow"/>
            <family val="2"/>
          </rPr>
          <t>Troca/substituição</t>
        </r>
        <r>
          <rPr>
            <sz val="11"/>
            <color theme="1"/>
            <rFont val="Aptos Narrow"/>
            <family val="2"/>
          </rPr>
          <t xml:space="preserve"> de caixas
2. Vistoria arquivo Bloco A, para verificação de </t>
        </r>
        <r>
          <rPr>
            <b/>
            <sz val="11"/>
            <color theme="1"/>
            <rFont val="Aptos Narrow"/>
            <family val="2"/>
          </rPr>
          <t xml:space="preserve">vazamentos e frestas/buracos </t>
        </r>
        <r>
          <rPr>
            <sz val="11"/>
            <color theme="1"/>
            <rFont val="Aptos Narrow"/>
            <family val="2"/>
          </rPr>
          <t xml:space="preserve">
3. Visita técnica de equipe do </t>
        </r>
        <r>
          <rPr>
            <b/>
            <sz val="11"/>
            <color theme="1"/>
            <rFont val="Aptos Narrow"/>
            <family val="2"/>
          </rPr>
          <t>Arquivo Nacional</t>
        </r>
      </is>
    </nc>
  </rcc>
  <rfmt sheetId="3" xfDxf="1" sqref="H18" start="0" length="0"/>
  <rfmt sheetId="3" sqref="H18">
    <dxf>
      <alignment horizontal="left" vertical="center" wrapText="1"/>
    </dxf>
  </rfmt>
  <rcc rId="9842" sId="3">
    <nc r="H18" t="inlineStr">
      <is>
        <r>
          <t xml:space="preserve">1. </t>
        </r>
        <r>
          <rPr>
            <b/>
            <sz val="11"/>
            <color theme="1"/>
            <rFont val="Aptos Narrow"/>
            <family val="2"/>
          </rPr>
          <t>Troca/substituição</t>
        </r>
        <r>
          <rPr>
            <sz val="11"/>
            <color theme="1"/>
            <rFont val="Aptos Narrow"/>
            <family val="2"/>
          </rPr>
          <t xml:space="preserve"> de caixas
2. Confecção de </t>
        </r>
        <r>
          <rPr>
            <b/>
            <sz val="11"/>
            <color theme="1"/>
            <rFont val="Aptos Narrow"/>
            <family val="2"/>
          </rPr>
          <t>espelhos para caixas</t>
        </r>
        <r>
          <rPr>
            <sz val="11"/>
            <color theme="1"/>
            <rFont val="Aptos Narrow"/>
            <family val="2"/>
          </rPr>
          <t xml:space="preserve">
</t>
        </r>
      </is>
    </nc>
  </rcc>
  <rfmt sheetId="3" sqref="I18">
    <dxf>
      <alignment horizontal="center" vertical="center" textRotation="0" wrapText="1" indent="0" justifyLastLine="0" shrinkToFit="0" readingOrder="0"/>
    </dxf>
  </rfmt>
  <rcc rId="9843" sId="3">
    <nc r="I18" t="inlineStr">
      <is>
        <r>
          <t xml:space="preserve">1. Leitura de </t>
        </r>
        <r>
          <rPr>
            <b/>
            <sz val="11"/>
            <color theme="1"/>
            <rFont val="Aptos Narrow"/>
            <family val="2"/>
          </rPr>
          <t>módulo 15 da sala 3.71</t>
        </r>
        <r>
          <rPr>
            <sz val="11"/>
            <color theme="1"/>
            <rFont val="Aptos Narrow"/>
            <family val="2"/>
          </rPr>
          <t xml:space="preserve">
2. Limpeza no arquivo do </t>
        </r>
        <r>
          <rPr>
            <b/>
            <sz val="11"/>
            <color theme="1"/>
            <rFont val="Aptos Narrow"/>
            <family val="2"/>
          </rPr>
          <t>Bloco A, sala G-15</t>
        </r>
      </is>
    </nc>
  </rcc>
  <rfmt sheetId="3" sqref="J18" start="0" length="0">
    <dxf>
      <alignment horizontal="left" vertical="center" wrapText="1"/>
    </dxf>
  </rfmt>
  <rcc rId="9844" sId="3">
    <nc r="J18" t="inlineStr">
      <is>
        <r>
          <t xml:space="preserve">1. </t>
        </r>
        <r>
          <rPr>
            <b/>
            <sz val="11"/>
            <color theme="1"/>
            <rFont val="Aptos Narrow"/>
            <family val="2"/>
          </rPr>
          <t>Troca/substituição</t>
        </r>
        <r>
          <rPr>
            <sz val="11"/>
            <color theme="1"/>
            <rFont val="Aptos Narrow"/>
            <family val="2"/>
          </rPr>
          <t xml:space="preserve"> de caixas
2. Confecção de </t>
        </r>
        <r>
          <rPr>
            <b/>
            <sz val="11"/>
            <color theme="1"/>
            <rFont val="Aptos Narrow"/>
            <family val="2"/>
          </rPr>
          <t xml:space="preserve">espelhos para caixas
</t>
        </r>
        <r>
          <rPr>
            <sz val="11"/>
            <color theme="1"/>
            <rFont val="Aptos Narrow"/>
            <family val="2"/>
          </rPr>
          <t>3. Reunião com chefe Patrícia, sobre demanda</t>
        </r>
        <r>
          <rPr>
            <b/>
            <sz val="11"/>
            <color theme="1"/>
            <rFont val="Aptos Narrow"/>
            <family val="2"/>
          </rPr>
          <t>s 107 volumes MESP (2 volumes faltantes)</t>
        </r>
        <r>
          <rPr>
            <sz val="11"/>
            <color theme="1"/>
            <rFont val="Aptos Narrow"/>
            <family val="2"/>
          </rPr>
          <t xml:space="preserve">
</t>
        </r>
      </is>
    </nc>
  </rcc>
  <rfmt sheetId="3" sqref="K18" start="0" length="0">
    <dxf>
      <alignment horizontal="center" vertical="center" wrapText="1"/>
    </dxf>
  </rfmt>
  <rcc rId="9845" sId="3">
    <nc r="K18" t="inlineStr">
      <is>
        <r>
          <t xml:space="preserve">
1. </t>
        </r>
        <r>
          <rPr>
            <b/>
            <sz val="11"/>
            <color theme="1"/>
            <rFont val="Aptos Narrow"/>
            <family val="2"/>
          </rPr>
          <t>Troca/substituição</t>
        </r>
        <r>
          <rPr>
            <sz val="11"/>
            <color theme="1"/>
            <rFont val="Aptos Narrow"/>
            <family val="2"/>
          </rPr>
          <t xml:space="preserve"> de caixas
2. Confecção de </t>
        </r>
        <r>
          <rPr>
            <b/>
            <sz val="11"/>
            <color theme="1"/>
            <rFont val="Aptos Narrow"/>
            <family val="2"/>
          </rPr>
          <t>espelhos para caixas</t>
        </r>
        <r>
          <rPr>
            <sz val="11"/>
            <color theme="1"/>
            <rFont val="Aptos Narrow"/>
            <family val="2"/>
          </rPr>
          <t xml:space="preserve">
3. Levantamento dos </t>
        </r>
        <r>
          <rPr>
            <b/>
            <sz val="11"/>
            <color theme="1"/>
            <rFont val="Aptos Narrow"/>
            <family val="2"/>
          </rPr>
          <t>metros lineares dos deslizantes</t>
        </r>
        <r>
          <rPr>
            <sz val="11"/>
            <color theme="1"/>
            <rFont val="Aptos Narrow"/>
            <family val="2"/>
          </rPr>
          <t xml:space="preserve"> localizados no </t>
        </r>
        <r>
          <rPr>
            <b/>
            <sz val="11"/>
            <color theme="1"/>
            <rFont val="Aptos Narrow"/>
            <family val="2"/>
          </rPr>
          <t xml:space="preserve">Bloco A - G-15
</t>
        </r>
        <r>
          <rPr>
            <sz val="11"/>
            <color theme="1"/>
            <rFont val="Aptos Narrow"/>
            <family val="2"/>
          </rPr>
          <t xml:space="preserve">4. Acompanhamento de </t>
        </r>
        <r>
          <rPr>
            <b/>
            <sz val="11"/>
            <color theme="1"/>
            <rFont val="Aptos Narrow"/>
            <family val="2"/>
          </rPr>
          <t>limpeza das estantes do acervo Bloco A, sala G-07</t>
        </r>
      </is>
    </nc>
  </rcc>
  <rfmt sheetId="3" sqref="K18">
    <dxf>
      <alignment horizontal="left"/>
    </dxf>
  </rfmt>
  <rfmt sheetId="3" sqref="M18" start="0" length="0">
    <dxf>
      <alignment horizontal="left" vertical="center" wrapText="1"/>
    </dxf>
  </rfmt>
  <rfmt sheetId="3" sqref="L18" start="0" length="0">
    <dxf>
      <alignment horizontal="left" vertical="center" wrapText="1"/>
    </dxf>
  </rfmt>
  <rcc rId="9846" sId="3">
    <nc r="L18" t="inlineStr">
      <is>
        <r>
          <t xml:space="preserve">1. </t>
        </r>
        <r>
          <rPr>
            <b/>
            <sz val="11"/>
            <color theme="1"/>
            <rFont val="Aptos Narrow"/>
            <family val="2"/>
          </rPr>
          <t>Troca/substituição</t>
        </r>
        <r>
          <rPr>
            <sz val="11"/>
            <color theme="1"/>
            <rFont val="Aptos Narrow"/>
            <family val="2"/>
          </rPr>
          <t xml:space="preserve"> de caixas
2. Confecção de </t>
        </r>
        <r>
          <rPr>
            <b/>
            <sz val="11"/>
            <color theme="1"/>
            <rFont val="Aptos Narrow"/>
            <family val="2"/>
          </rPr>
          <t>espelhos para caixas</t>
        </r>
        <r>
          <rPr>
            <sz val="11"/>
            <color theme="1"/>
            <rFont val="Aptos Narrow"/>
            <family val="2"/>
          </rPr>
          <t xml:space="preserve">
3. Levantamento dos metros lineares dos </t>
        </r>
        <r>
          <rPr>
            <b/>
            <sz val="11"/>
            <color theme="1"/>
            <rFont val="Aptos Narrow"/>
            <family val="2"/>
          </rPr>
          <t>deslizantes localizado no Bloco A - G-15</t>
        </r>
        <r>
          <rPr>
            <sz val="11"/>
            <color theme="1"/>
            <rFont val="Aptos Narrow"/>
            <family val="2"/>
          </rPr>
          <t xml:space="preserve">
4. Acompanhamento da limpeza das </t>
        </r>
        <r>
          <rPr>
            <b/>
            <sz val="11"/>
            <color theme="1"/>
            <rFont val="Aptos Narrow"/>
            <family val="2"/>
          </rPr>
          <t>estantes da sala G-07, Bloco A</t>
        </r>
      </is>
    </nc>
  </rcc>
  <rcv guid="{3D987F8E-A6EA-454D-9537-6BFC5053CB00}" action="delete"/>
  <rdn rId="0" localSheetId="1" customView="1" name="Z_3D987F8E_A6EA_454D_9537_6BFC5053CB00_.wvu.FilterData" hidden="1" oldHidden="1">
    <formula>Patrícia!$A$1:$A$18</formula>
    <oldFormula>Patrícia!$A$1:$A$18</oldFormula>
  </rdn>
  <rdn rId="0" localSheetId="2" customView="1" name="Z_3D987F8E_A6EA_454D_9537_6BFC5053CB00_.wvu.FilterData" hidden="1" oldHidden="1">
    <formula>Marcelo!$A$1:$A$18</formula>
    <oldFormula>Marcelo!$A$1:$A$18</oldFormula>
  </rdn>
  <rdn rId="0" localSheetId="3" customView="1" name="Z_3D987F8E_A6EA_454D_9537_6BFC5053CB00_.wvu.FilterData" hidden="1" oldHidden="1">
    <formula>TOTAL!$A$1:$A$19</formula>
    <oldFormula>TOTAL!$A$1:$A$19</oldFormula>
  </rdn>
  <rdn rId="0" localSheetId="4" customView="1" name="Z_3D987F8E_A6EA_454D_9537_6BFC5053CB00_.wvu.FilterData" hidden="1" oldHidden="1">
    <formula>Diego!$A$1:$A$20</formula>
    <oldFormula>Diego!$A$1:$A$20</oldFormula>
  </rdn>
  <rdn rId="0" localSheetId="5" customView="1" name="Z_3D987F8E_A6EA_454D_9537_6BFC5053CB00_.wvu.FilterData" hidden="1" oldHidden="1">
    <formula>Aelton!$A$1:$A$19</formula>
    <oldFormula>Aelton!$A$1:$A$19</oldFormula>
  </rdn>
  <rdn rId="0" localSheetId="6" customView="1" name="Z_3D987F8E_A6EA_454D_9537_6BFC5053CB00_.wvu.FilterData" hidden="1" oldHidden="1">
    <formula>Leonam!$A$1:$BD$19</formula>
    <oldFormula>Leonam!$A$1:$BD$19</oldFormula>
  </rdn>
  <rdn rId="0" localSheetId="7" customView="1" name="Z_3D987F8E_A6EA_454D_9537_6BFC5053CB00_.wvu.FilterData" hidden="1" oldHidden="1">
    <formula>Danilo!$A$1:$A$19</formula>
    <oldFormula>Danilo!$A$1:$A$19</oldFormula>
  </rdn>
  <rdn rId="0" localSheetId="8" customView="1" name="Z_3D987F8E_A6EA_454D_9537_6BFC5053CB00_.wvu.FilterData" hidden="1" oldHidden="1">
    <formula>Marcos!$A$1:$A$19</formula>
    <oldFormula>Marcos!$A$1:$A$19</oldFormula>
  </rdn>
  <rdn rId="0" localSheetId="10" customView="1" name="Z_3D987F8E_A6EA_454D_9537_6BFC5053CB00_.wvu.FilterData" hidden="1" oldHidden="1">
    <formula>Alessandro!$A$1:$A$19</formula>
    <oldFormula>Alessandro!$A$1:$A$19</oldFormula>
  </rdn>
  <rdn rId="0" localSheetId="9" customView="1" name="Z_3D987F8E_A6EA_454D_9537_6BFC5053CB00_.wvu.FilterData" hidden="1" oldHidden="1">
    <formula>Carlos!$A$1:$A$19</formula>
    <oldFormula>Carlos!$A$1:$A$19</oldFormula>
  </rdn>
  <rcv guid="{3D987F8E-A6EA-454D-9537-6BFC5053CB00}" action="add"/>
</revisions>
</file>

<file path=xl/revisions/revisionLog11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5" sqref="BE17:BI17" start="0" length="0">
    <dxf>
      <border>
        <bottom style="thin">
          <color indexed="64"/>
        </bottom>
      </border>
    </dxf>
  </rfmt>
</revisions>
</file>

<file path=xl/revisions/revisionLog11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E3841903-5B68-44FD-8F09-58E03D1025C5}" action="delete"/>
  <rdn rId="0" localSheetId="1" customView="1" name="Z_E3841903_5B68_44FD_8F09_58E03D1025C5_.wvu.FilterData" hidden="1" oldHidden="1">
    <formula>Patrícia!$A$1:$A$18</formula>
    <oldFormula>Patrícia!$A$1:$A$18</oldFormula>
  </rdn>
  <rdn rId="0" localSheetId="2" customView="1" name="Z_E3841903_5B68_44FD_8F09_58E03D1025C5_.wvu.FilterData" hidden="1" oldHidden="1">
    <formula>Marcelo!$A$1:$A$18</formula>
    <oldFormula>Marcelo!$A$1:$A$18</oldFormula>
  </rdn>
  <rdn rId="0" localSheetId="3" customView="1" name="Z_E3841903_5B68_44FD_8F09_58E03D1025C5_.wvu.FilterData" hidden="1" oldHidden="1">
    <formula>TOTAL!$A$1:$A$19</formula>
    <oldFormula>TOTAL!$A$1:$A$19</oldFormula>
  </rdn>
  <rdn rId="0" localSheetId="4" customView="1" name="Z_E3841903_5B68_44FD_8F09_58E03D1025C5_.wvu.FilterData" hidden="1" oldHidden="1">
    <formula>Diego!$A$1:$A$20</formula>
    <oldFormula>Diego!$A$1:$A$20</oldFormula>
  </rdn>
  <rdn rId="0" localSheetId="5" customView="1" name="Z_E3841903_5B68_44FD_8F09_58E03D1025C5_.wvu.FilterData" hidden="1" oldHidden="1">
    <formula>Aelton!$A$1:$A$19</formula>
    <oldFormula>Aelton!$A$1:$A$19</oldFormula>
  </rdn>
  <rdn rId="0" localSheetId="6" customView="1" name="Z_E3841903_5B68_44FD_8F09_58E03D1025C5_.wvu.FilterData" hidden="1" oldHidden="1">
    <formula>Leonam!$A$1:$BD$19</formula>
    <oldFormula>Leonam!$A$1:$BD$19</oldFormula>
  </rdn>
  <rdn rId="0" localSheetId="7" customView="1" name="Z_E3841903_5B68_44FD_8F09_58E03D1025C5_.wvu.FilterData" hidden="1" oldHidden="1">
    <formula>Danilo!$A$1:$A$19</formula>
    <oldFormula>Danilo!$A$1:$A$19</oldFormula>
  </rdn>
  <rdn rId="0" localSheetId="8" customView="1" name="Z_E3841903_5B68_44FD_8F09_58E03D1025C5_.wvu.FilterData" hidden="1" oldHidden="1">
    <formula>Marcos!$A$1:$A$19</formula>
    <oldFormula>Marcos!$A$1:$A$19</oldFormula>
  </rdn>
  <rdn rId="0" localSheetId="10" customView="1" name="Z_E3841903_5B68_44FD_8F09_58E03D1025C5_.wvu.FilterData" hidden="1" oldHidden="1">
    <formula>Alessandro!$A$1:$A$19</formula>
    <oldFormula>Alessandro!$A$1:$A$19</oldFormula>
  </rdn>
  <rdn rId="0" localSheetId="9" customView="1" name="Z_E3841903_5B68_44FD_8F09_58E03D1025C5_.wvu.FilterData" hidden="1" oldHidden="1">
    <formula>Carlos!$A$1:$A$19</formula>
    <oldFormula>Carlos!$A$1:$A$19</oldFormula>
  </rdn>
  <rcv guid="{E3841903-5B68-44FD-8F09-58E03D1025C5}" action="add"/>
</revisions>
</file>

<file path=xl/revisions/revisionLog12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4" sqref="BJ18">
    <dxf>
      <alignment wrapText="1"/>
    </dxf>
  </rfmt>
  <rfmt sheetId="4" sqref="BK18">
    <dxf>
      <alignment wrapText="1"/>
    </dxf>
  </rfmt>
  <rcc rId="9867" sId="4">
    <nc r="BK18" t="inlineStr">
      <is>
        <t>CONFERENCIA DAS CAIXAS DA CCLIC 20</t>
      </is>
    </nc>
  </rcc>
  <rcc rId="9868" sId="4">
    <nc r="BK16">
      <v>20</v>
    </nc>
  </rcc>
  <rcc rId="9869" sId="4">
    <nc r="BM17">
      <v>10</v>
    </nc>
  </rcc>
  <rcc rId="9870" sId="4">
    <nc r="BN17">
      <v>10</v>
    </nc>
  </rcc>
  <rcc rId="9871" sId="4">
    <nc r="BO17">
      <v>10</v>
    </nc>
  </rcc>
  <rcc rId="9872" sId="4">
    <nc r="BL18" t="inlineStr">
      <is>
        <t>PESQUISA DOS PROCESSOS DO ESPORTE</t>
      </is>
    </nc>
  </rcc>
  <rfmt sheetId="4" sqref="BL18">
    <dxf>
      <alignment wrapText="1"/>
    </dxf>
  </rfmt>
  <rcc rId="9873" sId="4" odxf="1" dxf="1">
    <nc r="BM18" t="inlineStr">
      <is>
        <t>PESQUISA DOS PROCESSOS DO ESPORTE</t>
      </is>
    </nc>
    <odxf>
      <alignment wrapText="0"/>
    </odxf>
    <ndxf>
      <alignment wrapText="1"/>
    </ndxf>
  </rcc>
  <rcc rId="9874" sId="4" odxf="1" dxf="1">
    <nc r="BN18" t="inlineStr">
      <is>
        <t xml:space="preserve">TROCANDO OS ESPELHOS </t>
      </is>
    </nc>
    <odxf>
      <alignment wrapText="0"/>
    </odxf>
    <ndxf>
      <alignment wrapText="1"/>
    </ndxf>
  </rcc>
  <rcc rId="9875" sId="4" odxf="1" dxf="1">
    <nc r="BO18" t="inlineStr">
      <is>
        <t xml:space="preserve">TROCANDO OS ESPELHOS </t>
      </is>
    </nc>
    <odxf>
      <alignment wrapText="0"/>
    </odxf>
    <ndxf>
      <alignment wrapText="1"/>
    </ndxf>
  </rcc>
  <rcv guid="{20CB6D8F-C24D-4D4B-A424-AF380F620455}" action="delete"/>
  <rdn rId="0" localSheetId="1" customView="1" name="Z_20CB6D8F_C24D_4D4B_A424_AF380F620455_.wvu.FilterData" hidden="1" oldHidden="1">
    <formula>Patrícia!$A$1:$A$18</formula>
    <oldFormula>Patrícia!$A$1:$A$18</oldFormula>
  </rdn>
  <rdn rId="0" localSheetId="2" customView="1" name="Z_20CB6D8F_C24D_4D4B_A424_AF380F620455_.wvu.FilterData" hidden="1" oldHidden="1">
    <formula>Marcelo!$A$1:$A$18</formula>
    <oldFormula>Marcelo!$A$1:$A$18</oldFormula>
  </rdn>
  <rdn rId="0" localSheetId="3" customView="1" name="Z_20CB6D8F_C24D_4D4B_A424_AF380F620455_.wvu.FilterData" hidden="1" oldHidden="1">
    <formula>TOTAL!$A$1:$A$19</formula>
    <oldFormula>TOTAL!$A$1:$A$19</oldFormula>
  </rdn>
  <rdn rId="0" localSheetId="4" customView="1" name="Z_20CB6D8F_C24D_4D4B_A424_AF380F620455_.wvu.FilterData" hidden="1" oldHidden="1">
    <formula>Diego!$A$1:$A$20</formula>
    <oldFormula>Diego!$A$1:$A$20</oldFormula>
  </rdn>
  <rdn rId="0" localSheetId="5" customView="1" name="Z_20CB6D8F_C24D_4D4B_A424_AF380F620455_.wvu.FilterData" hidden="1" oldHidden="1">
    <formula>Aelton!$A$1:$A$19</formula>
    <oldFormula>Aelton!$A$1:$A$19</oldFormula>
  </rdn>
  <rdn rId="0" localSheetId="6" customView="1" name="Z_20CB6D8F_C24D_4D4B_A424_AF380F620455_.wvu.FilterData" hidden="1" oldHidden="1">
    <formula>Leonam!$A$1:$BD$19</formula>
    <oldFormula>Leonam!$A$1:$BD$19</oldFormula>
  </rdn>
  <rdn rId="0" localSheetId="7" customView="1" name="Z_20CB6D8F_C24D_4D4B_A424_AF380F620455_.wvu.FilterData" hidden="1" oldHidden="1">
    <formula>Danilo!$A$1:$A$19</formula>
    <oldFormula>Danilo!$A$1:$A$19</oldFormula>
  </rdn>
  <rdn rId="0" localSheetId="8" customView="1" name="Z_20CB6D8F_C24D_4D4B_A424_AF380F620455_.wvu.FilterData" hidden="1" oldHidden="1">
    <formula>Marcos!$A$1:$A$19</formula>
    <oldFormula>Marcos!$A$1:$A$19</oldFormula>
  </rdn>
  <rdn rId="0" localSheetId="10" customView="1" name="Z_20CB6D8F_C24D_4D4B_A424_AF380F620455_.wvu.FilterData" hidden="1" oldHidden="1">
    <formula>Alessandro!$A$1:$A$19</formula>
    <oldFormula>Alessandro!$A$1:$A$19</oldFormula>
  </rdn>
  <rdn rId="0" localSheetId="9" customView="1" name="Z_20CB6D8F_C24D_4D4B_A424_AF380F620455_.wvu.FilterData" hidden="1" oldHidden="1">
    <formula>Carlos!$A$1:$A$19</formula>
    <oldFormula>Carlos!$A$1:$A$19</oldFormula>
  </rdn>
  <rcv guid="{20CB6D8F-C24D-4D4B-A424-AF380F620455}" action="add"/>
</revisions>
</file>

<file path=xl/revisions/revisionLog12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9886" sId="5">
    <nc r="BK5">
      <v>1</v>
    </nc>
  </rcc>
  <rcc rId="9887" sId="5">
    <nc r="BK16">
      <v>5</v>
    </nc>
  </rcc>
  <rfmt sheetId="5" sqref="BK17" start="0" length="0">
    <dxf>
      <border outline="0">
        <bottom/>
      </border>
    </dxf>
  </rfmt>
  <rfmt sheetId="5" sqref="BL17" start="0" length="0">
    <dxf>
      <border outline="0">
        <bottom/>
      </border>
    </dxf>
  </rfmt>
  <rfmt sheetId="5" sqref="BM17" start="0" length="0">
    <dxf>
      <border outline="0">
        <bottom/>
      </border>
    </dxf>
  </rfmt>
  <rfmt sheetId="5" sqref="BN17" start="0" length="0">
    <dxf>
      <border outline="0">
        <bottom/>
      </border>
    </dxf>
  </rfmt>
  <rfmt sheetId="5" sqref="BO17" start="0" length="0">
    <dxf>
      <border outline="0">
        <bottom/>
      </border>
    </dxf>
  </rfmt>
  <rcc rId="9888" sId="5" odxf="1" dxf="1">
    <nc r="BK18" t="inlineStr">
      <is>
        <t>1. Conferência 5 caixas da 
Guia de Transferência
16695644.</t>
      </is>
    </nc>
    <odxf>
      <alignment wrapText="0"/>
    </odxf>
    <ndxf>
      <alignment wrapText="1"/>
    </ndxf>
  </rcc>
  <rfmt sheetId="5" sqref="BL18" start="0" length="0">
    <dxf>
      <alignment wrapText="1"/>
    </dxf>
  </rfmt>
  <rfmt sheetId="5" sqref="BM18" start="0" length="0">
    <dxf>
      <alignment wrapText="1"/>
    </dxf>
  </rfmt>
  <rfmt sheetId="5" sqref="BO18" start="0" length="0">
    <dxf>
      <alignment wrapText="1"/>
    </dxf>
  </rfmt>
  <rfmt sheetId="5" sqref="BL1" start="0" length="0">
    <dxf>
      <border outline="0">
        <left/>
      </border>
    </dxf>
  </rfmt>
  <rfmt sheetId="5" sqref="BM1" start="0" length="0">
    <dxf>
      <border outline="0">
        <left/>
      </border>
    </dxf>
  </rfmt>
  <rfmt sheetId="5" sqref="BN1" start="0" length="0">
    <dxf>
      <border outline="0">
        <left/>
      </border>
    </dxf>
  </rfmt>
  <rfmt sheetId="5" sqref="BO1" start="0" length="0">
    <dxf>
      <border outline="0">
        <left/>
      </border>
    </dxf>
  </rfmt>
  <rcc rId="9889" sId="5">
    <nc r="BL13">
      <v>1</v>
    </nc>
  </rcc>
  <rcc rId="9890" sId="5">
    <nc r="BO13">
      <v>3</v>
    </nc>
  </rcc>
  <rcc rId="9891" sId="5">
    <nc r="BM14">
      <v>1</v>
    </nc>
  </rcc>
  <rcc rId="9892" sId="5">
    <nc r="BN15">
      <v>8</v>
    </nc>
  </rcc>
  <rcc rId="9893" sId="5">
    <nc r="BN17">
      <v>8</v>
    </nc>
  </rcc>
  <rcc rId="9894" sId="5">
    <nc r="BL18" t="inlineStr">
      <is>
        <t xml:space="preserve"> Documento Produzido:
Relatório de Desarquivamento MESP e Transferência -
2024 E 2025.</t>
      </is>
    </nc>
  </rcc>
  <rcc rId="9895" sId="5">
    <nc r="BM18" t="inlineStr">
      <is>
        <t xml:space="preserve"> Solicitação e-mail Vanessa Arquivo Esporte: Pesquisa e busca caixas do CND Esporte, para ver se existe no acervo do Esporte.
Resultado: encontrado na planilha CND.</t>
      </is>
    </nc>
  </rcc>
  <rfmt sheetId="5" sqref="BN18" start="0" length="0">
    <dxf>
      <alignment wrapText="1"/>
    </dxf>
  </rfmt>
  <rcc rId="9896" sId="5">
    <nc r="BO18" t="inlineStr">
      <is>
        <t>Documentos produzidos: 
2 Comprovante Recebimento
1 Despacho</t>
      </is>
    </nc>
  </rcc>
  <rcv guid="{86039CF8-B158-4D70-9A6F-A10C29CBD68A}" action="delete"/>
  <rdn rId="0" localSheetId="1" customView="1" name="Z_86039CF8_B158_4D70_9A6F_A10C29CBD68A_.wvu.FilterData" hidden="1" oldHidden="1">
    <formula>Patrícia!$A$1:$A$18</formula>
    <oldFormula>Patrícia!$A$1:$A$18</oldFormula>
  </rdn>
  <rdn rId="0" localSheetId="2" customView="1" name="Z_86039CF8_B158_4D70_9A6F_A10C29CBD68A_.wvu.FilterData" hidden="1" oldHidden="1">
    <formula>Marcelo!$A$1:$A$18</formula>
    <oldFormula>Marcelo!$A$1:$A$18</oldFormula>
  </rdn>
  <rdn rId="0" localSheetId="3" customView="1" name="Z_86039CF8_B158_4D70_9A6F_A10C29CBD68A_.wvu.FilterData" hidden="1" oldHidden="1">
    <formula>TOTAL!$A$1:$A$19</formula>
    <oldFormula>TOTAL!$A$1:$A$19</oldFormula>
  </rdn>
  <rdn rId="0" localSheetId="4" customView="1" name="Z_86039CF8_B158_4D70_9A6F_A10C29CBD68A_.wvu.FilterData" hidden="1" oldHidden="1">
    <formula>Diego!$A$1:$A$20</formula>
    <oldFormula>Diego!$A$1:$A$20</oldFormula>
  </rdn>
  <rdn rId="0" localSheetId="5" customView="1" name="Z_86039CF8_B158_4D70_9A6F_A10C29CBD68A_.wvu.FilterData" hidden="1" oldHidden="1">
    <formula>Aelton!$A$1:$A$19</formula>
    <oldFormula>Aelton!$A$1:$A$19</oldFormula>
  </rdn>
  <rdn rId="0" localSheetId="6" customView="1" name="Z_86039CF8_B158_4D70_9A6F_A10C29CBD68A_.wvu.FilterData" hidden="1" oldHidden="1">
    <formula>Leonam!$A$1:$BD$19</formula>
    <oldFormula>Leonam!$A$1:$BD$19</oldFormula>
  </rdn>
  <rdn rId="0" localSheetId="7" customView="1" name="Z_86039CF8_B158_4D70_9A6F_A10C29CBD68A_.wvu.FilterData" hidden="1" oldHidden="1">
    <formula>Danilo!$A$1:$A$19</formula>
    <oldFormula>Danilo!$A$1:$A$19</oldFormula>
  </rdn>
  <rdn rId="0" localSheetId="8" customView="1" name="Z_86039CF8_B158_4D70_9A6F_A10C29CBD68A_.wvu.FilterData" hidden="1" oldHidden="1">
    <formula>Marcos!$A$1:$A$19</formula>
    <oldFormula>Marcos!$A$1:$A$19</oldFormula>
  </rdn>
  <rdn rId="0" localSheetId="10" customView="1" name="Z_86039CF8_B158_4D70_9A6F_A10C29CBD68A_.wvu.FilterData" hidden="1" oldHidden="1">
    <formula>Alessandro!$A$1:$A$19</formula>
    <oldFormula>Alessandro!$A$1:$A$19</oldFormula>
  </rdn>
  <rdn rId="0" localSheetId="9" customView="1" name="Z_86039CF8_B158_4D70_9A6F_A10C29CBD68A_.wvu.FilterData" hidden="1" oldHidden="1">
    <formula>Carlos!$A$1:$A$19</formula>
    <oldFormula>Carlos!$A$1:$A$19</oldFormula>
  </rdn>
  <rcv guid="{86039CF8-B158-4D70-9A6F-A10C29CBD68A}" action="add"/>
</revisions>
</file>

<file path=xl/revisions/revisionLog12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9907" sId="8" odxf="1" dxf="1">
    <nc r="BM18" t="inlineStr">
      <is>
        <t>TROCANDO  CAIXAS E OS ESPELHOS</t>
      </is>
    </nc>
    <odxf>
      <alignment wrapText="0"/>
    </odxf>
    <ndxf>
      <alignment wrapText="1"/>
    </ndxf>
  </rcc>
  <rcc rId="9908" sId="8" odxf="1" dxf="1">
    <nc r="BN18" t="inlineStr">
      <is>
        <t>TROCANDO  CAIXAS E OS ESPELHOS</t>
      </is>
    </nc>
    <odxf>
      <alignment wrapText="0"/>
    </odxf>
    <ndxf>
      <alignment wrapText="1"/>
    </ndxf>
  </rcc>
  <rcc rId="9909" sId="8" odxf="1" dxf="1">
    <nc r="BO18" t="inlineStr">
      <is>
        <t>TROCANDO  CAIXAS E OS ESPELHOS</t>
      </is>
    </nc>
    <odxf>
      <alignment wrapText="0"/>
    </odxf>
    <ndxf>
      <alignment wrapText="1"/>
    </ndxf>
  </rcc>
  <rfmt sheetId="8" sqref="BK18">
    <dxf>
      <alignment wrapText="1"/>
    </dxf>
  </rfmt>
  <rfmt sheetId="8" sqref="BL18" start="0" length="0">
    <dxf>
      <alignment wrapText="1"/>
    </dxf>
  </rfmt>
  <rcc rId="9910" sId="8">
    <nc r="BM17">
      <v>20</v>
    </nc>
  </rcc>
  <rcc rId="9911" sId="8">
    <nc r="BN17">
      <v>20</v>
    </nc>
  </rcc>
  <rcc rId="9912" sId="8">
    <nc r="BO17">
      <v>20</v>
    </nc>
  </rcc>
  <rcc rId="9913" sId="8">
    <nc r="BK18" t="inlineStr">
      <is>
        <t>TROCANDO  CAIXAS E OS ESPELHOS</t>
      </is>
    </nc>
  </rcc>
  <rcc rId="9914" sId="8">
    <nc r="BL18" t="inlineStr">
      <is>
        <t>TROCANDO  CAIXAS E OS ESPELHOS</t>
      </is>
    </nc>
  </rcc>
  <rcc rId="9915" sId="8">
    <nc r="BK17">
      <v>20</v>
    </nc>
  </rcc>
  <rcc rId="9916" sId="8">
    <nc r="BL17">
      <v>20</v>
    </nc>
  </rcc>
  <rcc rId="9917" sId="8">
    <nc r="BQ18" t="inlineStr">
      <is>
        <t>RECESSO DE NATAL</t>
      </is>
    </nc>
  </rcc>
  <rfmt sheetId="8" sqref="BQ18">
    <dxf>
      <alignment wrapText="1"/>
    </dxf>
  </rfmt>
  <rcc rId="9918" sId="8" odxf="1" dxf="1">
    <nc r="BR18" t="inlineStr">
      <is>
        <t>RECESSO DE NATAL</t>
      </is>
    </nc>
    <odxf>
      <alignment wrapText="0"/>
    </odxf>
    <ndxf>
      <alignment wrapText="1"/>
    </ndxf>
  </rcc>
  <rcc rId="9919" sId="8" odxf="1" dxf="1">
    <nc r="BS18" t="inlineStr">
      <is>
        <t>RECESSO DE NATAL</t>
      </is>
    </nc>
    <odxf>
      <alignment wrapText="0"/>
    </odxf>
    <ndxf>
      <alignment wrapText="1"/>
    </ndxf>
  </rcc>
  <rcc rId="9920" sId="8" odxf="1" dxf="1">
    <nc r="BT18" t="inlineStr">
      <is>
        <t>RECESSO DE NATAL</t>
      </is>
    </nc>
    <odxf>
      <alignment wrapText="0"/>
    </odxf>
    <ndxf>
      <alignment wrapText="1"/>
    </ndxf>
  </rcc>
  <rcc rId="9921" sId="8" odxf="1" dxf="1">
    <nc r="BU18" t="inlineStr">
      <is>
        <t>RECESSO DE NATAL</t>
      </is>
    </nc>
    <odxf>
      <alignment wrapText="0"/>
    </odxf>
    <ndxf>
      <alignment wrapText="1"/>
    </ndxf>
  </rcc>
  <rcv guid="{E3841903-5B68-44FD-8F09-58E03D1025C5}" action="delete"/>
  <rdn rId="0" localSheetId="1" customView="1" name="Z_E3841903_5B68_44FD_8F09_58E03D1025C5_.wvu.FilterData" hidden="1" oldHidden="1">
    <formula>Patrícia!$A$1:$A$18</formula>
    <oldFormula>Patrícia!$A$1:$A$18</oldFormula>
  </rdn>
  <rdn rId="0" localSheetId="2" customView="1" name="Z_E3841903_5B68_44FD_8F09_58E03D1025C5_.wvu.FilterData" hidden="1" oldHidden="1">
    <formula>Marcelo!$A$1:$A$18</formula>
    <oldFormula>Marcelo!$A$1:$A$18</oldFormula>
  </rdn>
  <rdn rId="0" localSheetId="3" customView="1" name="Z_E3841903_5B68_44FD_8F09_58E03D1025C5_.wvu.FilterData" hidden="1" oldHidden="1">
    <formula>TOTAL!$A$1:$A$19</formula>
    <oldFormula>TOTAL!$A$1:$A$19</oldFormula>
  </rdn>
  <rdn rId="0" localSheetId="4" customView="1" name="Z_E3841903_5B68_44FD_8F09_58E03D1025C5_.wvu.FilterData" hidden="1" oldHidden="1">
    <formula>Diego!$A$1:$A$20</formula>
    <oldFormula>Diego!$A$1:$A$20</oldFormula>
  </rdn>
  <rdn rId="0" localSheetId="5" customView="1" name="Z_E3841903_5B68_44FD_8F09_58E03D1025C5_.wvu.FilterData" hidden="1" oldHidden="1">
    <formula>Aelton!$A$1:$A$19</formula>
    <oldFormula>Aelton!$A$1:$A$19</oldFormula>
  </rdn>
  <rdn rId="0" localSheetId="6" customView="1" name="Z_E3841903_5B68_44FD_8F09_58E03D1025C5_.wvu.FilterData" hidden="1" oldHidden="1">
    <formula>Leonam!$A$1:$BD$19</formula>
    <oldFormula>Leonam!$A$1:$BD$19</oldFormula>
  </rdn>
  <rdn rId="0" localSheetId="7" customView="1" name="Z_E3841903_5B68_44FD_8F09_58E03D1025C5_.wvu.FilterData" hidden="1" oldHidden="1">
    <formula>Danilo!$A$1:$A$19</formula>
    <oldFormula>Danilo!$A$1:$A$19</oldFormula>
  </rdn>
  <rdn rId="0" localSheetId="8" customView="1" name="Z_E3841903_5B68_44FD_8F09_58E03D1025C5_.wvu.FilterData" hidden="1" oldHidden="1">
    <formula>Marcos!$A$1:$A$19</formula>
    <oldFormula>Marcos!$A$1:$A$19</oldFormula>
  </rdn>
  <rdn rId="0" localSheetId="10" customView="1" name="Z_E3841903_5B68_44FD_8F09_58E03D1025C5_.wvu.FilterData" hidden="1" oldHidden="1">
    <formula>Alessandro!$A$1:$A$19</formula>
    <oldFormula>Alessandro!$A$1:$A$19</oldFormula>
  </rdn>
  <rdn rId="0" localSheetId="9" customView="1" name="Z_E3841903_5B68_44FD_8F09_58E03D1025C5_.wvu.FilterData" hidden="1" oldHidden="1">
    <formula>Carlos!$A$1:$A$19</formula>
    <oldFormula>Carlos!$A$1:$A$19</oldFormula>
  </rdn>
  <rcv guid="{E3841903-5B68-44FD-8F09-58E03D1025C5}" action="add"/>
</revisions>
</file>

<file path=xl/revisions/revisionLog12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9932" sId="8" odxf="1" dxf="1">
    <nc r="BW18" t="inlineStr">
      <is>
        <t>TROCANDO  CAIXAS E OS ESPELHOS</t>
      </is>
    </nc>
    <odxf>
      <alignment wrapText="0"/>
    </odxf>
    <ndxf>
      <alignment wrapText="1"/>
    </ndxf>
  </rcc>
  <rcc rId="9933" sId="8" odxf="1" dxf="1">
    <nc r="BX18" t="inlineStr">
      <is>
        <t>TROCANDO  CAIXAS E OS ESPELHOS</t>
      </is>
    </nc>
    <odxf>
      <alignment wrapText="0"/>
    </odxf>
    <ndxf>
      <alignment wrapText="1"/>
    </ndxf>
  </rcc>
  <rfmt sheetId="8" sqref="BY18" start="0" length="0">
    <dxf>
      <alignment wrapText="1"/>
    </dxf>
  </rfmt>
  <rcc rId="9934" sId="8">
    <nc r="BY18" t="inlineStr">
      <is>
        <t>TROCANDO  CAIXAS E OS ESPELHOS, RECESSO DE ANO NOVO</t>
      </is>
    </nc>
  </rcc>
  <rfmt sheetId="8" sqref="BZ18">
    <dxf>
      <alignment wrapText="1"/>
    </dxf>
  </rfmt>
  <rcc rId="9935" sId="8">
    <nc r="BW17">
      <v>20</v>
    </nc>
  </rcc>
  <rcc rId="9936" sId="8">
    <nc r="BX17">
      <v>20</v>
    </nc>
  </rcc>
  <rcc rId="9937" sId="8">
    <nc r="BY17">
      <v>10</v>
    </nc>
  </rcc>
</revisions>
</file>

<file path=xl/revisions/revisionLog12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9938" sId="4">
    <nc r="BW2" t="inlineStr">
      <is>
        <t>RECESSO</t>
      </is>
    </nc>
  </rcc>
  <rcc rId="9939" sId="4">
    <nc r="BX2" t="inlineStr">
      <is>
        <t>RECESSO</t>
      </is>
    </nc>
  </rcc>
  <rcc rId="9940" sId="4">
    <nc r="BY2" t="inlineStr">
      <is>
        <t>RECESSO</t>
      </is>
    </nc>
  </rcc>
  <rcc rId="9941" sId="4">
    <nc r="BZ2" t="inlineStr">
      <is>
        <t>RECESSO</t>
      </is>
    </nc>
  </rcc>
  <rcc rId="9942" sId="4">
    <nc r="CA2" t="inlineStr">
      <is>
        <t>RECESSO</t>
      </is>
    </nc>
  </rcc>
  <rcc rId="9943" sId="4">
    <nc r="BW3" t="inlineStr">
      <is>
        <t>RECESSO</t>
      </is>
    </nc>
  </rcc>
  <rcc rId="9944" sId="4">
    <nc r="BX3" t="inlineStr">
      <is>
        <t>RECESSO</t>
      </is>
    </nc>
  </rcc>
  <rcc rId="9945" sId="4">
    <nc r="BY3" t="inlineStr">
      <is>
        <t>RECESSO</t>
      </is>
    </nc>
  </rcc>
  <rcc rId="9946" sId="4">
    <nc r="BZ3" t="inlineStr">
      <is>
        <t>RECESSO</t>
      </is>
    </nc>
  </rcc>
  <rcc rId="9947" sId="4">
    <nc r="CA3" t="inlineStr">
      <is>
        <t>RECESSO</t>
      </is>
    </nc>
  </rcc>
  <rcc rId="9948" sId="4">
    <nc r="BW4" t="inlineStr">
      <is>
        <t>RECESSO</t>
      </is>
    </nc>
  </rcc>
  <rcc rId="9949" sId="4">
    <nc r="BX4" t="inlineStr">
      <is>
        <t>RECESSO</t>
      </is>
    </nc>
  </rcc>
  <rcc rId="9950" sId="4">
    <nc r="BY4" t="inlineStr">
      <is>
        <t>RECESSO</t>
      </is>
    </nc>
  </rcc>
  <rcc rId="9951" sId="4">
    <nc r="BZ4" t="inlineStr">
      <is>
        <t>RECESSO</t>
      </is>
    </nc>
  </rcc>
  <rcc rId="9952" sId="4">
    <nc r="CA4" t="inlineStr">
      <is>
        <t>RECESSO</t>
      </is>
    </nc>
  </rcc>
  <rcc rId="9953" sId="4">
    <nc r="BW5" t="inlineStr">
      <is>
        <t>RECESSO</t>
      </is>
    </nc>
  </rcc>
  <rcc rId="9954" sId="4">
    <nc r="BX5" t="inlineStr">
      <is>
        <t>RECESSO</t>
      </is>
    </nc>
  </rcc>
  <rcc rId="9955" sId="4">
    <nc r="BY5" t="inlineStr">
      <is>
        <t>RECESSO</t>
      </is>
    </nc>
  </rcc>
  <rcc rId="9956" sId="4">
    <nc r="BZ5" t="inlineStr">
      <is>
        <t>RECESSO</t>
      </is>
    </nc>
  </rcc>
  <rcc rId="9957" sId="4">
    <nc r="CA5" t="inlineStr">
      <is>
        <t>RECESSO</t>
      </is>
    </nc>
  </rcc>
  <rcc rId="9958" sId="4">
    <nc r="BW6" t="inlineStr">
      <is>
        <t>RECESSO</t>
      </is>
    </nc>
  </rcc>
  <rcc rId="9959" sId="4">
    <nc r="BX6" t="inlineStr">
      <is>
        <t>RECESSO</t>
      </is>
    </nc>
  </rcc>
  <rcc rId="9960" sId="4">
    <nc r="BY6" t="inlineStr">
      <is>
        <t>RECESSO</t>
      </is>
    </nc>
  </rcc>
  <rcc rId="9961" sId="4">
    <nc r="BZ6" t="inlineStr">
      <is>
        <t>RECESSO</t>
      </is>
    </nc>
  </rcc>
  <rcc rId="9962" sId="4">
    <nc r="CA6" t="inlineStr">
      <is>
        <t>RECESSO</t>
      </is>
    </nc>
  </rcc>
  <rcc rId="9963" sId="4">
    <nc r="BW7" t="inlineStr">
      <is>
        <t>RECESSO</t>
      </is>
    </nc>
  </rcc>
  <rcc rId="9964" sId="4">
    <nc r="BX7" t="inlineStr">
      <is>
        <t>RECESSO</t>
      </is>
    </nc>
  </rcc>
  <rcc rId="9965" sId="4">
    <nc r="BY7" t="inlineStr">
      <is>
        <t>RECESSO</t>
      </is>
    </nc>
  </rcc>
  <rcc rId="9966" sId="4">
    <nc r="BZ7" t="inlineStr">
      <is>
        <t>RECESSO</t>
      </is>
    </nc>
  </rcc>
  <rcc rId="9967" sId="4">
    <nc r="CA7" t="inlineStr">
      <is>
        <t>RECESSO</t>
      </is>
    </nc>
  </rcc>
  <rcc rId="9968" sId="4">
    <nc r="BW8" t="inlineStr">
      <is>
        <t>RECESSO</t>
      </is>
    </nc>
  </rcc>
  <rcc rId="9969" sId="4">
    <nc r="BX8" t="inlineStr">
      <is>
        <t>RECESSO</t>
      </is>
    </nc>
  </rcc>
  <rcc rId="9970" sId="4">
    <nc r="BY8" t="inlineStr">
      <is>
        <t>RECESSO</t>
      </is>
    </nc>
  </rcc>
  <rcc rId="9971" sId="4">
    <nc r="BZ8" t="inlineStr">
      <is>
        <t>RECESSO</t>
      </is>
    </nc>
  </rcc>
  <rcc rId="9972" sId="4">
    <nc r="CA8" t="inlineStr">
      <is>
        <t>RECESSO</t>
      </is>
    </nc>
  </rcc>
  <rcc rId="9973" sId="4">
    <nc r="BW9" t="inlineStr">
      <is>
        <t>RECESSO</t>
      </is>
    </nc>
  </rcc>
  <rcc rId="9974" sId="4">
    <nc r="BX9" t="inlineStr">
      <is>
        <t>RECESSO</t>
      </is>
    </nc>
  </rcc>
  <rcc rId="9975" sId="4">
    <nc r="BY9" t="inlineStr">
      <is>
        <t>RECESSO</t>
      </is>
    </nc>
  </rcc>
  <rcc rId="9976" sId="4">
    <nc r="BZ9" t="inlineStr">
      <is>
        <t>RECESSO</t>
      </is>
    </nc>
  </rcc>
  <rcc rId="9977" sId="4">
    <nc r="CA9" t="inlineStr">
      <is>
        <t>RECESSO</t>
      </is>
    </nc>
  </rcc>
  <rcc rId="9978" sId="4">
    <nc r="BW10" t="inlineStr">
      <is>
        <t>RECESSO</t>
      </is>
    </nc>
  </rcc>
  <rcc rId="9979" sId="4">
    <nc r="BX10" t="inlineStr">
      <is>
        <t>RECESSO</t>
      </is>
    </nc>
  </rcc>
  <rcc rId="9980" sId="4">
    <nc r="BY10" t="inlineStr">
      <is>
        <t>RECESSO</t>
      </is>
    </nc>
  </rcc>
  <rcc rId="9981" sId="4">
    <nc r="BZ10" t="inlineStr">
      <is>
        <t>RECESSO</t>
      </is>
    </nc>
  </rcc>
  <rcc rId="9982" sId="4">
    <nc r="CA10" t="inlineStr">
      <is>
        <t>RECESSO</t>
      </is>
    </nc>
  </rcc>
  <rcc rId="9983" sId="4">
    <nc r="BW11" t="inlineStr">
      <is>
        <t>RECESSO</t>
      </is>
    </nc>
  </rcc>
  <rcc rId="9984" sId="4">
    <nc r="BX11" t="inlineStr">
      <is>
        <t>RECESSO</t>
      </is>
    </nc>
  </rcc>
  <rcc rId="9985" sId="4">
    <nc r="BY11" t="inlineStr">
      <is>
        <t>RECESSO</t>
      </is>
    </nc>
  </rcc>
  <rcc rId="9986" sId="4">
    <nc r="BZ11" t="inlineStr">
      <is>
        <t>RECESSO</t>
      </is>
    </nc>
  </rcc>
  <rcc rId="9987" sId="4">
    <nc r="CA11" t="inlineStr">
      <is>
        <t>RECESSO</t>
      </is>
    </nc>
  </rcc>
  <rcc rId="9988" sId="4">
    <nc r="BW12" t="inlineStr">
      <is>
        <t>RECESSO</t>
      </is>
    </nc>
  </rcc>
  <rcc rId="9989" sId="4">
    <nc r="BX12" t="inlineStr">
      <is>
        <t>RECESSO</t>
      </is>
    </nc>
  </rcc>
  <rcc rId="9990" sId="4">
    <nc r="BY12" t="inlineStr">
      <is>
        <t>RECESSO</t>
      </is>
    </nc>
  </rcc>
  <rcc rId="9991" sId="4">
    <nc r="BZ12" t="inlineStr">
      <is>
        <t>RECESSO</t>
      </is>
    </nc>
  </rcc>
  <rcc rId="9992" sId="4">
    <nc r="CA12" t="inlineStr">
      <is>
        <t>RECESSO</t>
      </is>
    </nc>
  </rcc>
  <rcc rId="9993" sId="4">
    <nc r="BW13" t="inlineStr">
      <is>
        <t>RECESSO</t>
      </is>
    </nc>
  </rcc>
  <rcc rId="9994" sId="4">
    <nc r="BX13" t="inlineStr">
      <is>
        <t>RECESSO</t>
      </is>
    </nc>
  </rcc>
  <rcc rId="9995" sId="4">
    <nc r="BY13" t="inlineStr">
      <is>
        <t>RECESSO</t>
      </is>
    </nc>
  </rcc>
  <rcc rId="9996" sId="4">
    <nc r="BZ13" t="inlineStr">
      <is>
        <t>RECESSO</t>
      </is>
    </nc>
  </rcc>
  <rcc rId="9997" sId="4">
    <nc r="CA13" t="inlineStr">
      <is>
        <t>RECESSO</t>
      </is>
    </nc>
  </rcc>
  <rcc rId="9998" sId="4">
    <nc r="BW14" t="inlineStr">
      <is>
        <t>RECESSO</t>
      </is>
    </nc>
  </rcc>
  <rcc rId="9999" sId="4">
    <nc r="BX14" t="inlineStr">
      <is>
        <t>RECESSO</t>
      </is>
    </nc>
  </rcc>
  <rcc rId="10000" sId="4">
    <nc r="BY14" t="inlineStr">
      <is>
        <t>RECESSO</t>
      </is>
    </nc>
  </rcc>
  <rcc rId="10001" sId="4">
    <nc r="BZ14" t="inlineStr">
      <is>
        <t>RECESSO</t>
      </is>
    </nc>
  </rcc>
  <rcc rId="10002" sId="4">
    <nc r="CA14" t="inlineStr">
      <is>
        <t>RECESSO</t>
      </is>
    </nc>
  </rcc>
  <rcc rId="10003" sId="4">
    <nc r="BW15" t="inlineStr">
      <is>
        <t>RECESSO</t>
      </is>
    </nc>
  </rcc>
  <rcc rId="10004" sId="4">
    <nc r="BX15" t="inlineStr">
      <is>
        <t>RECESSO</t>
      </is>
    </nc>
  </rcc>
  <rcc rId="10005" sId="4">
    <nc r="BY15" t="inlineStr">
      <is>
        <t>RECESSO</t>
      </is>
    </nc>
  </rcc>
  <rcc rId="10006" sId="4">
    <nc r="BZ15" t="inlineStr">
      <is>
        <t>RECESSO</t>
      </is>
    </nc>
  </rcc>
  <rcc rId="10007" sId="4">
    <nc r="CA15" t="inlineStr">
      <is>
        <t>RECESSO</t>
      </is>
    </nc>
  </rcc>
  <rcc rId="10008" sId="4">
    <nc r="BW16" t="inlineStr">
      <is>
        <t>RECESSO</t>
      </is>
    </nc>
  </rcc>
  <rcc rId="10009" sId="4">
    <nc r="BX16" t="inlineStr">
      <is>
        <t>RECESSO</t>
      </is>
    </nc>
  </rcc>
  <rcc rId="10010" sId="4">
    <nc r="BY16" t="inlineStr">
      <is>
        <t>RECESSO</t>
      </is>
    </nc>
  </rcc>
  <rcc rId="10011" sId="4">
    <nc r="BZ16" t="inlineStr">
      <is>
        <t>RECESSO</t>
      </is>
    </nc>
  </rcc>
  <rcc rId="10012" sId="4">
    <nc r="CA16" t="inlineStr">
      <is>
        <t>RECESSO</t>
      </is>
    </nc>
  </rcc>
  <rcc rId="10013" sId="4">
    <nc r="BW17" t="inlineStr">
      <is>
        <t>RECESSO</t>
      </is>
    </nc>
  </rcc>
  <rcc rId="10014" sId="4">
    <nc r="BX17" t="inlineStr">
      <is>
        <t>RECESSO</t>
      </is>
    </nc>
  </rcc>
  <rcc rId="10015" sId="4">
    <nc r="BY17" t="inlineStr">
      <is>
        <t>RECESSO</t>
      </is>
    </nc>
  </rcc>
  <rcc rId="10016" sId="4">
    <nc r="BZ17" t="inlineStr">
      <is>
        <t>RECESSO</t>
      </is>
    </nc>
  </rcc>
  <rcc rId="10017" sId="4">
    <nc r="CA17" t="inlineStr">
      <is>
        <t>RECESSO</t>
      </is>
    </nc>
  </rcc>
  <rcc rId="10018" sId="10">
    <nc r="BQ2" t="inlineStr">
      <is>
        <t>RECESSO</t>
      </is>
    </nc>
  </rcc>
  <rcc rId="10019" sId="10">
    <nc r="BR2" t="inlineStr">
      <is>
        <t>RECESSO</t>
      </is>
    </nc>
  </rcc>
  <rcc rId="10020" sId="10">
    <nc r="BS2" t="inlineStr">
      <is>
        <t>RECESSO</t>
      </is>
    </nc>
  </rcc>
  <rcc rId="10021" sId="10">
    <nc r="BT2" t="inlineStr">
      <is>
        <t>RECESSO</t>
      </is>
    </nc>
  </rcc>
  <rcc rId="10022" sId="10">
    <nc r="BU2" t="inlineStr">
      <is>
        <t>RECESSO</t>
      </is>
    </nc>
  </rcc>
  <rcc rId="10023" sId="10">
    <nc r="BQ3" t="inlineStr">
      <is>
        <t>RECESSO</t>
      </is>
    </nc>
  </rcc>
  <rcc rId="10024" sId="10">
    <nc r="BR3" t="inlineStr">
      <is>
        <t>RECESSO</t>
      </is>
    </nc>
  </rcc>
  <rcc rId="10025" sId="10">
    <nc r="BS3" t="inlineStr">
      <is>
        <t>RECESSO</t>
      </is>
    </nc>
  </rcc>
  <rcc rId="10026" sId="10">
    <nc r="BT3" t="inlineStr">
      <is>
        <t>RECESSO</t>
      </is>
    </nc>
  </rcc>
  <rcc rId="10027" sId="10">
    <nc r="BU3" t="inlineStr">
      <is>
        <t>RECESSO</t>
      </is>
    </nc>
  </rcc>
  <rcc rId="10028" sId="10">
    <nc r="BQ4" t="inlineStr">
      <is>
        <t>RECESSO</t>
      </is>
    </nc>
  </rcc>
  <rcc rId="10029" sId="10">
    <nc r="BR4" t="inlineStr">
      <is>
        <t>RECESSO</t>
      </is>
    </nc>
  </rcc>
  <rcc rId="10030" sId="10">
    <nc r="BS4" t="inlineStr">
      <is>
        <t>RECESSO</t>
      </is>
    </nc>
  </rcc>
  <rcc rId="10031" sId="10">
    <nc r="BT4" t="inlineStr">
      <is>
        <t>RECESSO</t>
      </is>
    </nc>
  </rcc>
  <rcc rId="10032" sId="10">
    <nc r="BU4" t="inlineStr">
      <is>
        <t>RECESSO</t>
      </is>
    </nc>
  </rcc>
  <rcc rId="10033" sId="10">
    <nc r="BQ5" t="inlineStr">
      <is>
        <t>RECESSO</t>
      </is>
    </nc>
  </rcc>
  <rcc rId="10034" sId="10">
    <nc r="BR5" t="inlineStr">
      <is>
        <t>RECESSO</t>
      </is>
    </nc>
  </rcc>
  <rcc rId="10035" sId="10">
    <nc r="BS5" t="inlineStr">
      <is>
        <t>RECESSO</t>
      </is>
    </nc>
  </rcc>
  <rcc rId="10036" sId="10">
    <nc r="BT5" t="inlineStr">
      <is>
        <t>RECESSO</t>
      </is>
    </nc>
  </rcc>
  <rcc rId="10037" sId="10">
    <nc r="BU5" t="inlineStr">
      <is>
        <t>RECESSO</t>
      </is>
    </nc>
  </rcc>
  <rcc rId="10038" sId="10">
    <nc r="BQ6" t="inlineStr">
      <is>
        <t>RECESSO</t>
      </is>
    </nc>
  </rcc>
  <rcc rId="10039" sId="10">
    <nc r="BR6" t="inlineStr">
      <is>
        <t>RECESSO</t>
      </is>
    </nc>
  </rcc>
  <rcc rId="10040" sId="10">
    <nc r="BS6" t="inlineStr">
      <is>
        <t>RECESSO</t>
      </is>
    </nc>
  </rcc>
  <rcc rId="10041" sId="10">
    <nc r="BT6" t="inlineStr">
      <is>
        <t>RECESSO</t>
      </is>
    </nc>
  </rcc>
  <rcc rId="10042" sId="10">
    <nc r="BU6" t="inlineStr">
      <is>
        <t>RECESSO</t>
      </is>
    </nc>
  </rcc>
  <rcc rId="10043" sId="10">
    <nc r="BQ7" t="inlineStr">
      <is>
        <t>RECESSO</t>
      </is>
    </nc>
  </rcc>
  <rcc rId="10044" sId="10">
    <nc r="BR7" t="inlineStr">
      <is>
        <t>RECESSO</t>
      </is>
    </nc>
  </rcc>
  <rcc rId="10045" sId="10">
    <nc r="BS7" t="inlineStr">
      <is>
        <t>RECESSO</t>
      </is>
    </nc>
  </rcc>
  <rcc rId="10046" sId="10">
    <nc r="BT7" t="inlineStr">
      <is>
        <t>RECESSO</t>
      </is>
    </nc>
  </rcc>
  <rcc rId="10047" sId="10">
    <nc r="BU7" t="inlineStr">
      <is>
        <t>RECESSO</t>
      </is>
    </nc>
  </rcc>
  <rcc rId="10048" sId="10">
    <nc r="BQ8" t="inlineStr">
      <is>
        <t>RECESSO</t>
      </is>
    </nc>
  </rcc>
  <rcc rId="10049" sId="10">
    <nc r="BR8" t="inlineStr">
      <is>
        <t>RECESSO</t>
      </is>
    </nc>
  </rcc>
  <rcc rId="10050" sId="10">
    <nc r="BS8" t="inlineStr">
      <is>
        <t>RECESSO</t>
      </is>
    </nc>
  </rcc>
  <rcc rId="10051" sId="10">
    <nc r="BT8" t="inlineStr">
      <is>
        <t>RECESSO</t>
      </is>
    </nc>
  </rcc>
  <rcc rId="10052" sId="10">
    <nc r="BU8" t="inlineStr">
      <is>
        <t>RECESSO</t>
      </is>
    </nc>
  </rcc>
  <rcc rId="10053" sId="10">
    <nc r="BQ9" t="inlineStr">
      <is>
        <t>RECESSO</t>
      </is>
    </nc>
  </rcc>
  <rcc rId="10054" sId="10">
    <nc r="BR9" t="inlineStr">
      <is>
        <t>RECESSO</t>
      </is>
    </nc>
  </rcc>
  <rcc rId="10055" sId="10">
    <nc r="BS9" t="inlineStr">
      <is>
        <t>RECESSO</t>
      </is>
    </nc>
  </rcc>
  <rcc rId="10056" sId="10">
    <nc r="BT9" t="inlineStr">
      <is>
        <t>RECESSO</t>
      </is>
    </nc>
  </rcc>
  <rcc rId="10057" sId="10">
    <nc r="BU9" t="inlineStr">
      <is>
        <t>RECESSO</t>
      </is>
    </nc>
  </rcc>
  <rcc rId="10058" sId="10">
    <nc r="BQ10" t="inlineStr">
      <is>
        <t>RECESSO</t>
      </is>
    </nc>
  </rcc>
  <rcc rId="10059" sId="10">
    <nc r="BR10" t="inlineStr">
      <is>
        <t>RECESSO</t>
      </is>
    </nc>
  </rcc>
  <rcc rId="10060" sId="10">
    <nc r="BS10" t="inlineStr">
      <is>
        <t>RECESSO</t>
      </is>
    </nc>
  </rcc>
  <rcc rId="10061" sId="10">
    <nc r="BT10" t="inlineStr">
      <is>
        <t>RECESSO</t>
      </is>
    </nc>
  </rcc>
  <rcc rId="10062" sId="10">
    <nc r="BU10" t="inlineStr">
      <is>
        <t>RECESSO</t>
      </is>
    </nc>
  </rcc>
  <rcc rId="10063" sId="10">
    <nc r="BQ11" t="inlineStr">
      <is>
        <t>RECESSO</t>
      </is>
    </nc>
  </rcc>
  <rcc rId="10064" sId="10">
    <nc r="BR11" t="inlineStr">
      <is>
        <t>RECESSO</t>
      </is>
    </nc>
  </rcc>
  <rcc rId="10065" sId="10">
    <nc r="BS11" t="inlineStr">
      <is>
        <t>RECESSO</t>
      </is>
    </nc>
  </rcc>
  <rcc rId="10066" sId="10">
    <nc r="BT11" t="inlineStr">
      <is>
        <t>RECESSO</t>
      </is>
    </nc>
  </rcc>
  <rcc rId="10067" sId="10">
    <nc r="BU11" t="inlineStr">
      <is>
        <t>RECESSO</t>
      </is>
    </nc>
  </rcc>
  <rcc rId="10068" sId="10">
    <nc r="BQ12" t="inlineStr">
      <is>
        <t>RECESSO</t>
      </is>
    </nc>
  </rcc>
  <rcc rId="10069" sId="10">
    <nc r="BR12" t="inlineStr">
      <is>
        <t>RECESSO</t>
      </is>
    </nc>
  </rcc>
  <rcc rId="10070" sId="10">
    <nc r="BS12" t="inlineStr">
      <is>
        <t>RECESSO</t>
      </is>
    </nc>
  </rcc>
  <rcc rId="10071" sId="10">
    <nc r="BT12" t="inlineStr">
      <is>
        <t>RECESSO</t>
      </is>
    </nc>
  </rcc>
  <rcc rId="10072" sId="10">
    <nc r="BU12" t="inlineStr">
      <is>
        <t>RECESSO</t>
      </is>
    </nc>
  </rcc>
  <rcc rId="10073" sId="10">
    <nc r="BQ13" t="inlineStr">
      <is>
        <t>RECESSO</t>
      </is>
    </nc>
  </rcc>
  <rcc rId="10074" sId="10">
    <nc r="BR13" t="inlineStr">
      <is>
        <t>RECESSO</t>
      </is>
    </nc>
  </rcc>
  <rcc rId="10075" sId="10">
    <nc r="BS13" t="inlineStr">
      <is>
        <t>RECESSO</t>
      </is>
    </nc>
  </rcc>
  <rcc rId="10076" sId="10">
    <nc r="BT13" t="inlineStr">
      <is>
        <t>RECESSO</t>
      </is>
    </nc>
  </rcc>
  <rcc rId="10077" sId="10">
    <nc r="BU13" t="inlineStr">
      <is>
        <t>RECESSO</t>
      </is>
    </nc>
  </rcc>
  <rcc rId="10078" sId="10">
    <nc r="BQ14" t="inlineStr">
      <is>
        <t>RECESSO</t>
      </is>
    </nc>
  </rcc>
  <rcc rId="10079" sId="10">
    <nc r="BR14" t="inlineStr">
      <is>
        <t>RECESSO</t>
      </is>
    </nc>
  </rcc>
  <rcc rId="10080" sId="10">
    <nc r="BS14" t="inlineStr">
      <is>
        <t>RECESSO</t>
      </is>
    </nc>
  </rcc>
  <rcc rId="10081" sId="10">
    <nc r="BT14" t="inlineStr">
      <is>
        <t>RECESSO</t>
      </is>
    </nc>
  </rcc>
  <rcc rId="10082" sId="10">
    <nc r="BU14" t="inlineStr">
      <is>
        <t>RECESSO</t>
      </is>
    </nc>
  </rcc>
  <rcc rId="10083" sId="10">
    <nc r="BQ15" t="inlineStr">
      <is>
        <t>RECESSO</t>
      </is>
    </nc>
  </rcc>
  <rcc rId="10084" sId="10">
    <nc r="BR15" t="inlineStr">
      <is>
        <t>RECESSO</t>
      </is>
    </nc>
  </rcc>
  <rcc rId="10085" sId="10">
    <nc r="BS15" t="inlineStr">
      <is>
        <t>RECESSO</t>
      </is>
    </nc>
  </rcc>
  <rcc rId="10086" sId="10">
    <nc r="BT15" t="inlineStr">
      <is>
        <t>RECESSO</t>
      </is>
    </nc>
  </rcc>
  <rcc rId="10087" sId="10">
    <nc r="BU15" t="inlineStr">
      <is>
        <t>RECESSO</t>
      </is>
    </nc>
  </rcc>
  <rcc rId="10088" sId="10">
    <nc r="BQ16" t="inlineStr">
      <is>
        <t>RECESSO</t>
      </is>
    </nc>
  </rcc>
  <rcc rId="10089" sId="10">
    <nc r="BR16" t="inlineStr">
      <is>
        <t>RECESSO</t>
      </is>
    </nc>
  </rcc>
  <rcc rId="10090" sId="10">
    <nc r="BS16" t="inlineStr">
      <is>
        <t>RECESSO</t>
      </is>
    </nc>
  </rcc>
  <rcc rId="10091" sId="10">
    <nc r="BT16" t="inlineStr">
      <is>
        <t>RECESSO</t>
      </is>
    </nc>
  </rcc>
  <rcc rId="10092" sId="10">
    <nc r="BU16" t="inlineStr">
      <is>
        <t>RECESSO</t>
      </is>
    </nc>
  </rcc>
  <rcc rId="10093" sId="10">
    <nc r="BQ17" t="inlineStr">
      <is>
        <t>RECESSO</t>
      </is>
    </nc>
  </rcc>
  <rcc rId="10094" sId="10">
    <nc r="BR17" t="inlineStr">
      <is>
        <t>RECESSO</t>
      </is>
    </nc>
  </rcc>
  <rcc rId="10095" sId="10">
    <nc r="BS17" t="inlineStr">
      <is>
        <t>RECESSO</t>
      </is>
    </nc>
  </rcc>
  <rcc rId="10096" sId="10">
    <nc r="BT17" t="inlineStr">
      <is>
        <t>RECESSO</t>
      </is>
    </nc>
  </rcc>
  <rcc rId="10097" sId="10">
    <nc r="BU17" t="inlineStr">
      <is>
        <t>RECESSO</t>
      </is>
    </nc>
  </rcc>
  <rcc rId="10098" sId="5">
    <nc r="BQ2" t="inlineStr">
      <is>
        <t>RECESSO</t>
      </is>
    </nc>
  </rcc>
  <rcc rId="10099" sId="5">
    <nc r="BR2" t="inlineStr">
      <is>
        <t>RECESSO</t>
      </is>
    </nc>
  </rcc>
  <rcc rId="10100" sId="5">
    <nc r="BS2" t="inlineStr">
      <is>
        <t>RECESSO</t>
      </is>
    </nc>
  </rcc>
  <rcc rId="10101" sId="5">
    <nc r="BT2" t="inlineStr">
      <is>
        <t>RECESSO</t>
      </is>
    </nc>
  </rcc>
  <rcc rId="10102" sId="5">
    <nc r="BU2" t="inlineStr">
      <is>
        <t>RECESSO</t>
      </is>
    </nc>
  </rcc>
  <rcc rId="10103" sId="5">
    <nc r="BQ3" t="inlineStr">
      <is>
        <t>RECESSO</t>
      </is>
    </nc>
  </rcc>
  <rcc rId="10104" sId="5">
    <nc r="BR3" t="inlineStr">
      <is>
        <t>RECESSO</t>
      </is>
    </nc>
  </rcc>
  <rcc rId="10105" sId="5">
    <nc r="BS3" t="inlineStr">
      <is>
        <t>RECESSO</t>
      </is>
    </nc>
  </rcc>
  <rcc rId="10106" sId="5">
    <nc r="BT3" t="inlineStr">
      <is>
        <t>RECESSO</t>
      </is>
    </nc>
  </rcc>
  <rcc rId="10107" sId="5">
    <nc r="BU3" t="inlineStr">
      <is>
        <t>RECESSO</t>
      </is>
    </nc>
  </rcc>
  <rcc rId="10108" sId="5">
    <nc r="BQ4" t="inlineStr">
      <is>
        <t>RECESSO</t>
      </is>
    </nc>
  </rcc>
  <rcc rId="10109" sId="5">
    <nc r="BR4" t="inlineStr">
      <is>
        <t>RECESSO</t>
      </is>
    </nc>
  </rcc>
  <rcc rId="10110" sId="5">
    <nc r="BS4" t="inlineStr">
      <is>
        <t>RECESSO</t>
      </is>
    </nc>
  </rcc>
  <rcc rId="10111" sId="5">
    <nc r="BT4" t="inlineStr">
      <is>
        <t>RECESSO</t>
      </is>
    </nc>
  </rcc>
  <rcc rId="10112" sId="5">
    <nc r="BU4" t="inlineStr">
      <is>
        <t>RECESSO</t>
      </is>
    </nc>
  </rcc>
  <rcc rId="10113" sId="5">
    <nc r="BQ5" t="inlineStr">
      <is>
        <t>RECESSO</t>
      </is>
    </nc>
  </rcc>
  <rcc rId="10114" sId="5">
    <nc r="BR5" t="inlineStr">
      <is>
        <t>RECESSO</t>
      </is>
    </nc>
  </rcc>
  <rcc rId="10115" sId="5">
    <nc r="BS5" t="inlineStr">
      <is>
        <t>RECESSO</t>
      </is>
    </nc>
  </rcc>
  <rcc rId="10116" sId="5">
    <nc r="BT5" t="inlineStr">
      <is>
        <t>RECESSO</t>
      </is>
    </nc>
  </rcc>
  <rcc rId="10117" sId="5">
    <nc r="BU5" t="inlineStr">
      <is>
        <t>RECESSO</t>
      </is>
    </nc>
  </rcc>
  <rcc rId="10118" sId="5">
    <nc r="BQ6" t="inlineStr">
      <is>
        <t>RECESSO</t>
      </is>
    </nc>
  </rcc>
  <rcc rId="10119" sId="5">
    <nc r="BR6" t="inlineStr">
      <is>
        <t>RECESSO</t>
      </is>
    </nc>
  </rcc>
  <rcc rId="10120" sId="5">
    <nc r="BS6" t="inlineStr">
      <is>
        <t>RECESSO</t>
      </is>
    </nc>
  </rcc>
  <rcc rId="10121" sId="5">
    <nc r="BT6" t="inlineStr">
      <is>
        <t>RECESSO</t>
      </is>
    </nc>
  </rcc>
  <rcc rId="10122" sId="5">
    <nc r="BU6" t="inlineStr">
      <is>
        <t>RECESSO</t>
      </is>
    </nc>
  </rcc>
  <rcc rId="10123" sId="5">
    <nc r="BQ7" t="inlineStr">
      <is>
        <t>RECESSO</t>
      </is>
    </nc>
  </rcc>
  <rcc rId="10124" sId="5">
    <nc r="BR7" t="inlineStr">
      <is>
        <t>RECESSO</t>
      </is>
    </nc>
  </rcc>
  <rcc rId="10125" sId="5">
    <nc r="BS7" t="inlineStr">
      <is>
        <t>RECESSO</t>
      </is>
    </nc>
  </rcc>
  <rcc rId="10126" sId="5">
    <nc r="BT7" t="inlineStr">
      <is>
        <t>RECESSO</t>
      </is>
    </nc>
  </rcc>
  <rcc rId="10127" sId="5">
    <nc r="BU7" t="inlineStr">
      <is>
        <t>RECESSO</t>
      </is>
    </nc>
  </rcc>
  <rcc rId="10128" sId="5">
    <nc r="BQ8" t="inlineStr">
      <is>
        <t>RECESSO</t>
      </is>
    </nc>
  </rcc>
  <rcc rId="10129" sId="5">
    <nc r="BR8" t="inlineStr">
      <is>
        <t>RECESSO</t>
      </is>
    </nc>
  </rcc>
  <rcc rId="10130" sId="5">
    <nc r="BS8" t="inlineStr">
      <is>
        <t>RECESSO</t>
      </is>
    </nc>
  </rcc>
  <rcc rId="10131" sId="5">
    <nc r="BT8" t="inlineStr">
      <is>
        <t>RECESSO</t>
      </is>
    </nc>
  </rcc>
  <rcc rId="10132" sId="5">
    <nc r="BU8" t="inlineStr">
      <is>
        <t>RECESSO</t>
      </is>
    </nc>
  </rcc>
  <rcc rId="10133" sId="5">
    <nc r="BQ9" t="inlineStr">
      <is>
        <t>RECESSO</t>
      </is>
    </nc>
  </rcc>
  <rcc rId="10134" sId="5">
    <nc r="BR9" t="inlineStr">
      <is>
        <t>RECESSO</t>
      </is>
    </nc>
  </rcc>
  <rcc rId="10135" sId="5">
    <nc r="BS9" t="inlineStr">
      <is>
        <t>RECESSO</t>
      </is>
    </nc>
  </rcc>
  <rcc rId="10136" sId="5">
    <nc r="BT9" t="inlineStr">
      <is>
        <t>RECESSO</t>
      </is>
    </nc>
  </rcc>
  <rcc rId="10137" sId="5">
    <nc r="BU9" t="inlineStr">
      <is>
        <t>RECESSO</t>
      </is>
    </nc>
  </rcc>
  <rcc rId="10138" sId="5">
    <nc r="BQ10" t="inlineStr">
      <is>
        <t>RECESSO</t>
      </is>
    </nc>
  </rcc>
  <rcc rId="10139" sId="5">
    <nc r="BR10" t="inlineStr">
      <is>
        <t>RECESSO</t>
      </is>
    </nc>
  </rcc>
  <rcc rId="10140" sId="5">
    <nc r="BS10" t="inlineStr">
      <is>
        <t>RECESSO</t>
      </is>
    </nc>
  </rcc>
  <rcc rId="10141" sId="5">
    <nc r="BT10" t="inlineStr">
      <is>
        <t>RECESSO</t>
      </is>
    </nc>
  </rcc>
  <rcc rId="10142" sId="5">
    <nc r="BU10" t="inlineStr">
      <is>
        <t>RECESSO</t>
      </is>
    </nc>
  </rcc>
  <rcc rId="10143" sId="5">
    <nc r="BQ11" t="inlineStr">
      <is>
        <t>RECESSO</t>
      </is>
    </nc>
  </rcc>
  <rcc rId="10144" sId="5">
    <nc r="BR11" t="inlineStr">
      <is>
        <t>RECESSO</t>
      </is>
    </nc>
  </rcc>
  <rcc rId="10145" sId="5">
    <nc r="BS11" t="inlineStr">
      <is>
        <t>RECESSO</t>
      </is>
    </nc>
  </rcc>
  <rcc rId="10146" sId="5">
    <nc r="BT11" t="inlineStr">
      <is>
        <t>RECESSO</t>
      </is>
    </nc>
  </rcc>
  <rcc rId="10147" sId="5">
    <nc r="BU11" t="inlineStr">
      <is>
        <t>RECESSO</t>
      </is>
    </nc>
  </rcc>
  <rcc rId="10148" sId="5">
    <nc r="BQ12" t="inlineStr">
      <is>
        <t>RECESSO</t>
      </is>
    </nc>
  </rcc>
  <rcc rId="10149" sId="5">
    <nc r="BR12" t="inlineStr">
      <is>
        <t>RECESSO</t>
      </is>
    </nc>
  </rcc>
  <rcc rId="10150" sId="5">
    <nc r="BS12" t="inlineStr">
      <is>
        <t>RECESSO</t>
      </is>
    </nc>
  </rcc>
  <rcc rId="10151" sId="5">
    <nc r="BT12" t="inlineStr">
      <is>
        <t>RECESSO</t>
      </is>
    </nc>
  </rcc>
  <rcc rId="10152" sId="5">
    <nc r="BU12" t="inlineStr">
      <is>
        <t>RECESSO</t>
      </is>
    </nc>
  </rcc>
  <rcc rId="10153" sId="5">
    <nc r="BQ13" t="inlineStr">
      <is>
        <t>RECESSO</t>
      </is>
    </nc>
  </rcc>
  <rcc rId="10154" sId="5">
    <nc r="BR13" t="inlineStr">
      <is>
        <t>RECESSO</t>
      </is>
    </nc>
  </rcc>
  <rcc rId="10155" sId="5">
    <nc r="BS13" t="inlineStr">
      <is>
        <t>RECESSO</t>
      </is>
    </nc>
  </rcc>
  <rcc rId="10156" sId="5">
    <nc r="BT13" t="inlineStr">
      <is>
        <t>RECESSO</t>
      </is>
    </nc>
  </rcc>
  <rcc rId="10157" sId="5">
    <nc r="BU13" t="inlineStr">
      <is>
        <t>RECESSO</t>
      </is>
    </nc>
  </rcc>
  <rcc rId="10158" sId="5">
    <nc r="BQ14" t="inlineStr">
      <is>
        <t>RECESSO</t>
      </is>
    </nc>
  </rcc>
  <rcc rId="10159" sId="5">
    <nc r="BR14" t="inlineStr">
      <is>
        <t>RECESSO</t>
      </is>
    </nc>
  </rcc>
  <rcc rId="10160" sId="5">
    <nc r="BS14" t="inlineStr">
      <is>
        <t>RECESSO</t>
      </is>
    </nc>
  </rcc>
  <rcc rId="10161" sId="5">
    <nc r="BT14" t="inlineStr">
      <is>
        <t>RECESSO</t>
      </is>
    </nc>
  </rcc>
  <rcc rId="10162" sId="5">
    <nc r="BU14" t="inlineStr">
      <is>
        <t>RECESSO</t>
      </is>
    </nc>
  </rcc>
  <rcc rId="10163" sId="5">
    <nc r="BQ15" t="inlineStr">
      <is>
        <t>RECESSO</t>
      </is>
    </nc>
  </rcc>
  <rcc rId="10164" sId="5">
    <nc r="BR15" t="inlineStr">
      <is>
        <t>RECESSO</t>
      </is>
    </nc>
  </rcc>
  <rcc rId="10165" sId="5">
    <nc r="BS15" t="inlineStr">
      <is>
        <t>RECESSO</t>
      </is>
    </nc>
  </rcc>
  <rcc rId="10166" sId="5">
    <nc r="BT15" t="inlineStr">
      <is>
        <t>RECESSO</t>
      </is>
    </nc>
  </rcc>
  <rcc rId="10167" sId="5">
    <nc r="BU15" t="inlineStr">
      <is>
        <t>RECESSO</t>
      </is>
    </nc>
  </rcc>
  <rcc rId="10168" sId="5">
    <nc r="BQ16" t="inlineStr">
      <is>
        <t>RECESSO</t>
      </is>
    </nc>
  </rcc>
  <rcc rId="10169" sId="5">
    <nc r="BR16" t="inlineStr">
      <is>
        <t>RECESSO</t>
      </is>
    </nc>
  </rcc>
  <rcc rId="10170" sId="5">
    <nc r="BS16" t="inlineStr">
      <is>
        <t>RECESSO</t>
      </is>
    </nc>
  </rcc>
  <rcc rId="10171" sId="5">
    <nc r="BT16" t="inlineStr">
      <is>
        <t>RECESSO</t>
      </is>
    </nc>
  </rcc>
  <rcc rId="10172" sId="5">
    <nc r="BU16" t="inlineStr">
      <is>
        <t>RECESSO</t>
      </is>
    </nc>
  </rcc>
  <rcc rId="10173" sId="5">
    <nc r="BQ17" t="inlineStr">
      <is>
        <t>RECESSO</t>
      </is>
    </nc>
  </rcc>
  <rcc rId="10174" sId="5">
    <nc r="BR17" t="inlineStr">
      <is>
        <t>RECESSO</t>
      </is>
    </nc>
  </rcc>
  <rcc rId="10175" sId="5">
    <nc r="BS17" t="inlineStr">
      <is>
        <t>RECESSO</t>
      </is>
    </nc>
  </rcc>
  <rcc rId="10176" sId="5">
    <nc r="BT17" t="inlineStr">
      <is>
        <t>RECESSO</t>
      </is>
    </nc>
  </rcc>
  <rcc rId="10177" sId="5">
    <nc r="BU17" t="inlineStr">
      <is>
        <t>RECESSO</t>
      </is>
    </nc>
  </rcc>
  <rfmt sheetId="5" sqref="BK17:BO17" start="0" length="0">
    <dxf>
      <border>
        <bottom style="thin">
          <color indexed="64"/>
        </bottom>
      </border>
    </dxf>
  </rfmt>
  <rcc rId="10178" sId="6">
    <nc r="BW2" t="inlineStr">
      <is>
        <t>RECESSO</t>
      </is>
    </nc>
  </rcc>
  <rcc rId="10179" sId="6">
    <nc r="BX2" t="inlineStr">
      <is>
        <t>RECESSO</t>
      </is>
    </nc>
  </rcc>
  <rcc rId="10180" sId="6">
    <nc r="BY2" t="inlineStr">
      <is>
        <t>RECESSO</t>
      </is>
    </nc>
  </rcc>
  <rcc rId="10181" sId="6">
    <nc r="BZ2" t="inlineStr">
      <is>
        <t>RECESSO</t>
      </is>
    </nc>
  </rcc>
  <rcc rId="10182" sId="6">
    <nc r="CA2" t="inlineStr">
      <is>
        <t>RECESSO</t>
      </is>
    </nc>
  </rcc>
  <rcc rId="10183" sId="6">
    <nc r="BW3" t="inlineStr">
      <is>
        <t>RECESSO</t>
      </is>
    </nc>
  </rcc>
  <rcc rId="10184" sId="6">
    <nc r="BX3" t="inlineStr">
      <is>
        <t>RECESSO</t>
      </is>
    </nc>
  </rcc>
  <rcc rId="10185" sId="6">
    <nc r="BY3" t="inlineStr">
      <is>
        <t>RECESSO</t>
      </is>
    </nc>
  </rcc>
  <rcc rId="10186" sId="6">
    <nc r="BZ3" t="inlineStr">
      <is>
        <t>RECESSO</t>
      </is>
    </nc>
  </rcc>
  <rcc rId="10187" sId="6">
    <nc r="CA3" t="inlineStr">
      <is>
        <t>RECESSO</t>
      </is>
    </nc>
  </rcc>
  <rcc rId="10188" sId="6">
    <nc r="BW4" t="inlineStr">
      <is>
        <t>RECESSO</t>
      </is>
    </nc>
  </rcc>
  <rcc rId="10189" sId="6">
    <nc r="BX4" t="inlineStr">
      <is>
        <t>RECESSO</t>
      </is>
    </nc>
  </rcc>
  <rcc rId="10190" sId="6">
    <nc r="BY4" t="inlineStr">
      <is>
        <t>RECESSO</t>
      </is>
    </nc>
  </rcc>
  <rcc rId="10191" sId="6">
    <nc r="BZ4" t="inlineStr">
      <is>
        <t>RECESSO</t>
      </is>
    </nc>
  </rcc>
  <rcc rId="10192" sId="6">
    <nc r="CA4" t="inlineStr">
      <is>
        <t>RECESSO</t>
      </is>
    </nc>
  </rcc>
  <rcc rId="10193" sId="6">
    <nc r="BW5" t="inlineStr">
      <is>
        <t>RECESSO</t>
      </is>
    </nc>
  </rcc>
  <rcc rId="10194" sId="6">
    <nc r="BX5" t="inlineStr">
      <is>
        <t>RECESSO</t>
      </is>
    </nc>
  </rcc>
  <rcc rId="10195" sId="6">
    <nc r="BY5" t="inlineStr">
      <is>
        <t>RECESSO</t>
      </is>
    </nc>
  </rcc>
  <rcc rId="10196" sId="6">
    <nc r="BZ5" t="inlineStr">
      <is>
        <t>RECESSO</t>
      </is>
    </nc>
  </rcc>
  <rcc rId="10197" sId="6">
    <nc r="CA5" t="inlineStr">
      <is>
        <t>RECESSO</t>
      </is>
    </nc>
  </rcc>
  <rcc rId="10198" sId="6">
    <nc r="BW6" t="inlineStr">
      <is>
        <t>RECESSO</t>
      </is>
    </nc>
  </rcc>
  <rcc rId="10199" sId="6">
    <nc r="BX6" t="inlineStr">
      <is>
        <t>RECESSO</t>
      </is>
    </nc>
  </rcc>
  <rcc rId="10200" sId="6">
    <nc r="BY6" t="inlineStr">
      <is>
        <t>RECESSO</t>
      </is>
    </nc>
  </rcc>
  <rcc rId="10201" sId="6">
    <nc r="BZ6" t="inlineStr">
      <is>
        <t>RECESSO</t>
      </is>
    </nc>
  </rcc>
  <rcc rId="10202" sId="6">
    <nc r="CA6" t="inlineStr">
      <is>
        <t>RECESSO</t>
      </is>
    </nc>
  </rcc>
  <rcc rId="10203" sId="6">
    <nc r="BW7" t="inlineStr">
      <is>
        <t>RECESSO</t>
      </is>
    </nc>
  </rcc>
  <rcc rId="10204" sId="6">
    <nc r="BX7" t="inlineStr">
      <is>
        <t>RECESSO</t>
      </is>
    </nc>
  </rcc>
  <rcc rId="10205" sId="6">
    <nc r="BY7" t="inlineStr">
      <is>
        <t>RECESSO</t>
      </is>
    </nc>
  </rcc>
  <rcc rId="10206" sId="6">
    <nc r="BZ7" t="inlineStr">
      <is>
        <t>RECESSO</t>
      </is>
    </nc>
  </rcc>
  <rcc rId="10207" sId="6">
    <nc r="CA7" t="inlineStr">
      <is>
        <t>RECESSO</t>
      </is>
    </nc>
  </rcc>
  <rcc rId="10208" sId="6">
    <nc r="BW8" t="inlineStr">
      <is>
        <t>RECESSO</t>
      </is>
    </nc>
  </rcc>
  <rcc rId="10209" sId="6">
    <nc r="BX8" t="inlineStr">
      <is>
        <t>RECESSO</t>
      </is>
    </nc>
  </rcc>
  <rcc rId="10210" sId="6">
    <nc r="BY8" t="inlineStr">
      <is>
        <t>RECESSO</t>
      </is>
    </nc>
  </rcc>
  <rcc rId="10211" sId="6">
    <nc r="BZ8" t="inlineStr">
      <is>
        <t>RECESSO</t>
      </is>
    </nc>
  </rcc>
  <rcc rId="10212" sId="6">
    <nc r="CA8" t="inlineStr">
      <is>
        <t>RECESSO</t>
      </is>
    </nc>
  </rcc>
  <rcc rId="10213" sId="6">
    <nc r="BW9" t="inlineStr">
      <is>
        <t>RECESSO</t>
      </is>
    </nc>
  </rcc>
  <rcc rId="10214" sId="6">
    <nc r="BX9" t="inlineStr">
      <is>
        <t>RECESSO</t>
      </is>
    </nc>
  </rcc>
  <rcc rId="10215" sId="6">
    <nc r="BY9" t="inlineStr">
      <is>
        <t>RECESSO</t>
      </is>
    </nc>
  </rcc>
  <rcc rId="10216" sId="6">
    <nc r="BZ9" t="inlineStr">
      <is>
        <t>RECESSO</t>
      </is>
    </nc>
  </rcc>
  <rcc rId="10217" sId="6">
    <nc r="CA9" t="inlineStr">
      <is>
        <t>RECESSO</t>
      </is>
    </nc>
  </rcc>
  <rcc rId="10218" sId="6">
    <nc r="BW10" t="inlineStr">
      <is>
        <t>RECESSO</t>
      </is>
    </nc>
  </rcc>
  <rcc rId="10219" sId="6">
    <nc r="BX10" t="inlineStr">
      <is>
        <t>RECESSO</t>
      </is>
    </nc>
  </rcc>
  <rcc rId="10220" sId="6">
    <nc r="BY10" t="inlineStr">
      <is>
        <t>RECESSO</t>
      </is>
    </nc>
  </rcc>
  <rcc rId="10221" sId="6">
    <nc r="BZ10" t="inlineStr">
      <is>
        <t>RECESSO</t>
      </is>
    </nc>
  </rcc>
  <rcc rId="10222" sId="6">
    <nc r="CA10" t="inlineStr">
      <is>
        <t>RECESSO</t>
      </is>
    </nc>
  </rcc>
  <rcc rId="10223" sId="6">
    <nc r="BW11" t="inlineStr">
      <is>
        <t>RECESSO</t>
      </is>
    </nc>
  </rcc>
  <rcc rId="10224" sId="6">
    <nc r="BX11" t="inlineStr">
      <is>
        <t>RECESSO</t>
      </is>
    </nc>
  </rcc>
  <rcc rId="10225" sId="6">
    <nc r="BY11" t="inlineStr">
      <is>
        <t>RECESSO</t>
      </is>
    </nc>
  </rcc>
  <rcc rId="10226" sId="6">
    <nc r="BZ11" t="inlineStr">
      <is>
        <t>RECESSO</t>
      </is>
    </nc>
  </rcc>
  <rcc rId="10227" sId="6">
    <nc r="CA11" t="inlineStr">
      <is>
        <t>RECESSO</t>
      </is>
    </nc>
  </rcc>
  <rcc rId="10228" sId="6">
    <nc r="BW12" t="inlineStr">
      <is>
        <t>RECESSO</t>
      </is>
    </nc>
  </rcc>
  <rcc rId="10229" sId="6">
    <nc r="BX12" t="inlineStr">
      <is>
        <t>RECESSO</t>
      </is>
    </nc>
  </rcc>
  <rcc rId="10230" sId="6">
    <nc r="BY12" t="inlineStr">
      <is>
        <t>RECESSO</t>
      </is>
    </nc>
  </rcc>
  <rcc rId="10231" sId="6">
    <nc r="BZ12" t="inlineStr">
      <is>
        <t>RECESSO</t>
      </is>
    </nc>
  </rcc>
  <rcc rId="10232" sId="6">
    <nc r="CA12" t="inlineStr">
      <is>
        <t>RECESSO</t>
      </is>
    </nc>
  </rcc>
  <rcc rId="10233" sId="6">
    <nc r="BW13" t="inlineStr">
      <is>
        <t>RECESSO</t>
      </is>
    </nc>
  </rcc>
  <rcc rId="10234" sId="6">
    <nc r="BX13" t="inlineStr">
      <is>
        <t>RECESSO</t>
      </is>
    </nc>
  </rcc>
  <rcc rId="10235" sId="6">
    <nc r="BY13" t="inlineStr">
      <is>
        <t>RECESSO</t>
      </is>
    </nc>
  </rcc>
  <rcc rId="10236" sId="6">
    <nc r="BZ13" t="inlineStr">
      <is>
        <t>RECESSO</t>
      </is>
    </nc>
  </rcc>
  <rcc rId="10237" sId="6">
    <nc r="CA13" t="inlineStr">
      <is>
        <t>RECESSO</t>
      </is>
    </nc>
  </rcc>
  <rcc rId="10238" sId="6">
    <nc r="BW14" t="inlineStr">
      <is>
        <t>RECESSO</t>
      </is>
    </nc>
  </rcc>
  <rcc rId="10239" sId="6">
    <nc r="BX14" t="inlineStr">
      <is>
        <t>RECESSO</t>
      </is>
    </nc>
  </rcc>
  <rcc rId="10240" sId="6">
    <nc r="BY14" t="inlineStr">
      <is>
        <t>RECESSO</t>
      </is>
    </nc>
  </rcc>
  <rcc rId="10241" sId="6">
    <nc r="BZ14" t="inlineStr">
      <is>
        <t>RECESSO</t>
      </is>
    </nc>
  </rcc>
  <rcc rId="10242" sId="6">
    <nc r="CA14" t="inlineStr">
      <is>
        <t>RECESSO</t>
      </is>
    </nc>
  </rcc>
  <rcc rId="10243" sId="6">
    <nc r="BW15" t="inlineStr">
      <is>
        <t>RECESSO</t>
      </is>
    </nc>
  </rcc>
  <rcc rId="10244" sId="6">
    <nc r="BX15" t="inlineStr">
      <is>
        <t>RECESSO</t>
      </is>
    </nc>
  </rcc>
  <rcc rId="10245" sId="6">
    <nc r="BY15" t="inlineStr">
      <is>
        <t>RECESSO</t>
      </is>
    </nc>
  </rcc>
  <rcc rId="10246" sId="6">
    <nc r="BZ15" t="inlineStr">
      <is>
        <t>RECESSO</t>
      </is>
    </nc>
  </rcc>
  <rcc rId="10247" sId="6">
    <nc r="CA15" t="inlineStr">
      <is>
        <t>RECESSO</t>
      </is>
    </nc>
  </rcc>
  <rcc rId="10248" sId="6">
    <nc r="BW16" t="inlineStr">
      <is>
        <t>RECESSO</t>
      </is>
    </nc>
  </rcc>
  <rcc rId="10249" sId="6">
    <nc r="BX16" t="inlineStr">
      <is>
        <t>RECESSO</t>
      </is>
    </nc>
  </rcc>
  <rcc rId="10250" sId="6">
    <nc r="BY16" t="inlineStr">
      <is>
        <t>RECESSO</t>
      </is>
    </nc>
  </rcc>
  <rcc rId="10251" sId="6">
    <nc r="BZ16" t="inlineStr">
      <is>
        <t>RECESSO</t>
      </is>
    </nc>
  </rcc>
  <rcc rId="10252" sId="6">
    <nc r="CA16" t="inlineStr">
      <is>
        <t>RECESSO</t>
      </is>
    </nc>
  </rcc>
  <rcc rId="10253" sId="6">
    <nc r="BW17" t="inlineStr">
      <is>
        <t>RECESSO</t>
      </is>
    </nc>
  </rcc>
  <rcc rId="10254" sId="6">
    <nc r="BX17" t="inlineStr">
      <is>
        <t>RECESSO</t>
      </is>
    </nc>
  </rcc>
  <rcc rId="10255" sId="6">
    <nc r="BY17" t="inlineStr">
      <is>
        <t>RECESSO</t>
      </is>
    </nc>
  </rcc>
  <rcc rId="10256" sId="6">
    <nc r="BZ17" t="inlineStr">
      <is>
        <t>RECESSO</t>
      </is>
    </nc>
  </rcc>
  <rcc rId="10257" sId="6">
    <nc r="CA17" t="inlineStr">
      <is>
        <t>RECESSO</t>
      </is>
    </nc>
  </rcc>
  <rcc rId="10258" sId="7">
    <nc r="BW2" t="inlineStr">
      <is>
        <t>RECESSO</t>
      </is>
    </nc>
  </rcc>
  <rcc rId="10259" sId="7">
    <nc r="BX2" t="inlineStr">
      <is>
        <t>RECESSO</t>
      </is>
    </nc>
  </rcc>
  <rcc rId="10260" sId="7">
    <nc r="BY2" t="inlineStr">
      <is>
        <t>RECESSO</t>
      </is>
    </nc>
  </rcc>
  <rcc rId="10261" sId="7">
    <nc r="BZ2" t="inlineStr">
      <is>
        <t>RECESSO</t>
      </is>
    </nc>
  </rcc>
  <rcc rId="10262" sId="7">
    <nc r="CA2" t="inlineStr">
      <is>
        <t>RECESSO</t>
      </is>
    </nc>
  </rcc>
  <rcc rId="10263" sId="7">
    <nc r="BW3" t="inlineStr">
      <is>
        <t>RECESSO</t>
      </is>
    </nc>
  </rcc>
  <rcc rId="10264" sId="7">
    <nc r="BX3" t="inlineStr">
      <is>
        <t>RECESSO</t>
      </is>
    </nc>
  </rcc>
  <rcc rId="10265" sId="7">
    <nc r="BY3" t="inlineStr">
      <is>
        <t>RECESSO</t>
      </is>
    </nc>
  </rcc>
  <rcc rId="10266" sId="7">
    <nc r="BZ3" t="inlineStr">
      <is>
        <t>RECESSO</t>
      </is>
    </nc>
  </rcc>
  <rcc rId="10267" sId="7">
    <nc r="CA3" t="inlineStr">
      <is>
        <t>RECESSO</t>
      </is>
    </nc>
  </rcc>
  <rcc rId="10268" sId="7">
    <nc r="BW4" t="inlineStr">
      <is>
        <t>RECESSO</t>
      </is>
    </nc>
  </rcc>
  <rcc rId="10269" sId="7">
    <nc r="BX4" t="inlineStr">
      <is>
        <t>RECESSO</t>
      </is>
    </nc>
  </rcc>
  <rcc rId="10270" sId="7">
    <nc r="BY4" t="inlineStr">
      <is>
        <t>RECESSO</t>
      </is>
    </nc>
  </rcc>
  <rcc rId="10271" sId="7">
    <nc r="BZ4" t="inlineStr">
      <is>
        <t>RECESSO</t>
      </is>
    </nc>
  </rcc>
  <rcc rId="10272" sId="7">
    <nc r="CA4" t="inlineStr">
      <is>
        <t>RECESSO</t>
      </is>
    </nc>
  </rcc>
  <rcc rId="10273" sId="7">
    <nc r="BW5" t="inlineStr">
      <is>
        <t>RECESSO</t>
      </is>
    </nc>
  </rcc>
  <rcc rId="10274" sId="7">
    <nc r="BX5" t="inlineStr">
      <is>
        <t>RECESSO</t>
      </is>
    </nc>
  </rcc>
  <rcc rId="10275" sId="7">
    <nc r="BY5" t="inlineStr">
      <is>
        <t>RECESSO</t>
      </is>
    </nc>
  </rcc>
  <rcc rId="10276" sId="7">
    <nc r="BZ5" t="inlineStr">
      <is>
        <t>RECESSO</t>
      </is>
    </nc>
  </rcc>
  <rcc rId="10277" sId="7">
    <nc r="CA5" t="inlineStr">
      <is>
        <t>RECESSO</t>
      </is>
    </nc>
  </rcc>
  <rcc rId="10278" sId="7">
    <nc r="BW6" t="inlineStr">
      <is>
        <t>RECESSO</t>
      </is>
    </nc>
  </rcc>
  <rcc rId="10279" sId="7">
    <nc r="BX6" t="inlineStr">
      <is>
        <t>RECESSO</t>
      </is>
    </nc>
  </rcc>
  <rcc rId="10280" sId="7">
    <nc r="BY6" t="inlineStr">
      <is>
        <t>RECESSO</t>
      </is>
    </nc>
  </rcc>
  <rcc rId="10281" sId="7">
    <nc r="BZ6" t="inlineStr">
      <is>
        <t>RECESSO</t>
      </is>
    </nc>
  </rcc>
  <rcc rId="10282" sId="7">
    <nc r="CA6" t="inlineStr">
      <is>
        <t>RECESSO</t>
      </is>
    </nc>
  </rcc>
  <rcc rId="10283" sId="7">
    <nc r="BW7" t="inlineStr">
      <is>
        <t>RECESSO</t>
      </is>
    </nc>
  </rcc>
  <rcc rId="10284" sId="7">
    <nc r="BX7" t="inlineStr">
      <is>
        <t>RECESSO</t>
      </is>
    </nc>
  </rcc>
  <rcc rId="10285" sId="7">
    <nc r="BY7" t="inlineStr">
      <is>
        <t>RECESSO</t>
      </is>
    </nc>
  </rcc>
  <rcc rId="10286" sId="7">
    <nc r="BZ7" t="inlineStr">
      <is>
        <t>RECESSO</t>
      </is>
    </nc>
  </rcc>
  <rcc rId="10287" sId="7">
    <nc r="CA7" t="inlineStr">
      <is>
        <t>RECESSO</t>
      </is>
    </nc>
  </rcc>
  <rcc rId="10288" sId="7">
    <nc r="BW8" t="inlineStr">
      <is>
        <t>RECESSO</t>
      </is>
    </nc>
  </rcc>
  <rcc rId="10289" sId="7">
    <nc r="BX8" t="inlineStr">
      <is>
        <t>RECESSO</t>
      </is>
    </nc>
  </rcc>
  <rcc rId="10290" sId="7">
    <nc r="BY8" t="inlineStr">
      <is>
        <t>RECESSO</t>
      </is>
    </nc>
  </rcc>
  <rcc rId="10291" sId="7">
    <nc r="BZ8" t="inlineStr">
      <is>
        <t>RECESSO</t>
      </is>
    </nc>
  </rcc>
  <rcc rId="10292" sId="7">
    <nc r="CA8" t="inlineStr">
      <is>
        <t>RECESSO</t>
      </is>
    </nc>
  </rcc>
  <rcc rId="10293" sId="7">
    <nc r="BW9" t="inlineStr">
      <is>
        <t>RECESSO</t>
      </is>
    </nc>
  </rcc>
  <rcc rId="10294" sId="7">
    <nc r="BX9" t="inlineStr">
      <is>
        <t>RECESSO</t>
      </is>
    </nc>
  </rcc>
  <rcc rId="10295" sId="7">
    <nc r="BY9" t="inlineStr">
      <is>
        <t>RECESSO</t>
      </is>
    </nc>
  </rcc>
  <rcc rId="10296" sId="7">
    <nc r="BZ9" t="inlineStr">
      <is>
        <t>RECESSO</t>
      </is>
    </nc>
  </rcc>
  <rcc rId="10297" sId="7">
    <nc r="CA9" t="inlineStr">
      <is>
        <t>RECESSO</t>
      </is>
    </nc>
  </rcc>
  <rcc rId="10298" sId="7">
    <nc r="BW10" t="inlineStr">
      <is>
        <t>RECESSO</t>
      </is>
    </nc>
  </rcc>
  <rcc rId="10299" sId="7">
    <nc r="BX10" t="inlineStr">
      <is>
        <t>RECESSO</t>
      </is>
    </nc>
  </rcc>
  <rcc rId="10300" sId="7">
    <nc r="BY10" t="inlineStr">
      <is>
        <t>RECESSO</t>
      </is>
    </nc>
  </rcc>
  <rcc rId="10301" sId="7">
    <nc r="BZ10" t="inlineStr">
      <is>
        <t>RECESSO</t>
      </is>
    </nc>
  </rcc>
  <rcc rId="10302" sId="7">
    <nc r="CA10" t="inlineStr">
      <is>
        <t>RECESSO</t>
      </is>
    </nc>
  </rcc>
  <rcc rId="10303" sId="7">
    <nc r="BW11" t="inlineStr">
      <is>
        <t>RECESSO</t>
      </is>
    </nc>
  </rcc>
  <rcc rId="10304" sId="7">
    <nc r="BX11" t="inlineStr">
      <is>
        <t>RECESSO</t>
      </is>
    </nc>
  </rcc>
  <rcc rId="10305" sId="7">
    <nc r="BY11" t="inlineStr">
      <is>
        <t>RECESSO</t>
      </is>
    </nc>
  </rcc>
  <rcc rId="10306" sId="7">
    <nc r="BZ11" t="inlineStr">
      <is>
        <t>RECESSO</t>
      </is>
    </nc>
  </rcc>
  <rcc rId="10307" sId="7">
    <nc r="CA11" t="inlineStr">
      <is>
        <t>RECESSO</t>
      </is>
    </nc>
  </rcc>
  <rcc rId="10308" sId="7">
    <nc r="BW12" t="inlineStr">
      <is>
        <t>RECESSO</t>
      </is>
    </nc>
  </rcc>
  <rcc rId="10309" sId="7">
    <nc r="BX12" t="inlineStr">
      <is>
        <t>RECESSO</t>
      </is>
    </nc>
  </rcc>
  <rcc rId="10310" sId="7">
    <nc r="BY12" t="inlineStr">
      <is>
        <t>RECESSO</t>
      </is>
    </nc>
  </rcc>
  <rcc rId="10311" sId="7">
    <nc r="BZ12" t="inlineStr">
      <is>
        <t>RECESSO</t>
      </is>
    </nc>
  </rcc>
  <rcc rId="10312" sId="7">
    <nc r="CA12" t="inlineStr">
      <is>
        <t>RECESSO</t>
      </is>
    </nc>
  </rcc>
  <rcc rId="10313" sId="7">
    <nc r="BW13" t="inlineStr">
      <is>
        <t>RECESSO</t>
      </is>
    </nc>
  </rcc>
  <rcc rId="10314" sId="7">
    <nc r="BX13" t="inlineStr">
      <is>
        <t>RECESSO</t>
      </is>
    </nc>
  </rcc>
  <rcc rId="10315" sId="7">
    <nc r="BY13" t="inlineStr">
      <is>
        <t>RECESSO</t>
      </is>
    </nc>
  </rcc>
  <rcc rId="10316" sId="7">
    <nc r="BZ13" t="inlineStr">
      <is>
        <t>RECESSO</t>
      </is>
    </nc>
  </rcc>
  <rcc rId="10317" sId="7">
    <nc r="CA13" t="inlineStr">
      <is>
        <t>RECESSO</t>
      </is>
    </nc>
  </rcc>
  <rcc rId="10318" sId="7">
    <nc r="BW14" t="inlineStr">
      <is>
        <t>RECESSO</t>
      </is>
    </nc>
  </rcc>
  <rcc rId="10319" sId="7">
    <nc r="BX14" t="inlineStr">
      <is>
        <t>RECESSO</t>
      </is>
    </nc>
  </rcc>
  <rcc rId="10320" sId="7">
    <nc r="BY14" t="inlineStr">
      <is>
        <t>RECESSO</t>
      </is>
    </nc>
  </rcc>
  <rcc rId="10321" sId="7">
    <nc r="BZ14" t="inlineStr">
      <is>
        <t>RECESSO</t>
      </is>
    </nc>
  </rcc>
  <rcc rId="10322" sId="7">
    <nc r="CA14" t="inlineStr">
      <is>
        <t>RECESSO</t>
      </is>
    </nc>
  </rcc>
  <rcc rId="10323" sId="7">
    <nc r="BW15" t="inlineStr">
      <is>
        <t>RECESSO</t>
      </is>
    </nc>
  </rcc>
  <rcc rId="10324" sId="7">
    <nc r="BX15" t="inlineStr">
      <is>
        <t>RECESSO</t>
      </is>
    </nc>
  </rcc>
  <rcc rId="10325" sId="7">
    <nc r="BY15" t="inlineStr">
      <is>
        <t>RECESSO</t>
      </is>
    </nc>
  </rcc>
  <rcc rId="10326" sId="7">
    <nc r="BZ15" t="inlineStr">
      <is>
        <t>RECESSO</t>
      </is>
    </nc>
  </rcc>
  <rcc rId="10327" sId="7">
    <nc r="CA15" t="inlineStr">
      <is>
        <t>RECESSO</t>
      </is>
    </nc>
  </rcc>
  <rcc rId="10328" sId="7">
    <nc r="BW16" t="inlineStr">
      <is>
        <t>RECESSO</t>
      </is>
    </nc>
  </rcc>
  <rcc rId="10329" sId="7">
    <nc r="BX16" t="inlineStr">
      <is>
        <t>RECESSO</t>
      </is>
    </nc>
  </rcc>
  <rcc rId="10330" sId="7">
    <nc r="BY16" t="inlineStr">
      <is>
        <t>RECESSO</t>
      </is>
    </nc>
  </rcc>
  <rcc rId="10331" sId="7">
    <nc r="BZ16" t="inlineStr">
      <is>
        <t>RECESSO</t>
      </is>
    </nc>
  </rcc>
  <rcc rId="10332" sId="7">
    <nc r="CA16" t="inlineStr">
      <is>
        <t>RECESSO</t>
      </is>
    </nc>
  </rcc>
  <rcc rId="10333" sId="7">
    <nc r="BW17" t="inlineStr">
      <is>
        <t>RECESSO</t>
      </is>
    </nc>
  </rcc>
  <rcc rId="10334" sId="7">
    <nc r="BX17" t="inlineStr">
      <is>
        <t>RECESSO</t>
      </is>
    </nc>
  </rcc>
  <rcc rId="10335" sId="7">
    <nc r="BY17" t="inlineStr">
      <is>
        <t>RECESSO</t>
      </is>
    </nc>
  </rcc>
  <rcc rId="10336" sId="7">
    <nc r="BZ17" t="inlineStr">
      <is>
        <t>RECESSO</t>
      </is>
    </nc>
  </rcc>
  <rcc rId="10337" sId="7">
    <nc r="CA17" t="inlineStr">
      <is>
        <t>RECESSO</t>
      </is>
    </nc>
  </rcc>
  <rcc rId="10338" sId="8">
    <nc r="BQ2" t="inlineStr">
      <is>
        <t>RECESSO</t>
      </is>
    </nc>
  </rcc>
  <rcc rId="10339" sId="8">
    <nc r="BR2" t="inlineStr">
      <is>
        <t>RECESSO</t>
      </is>
    </nc>
  </rcc>
  <rcc rId="10340" sId="8">
    <nc r="BS2" t="inlineStr">
      <is>
        <t>RECESSO</t>
      </is>
    </nc>
  </rcc>
  <rcc rId="10341" sId="8">
    <nc r="BT2" t="inlineStr">
      <is>
        <t>RECESSO</t>
      </is>
    </nc>
  </rcc>
  <rcc rId="10342" sId="8">
    <nc r="BU2" t="inlineStr">
      <is>
        <t>RECESSO</t>
      </is>
    </nc>
  </rcc>
  <rcc rId="10343" sId="8">
    <nc r="BQ3" t="inlineStr">
      <is>
        <t>RECESSO</t>
      </is>
    </nc>
  </rcc>
  <rcc rId="10344" sId="8">
    <nc r="BR3" t="inlineStr">
      <is>
        <t>RECESSO</t>
      </is>
    </nc>
  </rcc>
  <rcc rId="10345" sId="8">
    <nc r="BS3" t="inlineStr">
      <is>
        <t>RECESSO</t>
      </is>
    </nc>
  </rcc>
  <rcc rId="10346" sId="8">
    <nc r="BT3" t="inlineStr">
      <is>
        <t>RECESSO</t>
      </is>
    </nc>
  </rcc>
  <rcc rId="10347" sId="8">
    <nc r="BU3" t="inlineStr">
      <is>
        <t>RECESSO</t>
      </is>
    </nc>
  </rcc>
  <rcc rId="10348" sId="8">
    <nc r="BQ4" t="inlineStr">
      <is>
        <t>RECESSO</t>
      </is>
    </nc>
  </rcc>
  <rcc rId="10349" sId="8">
    <nc r="BR4" t="inlineStr">
      <is>
        <t>RECESSO</t>
      </is>
    </nc>
  </rcc>
  <rcc rId="10350" sId="8">
    <nc r="BS4" t="inlineStr">
      <is>
        <t>RECESSO</t>
      </is>
    </nc>
  </rcc>
  <rcc rId="10351" sId="8">
    <nc r="BT4" t="inlineStr">
      <is>
        <t>RECESSO</t>
      </is>
    </nc>
  </rcc>
  <rcc rId="10352" sId="8">
    <nc r="BU4" t="inlineStr">
      <is>
        <t>RECESSO</t>
      </is>
    </nc>
  </rcc>
  <rcc rId="10353" sId="8">
    <nc r="BQ5" t="inlineStr">
      <is>
        <t>RECESSO</t>
      </is>
    </nc>
  </rcc>
  <rcc rId="10354" sId="8">
    <nc r="BR5" t="inlineStr">
      <is>
        <t>RECESSO</t>
      </is>
    </nc>
  </rcc>
  <rcc rId="10355" sId="8">
    <nc r="BS5" t="inlineStr">
      <is>
        <t>RECESSO</t>
      </is>
    </nc>
  </rcc>
  <rcc rId="10356" sId="8">
    <nc r="BT5" t="inlineStr">
      <is>
        <t>RECESSO</t>
      </is>
    </nc>
  </rcc>
  <rcc rId="10357" sId="8">
    <nc r="BU5" t="inlineStr">
      <is>
        <t>RECESSO</t>
      </is>
    </nc>
  </rcc>
  <rcc rId="10358" sId="8">
    <nc r="BQ6" t="inlineStr">
      <is>
        <t>RECESSO</t>
      </is>
    </nc>
  </rcc>
  <rcc rId="10359" sId="8">
    <nc r="BR6" t="inlineStr">
      <is>
        <t>RECESSO</t>
      </is>
    </nc>
  </rcc>
  <rcc rId="10360" sId="8">
    <nc r="BS6" t="inlineStr">
      <is>
        <t>RECESSO</t>
      </is>
    </nc>
  </rcc>
  <rcc rId="10361" sId="8">
    <nc r="BT6" t="inlineStr">
      <is>
        <t>RECESSO</t>
      </is>
    </nc>
  </rcc>
  <rcc rId="10362" sId="8">
    <nc r="BU6" t="inlineStr">
      <is>
        <t>RECESSO</t>
      </is>
    </nc>
  </rcc>
  <rcc rId="10363" sId="8">
    <nc r="BQ7" t="inlineStr">
      <is>
        <t>RECESSO</t>
      </is>
    </nc>
  </rcc>
  <rcc rId="10364" sId="8">
    <nc r="BR7" t="inlineStr">
      <is>
        <t>RECESSO</t>
      </is>
    </nc>
  </rcc>
  <rcc rId="10365" sId="8">
    <nc r="BS7" t="inlineStr">
      <is>
        <t>RECESSO</t>
      </is>
    </nc>
  </rcc>
  <rcc rId="10366" sId="8">
    <nc r="BT7" t="inlineStr">
      <is>
        <t>RECESSO</t>
      </is>
    </nc>
  </rcc>
  <rcc rId="10367" sId="8">
    <nc r="BU7" t="inlineStr">
      <is>
        <t>RECESSO</t>
      </is>
    </nc>
  </rcc>
  <rcc rId="10368" sId="8">
    <nc r="BQ8" t="inlineStr">
      <is>
        <t>RECESSO</t>
      </is>
    </nc>
  </rcc>
  <rcc rId="10369" sId="8">
    <nc r="BR8" t="inlineStr">
      <is>
        <t>RECESSO</t>
      </is>
    </nc>
  </rcc>
  <rcc rId="10370" sId="8">
    <nc r="BS8" t="inlineStr">
      <is>
        <t>RECESSO</t>
      </is>
    </nc>
  </rcc>
  <rcc rId="10371" sId="8">
    <nc r="BT8" t="inlineStr">
      <is>
        <t>RECESSO</t>
      </is>
    </nc>
  </rcc>
  <rcc rId="10372" sId="8">
    <nc r="BU8" t="inlineStr">
      <is>
        <t>RECESSO</t>
      </is>
    </nc>
  </rcc>
  <rcc rId="10373" sId="8">
    <nc r="BQ9" t="inlineStr">
      <is>
        <t>RECESSO</t>
      </is>
    </nc>
  </rcc>
  <rcc rId="10374" sId="8">
    <nc r="BR9" t="inlineStr">
      <is>
        <t>RECESSO</t>
      </is>
    </nc>
  </rcc>
  <rcc rId="10375" sId="8">
    <nc r="BS9" t="inlineStr">
      <is>
        <t>RECESSO</t>
      </is>
    </nc>
  </rcc>
  <rcc rId="10376" sId="8">
    <nc r="BT9" t="inlineStr">
      <is>
        <t>RECESSO</t>
      </is>
    </nc>
  </rcc>
  <rcc rId="10377" sId="8">
    <nc r="BU9" t="inlineStr">
      <is>
        <t>RECESSO</t>
      </is>
    </nc>
  </rcc>
  <rcc rId="10378" sId="8">
    <nc r="BQ10" t="inlineStr">
      <is>
        <t>RECESSO</t>
      </is>
    </nc>
  </rcc>
  <rcc rId="10379" sId="8">
    <nc r="BR10" t="inlineStr">
      <is>
        <t>RECESSO</t>
      </is>
    </nc>
  </rcc>
  <rcc rId="10380" sId="8">
    <nc r="BS10" t="inlineStr">
      <is>
        <t>RECESSO</t>
      </is>
    </nc>
  </rcc>
  <rcc rId="10381" sId="8">
    <nc r="BT10" t="inlineStr">
      <is>
        <t>RECESSO</t>
      </is>
    </nc>
  </rcc>
  <rcc rId="10382" sId="8">
    <nc r="BU10" t="inlineStr">
      <is>
        <t>RECESSO</t>
      </is>
    </nc>
  </rcc>
  <rcc rId="10383" sId="8">
    <nc r="BQ11" t="inlineStr">
      <is>
        <t>RECESSO</t>
      </is>
    </nc>
  </rcc>
  <rcc rId="10384" sId="8">
    <nc r="BR11" t="inlineStr">
      <is>
        <t>RECESSO</t>
      </is>
    </nc>
  </rcc>
  <rcc rId="10385" sId="8">
    <nc r="BS11" t="inlineStr">
      <is>
        <t>RECESSO</t>
      </is>
    </nc>
  </rcc>
  <rcc rId="10386" sId="8">
    <nc r="BT11" t="inlineStr">
      <is>
        <t>RECESSO</t>
      </is>
    </nc>
  </rcc>
  <rcc rId="10387" sId="8">
    <nc r="BU11" t="inlineStr">
      <is>
        <t>RECESSO</t>
      </is>
    </nc>
  </rcc>
  <rcc rId="10388" sId="8">
    <nc r="BQ12" t="inlineStr">
      <is>
        <t>RECESSO</t>
      </is>
    </nc>
  </rcc>
  <rcc rId="10389" sId="8">
    <nc r="BR12" t="inlineStr">
      <is>
        <t>RECESSO</t>
      </is>
    </nc>
  </rcc>
  <rcc rId="10390" sId="8">
    <nc r="BS12" t="inlineStr">
      <is>
        <t>RECESSO</t>
      </is>
    </nc>
  </rcc>
  <rcc rId="10391" sId="8">
    <nc r="BT12" t="inlineStr">
      <is>
        <t>RECESSO</t>
      </is>
    </nc>
  </rcc>
  <rcc rId="10392" sId="8">
    <nc r="BU12" t="inlineStr">
      <is>
        <t>RECESSO</t>
      </is>
    </nc>
  </rcc>
  <rcc rId="10393" sId="8">
    <nc r="BQ13" t="inlineStr">
      <is>
        <t>RECESSO</t>
      </is>
    </nc>
  </rcc>
  <rcc rId="10394" sId="8">
    <nc r="BR13" t="inlineStr">
      <is>
        <t>RECESSO</t>
      </is>
    </nc>
  </rcc>
  <rcc rId="10395" sId="8">
    <nc r="BS13" t="inlineStr">
      <is>
        <t>RECESSO</t>
      </is>
    </nc>
  </rcc>
  <rcc rId="10396" sId="8">
    <nc r="BT13" t="inlineStr">
      <is>
        <t>RECESSO</t>
      </is>
    </nc>
  </rcc>
  <rcc rId="10397" sId="8">
    <nc r="BU13" t="inlineStr">
      <is>
        <t>RECESSO</t>
      </is>
    </nc>
  </rcc>
  <rcc rId="10398" sId="8">
    <nc r="BQ14" t="inlineStr">
      <is>
        <t>RECESSO</t>
      </is>
    </nc>
  </rcc>
  <rcc rId="10399" sId="8">
    <nc r="BR14" t="inlineStr">
      <is>
        <t>RECESSO</t>
      </is>
    </nc>
  </rcc>
  <rcc rId="10400" sId="8">
    <nc r="BS14" t="inlineStr">
      <is>
        <t>RECESSO</t>
      </is>
    </nc>
  </rcc>
  <rcc rId="10401" sId="8">
    <nc r="BT14" t="inlineStr">
      <is>
        <t>RECESSO</t>
      </is>
    </nc>
  </rcc>
  <rcc rId="10402" sId="8">
    <nc r="BU14" t="inlineStr">
      <is>
        <t>RECESSO</t>
      </is>
    </nc>
  </rcc>
  <rcc rId="10403" sId="8">
    <nc r="BQ15" t="inlineStr">
      <is>
        <t>RECESSO</t>
      </is>
    </nc>
  </rcc>
  <rcc rId="10404" sId="8">
    <nc r="BR15" t="inlineStr">
      <is>
        <t>RECESSO</t>
      </is>
    </nc>
  </rcc>
  <rcc rId="10405" sId="8">
    <nc r="BS15" t="inlineStr">
      <is>
        <t>RECESSO</t>
      </is>
    </nc>
  </rcc>
  <rcc rId="10406" sId="8">
    <nc r="BT15" t="inlineStr">
      <is>
        <t>RECESSO</t>
      </is>
    </nc>
  </rcc>
  <rcc rId="10407" sId="8">
    <nc r="BU15" t="inlineStr">
      <is>
        <t>RECESSO</t>
      </is>
    </nc>
  </rcc>
  <rcc rId="10408" sId="8">
    <nc r="BQ16" t="inlineStr">
      <is>
        <t>RECESSO</t>
      </is>
    </nc>
  </rcc>
  <rcc rId="10409" sId="8">
    <nc r="BR16" t="inlineStr">
      <is>
        <t>RECESSO</t>
      </is>
    </nc>
  </rcc>
  <rcc rId="10410" sId="8">
    <nc r="BS16" t="inlineStr">
      <is>
        <t>RECESSO</t>
      </is>
    </nc>
  </rcc>
  <rcc rId="10411" sId="8">
    <nc r="BT16" t="inlineStr">
      <is>
        <t>RECESSO</t>
      </is>
    </nc>
  </rcc>
  <rcc rId="10412" sId="8">
    <nc r="BU16" t="inlineStr">
      <is>
        <t>RECESSO</t>
      </is>
    </nc>
  </rcc>
  <rcc rId="10413" sId="8">
    <nc r="BQ17" t="inlineStr">
      <is>
        <t>RECESSO</t>
      </is>
    </nc>
  </rcc>
  <rcc rId="10414" sId="8">
    <nc r="BR17" t="inlineStr">
      <is>
        <t>RECESSO</t>
      </is>
    </nc>
  </rcc>
  <rcc rId="10415" sId="8">
    <nc r="BS17" t="inlineStr">
      <is>
        <t>RECESSO</t>
      </is>
    </nc>
  </rcc>
  <rcc rId="10416" sId="8">
    <nc r="BT17" t="inlineStr">
      <is>
        <t>RECESSO</t>
      </is>
    </nc>
  </rcc>
  <rcc rId="10417" sId="8">
    <nc r="BU17" t="inlineStr">
      <is>
        <t>RECESSO</t>
      </is>
    </nc>
  </rcc>
  <rcc rId="10418" sId="10" odxf="1" dxf="1">
    <nc r="BQ18" t="inlineStr">
      <is>
        <t>RECESSO DE NATAL</t>
      </is>
    </nc>
    <odxf>
      <alignment wrapText="0"/>
    </odxf>
    <ndxf>
      <alignment wrapText="1"/>
    </ndxf>
  </rcc>
  <rcc rId="10419" sId="10" odxf="1" dxf="1">
    <nc r="BR18" t="inlineStr">
      <is>
        <t>RECESSO DE NATAL</t>
      </is>
    </nc>
    <odxf>
      <alignment wrapText="0"/>
    </odxf>
    <ndxf>
      <alignment wrapText="1"/>
    </ndxf>
  </rcc>
  <rcc rId="10420" sId="10" odxf="1" dxf="1">
    <nc r="BS18" t="inlineStr">
      <is>
        <t>RECESSO DE NATAL</t>
      </is>
    </nc>
    <odxf>
      <alignment wrapText="0"/>
    </odxf>
    <ndxf>
      <alignment wrapText="1"/>
    </ndxf>
  </rcc>
  <rcc rId="10421" sId="10" odxf="1" dxf="1">
    <nc r="BT18" t="inlineStr">
      <is>
        <t>RECESSO DE NATAL</t>
      </is>
    </nc>
    <odxf>
      <alignment wrapText="0"/>
    </odxf>
    <ndxf>
      <alignment wrapText="1"/>
    </ndxf>
  </rcc>
  <rcc rId="10422" sId="10" odxf="1" dxf="1">
    <nc r="BU18" t="inlineStr">
      <is>
        <t>RECESSO DE NATAL</t>
      </is>
    </nc>
    <odxf>
      <alignment wrapText="0"/>
    </odxf>
    <ndxf>
      <alignment wrapText="1"/>
    </ndxf>
  </rcc>
  <rcc rId="10423" sId="5" odxf="1" dxf="1">
    <nc r="BQ18" t="inlineStr">
      <is>
        <t>RECESSO DE NATAL</t>
      </is>
    </nc>
    <odxf>
      <alignment wrapText="0"/>
    </odxf>
    <ndxf>
      <alignment wrapText="1"/>
    </ndxf>
  </rcc>
  <rcc rId="10424" sId="5" odxf="1" dxf="1">
    <nc r="BR18" t="inlineStr">
      <is>
        <t>RECESSO DE NATAL</t>
      </is>
    </nc>
    <odxf>
      <alignment wrapText="0"/>
    </odxf>
    <ndxf>
      <alignment wrapText="1"/>
    </ndxf>
  </rcc>
  <rcc rId="10425" sId="5" odxf="1" dxf="1">
    <nc r="BS18" t="inlineStr">
      <is>
        <t>RECESSO DE NATAL</t>
      </is>
    </nc>
    <odxf>
      <alignment wrapText="0"/>
    </odxf>
    <ndxf>
      <alignment wrapText="1"/>
    </ndxf>
  </rcc>
  <rcc rId="10426" sId="5" odxf="1" dxf="1">
    <nc r="BT18" t="inlineStr">
      <is>
        <t>RECESSO DE NATAL</t>
      </is>
    </nc>
    <odxf>
      <alignment wrapText="0"/>
    </odxf>
    <ndxf>
      <alignment wrapText="1"/>
    </ndxf>
  </rcc>
  <rcc rId="10427" sId="5" odxf="1" dxf="1">
    <nc r="BU18" t="inlineStr">
      <is>
        <t>RECESSO DE NATAL</t>
      </is>
    </nc>
    <odxf>
      <alignment wrapText="0"/>
    </odxf>
    <ndxf>
      <alignment wrapText="1"/>
    </ndxf>
  </rcc>
  <rcc rId="10428" sId="4">
    <nc r="BW18" t="inlineStr">
      <is>
        <t>RECESSO REVEILLON</t>
      </is>
    </nc>
  </rcc>
  <rfmt sheetId="4" sqref="BW18">
    <dxf>
      <alignment wrapText="1"/>
    </dxf>
  </rfmt>
  <rcc rId="10429" sId="4" odxf="1" dxf="1">
    <nc r="BX18" t="inlineStr">
      <is>
        <t>RECESSO REVEILLON</t>
      </is>
    </nc>
    <ndxf>
      <alignment wrapText="1"/>
    </ndxf>
  </rcc>
  <rcc rId="10430" sId="4" odxf="1" dxf="1">
    <nc r="BY18" t="inlineStr">
      <is>
        <t>RECESSO REVEILLON</t>
      </is>
    </nc>
    <ndxf>
      <alignment wrapText="1"/>
    </ndxf>
  </rcc>
  <rcc rId="10431" sId="4" odxf="1" dxf="1">
    <nc r="BZ18" t="inlineStr">
      <is>
        <t>RECESSO REVEILLON</t>
      </is>
    </nc>
    <ndxf>
      <alignment wrapText="1"/>
    </ndxf>
  </rcc>
  <rcc rId="10432" sId="4" odxf="1" dxf="1">
    <nc r="CA18" t="inlineStr">
      <is>
        <t>RECESSO REVEILLON</t>
      </is>
    </nc>
    <ndxf>
      <alignment wrapText="1"/>
    </ndxf>
  </rcc>
  <rcc rId="10433" sId="6" odxf="1" dxf="1">
    <nc r="BW18" t="inlineStr">
      <is>
        <t>RECESSO REVEILLON</t>
      </is>
    </nc>
    <odxf>
      <alignment wrapText="0"/>
    </odxf>
    <ndxf>
      <alignment wrapText="1"/>
    </ndxf>
  </rcc>
  <rcc rId="10434" sId="6" odxf="1" dxf="1">
    <nc r="BX18" t="inlineStr">
      <is>
        <t>RECESSO REVEILLON</t>
      </is>
    </nc>
    <odxf>
      <alignment wrapText="0"/>
    </odxf>
    <ndxf>
      <alignment wrapText="1"/>
    </ndxf>
  </rcc>
  <rcc rId="10435" sId="6" odxf="1" dxf="1">
    <nc r="BY18" t="inlineStr">
      <is>
        <t>RECESSO REVEILLON</t>
      </is>
    </nc>
    <odxf>
      <alignment wrapText="0"/>
    </odxf>
    <ndxf>
      <alignment wrapText="1"/>
    </ndxf>
  </rcc>
  <rcc rId="10436" sId="6" odxf="1" dxf="1">
    <nc r="BZ18" t="inlineStr">
      <is>
        <t>RECESSO REVEILLON</t>
      </is>
    </nc>
    <odxf>
      <alignment wrapText="0"/>
    </odxf>
    <ndxf>
      <alignment wrapText="1"/>
    </ndxf>
  </rcc>
  <rcc rId="10437" sId="6" odxf="1" dxf="1">
    <nc r="CA18" t="inlineStr">
      <is>
        <t>RECESSO REVEILLON</t>
      </is>
    </nc>
    <odxf>
      <alignment wrapText="0"/>
    </odxf>
    <ndxf>
      <alignment wrapText="1"/>
    </ndxf>
  </rcc>
  <rcc rId="10438" sId="7" odxf="1" dxf="1">
    <nc r="BW18" t="inlineStr">
      <is>
        <t>RECESSO REVEILLON</t>
      </is>
    </nc>
    <odxf>
      <alignment wrapText="0"/>
    </odxf>
    <ndxf>
      <alignment wrapText="1"/>
    </ndxf>
  </rcc>
  <rcc rId="10439" sId="7" odxf="1" dxf="1">
    <nc r="BX18" t="inlineStr">
      <is>
        <t>RECESSO REVEILLON</t>
      </is>
    </nc>
    <odxf>
      <alignment wrapText="0"/>
    </odxf>
    <ndxf>
      <alignment wrapText="1"/>
    </ndxf>
  </rcc>
  <rcc rId="10440" sId="7" odxf="1" dxf="1">
    <nc r="BY18" t="inlineStr">
      <is>
        <t>RECESSO REVEILLON</t>
      </is>
    </nc>
    <odxf>
      <alignment wrapText="0"/>
    </odxf>
    <ndxf>
      <alignment wrapText="1"/>
    </ndxf>
  </rcc>
  <rcc rId="10441" sId="7" odxf="1" dxf="1">
    <nc r="BZ18" t="inlineStr">
      <is>
        <t>RECESSO REVEILLON</t>
      </is>
    </nc>
    <odxf>
      <alignment wrapText="0"/>
    </odxf>
    <ndxf>
      <alignment wrapText="1"/>
    </ndxf>
  </rcc>
  <rcc rId="10442" sId="7" odxf="1" dxf="1">
    <nc r="CA18" t="inlineStr">
      <is>
        <t>RECESSO REVEILLON</t>
      </is>
    </nc>
    <odxf>
      <alignment wrapText="0"/>
    </odxf>
    <ndxf>
      <alignment wrapText="1"/>
    </ndxf>
  </rcc>
  <rcc rId="10443" sId="10">
    <nc r="BW18" t="inlineStr">
      <is>
        <t>LEVANTAMENTO DE DEMANDAS DA DIARQ NO SEI 2024/2025</t>
      </is>
    </nc>
  </rcc>
  <rfmt sheetId="10" sqref="BW18">
    <dxf>
      <alignment wrapText="1"/>
    </dxf>
  </rfmt>
  <rcc rId="10444" sId="10" odxf="1" dxf="1">
    <nc r="BX18" t="inlineStr">
      <is>
        <t>LEVANTAMENTO DE DEMANDAS DA DIARQ NO SEI 2024/2025</t>
      </is>
    </nc>
    <odxf>
      <alignment wrapText="0"/>
    </odxf>
    <ndxf>
      <alignment wrapText="1"/>
    </ndxf>
  </rcc>
  <rcc rId="10445" sId="10" odxf="1" dxf="1">
    <nc r="BY18" t="inlineStr">
      <is>
        <t>LEVANTAMENTO DE DEMANDAS DA DIARQ NO SEI 2024/2025</t>
      </is>
    </nc>
    <odxf>
      <alignment wrapText="0"/>
    </odxf>
    <ndxf>
      <alignment wrapText="1"/>
    </ndxf>
  </rcc>
  <rfmt sheetId="10" sqref="BZ18" start="0" length="0">
    <dxf>
      <alignment wrapText="1"/>
    </dxf>
  </rfmt>
  <rcc rId="10446" sId="10">
    <nc r="BZ18" t="inlineStr">
      <is>
        <t>FERIADO ANO NOVO</t>
      </is>
    </nc>
  </rcc>
  <rcc rId="10447" sId="10">
    <nc r="BZ2" t="inlineStr">
      <is>
        <t>FERIADO</t>
      </is>
    </nc>
  </rcc>
  <rcc rId="10448" sId="10">
    <nc r="BZ3" t="inlineStr">
      <is>
        <t>FERIADO</t>
      </is>
    </nc>
  </rcc>
  <rcc rId="10449" sId="10">
    <nc r="BZ4" t="inlineStr">
      <is>
        <t>FERIADO</t>
      </is>
    </nc>
  </rcc>
  <rcc rId="10450" sId="10">
    <nc r="BZ5" t="inlineStr">
      <is>
        <t>FERIADO</t>
      </is>
    </nc>
  </rcc>
  <rcc rId="10451" sId="10">
    <nc r="BZ6" t="inlineStr">
      <is>
        <t>FERIADO</t>
      </is>
    </nc>
  </rcc>
  <rcc rId="10452" sId="10">
    <nc r="BZ7" t="inlineStr">
      <is>
        <t>FERIADO</t>
      </is>
    </nc>
  </rcc>
  <rcc rId="10453" sId="10">
    <nc r="BZ8" t="inlineStr">
      <is>
        <t>FERIADO</t>
      </is>
    </nc>
  </rcc>
  <rcc rId="10454" sId="10">
    <nc r="BZ9" t="inlineStr">
      <is>
        <t>FERIADO</t>
      </is>
    </nc>
  </rcc>
  <rcc rId="10455" sId="10">
    <nc r="BZ10" t="inlineStr">
      <is>
        <t>FERIADO</t>
      </is>
    </nc>
  </rcc>
  <rcc rId="10456" sId="10">
    <nc r="BZ11" t="inlineStr">
      <is>
        <t>FERIADO</t>
      </is>
    </nc>
  </rcc>
  <rcc rId="10457" sId="10">
    <nc r="BZ12" t="inlineStr">
      <is>
        <t>FERIADO</t>
      </is>
    </nc>
  </rcc>
  <rcc rId="10458" sId="10">
    <nc r="BZ13" t="inlineStr">
      <is>
        <t>FERIADO</t>
      </is>
    </nc>
  </rcc>
  <rcc rId="10459" sId="10">
    <nc r="BZ14" t="inlineStr">
      <is>
        <t>FERIADO</t>
      </is>
    </nc>
  </rcc>
  <rcc rId="10460" sId="10">
    <nc r="BZ15" t="inlineStr">
      <is>
        <t>FERIADO</t>
      </is>
    </nc>
  </rcc>
  <rcc rId="10461" sId="10">
    <nc r="BZ16" t="inlineStr">
      <is>
        <t>FERIADO</t>
      </is>
    </nc>
  </rcc>
  <rcc rId="10462" sId="10" odxf="1" dxf="1">
    <nc r="BZ17" t="inlineStr">
      <is>
        <t>FERIADO</t>
      </is>
    </nc>
    <odxf>
      <border outline="0">
        <bottom style="thin">
          <color indexed="64"/>
        </bottom>
      </border>
    </odxf>
    <ndxf>
      <border outline="0">
        <bottom/>
      </border>
    </ndxf>
  </rcc>
  <rfmt sheetId="10" sqref="BW18:BY18" start="0" length="2147483647">
    <dxf>
      <font>
        <sz val="9"/>
      </font>
    </dxf>
  </rfmt>
  <rfmt sheetId="10" sqref="BW17:CA17" start="0" length="0">
    <dxf>
      <border>
        <bottom style="thin">
          <color indexed="64"/>
        </bottom>
      </border>
    </dxf>
  </rfmt>
  <rcc rId="10463" sId="5">
    <nc r="BZ2" t="inlineStr">
      <is>
        <t>FERIADO</t>
      </is>
    </nc>
  </rcc>
  <rcc rId="10464" sId="5">
    <nc r="BZ3" t="inlineStr">
      <is>
        <t>FERIADO</t>
      </is>
    </nc>
  </rcc>
  <rcc rId="10465" sId="5">
    <nc r="BZ4" t="inlineStr">
      <is>
        <t>FERIADO</t>
      </is>
    </nc>
  </rcc>
  <rcc rId="10466" sId="5">
    <nc r="BZ5" t="inlineStr">
      <is>
        <t>FERIADO</t>
      </is>
    </nc>
  </rcc>
  <rcc rId="10467" sId="5">
    <nc r="BZ6" t="inlineStr">
      <is>
        <t>FERIADO</t>
      </is>
    </nc>
  </rcc>
  <rcc rId="10468" sId="5">
    <nc r="BZ7" t="inlineStr">
      <is>
        <t>FERIADO</t>
      </is>
    </nc>
  </rcc>
  <rcc rId="10469" sId="5">
    <nc r="BZ8" t="inlineStr">
      <is>
        <t>FERIADO</t>
      </is>
    </nc>
  </rcc>
  <rcc rId="10470" sId="5">
    <nc r="BZ9" t="inlineStr">
      <is>
        <t>FERIADO</t>
      </is>
    </nc>
  </rcc>
  <rcc rId="10471" sId="5">
    <nc r="BZ10" t="inlineStr">
      <is>
        <t>FERIADO</t>
      </is>
    </nc>
  </rcc>
  <rcc rId="10472" sId="5">
    <nc r="BZ11" t="inlineStr">
      <is>
        <t>FERIADO</t>
      </is>
    </nc>
  </rcc>
  <rcc rId="10473" sId="5">
    <nc r="BZ12" t="inlineStr">
      <is>
        <t>FERIADO</t>
      </is>
    </nc>
  </rcc>
  <rcc rId="10474" sId="5">
    <nc r="BZ13" t="inlineStr">
      <is>
        <t>FERIADO</t>
      </is>
    </nc>
  </rcc>
  <rcc rId="10475" sId="5">
    <nc r="BZ14" t="inlineStr">
      <is>
        <t>FERIADO</t>
      </is>
    </nc>
  </rcc>
  <rcc rId="10476" sId="5">
    <nc r="BZ15" t="inlineStr">
      <is>
        <t>FERIADO</t>
      </is>
    </nc>
  </rcc>
  <rcc rId="10477" sId="5">
    <nc r="BZ16" t="inlineStr">
      <is>
        <t>FERIADO</t>
      </is>
    </nc>
  </rcc>
  <rcc rId="10478" sId="5">
    <nc r="BZ17" t="inlineStr">
      <is>
        <t>FERIADO</t>
      </is>
    </nc>
  </rcc>
  <rcc rId="10479" sId="5" odxf="1" dxf="1">
    <nc r="BZ18" t="inlineStr">
      <is>
        <t>FERIADO ANO NOVO</t>
      </is>
    </nc>
    <odxf>
      <alignment wrapText="0"/>
    </odxf>
    <ndxf>
      <alignment wrapText="1"/>
    </ndxf>
  </rcc>
  <rcc rId="10480" sId="8">
    <nc r="BZ18" t="inlineStr">
      <is>
        <t>FERIADO ANO NOVO</t>
      </is>
    </nc>
  </rcc>
  <rcc rId="10481" sId="8">
    <nc r="BZ2" t="inlineStr">
      <is>
        <t>FERIADO</t>
      </is>
    </nc>
  </rcc>
  <rcc rId="10482" sId="8">
    <nc r="BZ3" t="inlineStr">
      <is>
        <t>FERIADO</t>
      </is>
    </nc>
  </rcc>
  <rcc rId="10483" sId="8">
    <nc r="BZ4" t="inlineStr">
      <is>
        <t>FERIADO</t>
      </is>
    </nc>
  </rcc>
  <rcc rId="10484" sId="8">
    <nc r="BZ5" t="inlineStr">
      <is>
        <t>FERIADO</t>
      </is>
    </nc>
  </rcc>
  <rcc rId="10485" sId="8">
    <nc r="BZ6" t="inlineStr">
      <is>
        <t>FERIADO</t>
      </is>
    </nc>
  </rcc>
  <rcc rId="10486" sId="8">
    <nc r="BZ7" t="inlineStr">
      <is>
        <t>FERIADO</t>
      </is>
    </nc>
  </rcc>
  <rcc rId="10487" sId="8">
    <nc r="BZ8" t="inlineStr">
      <is>
        <t>FERIADO</t>
      </is>
    </nc>
  </rcc>
  <rcc rId="10488" sId="8">
    <nc r="BZ9" t="inlineStr">
      <is>
        <t>FERIADO</t>
      </is>
    </nc>
  </rcc>
  <rcc rId="10489" sId="8">
    <nc r="BZ10" t="inlineStr">
      <is>
        <t>FERIADO</t>
      </is>
    </nc>
  </rcc>
  <rcc rId="10490" sId="8">
    <nc r="BZ11" t="inlineStr">
      <is>
        <t>FERIADO</t>
      </is>
    </nc>
  </rcc>
  <rcc rId="10491" sId="8">
    <nc r="BZ12" t="inlineStr">
      <is>
        <t>FERIADO</t>
      </is>
    </nc>
  </rcc>
  <rcc rId="10492" sId="8">
    <nc r="BZ13" t="inlineStr">
      <is>
        <t>FERIADO</t>
      </is>
    </nc>
  </rcc>
  <rcc rId="10493" sId="8">
    <nc r="BZ14" t="inlineStr">
      <is>
        <t>FERIADO</t>
      </is>
    </nc>
  </rcc>
  <rcc rId="10494" sId="8">
    <nc r="BZ15" t="inlineStr">
      <is>
        <t>FERIADO</t>
      </is>
    </nc>
  </rcc>
  <rcc rId="10495" sId="8">
    <nc r="BZ16" t="inlineStr">
      <is>
        <t>FERIADO</t>
      </is>
    </nc>
  </rcc>
  <rcc rId="10496" sId="8">
    <nc r="BZ17" t="inlineStr">
      <is>
        <t>FERIADO</t>
      </is>
    </nc>
  </rcc>
  <rcv guid="{3D987F8E-A6EA-454D-9537-6BFC5053CB00}" action="delete"/>
  <rdn rId="0" localSheetId="1" customView="1" name="Z_3D987F8E_A6EA_454D_9537_6BFC5053CB00_.wvu.FilterData" hidden="1" oldHidden="1">
    <formula>Patrícia!$A$1:$A$18</formula>
    <oldFormula>Patrícia!$A$1:$A$18</oldFormula>
  </rdn>
  <rdn rId="0" localSheetId="2" customView="1" name="Z_3D987F8E_A6EA_454D_9537_6BFC5053CB00_.wvu.FilterData" hidden="1" oldHidden="1">
    <formula>Marcelo!$A$1:$A$18</formula>
    <oldFormula>Marcelo!$A$1:$A$18</oldFormula>
  </rdn>
  <rdn rId="0" localSheetId="3" customView="1" name="Z_3D987F8E_A6EA_454D_9537_6BFC5053CB00_.wvu.FilterData" hidden="1" oldHidden="1">
    <formula>TOTAL!$A$1:$A$19</formula>
    <oldFormula>TOTAL!$A$1:$A$19</oldFormula>
  </rdn>
  <rdn rId="0" localSheetId="4" customView="1" name="Z_3D987F8E_A6EA_454D_9537_6BFC5053CB00_.wvu.FilterData" hidden="1" oldHidden="1">
    <formula>Diego!$A$1:$A$20</formula>
    <oldFormula>Diego!$A$1:$A$20</oldFormula>
  </rdn>
  <rdn rId="0" localSheetId="5" customView="1" name="Z_3D987F8E_A6EA_454D_9537_6BFC5053CB00_.wvu.FilterData" hidden="1" oldHidden="1">
    <formula>Aelton!$A$1:$A$19</formula>
    <oldFormula>Aelton!$A$1:$A$19</oldFormula>
  </rdn>
  <rdn rId="0" localSheetId="6" customView="1" name="Z_3D987F8E_A6EA_454D_9537_6BFC5053CB00_.wvu.FilterData" hidden="1" oldHidden="1">
    <formula>Leonam!$A$1:$BD$19</formula>
    <oldFormula>Leonam!$A$1:$BD$19</oldFormula>
  </rdn>
  <rdn rId="0" localSheetId="7" customView="1" name="Z_3D987F8E_A6EA_454D_9537_6BFC5053CB00_.wvu.FilterData" hidden="1" oldHidden="1">
    <formula>Danilo!$A$1:$A$19</formula>
    <oldFormula>Danilo!$A$1:$A$19</oldFormula>
  </rdn>
  <rdn rId="0" localSheetId="8" customView="1" name="Z_3D987F8E_A6EA_454D_9537_6BFC5053CB00_.wvu.FilterData" hidden="1" oldHidden="1">
    <formula>Marcos!$A$1:$A$19</formula>
    <oldFormula>Marcos!$A$1:$A$19</oldFormula>
  </rdn>
  <rdn rId="0" localSheetId="10" customView="1" name="Z_3D987F8E_A6EA_454D_9537_6BFC5053CB00_.wvu.FilterData" hidden="1" oldHidden="1">
    <formula>Alessandro!$A$1:$A$19</formula>
    <oldFormula>Alessandro!$A$1:$A$19</oldFormula>
  </rdn>
  <rdn rId="0" localSheetId="9" customView="1" name="Z_3D987F8E_A6EA_454D_9537_6BFC5053CB00_.wvu.FilterData" hidden="1" oldHidden="1">
    <formula>Carlos!$A$1:$A$19</formula>
    <oldFormula>Carlos!$A$1:$A$19</oldFormula>
  </rdn>
  <rcv guid="{3D987F8E-A6EA-454D-9537-6BFC5053CB00}" action="add"/>
</revisions>
</file>

<file path=xl/revisions/revisionLog12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0507" sId="4">
    <nc r="BT2" t="inlineStr">
      <is>
        <t>FERIADO</t>
      </is>
    </nc>
  </rcc>
  <rcc rId="10508" sId="4">
    <nc r="BT3" t="inlineStr">
      <is>
        <t>FERIADO</t>
      </is>
    </nc>
  </rcc>
  <rcc rId="10509" sId="4">
    <nc r="BT4" t="inlineStr">
      <is>
        <t>FERIADO</t>
      </is>
    </nc>
  </rcc>
  <rcc rId="10510" sId="4">
    <nc r="BT5" t="inlineStr">
      <is>
        <t>FERIADO</t>
      </is>
    </nc>
  </rcc>
  <rcc rId="10511" sId="4">
    <nc r="BT6" t="inlineStr">
      <is>
        <t>FERIADO</t>
      </is>
    </nc>
  </rcc>
  <rcc rId="10512" sId="4">
    <nc r="BT7" t="inlineStr">
      <is>
        <t>FERIADO</t>
      </is>
    </nc>
  </rcc>
  <rcc rId="10513" sId="4">
    <nc r="BT8" t="inlineStr">
      <is>
        <t>FERIADO</t>
      </is>
    </nc>
  </rcc>
  <rcc rId="10514" sId="4">
    <nc r="BT9" t="inlineStr">
      <is>
        <t>FERIADO</t>
      </is>
    </nc>
  </rcc>
  <rcc rId="10515" sId="4">
    <nc r="BT10" t="inlineStr">
      <is>
        <t>FERIADO</t>
      </is>
    </nc>
  </rcc>
  <rcc rId="10516" sId="4">
    <nc r="BT11" t="inlineStr">
      <is>
        <t>FERIADO</t>
      </is>
    </nc>
  </rcc>
  <rcc rId="10517" sId="4">
    <nc r="BT12" t="inlineStr">
      <is>
        <t>FERIADO</t>
      </is>
    </nc>
  </rcc>
  <rcc rId="10518" sId="4">
    <nc r="BT13" t="inlineStr">
      <is>
        <t>FERIADO</t>
      </is>
    </nc>
  </rcc>
  <rcc rId="10519" sId="4">
    <nc r="BT14" t="inlineStr">
      <is>
        <t>FERIADO</t>
      </is>
    </nc>
  </rcc>
  <rcc rId="10520" sId="4">
    <nc r="BT15" t="inlineStr">
      <is>
        <t>FERIADO</t>
      </is>
    </nc>
  </rcc>
  <rcc rId="10521" sId="4">
    <nc r="BT16" t="inlineStr">
      <is>
        <t>FERIADO</t>
      </is>
    </nc>
  </rcc>
  <rcc rId="10522" sId="4" odxf="1" dxf="1">
    <nc r="BT17" t="inlineStr">
      <is>
        <t>FERIADO</t>
      </is>
    </nc>
    <odxf>
      <border outline="0">
        <bottom style="thin">
          <color indexed="64"/>
        </bottom>
      </border>
    </odxf>
    <ndxf>
      <border outline="0">
        <bottom/>
      </border>
    </ndxf>
  </rcc>
  <rcc rId="10523" sId="4">
    <nc r="BT18" t="inlineStr">
      <is>
        <t>FERIADO DE NATAL</t>
      </is>
    </nc>
  </rcc>
  <rcc rId="10524" sId="4">
    <nc r="BV18">
      <f>SUM(BQ18:BU18)</f>
    </nc>
  </rcc>
  <rfmt sheetId="4" sqref="BT18">
    <dxf>
      <alignment wrapText="1"/>
    </dxf>
  </rfmt>
  <rfmt sheetId="4" sqref="BT17" start="0" length="0">
    <dxf>
      <border>
        <left/>
        <right/>
        <top/>
        <bottom style="thin">
          <color indexed="64"/>
        </bottom>
      </border>
    </dxf>
  </rfmt>
</revisions>
</file>

<file path=xl/revisions/revisionLog12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4" sqref="BT1:BT18">
    <dxf>
      <fill>
        <patternFill patternType="solid">
          <bgColor theme="0" tint="-0.14999847407452621"/>
        </patternFill>
      </fill>
    </dxf>
  </rfmt>
  <rcc rId="10525" sId="4">
    <oc r="BZ2" t="inlineStr">
      <is>
        <t>RECESSO</t>
      </is>
    </oc>
    <nc r="BZ2" t="inlineStr">
      <is>
        <t>FERIADO</t>
      </is>
    </nc>
  </rcc>
  <rcc rId="10526" sId="4">
    <oc r="BZ3" t="inlineStr">
      <is>
        <t>RECESSO</t>
      </is>
    </oc>
    <nc r="BZ3" t="inlineStr">
      <is>
        <t>FERIADO</t>
      </is>
    </nc>
  </rcc>
  <rcc rId="10527" sId="4">
    <oc r="BZ4" t="inlineStr">
      <is>
        <t>RECESSO</t>
      </is>
    </oc>
    <nc r="BZ4" t="inlineStr">
      <is>
        <t>FERIADO</t>
      </is>
    </nc>
  </rcc>
  <rcc rId="10528" sId="4">
    <oc r="BZ5" t="inlineStr">
      <is>
        <t>RECESSO</t>
      </is>
    </oc>
    <nc r="BZ5" t="inlineStr">
      <is>
        <t>FERIADO</t>
      </is>
    </nc>
  </rcc>
  <rcc rId="10529" sId="4">
    <oc r="BZ6" t="inlineStr">
      <is>
        <t>RECESSO</t>
      </is>
    </oc>
    <nc r="BZ6" t="inlineStr">
      <is>
        <t>FERIADO</t>
      </is>
    </nc>
  </rcc>
  <rcc rId="10530" sId="4">
    <oc r="BZ7" t="inlineStr">
      <is>
        <t>RECESSO</t>
      </is>
    </oc>
    <nc r="BZ7" t="inlineStr">
      <is>
        <t>FERIADO</t>
      </is>
    </nc>
  </rcc>
  <rcc rId="10531" sId="4">
    <oc r="BZ8" t="inlineStr">
      <is>
        <t>RECESSO</t>
      </is>
    </oc>
    <nc r="BZ8" t="inlineStr">
      <is>
        <t>FERIADO</t>
      </is>
    </nc>
  </rcc>
  <rcc rId="10532" sId="4">
    <oc r="BZ9" t="inlineStr">
      <is>
        <t>RECESSO</t>
      </is>
    </oc>
    <nc r="BZ9" t="inlineStr">
      <is>
        <t>FERIADO</t>
      </is>
    </nc>
  </rcc>
  <rcc rId="10533" sId="4">
    <oc r="BZ10" t="inlineStr">
      <is>
        <t>RECESSO</t>
      </is>
    </oc>
    <nc r="BZ10" t="inlineStr">
      <is>
        <t>FERIADO</t>
      </is>
    </nc>
  </rcc>
  <rcc rId="10534" sId="4">
    <oc r="BZ11" t="inlineStr">
      <is>
        <t>RECESSO</t>
      </is>
    </oc>
    <nc r="BZ11" t="inlineStr">
      <is>
        <t>FERIADO</t>
      </is>
    </nc>
  </rcc>
  <rcc rId="10535" sId="4">
    <oc r="BZ12" t="inlineStr">
      <is>
        <t>RECESSO</t>
      </is>
    </oc>
    <nc r="BZ12" t="inlineStr">
      <is>
        <t>FERIADO</t>
      </is>
    </nc>
  </rcc>
  <rcc rId="10536" sId="4">
    <oc r="BZ13" t="inlineStr">
      <is>
        <t>RECESSO</t>
      </is>
    </oc>
    <nc r="BZ13" t="inlineStr">
      <is>
        <t>FERIADO</t>
      </is>
    </nc>
  </rcc>
  <rcc rId="10537" sId="4">
    <oc r="BZ14" t="inlineStr">
      <is>
        <t>RECESSO</t>
      </is>
    </oc>
    <nc r="BZ14" t="inlineStr">
      <is>
        <t>FERIADO</t>
      </is>
    </nc>
  </rcc>
  <rcc rId="10538" sId="4">
    <oc r="BZ15" t="inlineStr">
      <is>
        <t>RECESSO</t>
      </is>
    </oc>
    <nc r="BZ15" t="inlineStr">
      <is>
        <t>FERIADO</t>
      </is>
    </nc>
  </rcc>
  <rcc rId="10539" sId="4">
    <oc r="BZ16" t="inlineStr">
      <is>
        <t>RECESSO</t>
      </is>
    </oc>
    <nc r="BZ16" t="inlineStr">
      <is>
        <t>FERIADO</t>
      </is>
    </nc>
  </rcc>
  <rcc rId="10540" sId="4">
    <oc r="BZ17" t="inlineStr">
      <is>
        <t>RECESSO</t>
      </is>
    </oc>
    <nc r="BZ17" t="inlineStr">
      <is>
        <t>FERIADO</t>
      </is>
    </nc>
  </rcc>
  <rfmt sheetId="4" sqref="BZ1:BZ18">
    <dxf>
      <fill>
        <patternFill patternType="solid">
          <bgColor theme="0" tint="-0.14999847407452621"/>
        </patternFill>
      </fill>
    </dxf>
  </rfmt>
  <rcc rId="10541" sId="5">
    <oc r="BT2" t="inlineStr">
      <is>
        <t>RECESSO</t>
      </is>
    </oc>
    <nc r="BT2" t="inlineStr">
      <is>
        <t>FERIADO</t>
      </is>
    </nc>
  </rcc>
  <rcc rId="10542" sId="5">
    <oc r="BT3" t="inlineStr">
      <is>
        <t>RECESSO</t>
      </is>
    </oc>
    <nc r="BT3" t="inlineStr">
      <is>
        <t>FERIADO</t>
      </is>
    </nc>
  </rcc>
  <rcc rId="10543" sId="5">
    <oc r="BT4" t="inlineStr">
      <is>
        <t>RECESSO</t>
      </is>
    </oc>
    <nc r="BT4" t="inlineStr">
      <is>
        <t>FERIADO</t>
      </is>
    </nc>
  </rcc>
  <rcc rId="10544" sId="5">
    <oc r="BT5" t="inlineStr">
      <is>
        <t>RECESSO</t>
      </is>
    </oc>
    <nc r="BT5" t="inlineStr">
      <is>
        <t>FERIADO</t>
      </is>
    </nc>
  </rcc>
  <rcc rId="10545" sId="5">
    <oc r="BT6" t="inlineStr">
      <is>
        <t>RECESSO</t>
      </is>
    </oc>
    <nc r="BT6" t="inlineStr">
      <is>
        <t>FERIADO</t>
      </is>
    </nc>
  </rcc>
  <rcc rId="10546" sId="5">
    <oc r="BT7" t="inlineStr">
      <is>
        <t>RECESSO</t>
      </is>
    </oc>
    <nc r="BT7" t="inlineStr">
      <is>
        <t>FERIADO</t>
      </is>
    </nc>
  </rcc>
  <rcc rId="10547" sId="5">
    <oc r="BT8" t="inlineStr">
      <is>
        <t>RECESSO</t>
      </is>
    </oc>
    <nc r="BT8" t="inlineStr">
      <is>
        <t>FERIADO</t>
      </is>
    </nc>
  </rcc>
  <rcc rId="10548" sId="5">
    <oc r="BT9" t="inlineStr">
      <is>
        <t>RECESSO</t>
      </is>
    </oc>
    <nc r="BT9" t="inlineStr">
      <is>
        <t>FERIADO</t>
      </is>
    </nc>
  </rcc>
  <rcc rId="10549" sId="5">
    <oc r="BT10" t="inlineStr">
      <is>
        <t>RECESSO</t>
      </is>
    </oc>
    <nc r="BT10" t="inlineStr">
      <is>
        <t>FERIADO</t>
      </is>
    </nc>
  </rcc>
  <rcc rId="10550" sId="5">
    <oc r="BT11" t="inlineStr">
      <is>
        <t>RECESSO</t>
      </is>
    </oc>
    <nc r="BT11" t="inlineStr">
      <is>
        <t>FERIADO</t>
      </is>
    </nc>
  </rcc>
  <rcc rId="10551" sId="5">
    <oc r="BT12" t="inlineStr">
      <is>
        <t>RECESSO</t>
      </is>
    </oc>
    <nc r="BT12" t="inlineStr">
      <is>
        <t>FERIADO</t>
      </is>
    </nc>
  </rcc>
  <rcc rId="10552" sId="5">
    <oc r="BT13" t="inlineStr">
      <is>
        <t>RECESSO</t>
      </is>
    </oc>
    <nc r="BT13" t="inlineStr">
      <is>
        <t>FERIADO</t>
      </is>
    </nc>
  </rcc>
  <rcc rId="10553" sId="5">
    <oc r="BT14" t="inlineStr">
      <is>
        <t>RECESSO</t>
      </is>
    </oc>
    <nc r="BT14" t="inlineStr">
      <is>
        <t>FERIADO</t>
      </is>
    </nc>
  </rcc>
  <rcc rId="10554" sId="5">
    <oc r="BT15" t="inlineStr">
      <is>
        <t>RECESSO</t>
      </is>
    </oc>
    <nc r="BT15" t="inlineStr">
      <is>
        <t>FERIADO</t>
      </is>
    </nc>
  </rcc>
  <rcc rId="10555" sId="5">
    <oc r="BT16" t="inlineStr">
      <is>
        <t>RECESSO</t>
      </is>
    </oc>
    <nc r="BT16" t="inlineStr">
      <is>
        <t>FERIADO</t>
      </is>
    </nc>
  </rcc>
  <rcc rId="10556" sId="5">
    <oc r="BT17" t="inlineStr">
      <is>
        <t>RECESSO</t>
      </is>
    </oc>
    <nc r="BT17" t="inlineStr">
      <is>
        <t>FERIADO</t>
      </is>
    </nc>
  </rcc>
  <rfmt sheetId="5" sqref="BT1:BT18">
    <dxf>
      <fill>
        <patternFill patternType="solid">
          <bgColor theme="0" tint="-0.14999847407452621"/>
        </patternFill>
      </fill>
    </dxf>
  </rfmt>
  <rfmt sheetId="5" sqref="BZ1:BZ18">
    <dxf>
      <fill>
        <patternFill patternType="solid">
          <bgColor theme="0" tint="-0.14999847407452621"/>
        </patternFill>
      </fill>
    </dxf>
  </rfmt>
  <rcc rId="10557" sId="6">
    <nc r="BT2" t="inlineStr">
      <is>
        <t xml:space="preserve">FERIADO </t>
      </is>
    </nc>
  </rcc>
  <rcc rId="10558" sId="6">
    <nc r="BT3" t="inlineStr">
      <is>
        <t xml:space="preserve">FERIADO </t>
      </is>
    </nc>
  </rcc>
  <rcc rId="10559" sId="6">
    <nc r="BT4" t="inlineStr">
      <is>
        <t xml:space="preserve">FERIADO </t>
      </is>
    </nc>
  </rcc>
  <rcc rId="10560" sId="6">
    <nc r="BT5" t="inlineStr">
      <is>
        <t xml:space="preserve">FERIADO </t>
      </is>
    </nc>
  </rcc>
  <rcc rId="10561" sId="6">
    <nc r="BT6" t="inlineStr">
      <is>
        <t xml:space="preserve">FERIADO </t>
      </is>
    </nc>
  </rcc>
  <rcc rId="10562" sId="6">
    <nc r="BT7" t="inlineStr">
      <is>
        <t xml:space="preserve">FERIADO </t>
      </is>
    </nc>
  </rcc>
  <rcc rId="10563" sId="6">
    <nc r="BT8" t="inlineStr">
      <is>
        <t xml:space="preserve">FERIADO </t>
      </is>
    </nc>
  </rcc>
  <rcc rId="10564" sId="6">
    <nc r="BT9" t="inlineStr">
      <is>
        <t xml:space="preserve">FERIADO </t>
      </is>
    </nc>
  </rcc>
  <rcc rId="10565" sId="6">
    <nc r="BT10" t="inlineStr">
      <is>
        <t xml:space="preserve">FERIADO </t>
      </is>
    </nc>
  </rcc>
  <rcc rId="10566" sId="6">
    <nc r="BT11" t="inlineStr">
      <is>
        <t xml:space="preserve">FERIADO </t>
      </is>
    </nc>
  </rcc>
  <rcc rId="10567" sId="6">
    <nc r="BT12" t="inlineStr">
      <is>
        <t xml:space="preserve">FERIADO </t>
      </is>
    </nc>
  </rcc>
  <rcc rId="10568" sId="6">
    <nc r="BT13" t="inlineStr">
      <is>
        <t xml:space="preserve">FERIADO </t>
      </is>
    </nc>
  </rcc>
  <rcc rId="10569" sId="6">
    <nc r="BT14" t="inlineStr">
      <is>
        <t xml:space="preserve">FERIADO </t>
      </is>
    </nc>
  </rcc>
  <rcc rId="10570" sId="6">
    <nc r="BT15" t="inlineStr">
      <is>
        <t xml:space="preserve">FERIADO </t>
      </is>
    </nc>
  </rcc>
  <rcc rId="10571" sId="6">
    <nc r="BT16" t="inlineStr">
      <is>
        <t xml:space="preserve">FERIADO </t>
      </is>
    </nc>
  </rcc>
  <rcc rId="10572" sId="6">
    <nc r="BT17" t="inlineStr">
      <is>
        <t xml:space="preserve">FERIADO </t>
      </is>
    </nc>
  </rcc>
  <rcc rId="10573" sId="5">
    <oc r="BT18" t="inlineStr">
      <is>
        <t>RECESSO DE NATAL</t>
      </is>
    </oc>
    <nc r="BT18" t="inlineStr">
      <is>
        <t>FERIADO DE NATAL</t>
      </is>
    </nc>
  </rcc>
  <rcc rId="10574" sId="6" odxf="1" dxf="1">
    <nc r="BT18" t="inlineStr">
      <is>
        <t>FERIADO DE NATAL</t>
      </is>
    </nc>
    <odxf>
      <fill>
        <patternFill patternType="none">
          <bgColor indexed="65"/>
        </patternFill>
      </fill>
      <alignment wrapText="0"/>
    </odxf>
    <ndxf>
      <fill>
        <patternFill patternType="solid">
          <bgColor theme="0" tint="-0.14999847407452621"/>
        </patternFill>
      </fill>
      <alignment wrapText="1"/>
    </ndxf>
  </rcc>
  <rfmt sheetId="6" sqref="BT1:BT18">
    <dxf>
      <fill>
        <patternFill>
          <bgColor theme="0" tint="-0.14999847407452621"/>
        </patternFill>
      </fill>
    </dxf>
  </rfmt>
  <rcc rId="10575" sId="6">
    <oc r="BZ2" t="inlineStr">
      <is>
        <t>RECESSO</t>
      </is>
    </oc>
    <nc r="BZ2" t="inlineStr">
      <is>
        <t>FERIADO</t>
      </is>
    </nc>
  </rcc>
  <rcc rId="10576" sId="6">
    <oc r="BZ3" t="inlineStr">
      <is>
        <t>RECESSO</t>
      </is>
    </oc>
    <nc r="BZ3" t="inlineStr">
      <is>
        <t>FERIADO</t>
      </is>
    </nc>
  </rcc>
  <rcc rId="10577" sId="6">
    <oc r="BZ4" t="inlineStr">
      <is>
        <t>RECESSO</t>
      </is>
    </oc>
    <nc r="BZ4" t="inlineStr">
      <is>
        <t>FERIADO</t>
      </is>
    </nc>
  </rcc>
  <rcc rId="10578" sId="6">
    <oc r="BZ5" t="inlineStr">
      <is>
        <t>RECESSO</t>
      </is>
    </oc>
    <nc r="BZ5" t="inlineStr">
      <is>
        <t>FERIADO</t>
      </is>
    </nc>
  </rcc>
  <rcc rId="10579" sId="6">
    <oc r="BZ6" t="inlineStr">
      <is>
        <t>RECESSO</t>
      </is>
    </oc>
    <nc r="BZ6" t="inlineStr">
      <is>
        <t>FERIADO</t>
      </is>
    </nc>
  </rcc>
  <rcc rId="10580" sId="6">
    <oc r="BZ7" t="inlineStr">
      <is>
        <t>RECESSO</t>
      </is>
    </oc>
    <nc r="BZ7" t="inlineStr">
      <is>
        <t>FERIADO</t>
      </is>
    </nc>
  </rcc>
  <rcc rId="10581" sId="6">
    <oc r="BZ8" t="inlineStr">
      <is>
        <t>RECESSO</t>
      </is>
    </oc>
    <nc r="BZ8" t="inlineStr">
      <is>
        <t>FERIADO</t>
      </is>
    </nc>
  </rcc>
  <rcc rId="10582" sId="6">
    <oc r="BZ9" t="inlineStr">
      <is>
        <t>RECESSO</t>
      </is>
    </oc>
    <nc r="BZ9" t="inlineStr">
      <is>
        <t>FERIADO</t>
      </is>
    </nc>
  </rcc>
  <rcc rId="10583" sId="6">
    <oc r="BZ10" t="inlineStr">
      <is>
        <t>RECESSO</t>
      </is>
    </oc>
    <nc r="BZ10" t="inlineStr">
      <is>
        <t>FERIADO</t>
      </is>
    </nc>
  </rcc>
  <rcc rId="10584" sId="6">
    <oc r="BZ11" t="inlineStr">
      <is>
        <t>RECESSO</t>
      </is>
    </oc>
    <nc r="BZ11" t="inlineStr">
      <is>
        <t>FERIADO</t>
      </is>
    </nc>
  </rcc>
  <rcc rId="10585" sId="6">
    <oc r="BZ12" t="inlineStr">
      <is>
        <t>RECESSO</t>
      </is>
    </oc>
    <nc r="BZ12" t="inlineStr">
      <is>
        <t>FERIADO</t>
      </is>
    </nc>
  </rcc>
  <rcc rId="10586" sId="6">
    <oc r="BZ13" t="inlineStr">
      <is>
        <t>RECESSO</t>
      </is>
    </oc>
    <nc r="BZ13" t="inlineStr">
      <is>
        <t>FERIADO</t>
      </is>
    </nc>
  </rcc>
  <rcc rId="10587" sId="6">
    <oc r="BZ14" t="inlineStr">
      <is>
        <t>RECESSO</t>
      </is>
    </oc>
    <nc r="BZ14" t="inlineStr">
      <is>
        <t>FERIADO</t>
      </is>
    </nc>
  </rcc>
  <rcc rId="10588" sId="6">
    <oc r="BZ15" t="inlineStr">
      <is>
        <t>RECESSO</t>
      </is>
    </oc>
    <nc r="BZ15" t="inlineStr">
      <is>
        <t>FERIADO</t>
      </is>
    </nc>
  </rcc>
  <rcc rId="10589" sId="6">
    <oc r="BZ16" t="inlineStr">
      <is>
        <t>RECESSO</t>
      </is>
    </oc>
    <nc r="BZ16" t="inlineStr">
      <is>
        <t>FERIADO</t>
      </is>
    </nc>
  </rcc>
  <rcc rId="10590" sId="6">
    <oc r="BZ17" t="inlineStr">
      <is>
        <t>RECESSO</t>
      </is>
    </oc>
    <nc r="BZ17" t="inlineStr">
      <is>
        <t>FERIADO</t>
      </is>
    </nc>
  </rcc>
  <rcc rId="10591" sId="6">
    <oc r="BZ18" t="inlineStr">
      <is>
        <t>RECESSO REVEILLON</t>
      </is>
    </oc>
    <nc r="BZ18" t="inlineStr">
      <is>
        <t>FERIADO ANO NOVO</t>
      </is>
    </nc>
  </rcc>
  <rfmt sheetId="6" sqref="BZ1:BZ18">
    <dxf>
      <fill>
        <patternFill patternType="solid">
          <bgColor theme="0" tint="-0.14999847407452621"/>
        </patternFill>
      </fill>
    </dxf>
  </rfmt>
  <rcc rId="10592" sId="4">
    <oc r="BZ18" t="inlineStr">
      <is>
        <t>RECESSO REVEILLON</t>
      </is>
    </oc>
    <nc r="BZ18" t="inlineStr">
      <is>
        <t>FERIADO ANO NOVO</t>
      </is>
    </nc>
  </rcc>
  <rcc rId="10593" sId="7" odxf="1" dxf="1">
    <oc r="BZ18" t="inlineStr">
      <is>
        <t>RECESSO REVEILLON</t>
      </is>
    </oc>
    <nc r="BZ18" t="inlineStr">
      <is>
        <t>FERIADO ANO NOVO</t>
      </is>
    </nc>
    <odxf>
      <fill>
        <patternFill patternType="none">
          <bgColor indexed="65"/>
        </patternFill>
      </fill>
    </odxf>
    <ndxf>
      <fill>
        <patternFill patternType="solid">
          <bgColor theme="0" tint="-0.14999847407452621"/>
        </patternFill>
      </fill>
    </ndxf>
  </rcc>
  <rfmt sheetId="7" sqref="BZ1:BZ18">
    <dxf>
      <fill>
        <patternFill>
          <bgColor theme="0" tint="-0.14999847407452621"/>
        </patternFill>
      </fill>
    </dxf>
  </rfmt>
  <rcc rId="10594" sId="7">
    <oc r="BZ2" t="inlineStr">
      <is>
        <t>RECESSO</t>
      </is>
    </oc>
    <nc r="BZ2" t="inlineStr">
      <is>
        <t>FERIADO</t>
      </is>
    </nc>
  </rcc>
  <rcc rId="10595" sId="7">
    <oc r="BZ3" t="inlineStr">
      <is>
        <t>RECESSO</t>
      </is>
    </oc>
    <nc r="BZ3" t="inlineStr">
      <is>
        <t>FERIADO</t>
      </is>
    </nc>
  </rcc>
  <rcc rId="10596" sId="7">
    <oc r="BZ4" t="inlineStr">
      <is>
        <t>RECESSO</t>
      </is>
    </oc>
    <nc r="BZ4" t="inlineStr">
      <is>
        <t>FERIADO</t>
      </is>
    </nc>
  </rcc>
  <rcc rId="10597" sId="7">
    <oc r="BZ5" t="inlineStr">
      <is>
        <t>RECESSO</t>
      </is>
    </oc>
    <nc r="BZ5" t="inlineStr">
      <is>
        <t>FERIADO</t>
      </is>
    </nc>
  </rcc>
  <rcc rId="10598" sId="7">
    <oc r="BZ6" t="inlineStr">
      <is>
        <t>RECESSO</t>
      </is>
    </oc>
    <nc r="BZ6" t="inlineStr">
      <is>
        <t>FERIADO</t>
      </is>
    </nc>
  </rcc>
  <rcc rId="10599" sId="7">
    <oc r="BZ7" t="inlineStr">
      <is>
        <t>RECESSO</t>
      </is>
    </oc>
    <nc r="BZ7" t="inlineStr">
      <is>
        <t>FERIADO</t>
      </is>
    </nc>
  </rcc>
  <rcc rId="10600" sId="7">
    <oc r="BZ8" t="inlineStr">
      <is>
        <t>RECESSO</t>
      </is>
    </oc>
    <nc r="BZ8" t="inlineStr">
      <is>
        <t>FERIADO</t>
      </is>
    </nc>
  </rcc>
  <rcc rId="10601" sId="7">
    <oc r="BZ9" t="inlineStr">
      <is>
        <t>RECESSO</t>
      </is>
    </oc>
    <nc r="BZ9" t="inlineStr">
      <is>
        <t>FERIADO</t>
      </is>
    </nc>
  </rcc>
  <rcc rId="10602" sId="7">
    <oc r="BZ10" t="inlineStr">
      <is>
        <t>RECESSO</t>
      </is>
    </oc>
    <nc r="BZ10" t="inlineStr">
      <is>
        <t>FERIADO</t>
      </is>
    </nc>
  </rcc>
  <rcc rId="10603" sId="7">
    <oc r="BZ11" t="inlineStr">
      <is>
        <t>RECESSO</t>
      </is>
    </oc>
    <nc r="BZ11" t="inlineStr">
      <is>
        <t>FERIADO</t>
      </is>
    </nc>
  </rcc>
  <rcc rId="10604" sId="7">
    <oc r="BZ12" t="inlineStr">
      <is>
        <t>RECESSO</t>
      </is>
    </oc>
    <nc r="BZ12" t="inlineStr">
      <is>
        <t>FERIADO</t>
      </is>
    </nc>
  </rcc>
  <rcc rId="10605" sId="7">
    <oc r="BZ13" t="inlineStr">
      <is>
        <t>RECESSO</t>
      </is>
    </oc>
    <nc r="BZ13" t="inlineStr">
      <is>
        <t>FERIADO</t>
      </is>
    </nc>
  </rcc>
  <rcc rId="10606" sId="7">
    <oc r="BZ14" t="inlineStr">
      <is>
        <t>RECESSO</t>
      </is>
    </oc>
    <nc r="BZ14" t="inlineStr">
      <is>
        <t>FERIADO</t>
      </is>
    </nc>
  </rcc>
  <rcc rId="10607" sId="7">
    <oc r="BZ15" t="inlineStr">
      <is>
        <t>RECESSO</t>
      </is>
    </oc>
    <nc r="BZ15" t="inlineStr">
      <is>
        <t>FERIADO</t>
      </is>
    </nc>
  </rcc>
  <rcc rId="10608" sId="7">
    <oc r="BZ16" t="inlineStr">
      <is>
        <t>RECESSO</t>
      </is>
    </oc>
    <nc r="BZ16" t="inlineStr">
      <is>
        <t>FERIADO</t>
      </is>
    </nc>
  </rcc>
  <rcc rId="10609" sId="7" odxf="1" dxf="1">
    <oc r="BZ17" t="inlineStr">
      <is>
        <t>RECESSO</t>
      </is>
    </oc>
    <nc r="BZ17" t="inlineStr">
      <is>
        <t>FERIADO</t>
      </is>
    </nc>
    <odxf>
      <border outline="0">
        <bottom style="thin">
          <color indexed="64"/>
        </bottom>
      </border>
    </odxf>
    <ndxf>
      <border outline="0">
        <bottom/>
      </border>
    </ndxf>
  </rcc>
  <rcc rId="10610" sId="7">
    <nc r="BT2" t="inlineStr">
      <is>
        <t>FERIADO</t>
      </is>
    </nc>
  </rcc>
  <rcc rId="10611" sId="7">
    <nc r="BT3" t="inlineStr">
      <is>
        <t>FERIADO</t>
      </is>
    </nc>
  </rcc>
  <rcc rId="10612" sId="7">
    <nc r="BT4" t="inlineStr">
      <is>
        <t>FERIADO</t>
      </is>
    </nc>
  </rcc>
  <rcc rId="10613" sId="7">
    <nc r="BT5" t="inlineStr">
      <is>
        <t>FERIADO</t>
      </is>
    </nc>
  </rcc>
  <rcc rId="10614" sId="7">
    <nc r="BT6" t="inlineStr">
      <is>
        <t>FERIADO</t>
      </is>
    </nc>
  </rcc>
  <rcc rId="10615" sId="7">
    <nc r="BT7" t="inlineStr">
      <is>
        <t>FERIADO</t>
      </is>
    </nc>
  </rcc>
  <rcc rId="10616" sId="7">
    <nc r="BT8" t="inlineStr">
      <is>
        <t>FERIADO</t>
      </is>
    </nc>
  </rcc>
  <rcc rId="10617" sId="7">
    <nc r="BT9" t="inlineStr">
      <is>
        <t>FERIADO</t>
      </is>
    </nc>
  </rcc>
  <rcc rId="10618" sId="7">
    <nc r="BT10" t="inlineStr">
      <is>
        <t>FERIADO</t>
      </is>
    </nc>
  </rcc>
  <rcc rId="10619" sId="7">
    <nc r="BT11" t="inlineStr">
      <is>
        <t>FERIADO</t>
      </is>
    </nc>
  </rcc>
  <rcc rId="10620" sId="7">
    <nc r="BT12" t="inlineStr">
      <is>
        <t>FERIADO</t>
      </is>
    </nc>
  </rcc>
  <rcc rId="10621" sId="7">
    <nc r="BT13" t="inlineStr">
      <is>
        <t>FERIADO</t>
      </is>
    </nc>
  </rcc>
  <rcc rId="10622" sId="7">
    <nc r="BT14" t="inlineStr">
      <is>
        <t>FERIADO</t>
      </is>
    </nc>
  </rcc>
  <rcc rId="10623" sId="7">
    <nc r="BT15" t="inlineStr">
      <is>
        <t>FERIADO</t>
      </is>
    </nc>
  </rcc>
  <rcc rId="10624" sId="7">
    <nc r="BT16" t="inlineStr">
      <is>
        <t>FERIADO</t>
      </is>
    </nc>
  </rcc>
  <rcc rId="10625" sId="7">
    <nc r="BT17" t="inlineStr">
      <is>
        <t>FERIADO</t>
      </is>
    </nc>
  </rcc>
  <rcc rId="10626" sId="7">
    <nc r="BT18" t="inlineStr">
      <is>
        <t>FERIADO DE NATAL</t>
      </is>
    </nc>
  </rcc>
  <rcc rId="10627" sId="7">
    <nc r="BV18">
      <f>SUM(BQ18:BU18)</f>
    </nc>
  </rcc>
  <rfmt sheetId="7" sqref="BT18">
    <dxf>
      <alignment wrapText="1"/>
    </dxf>
  </rfmt>
  <rfmt sheetId="7" sqref="BT1:BT18">
    <dxf>
      <fill>
        <patternFill patternType="solid">
          <bgColor theme="0" tint="-0.14999847407452621"/>
        </patternFill>
      </fill>
    </dxf>
  </rfmt>
  <rfmt sheetId="8" sqref="BZ1:BZ18">
    <dxf>
      <fill>
        <patternFill patternType="solid">
          <bgColor theme="0" tint="-0.14999847407452621"/>
        </patternFill>
      </fill>
    </dxf>
  </rfmt>
  <rcc rId="10628" sId="8">
    <oc r="BT2" t="inlineStr">
      <is>
        <t>RECESSO</t>
      </is>
    </oc>
    <nc r="BT2" t="inlineStr">
      <is>
        <t>FERIADO</t>
      </is>
    </nc>
  </rcc>
  <rcc rId="10629" sId="8">
    <oc r="BT3" t="inlineStr">
      <is>
        <t>RECESSO</t>
      </is>
    </oc>
    <nc r="BT3" t="inlineStr">
      <is>
        <t>FERIADO</t>
      </is>
    </nc>
  </rcc>
  <rcc rId="10630" sId="8">
    <oc r="BT4" t="inlineStr">
      <is>
        <t>RECESSO</t>
      </is>
    </oc>
    <nc r="BT4" t="inlineStr">
      <is>
        <t>FERIADO</t>
      </is>
    </nc>
  </rcc>
  <rcc rId="10631" sId="8">
    <oc r="BT5" t="inlineStr">
      <is>
        <t>RECESSO</t>
      </is>
    </oc>
    <nc r="BT5" t="inlineStr">
      <is>
        <t>FERIADO</t>
      </is>
    </nc>
  </rcc>
  <rcc rId="10632" sId="8">
    <oc r="BT6" t="inlineStr">
      <is>
        <t>RECESSO</t>
      </is>
    </oc>
    <nc r="BT6" t="inlineStr">
      <is>
        <t>FERIADO</t>
      </is>
    </nc>
  </rcc>
  <rcc rId="10633" sId="8">
    <oc r="BT7" t="inlineStr">
      <is>
        <t>RECESSO</t>
      </is>
    </oc>
    <nc r="BT7" t="inlineStr">
      <is>
        <t>FERIADO</t>
      </is>
    </nc>
  </rcc>
  <rcc rId="10634" sId="8">
    <oc r="BT8" t="inlineStr">
      <is>
        <t>RECESSO</t>
      </is>
    </oc>
    <nc r="BT8" t="inlineStr">
      <is>
        <t>FERIADO</t>
      </is>
    </nc>
  </rcc>
  <rcc rId="10635" sId="8">
    <oc r="BT9" t="inlineStr">
      <is>
        <t>RECESSO</t>
      </is>
    </oc>
    <nc r="BT9" t="inlineStr">
      <is>
        <t>FERIADO</t>
      </is>
    </nc>
  </rcc>
  <rcc rId="10636" sId="8">
    <oc r="BT10" t="inlineStr">
      <is>
        <t>RECESSO</t>
      </is>
    </oc>
    <nc r="BT10" t="inlineStr">
      <is>
        <t>FERIADO</t>
      </is>
    </nc>
  </rcc>
  <rcc rId="10637" sId="8">
    <oc r="BT11" t="inlineStr">
      <is>
        <t>RECESSO</t>
      </is>
    </oc>
    <nc r="BT11" t="inlineStr">
      <is>
        <t>FERIADO</t>
      </is>
    </nc>
  </rcc>
  <rcc rId="10638" sId="8">
    <oc r="BT12" t="inlineStr">
      <is>
        <t>RECESSO</t>
      </is>
    </oc>
    <nc r="BT12" t="inlineStr">
      <is>
        <t>FERIADO</t>
      </is>
    </nc>
  </rcc>
  <rcc rId="10639" sId="8">
    <oc r="BT13" t="inlineStr">
      <is>
        <t>RECESSO</t>
      </is>
    </oc>
    <nc r="BT13" t="inlineStr">
      <is>
        <t>FERIADO</t>
      </is>
    </nc>
  </rcc>
  <rcc rId="10640" sId="8">
    <oc r="BT14" t="inlineStr">
      <is>
        <t>RECESSO</t>
      </is>
    </oc>
    <nc r="BT14" t="inlineStr">
      <is>
        <t>FERIADO</t>
      </is>
    </nc>
  </rcc>
  <rcc rId="10641" sId="8">
    <oc r="BT15" t="inlineStr">
      <is>
        <t>RECESSO</t>
      </is>
    </oc>
    <nc r="BT15" t="inlineStr">
      <is>
        <t>FERIADO</t>
      </is>
    </nc>
  </rcc>
  <rcc rId="10642" sId="8">
    <oc r="BT16" t="inlineStr">
      <is>
        <t>RECESSO</t>
      </is>
    </oc>
    <nc r="BT16" t="inlineStr">
      <is>
        <t>FERIADO</t>
      </is>
    </nc>
  </rcc>
  <rcc rId="10643" sId="8">
    <oc r="BT17" t="inlineStr">
      <is>
        <t>RECESSO</t>
      </is>
    </oc>
    <nc r="BT17" t="inlineStr">
      <is>
        <t>FERIADO</t>
      </is>
    </nc>
  </rcc>
  <rcc rId="10644" sId="8">
    <oc r="BT18" t="inlineStr">
      <is>
        <t>RECESSO DE NATAL</t>
      </is>
    </oc>
    <nc r="BT18" t="inlineStr">
      <is>
        <t>FERIADO DE NATAL</t>
      </is>
    </nc>
  </rcc>
  <rfmt sheetId="8" sqref="BT1:BT18">
    <dxf>
      <fill>
        <patternFill patternType="solid">
          <bgColor theme="0" tint="-0.14999847407452621"/>
        </patternFill>
      </fill>
    </dxf>
  </rfmt>
  <rfmt sheetId="10" sqref="BZ1:BZ18">
    <dxf>
      <fill>
        <patternFill patternType="solid">
          <bgColor theme="0" tint="-0.14999847407452621"/>
        </patternFill>
      </fill>
    </dxf>
  </rfmt>
  <rcc rId="10645" sId="10">
    <oc r="BT2" t="inlineStr">
      <is>
        <t>RECESSO</t>
      </is>
    </oc>
    <nc r="BT2" t="inlineStr">
      <is>
        <t>FERIADO</t>
      </is>
    </nc>
  </rcc>
  <rcc rId="10646" sId="10">
    <oc r="BT3" t="inlineStr">
      <is>
        <t>RECESSO</t>
      </is>
    </oc>
    <nc r="BT3" t="inlineStr">
      <is>
        <t>FERIADO</t>
      </is>
    </nc>
  </rcc>
  <rcc rId="10647" sId="10">
    <oc r="BT4" t="inlineStr">
      <is>
        <t>RECESSO</t>
      </is>
    </oc>
    <nc r="BT4" t="inlineStr">
      <is>
        <t>FERIADO</t>
      </is>
    </nc>
  </rcc>
  <rcc rId="10648" sId="10">
    <oc r="BT5" t="inlineStr">
      <is>
        <t>RECESSO</t>
      </is>
    </oc>
    <nc r="BT5" t="inlineStr">
      <is>
        <t>FERIADO</t>
      </is>
    </nc>
  </rcc>
  <rcc rId="10649" sId="10">
    <oc r="BT6" t="inlineStr">
      <is>
        <t>RECESSO</t>
      </is>
    </oc>
    <nc r="BT6" t="inlineStr">
      <is>
        <t>FERIADO</t>
      </is>
    </nc>
  </rcc>
  <rcc rId="10650" sId="10">
    <oc r="BT7" t="inlineStr">
      <is>
        <t>RECESSO</t>
      </is>
    </oc>
    <nc r="BT7" t="inlineStr">
      <is>
        <t>FERIADO</t>
      </is>
    </nc>
  </rcc>
  <rcc rId="10651" sId="10">
    <oc r="BT8" t="inlineStr">
      <is>
        <t>RECESSO</t>
      </is>
    </oc>
    <nc r="BT8" t="inlineStr">
      <is>
        <t>FERIADO</t>
      </is>
    </nc>
  </rcc>
  <rcc rId="10652" sId="10">
    <oc r="BT9" t="inlineStr">
      <is>
        <t>RECESSO</t>
      </is>
    </oc>
    <nc r="BT9" t="inlineStr">
      <is>
        <t>FERIADO</t>
      </is>
    </nc>
  </rcc>
  <rcc rId="10653" sId="10">
    <oc r="BT10" t="inlineStr">
      <is>
        <t>RECESSO</t>
      </is>
    </oc>
    <nc r="BT10" t="inlineStr">
      <is>
        <t>FERIADO</t>
      </is>
    </nc>
  </rcc>
  <rcc rId="10654" sId="10">
    <oc r="BT11" t="inlineStr">
      <is>
        <t>RECESSO</t>
      </is>
    </oc>
    <nc r="BT11" t="inlineStr">
      <is>
        <t>FERIADO</t>
      </is>
    </nc>
  </rcc>
  <rcc rId="10655" sId="10">
    <oc r="BT12" t="inlineStr">
      <is>
        <t>RECESSO</t>
      </is>
    </oc>
    <nc r="BT12" t="inlineStr">
      <is>
        <t>FERIADO</t>
      </is>
    </nc>
  </rcc>
  <rcc rId="10656" sId="10">
    <oc r="BT13" t="inlineStr">
      <is>
        <t>RECESSO</t>
      </is>
    </oc>
    <nc r="BT13" t="inlineStr">
      <is>
        <t>FERIADO</t>
      </is>
    </nc>
  </rcc>
  <rcc rId="10657" sId="10">
    <oc r="BT14" t="inlineStr">
      <is>
        <t>RECESSO</t>
      </is>
    </oc>
    <nc r="BT14" t="inlineStr">
      <is>
        <t>FERIADO</t>
      </is>
    </nc>
  </rcc>
  <rcc rId="10658" sId="10">
    <oc r="BT15" t="inlineStr">
      <is>
        <t>RECESSO</t>
      </is>
    </oc>
    <nc r="BT15" t="inlineStr">
      <is>
        <t>FERIADO</t>
      </is>
    </nc>
  </rcc>
  <rcc rId="10659" sId="10">
    <oc r="BT16" t="inlineStr">
      <is>
        <t>RECESSO</t>
      </is>
    </oc>
    <nc r="BT16" t="inlineStr">
      <is>
        <t>FERIADO</t>
      </is>
    </nc>
  </rcc>
  <rcc rId="10660" sId="10" odxf="1" dxf="1">
    <oc r="BT17" t="inlineStr">
      <is>
        <t>RECESSO</t>
      </is>
    </oc>
    <nc r="BT17" t="inlineStr">
      <is>
        <t>FERIADO</t>
      </is>
    </nc>
    <odxf>
      <border outline="0">
        <bottom style="thin">
          <color indexed="64"/>
        </bottom>
      </border>
    </odxf>
    <ndxf>
      <border outline="0">
        <bottom/>
      </border>
    </ndxf>
  </rcc>
  <rcc rId="10661" sId="10">
    <oc r="BT18" t="inlineStr">
      <is>
        <t>RECESSO DE NATAL</t>
      </is>
    </oc>
    <nc r="BT18" t="inlineStr">
      <is>
        <t>FERIADO DE NATAL</t>
      </is>
    </nc>
  </rcc>
  <rfmt sheetId="10" sqref="BT17" start="0" length="0">
    <dxf>
      <border>
        <left/>
        <right/>
        <top/>
        <bottom style="thin">
          <color indexed="64"/>
        </bottom>
      </border>
    </dxf>
  </rfmt>
  <rfmt sheetId="10" sqref="BT1:BT18">
    <dxf>
      <fill>
        <patternFill patternType="solid">
          <bgColor theme="0" tint="-0.14999847407452621"/>
        </patternFill>
      </fill>
    </dxf>
  </rfmt>
  <rsnm rId="10662" sheetId="7" oldName="[INDICADORES - Out-Nov-Dez_2025.xlsx]Danilo" newName="[INDICADORES - Out-Nov-Dez_2025.xlsx]DANILO"/>
</revisions>
</file>

<file path=xl/revisions/revisionLog12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0663" sId="10" odxf="1" dxf="1">
    <nc r="BK18" t="inlineStr">
      <is>
        <r>
          <t xml:space="preserve"> Otimizando/corrigindo a planilha do Inventário do </t>
        </r>
        <r>
          <rPr>
            <b/>
            <sz val="11"/>
            <color theme="1"/>
            <rFont val="Aptos Narrow"/>
            <family val="2"/>
          </rPr>
          <t>ARCEN
(Continuação)</t>
        </r>
        <r>
          <rPr>
            <sz val="11"/>
            <color theme="1"/>
            <rFont val="Aptos Narrow"/>
            <family val="2"/>
          </rPr>
          <t xml:space="preserve"> </t>
        </r>
      </is>
    </nc>
    <odxf>
      <alignment wrapText="0"/>
    </odxf>
    <ndxf>
      <alignment wrapText="1"/>
    </ndxf>
  </rcc>
  <rcc rId="10664" sId="10" odxf="1" dxf="1">
    <nc r="BL18" t="inlineStr">
      <is>
        <r>
          <t xml:space="preserve"> Otimizando/corrigindo a planilha do Inventário do </t>
        </r>
        <r>
          <rPr>
            <b/>
            <sz val="11"/>
            <color theme="1"/>
            <rFont val="Aptos Narrow"/>
            <family val="2"/>
          </rPr>
          <t>ARCEN
(Continuação)</t>
        </r>
        <r>
          <rPr>
            <sz val="11"/>
            <color theme="1"/>
            <rFont val="Aptos Narrow"/>
            <family val="2"/>
          </rPr>
          <t xml:space="preserve"> </t>
        </r>
      </is>
    </nc>
    <odxf>
      <alignment wrapText="0"/>
    </odxf>
    <ndxf>
      <alignment wrapText="1"/>
    </ndxf>
  </rcc>
  <rcc rId="10665" sId="10" odxf="1" dxf="1">
    <nc r="BM18" t="inlineStr">
      <is>
        <r>
          <t xml:space="preserve"> Otimizando/corrigindo a planilha do Inventário do </t>
        </r>
        <r>
          <rPr>
            <b/>
            <sz val="11"/>
            <color theme="1"/>
            <rFont val="Aptos Narrow"/>
            <family val="2"/>
          </rPr>
          <t>ARCEN
(Continuação)</t>
        </r>
        <r>
          <rPr>
            <sz val="11"/>
            <color theme="1"/>
            <rFont val="Aptos Narrow"/>
            <family val="2"/>
          </rPr>
          <t xml:space="preserve"> </t>
        </r>
      </is>
    </nc>
    <odxf>
      <alignment wrapText="0"/>
    </odxf>
    <ndxf>
      <alignment wrapText="1"/>
    </ndxf>
  </rcc>
  <rcc rId="10666" sId="10" odxf="1" dxf="1">
    <nc r="BN18" t="inlineStr">
      <is>
        <r>
          <t xml:space="preserve"> Otimizando/corrigindo a planilha do Inventário do </t>
        </r>
        <r>
          <rPr>
            <b/>
            <sz val="11"/>
            <color theme="1"/>
            <rFont val="Aptos Narrow"/>
            <family val="2"/>
          </rPr>
          <t>ARCEN
(Continuação)</t>
        </r>
        <r>
          <rPr>
            <sz val="11"/>
            <color theme="1"/>
            <rFont val="Aptos Narrow"/>
            <family val="2"/>
          </rPr>
          <t xml:space="preserve"> </t>
        </r>
      </is>
    </nc>
    <odxf>
      <alignment wrapText="0"/>
    </odxf>
    <ndxf>
      <alignment wrapText="1"/>
    </ndxf>
  </rcc>
  <rcc rId="10667" sId="10" odxf="1" dxf="1">
    <nc r="BO18" t="inlineStr">
      <is>
        <r>
          <t xml:space="preserve"> Otimizando/corrigindo a planilha do Inventário do </t>
        </r>
        <r>
          <rPr>
            <b/>
            <sz val="11"/>
            <color theme="1"/>
            <rFont val="Aptos Narrow"/>
            <family val="2"/>
          </rPr>
          <t>ARCEN
(Continuação)</t>
        </r>
        <r>
          <rPr>
            <sz val="11"/>
            <color theme="1"/>
            <rFont val="Aptos Narrow"/>
            <family val="2"/>
          </rPr>
          <t xml:space="preserve"> </t>
        </r>
      </is>
    </nc>
    <odxf>
      <alignment wrapText="0"/>
    </odxf>
    <ndxf>
      <alignment wrapText="1"/>
    </ndxf>
  </rcc>
  <rcc rId="10668" sId="4">
    <oc r="BV18">
      <f>SUM(BQ18:BU18)</f>
    </oc>
    <nc r="BV18"/>
  </rcc>
  <rcc rId="10669" sId="7">
    <oc r="BV18">
      <f>SUM(BQ18:BU18)</f>
    </oc>
    <nc r="BV18"/>
  </rcc>
  <rsnm rId="10670" sheetId="7" oldName="[INDICADORES - Out-Nov-Dez_2025.xlsx]DANILO" newName="[INDICADORES - Out-Nov-Dez_2025.xlsx]Danilo"/>
</revisions>
</file>

<file path=xl/revisions/revisionLog12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5" sqref="BX1" start="0" length="0">
    <dxf>
      <border outline="0">
        <left/>
      </border>
    </dxf>
  </rfmt>
  <rfmt sheetId="5" sqref="BY1" start="0" length="0">
    <dxf>
      <border outline="0">
        <left/>
      </border>
    </dxf>
  </rfmt>
  <rfmt sheetId="5" sqref="BZ1" start="0" length="0">
    <dxf>
      <fill>
        <patternFill patternType="none">
          <bgColor indexed="65"/>
        </patternFill>
      </fill>
      <border outline="0">
        <left/>
      </border>
    </dxf>
  </rfmt>
  <rfmt sheetId="5" sqref="CA1" start="0" length="0">
    <dxf>
      <border outline="0">
        <left/>
      </border>
    </dxf>
  </rfmt>
  <rfmt sheetId="5" sqref="BZ2" start="0" length="0">
    <dxf>
      <fill>
        <patternFill patternType="none">
          <bgColor indexed="65"/>
        </patternFill>
      </fill>
    </dxf>
  </rfmt>
  <rfmt sheetId="5" sqref="BZ3" start="0" length="0">
    <dxf>
      <fill>
        <patternFill patternType="none">
          <bgColor indexed="65"/>
        </patternFill>
      </fill>
    </dxf>
  </rfmt>
  <rfmt sheetId="5" sqref="BZ4" start="0" length="0">
    <dxf>
      <fill>
        <patternFill patternType="none">
          <bgColor indexed="65"/>
        </patternFill>
      </fill>
    </dxf>
  </rfmt>
  <rfmt sheetId="5" sqref="BZ5" start="0" length="0">
    <dxf>
      <fill>
        <patternFill patternType="none">
          <bgColor indexed="65"/>
        </patternFill>
      </fill>
    </dxf>
  </rfmt>
  <rfmt sheetId="5" sqref="BZ6" start="0" length="0">
    <dxf>
      <fill>
        <patternFill patternType="none">
          <bgColor indexed="65"/>
        </patternFill>
      </fill>
    </dxf>
  </rfmt>
  <rfmt sheetId="5" sqref="BZ7" start="0" length="0">
    <dxf>
      <fill>
        <patternFill patternType="none">
          <bgColor indexed="65"/>
        </patternFill>
      </fill>
    </dxf>
  </rfmt>
  <rfmt sheetId="5" sqref="BZ8" start="0" length="0">
    <dxf>
      <fill>
        <patternFill patternType="none">
          <bgColor indexed="65"/>
        </patternFill>
      </fill>
    </dxf>
  </rfmt>
  <rfmt sheetId="5" sqref="BZ9" start="0" length="0">
    <dxf>
      <fill>
        <patternFill patternType="none">
          <bgColor indexed="65"/>
        </patternFill>
      </fill>
    </dxf>
  </rfmt>
  <rfmt sheetId="5" sqref="BZ10" start="0" length="0">
    <dxf>
      <fill>
        <patternFill patternType="none">
          <bgColor indexed="65"/>
        </patternFill>
      </fill>
    </dxf>
  </rfmt>
  <rfmt sheetId="5" sqref="BZ11" start="0" length="0">
    <dxf>
      <fill>
        <patternFill patternType="none">
          <bgColor indexed="65"/>
        </patternFill>
      </fill>
    </dxf>
  </rfmt>
  <rfmt sheetId="5" sqref="BZ12" start="0" length="0">
    <dxf>
      <fill>
        <patternFill patternType="none">
          <bgColor indexed="65"/>
        </patternFill>
      </fill>
    </dxf>
  </rfmt>
  <rfmt sheetId="5" sqref="BZ13" start="0" length="0">
    <dxf>
      <fill>
        <patternFill patternType="none">
          <bgColor indexed="65"/>
        </patternFill>
      </fill>
    </dxf>
  </rfmt>
  <rfmt sheetId="5" sqref="BZ14" start="0" length="0">
    <dxf>
      <fill>
        <patternFill patternType="none">
          <bgColor indexed="65"/>
        </patternFill>
      </fill>
    </dxf>
  </rfmt>
  <rfmt sheetId="5" sqref="BZ15" start="0" length="0">
    <dxf>
      <fill>
        <patternFill patternType="none">
          <bgColor indexed="65"/>
        </patternFill>
      </fill>
    </dxf>
  </rfmt>
  <rfmt sheetId="5" sqref="BZ16" start="0" length="0">
    <dxf>
      <fill>
        <patternFill patternType="none">
          <bgColor indexed="65"/>
        </patternFill>
      </fill>
    </dxf>
  </rfmt>
  <rfmt sheetId="5" sqref="BZ17" start="0" length="0">
    <dxf>
      <fill>
        <patternFill patternType="none">
          <bgColor indexed="65"/>
        </patternFill>
      </fill>
    </dxf>
  </rfmt>
  <rfmt sheetId="5" sqref="BZ18" start="0" length="0">
    <dxf>
      <fill>
        <patternFill patternType="none">
          <bgColor indexed="65"/>
        </patternFill>
      </fill>
      <alignment wrapText="0"/>
    </dxf>
  </rfmt>
  <rcc rId="10671" sId="5">
    <nc r="BX2">
      <v>1</v>
    </nc>
  </rcc>
  <rcc rId="10672" sId="5">
    <nc r="BX13">
      <v>1</v>
    </nc>
  </rcc>
  <rcc rId="10673" sId="5">
    <nc r="BX15">
      <v>16</v>
    </nc>
  </rcc>
  <rcc rId="10674" sId="5">
    <nc r="BY15">
      <v>8</v>
    </nc>
  </rcc>
  <rfmt sheetId="5" sqref="BW17" start="0" length="0">
    <dxf>
      <border outline="0">
        <bottom/>
      </border>
    </dxf>
  </rfmt>
  <rfmt sheetId="5" sqref="BX17" start="0" length="0">
    <dxf>
      <border outline="0">
        <bottom/>
      </border>
    </dxf>
  </rfmt>
  <rcc rId="10675" sId="5" odxf="1" dxf="1">
    <nc r="BY17">
      <v>5</v>
    </nc>
    <ndxf>
      <border outline="0">
        <bottom/>
      </border>
    </ndxf>
  </rcc>
  <rcc rId="10676" sId="5" odxf="1" dxf="1">
    <nc r="BW18" t="inlineStr">
      <is>
        <t>Pesquisa e busca processo 71001.027786/2011-10</t>
      </is>
    </nc>
    <odxf>
      <alignment wrapText="0"/>
      <border outline="0">
        <left/>
        <right/>
        <top/>
        <bottom/>
      </border>
    </odxf>
    <ndxf>
      <alignment wrapText="1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ndxf>
  </rcc>
  <rcc rId="10677" sId="5" odxf="1" dxf="1">
    <nc r="BX18" t="inlineStr">
      <is>
        <t xml:space="preserve">1. Desarquivamento.
2. Conferência de 2 Guias de Transferência 
da CGATA. Contêm erros e vão ser devolvidas.
</t>
      </is>
    </nc>
    <ndxf>
      <alignment wrapText="1"/>
    </ndxf>
  </rcc>
  <rcc rId="10678" sId="5" odxf="1" dxf="1">
    <nc r="CA17">
      <v>5</v>
    </nc>
    <ndxf>
      <border outline="0">
        <bottom/>
      </border>
    </ndxf>
  </rcc>
  <rcv guid="{86039CF8-B158-4D70-9A6F-A10C29CBD68A}" action="delete"/>
  <rdn rId="0" localSheetId="1" customView="1" name="Z_86039CF8_B158_4D70_9A6F_A10C29CBD68A_.wvu.FilterData" hidden="1" oldHidden="1">
    <formula>Patrícia!$A$1:$A$18</formula>
    <oldFormula>Patrícia!$A$1:$A$18</oldFormula>
  </rdn>
  <rdn rId="0" localSheetId="2" customView="1" name="Z_86039CF8_B158_4D70_9A6F_A10C29CBD68A_.wvu.FilterData" hidden="1" oldHidden="1">
    <formula>Marcelo!$A$1:$A$18</formula>
    <oldFormula>Marcelo!$A$1:$A$18</oldFormula>
  </rdn>
  <rdn rId="0" localSheetId="3" customView="1" name="Z_86039CF8_B158_4D70_9A6F_A10C29CBD68A_.wvu.FilterData" hidden="1" oldHidden="1">
    <formula>TOTAL!$A$1:$A$19</formula>
    <oldFormula>TOTAL!$A$1:$A$19</oldFormula>
  </rdn>
  <rdn rId="0" localSheetId="4" customView="1" name="Z_86039CF8_B158_4D70_9A6F_A10C29CBD68A_.wvu.FilterData" hidden="1" oldHidden="1">
    <formula>Diego!$A$1:$A$20</formula>
    <oldFormula>Diego!$A$1:$A$20</oldFormula>
  </rdn>
  <rdn rId="0" localSheetId="5" customView="1" name="Z_86039CF8_B158_4D70_9A6F_A10C29CBD68A_.wvu.FilterData" hidden="1" oldHidden="1">
    <formula>Aelton!$A$1:$A$19</formula>
    <oldFormula>Aelton!$A$1:$A$19</oldFormula>
  </rdn>
  <rdn rId="0" localSheetId="6" customView="1" name="Z_86039CF8_B158_4D70_9A6F_A10C29CBD68A_.wvu.FilterData" hidden="1" oldHidden="1">
    <formula>Leonam!$A$1:$BD$19</formula>
    <oldFormula>Leonam!$A$1:$BD$19</oldFormula>
  </rdn>
  <rdn rId="0" localSheetId="7" customView="1" name="Z_86039CF8_B158_4D70_9A6F_A10C29CBD68A_.wvu.FilterData" hidden="1" oldHidden="1">
    <formula>Danilo!$A$1:$A$19</formula>
    <oldFormula>Danilo!$A$1:$A$19</oldFormula>
  </rdn>
  <rdn rId="0" localSheetId="8" customView="1" name="Z_86039CF8_B158_4D70_9A6F_A10C29CBD68A_.wvu.FilterData" hidden="1" oldHidden="1">
    <formula>Marcos!$A$1:$A$19</formula>
    <oldFormula>Marcos!$A$1:$A$19</oldFormula>
  </rdn>
  <rdn rId="0" localSheetId="10" customView="1" name="Z_86039CF8_B158_4D70_9A6F_A10C29CBD68A_.wvu.FilterData" hidden="1" oldHidden="1">
    <formula>Alessandro!$A$1:$A$19</formula>
    <oldFormula>Alessandro!$A$1:$A$19</oldFormula>
  </rdn>
  <rdn rId="0" localSheetId="9" customView="1" name="Z_86039CF8_B158_4D70_9A6F_A10C29CBD68A_.wvu.FilterData" hidden="1" oldHidden="1">
    <formula>Carlos!$A$1:$A$19</formula>
    <oldFormula>Carlos!$A$1:$A$19</oldFormula>
  </rdn>
  <rcv guid="{86039CF8-B158-4D70-9A6F-A10C29CBD68A}" action="add"/>
</revisions>
</file>

<file path=xl/revisions/revisionLog12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0689" sId="5">
    <oc r="CA17">
      <v>5</v>
    </oc>
    <nc r="CA17">
      <v>10</v>
    </nc>
  </rcc>
</revisions>
</file>

<file path=xl/revisions/revisionLog13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5" sqref="BW17:CA17" start="0" length="0">
    <dxf>
      <border>
        <bottom style="thin">
          <color indexed="64"/>
        </bottom>
      </border>
    </dxf>
  </rfmt>
  <rcv guid="{3D987F8E-A6EA-454D-9537-6BFC5053CB00}" action="delete"/>
  <rdn rId="0" localSheetId="1" customView="1" name="Z_3D987F8E_A6EA_454D_9537_6BFC5053CB00_.wvu.FilterData" hidden="1" oldHidden="1">
    <formula>Patrícia!$A$1:$A$18</formula>
    <oldFormula>Patrícia!$A$1:$A$18</oldFormula>
  </rdn>
  <rdn rId="0" localSheetId="2" customView="1" name="Z_3D987F8E_A6EA_454D_9537_6BFC5053CB00_.wvu.FilterData" hidden="1" oldHidden="1">
    <formula>Marcelo!$A$1:$A$18</formula>
    <oldFormula>Marcelo!$A$1:$A$18</oldFormula>
  </rdn>
  <rdn rId="0" localSheetId="3" customView="1" name="Z_3D987F8E_A6EA_454D_9537_6BFC5053CB00_.wvu.FilterData" hidden="1" oldHidden="1">
    <formula>TOTAL!$A$1:$A$19</formula>
    <oldFormula>TOTAL!$A$1:$A$19</oldFormula>
  </rdn>
  <rdn rId="0" localSheetId="4" customView="1" name="Z_3D987F8E_A6EA_454D_9537_6BFC5053CB00_.wvu.FilterData" hidden="1" oldHidden="1">
    <formula>Diego!$A$1:$A$20</formula>
    <oldFormula>Diego!$A$1:$A$20</oldFormula>
  </rdn>
  <rdn rId="0" localSheetId="5" customView="1" name="Z_3D987F8E_A6EA_454D_9537_6BFC5053CB00_.wvu.FilterData" hidden="1" oldHidden="1">
    <formula>Aelton!$A$1:$A$19</formula>
    <oldFormula>Aelton!$A$1:$A$19</oldFormula>
  </rdn>
  <rdn rId="0" localSheetId="6" customView="1" name="Z_3D987F8E_A6EA_454D_9537_6BFC5053CB00_.wvu.FilterData" hidden="1" oldHidden="1">
    <formula>Leonam!$A$1:$BD$19</formula>
    <oldFormula>Leonam!$A$1:$BD$19</oldFormula>
  </rdn>
  <rdn rId="0" localSheetId="7" customView="1" name="Z_3D987F8E_A6EA_454D_9537_6BFC5053CB00_.wvu.FilterData" hidden="1" oldHidden="1">
    <formula>Danilo!$A$1:$A$19</formula>
    <oldFormula>Danilo!$A$1:$A$19</oldFormula>
  </rdn>
  <rdn rId="0" localSheetId="8" customView="1" name="Z_3D987F8E_A6EA_454D_9537_6BFC5053CB00_.wvu.FilterData" hidden="1" oldHidden="1">
    <formula>Marcos!$A$1:$A$19</formula>
    <oldFormula>Marcos!$A$1:$A$19</oldFormula>
  </rdn>
  <rdn rId="0" localSheetId="10" customView="1" name="Z_3D987F8E_A6EA_454D_9537_6BFC5053CB00_.wvu.FilterData" hidden="1" oldHidden="1">
    <formula>Alessandro!$A$1:$A$19</formula>
    <oldFormula>Alessandro!$A$1:$A$19</oldFormula>
  </rdn>
  <rdn rId="0" localSheetId="9" customView="1" name="Z_3D987F8E_A6EA_454D_9537_6BFC5053CB00_.wvu.FilterData" hidden="1" oldHidden="1">
    <formula>Carlos!$A$1:$A$19</formula>
    <oldFormula>Carlos!$A$1:$A$19</oldFormula>
  </rdn>
  <rcv guid="{3D987F8E-A6EA-454D-9537-6BFC5053CB00}" action="add"/>
</revisions>
</file>

<file path=xl/revisions/revisionLog13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0700" sId="10" odxf="1" dxf="1">
    <nc r="CA18" t="inlineStr">
      <is>
        <t>LEVANTAMENTO DE DEMANDAS DA DIARQ NO SEI 2024/2025</t>
      </is>
    </nc>
    <odxf>
      <font>
        <sz val="11"/>
        <color theme="1"/>
        <name val="Aptos Narrow"/>
        <family val="2"/>
        <scheme val="minor"/>
      </font>
      <alignment wrapText="0"/>
    </odxf>
    <ndxf>
      <font>
        <sz val="9"/>
        <color theme="1"/>
        <name val="Aptos Narrow"/>
        <family val="2"/>
        <scheme val="minor"/>
      </font>
      <alignment wrapText="1"/>
    </ndxf>
  </rcc>
  <rcc rId="10701" sId="3">
    <nc r="M18" t="inlineStr">
      <is>
        <r>
          <t xml:space="preserve">1. </t>
        </r>
        <r>
          <rPr>
            <b/>
            <sz val="11"/>
            <color theme="1"/>
            <rFont val="Aptos Narrow"/>
            <family val="2"/>
          </rPr>
          <t>Troca/substituição</t>
        </r>
        <r>
          <rPr>
            <sz val="11"/>
            <color theme="1"/>
            <rFont val="Aptos Narrow"/>
            <family val="2"/>
          </rPr>
          <t xml:space="preserve"> de caixas
2. Confecção de </t>
        </r>
        <r>
          <rPr>
            <b/>
            <sz val="11"/>
            <color theme="1"/>
            <rFont val="Aptos Narrow"/>
            <family val="2"/>
          </rPr>
          <t>espelhos para caixas</t>
        </r>
        <r>
          <rPr>
            <sz val="11"/>
            <color theme="1"/>
            <rFont val="Aptos Narrow"/>
            <family val="2"/>
          </rPr>
          <t xml:space="preserve">
</t>
        </r>
      </is>
    </nc>
  </rcc>
  <rcc rId="10702" sId="3" odxf="1" dxf="1">
    <nc r="N18" t="inlineStr">
      <is>
        <r>
          <t xml:space="preserve">1. </t>
        </r>
        <r>
          <rPr>
            <b/>
            <sz val="11"/>
            <color theme="1"/>
            <rFont val="Aptos Narrow"/>
            <family val="2"/>
          </rPr>
          <t>Troca/substituição</t>
        </r>
        <r>
          <rPr>
            <sz val="11"/>
            <color theme="1"/>
            <rFont val="Aptos Narrow"/>
            <family val="2"/>
          </rPr>
          <t xml:space="preserve"> de caixas
2. Confecção de </t>
        </r>
        <r>
          <rPr>
            <b/>
            <sz val="11"/>
            <color theme="1"/>
            <rFont val="Aptos Narrow"/>
            <family val="2"/>
          </rPr>
          <t>espelhos para caixas</t>
        </r>
        <r>
          <rPr>
            <sz val="11"/>
            <color theme="1"/>
            <rFont val="Aptos Narrow"/>
            <family val="2"/>
          </rPr>
          <t xml:space="preserve">
</t>
        </r>
      </is>
    </nc>
    <odxf>
      <alignment horizontal="general" vertical="bottom" wrapText="0"/>
    </odxf>
    <ndxf>
      <alignment horizontal="left" vertical="center" wrapText="1"/>
    </ndxf>
  </rcc>
  <rcc rId="10703" sId="3" odxf="1" dxf="1">
    <nc r="O18" t="inlineStr">
      <is>
        <r>
          <t xml:space="preserve">1. </t>
        </r>
        <r>
          <rPr>
            <b/>
            <sz val="11"/>
            <color theme="1"/>
            <rFont val="Aptos Narrow"/>
            <family val="2"/>
          </rPr>
          <t>Troca/substituição</t>
        </r>
        <r>
          <rPr>
            <sz val="11"/>
            <color theme="1"/>
            <rFont val="Aptos Narrow"/>
            <family val="2"/>
          </rPr>
          <t xml:space="preserve"> de caixas
2. Confecção de </t>
        </r>
        <r>
          <rPr>
            <b/>
            <sz val="11"/>
            <color theme="1"/>
            <rFont val="Aptos Narrow"/>
            <family val="2"/>
          </rPr>
          <t>espelhos para caixas</t>
        </r>
        <r>
          <rPr>
            <sz val="11"/>
            <color theme="1"/>
            <rFont val="Aptos Narrow"/>
            <family val="2"/>
          </rPr>
          <t xml:space="preserve">
</t>
        </r>
      </is>
    </nc>
    <odxf>
      <alignment horizontal="general" vertical="bottom" wrapText="0"/>
    </odxf>
    <ndxf>
      <alignment horizontal="left" vertical="center" wrapText="1"/>
    </ndxf>
  </rcc>
  <rcv guid="{3D987F8E-A6EA-454D-9537-6BFC5053CB00}" action="delete"/>
  <rdn rId="0" localSheetId="1" customView="1" name="Z_3D987F8E_A6EA_454D_9537_6BFC5053CB00_.wvu.FilterData" hidden="1" oldHidden="1">
    <formula>Patrícia!$A$1:$A$18</formula>
    <oldFormula>Patrícia!$A$1:$A$18</oldFormula>
  </rdn>
  <rdn rId="0" localSheetId="2" customView="1" name="Z_3D987F8E_A6EA_454D_9537_6BFC5053CB00_.wvu.FilterData" hidden="1" oldHidden="1">
    <formula>Marcelo!$A$1:$A$18</formula>
    <oldFormula>Marcelo!$A$1:$A$18</oldFormula>
  </rdn>
  <rdn rId="0" localSheetId="3" customView="1" name="Z_3D987F8E_A6EA_454D_9537_6BFC5053CB00_.wvu.FilterData" hidden="1" oldHidden="1">
    <formula>TOTAL!$A$1:$A$19</formula>
    <oldFormula>TOTAL!$A$1:$A$19</oldFormula>
  </rdn>
  <rdn rId="0" localSheetId="4" customView="1" name="Z_3D987F8E_A6EA_454D_9537_6BFC5053CB00_.wvu.FilterData" hidden="1" oldHidden="1">
    <formula>Diego!$A$1:$A$20</formula>
    <oldFormula>Diego!$A$1:$A$20</oldFormula>
  </rdn>
  <rdn rId="0" localSheetId="5" customView="1" name="Z_3D987F8E_A6EA_454D_9537_6BFC5053CB00_.wvu.FilterData" hidden="1" oldHidden="1">
    <formula>Aelton!$A$1:$A$19</formula>
    <oldFormula>Aelton!$A$1:$A$19</oldFormula>
  </rdn>
  <rdn rId="0" localSheetId="6" customView="1" name="Z_3D987F8E_A6EA_454D_9537_6BFC5053CB00_.wvu.FilterData" hidden="1" oldHidden="1">
    <formula>Leonam!$A$1:$BD$19</formula>
    <oldFormula>Leonam!$A$1:$BD$19</oldFormula>
  </rdn>
  <rdn rId="0" localSheetId="7" customView="1" name="Z_3D987F8E_A6EA_454D_9537_6BFC5053CB00_.wvu.FilterData" hidden="1" oldHidden="1">
    <formula>Danilo!$A$1:$A$19</formula>
    <oldFormula>Danilo!$A$1:$A$19</oldFormula>
  </rdn>
  <rdn rId="0" localSheetId="8" customView="1" name="Z_3D987F8E_A6EA_454D_9537_6BFC5053CB00_.wvu.FilterData" hidden="1" oldHidden="1">
    <formula>Marcos!$A$1:$A$19</formula>
    <oldFormula>Marcos!$A$1:$A$19</oldFormula>
  </rdn>
  <rdn rId="0" localSheetId="10" customView="1" name="Z_3D987F8E_A6EA_454D_9537_6BFC5053CB00_.wvu.FilterData" hidden="1" oldHidden="1">
    <formula>Alessandro!$A$1:$A$19</formula>
    <oldFormula>Alessandro!$A$1:$A$19</oldFormula>
  </rdn>
  <rdn rId="0" localSheetId="9" customView="1" name="Z_3D987F8E_A6EA_454D_9537_6BFC5053CB00_.wvu.FilterData" hidden="1" oldHidden="1">
    <formula>Carlos!$A$1:$A$19</formula>
    <oldFormula>Carlos!$A$1:$A$19</oldFormula>
  </rdn>
  <rcv guid="{3D987F8E-A6EA-454D-9537-6BFC5053CB00}" action="add"/>
</revisions>
</file>

<file path=xl/revisions/revisionLog13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0714" sId="7" odxf="1" dxf="1">
    <nc r="BF18" t="inlineStr">
      <is>
        <t>TROCANDO  CAIXAS E OS ESPELHOS</t>
      </is>
    </nc>
    <odxf>
      <alignment wrapText="0"/>
    </odxf>
    <ndxf>
      <alignment wrapText="1"/>
    </ndxf>
  </rcc>
  <rcc rId="10715" sId="7" odxf="1" dxf="1">
    <nc r="BG18" t="inlineStr">
      <is>
        <t>TROCANDO  CAIXAS E OS ESPELHOS</t>
      </is>
    </nc>
    <odxf>
      <alignment wrapText="0"/>
    </odxf>
    <ndxf>
      <alignment wrapText="1"/>
    </ndxf>
  </rcc>
  <rcc rId="10716" sId="7" odxf="1" dxf="1">
    <nc r="BH18" t="inlineStr">
      <is>
        <t>TROCANDO  CAIXAS E OS ESPELHOS</t>
      </is>
    </nc>
    <odxf>
      <alignment wrapText="0"/>
    </odxf>
    <ndxf>
      <alignment wrapText="1"/>
    </ndxf>
  </rcc>
  <rcc rId="10717" sId="7" odxf="1" dxf="1">
    <nc r="BI18" t="inlineStr">
      <is>
        <t>TROCANDO  CAIXAS E OS ESPELHOS</t>
      </is>
    </nc>
    <odxf>
      <alignment wrapText="0"/>
    </odxf>
    <ndxf>
      <alignment wrapText="1"/>
    </ndxf>
  </rcc>
  <rcc rId="10718" sId="7" odxf="1" dxf="1">
    <nc r="BK18" t="inlineStr">
      <is>
        <t>TROCANDO  CAIXAS E OS ESPELHOS</t>
      </is>
    </nc>
    <odxf>
      <alignment wrapText="0"/>
    </odxf>
    <ndxf>
      <alignment wrapText="1"/>
    </ndxf>
  </rcc>
  <rcc rId="10719" sId="7" odxf="1" dxf="1">
    <nc r="BL18" t="inlineStr">
      <is>
        <t>TROCANDO  CAIXAS E OS ESPELHOS</t>
      </is>
    </nc>
    <odxf>
      <alignment wrapText="0"/>
    </odxf>
    <ndxf>
      <alignment wrapText="1"/>
    </ndxf>
  </rcc>
  <rcc rId="10720" sId="7" odxf="1" dxf="1">
    <nc r="BM18" t="inlineStr">
      <is>
        <t>TROCANDO  CAIXAS E OS ESPELHOS</t>
      </is>
    </nc>
    <odxf>
      <alignment wrapText="0"/>
    </odxf>
    <ndxf>
      <alignment wrapText="1"/>
    </ndxf>
  </rcc>
  <rcc rId="10721" sId="7" odxf="1" dxf="1">
    <nc r="BN18" t="inlineStr">
      <is>
        <t>TROCANDO  CAIXAS E OS ESPELHOS</t>
      </is>
    </nc>
    <odxf>
      <alignment wrapText="0"/>
    </odxf>
    <ndxf>
      <alignment wrapText="1"/>
    </ndxf>
  </rcc>
  <rcc rId="10722" sId="7" odxf="1" dxf="1">
    <nc r="BO18" t="inlineStr">
      <is>
        <t>TROCANDO  CAIXAS E OS ESPELHOS</t>
      </is>
    </nc>
    <odxf>
      <alignment wrapText="0"/>
    </odxf>
    <ndxf>
      <alignment wrapText="1"/>
    </ndxf>
  </rcc>
  <rfmt sheetId="7" sqref="BP18" start="0" length="0">
    <dxf>
      <alignment wrapText="1"/>
    </dxf>
  </rfmt>
  <rcc rId="10723" sId="7" odxf="1" dxf="1">
    <nc r="BQ18" t="inlineStr">
      <is>
        <t>TROCANDO  CAIXAS E OS ESPELHOS</t>
      </is>
    </nc>
    <odxf>
      <alignment wrapText="0"/>
    </odxf>
    <ndxf>
      <alignment wrapText="1"/>
    </ndxf>
  </rcc>
  <rcc rId="10724" sId="7" odxf="1" dxf="1">
    <nc r="BR18" t="inlineStr">
      <is>
        <t>TROCANDO  CAIXAS E OS ESPELHOS</t>
      </is>
    </nc>
    <odxf>
      <alignment wrapText="0"/>
    </odxf>
    <ndxf>
      <alignment wrapText="1"/>
    </ndxf>
  </rcc>
  <rcc rId="10725" sId="7" odxf="1" dxf="1">
    <nc r="BS18" t="inlineStr">
      <is>
        <t>TROCANDO  CAIXAS E OS ESPELHOS</t>
      </is>
    </nc>
    <odxf>
      <alignment wrapText="0"/>
    </odxf>
    <ndxf>
      <alignment wrapText="1"/>
    </ndxf>
  </rcc>
  <rcc rId="10726" sId="7" odxf="1" dxf="1">
    <nc r="BU18" t="inlineStr">
      <is>
        <t>TROCANDO  CAIXAS E OS ESPELHOS</t>
      </is>
    </nc>
    <odxf>
      <alignment wrapText="0"/>
    </odxf>
    <ndxf>
      <alignment wrapText="1"/>
    </ndxf>
  </rcc>
  <rcv guid="{B3CDE377-BA5D-4E06-91D9-3A48E1959BA5}" action="delete"/>
  <rdn rId="0" localSheetId="1" customView="1" name="Z_B3CDE377_BA5D_4E06_91D9_3A48E1959BA5_.wvu.FilterData" hidden="1" oldHidden="1">
    <formula>Patrícia!$A$1:$A$18</formula>
    <oldFormula>Patrícia!$A$1:$A$18</oldFormula>
  </rdn>
  <rdn rId="0" localSheetId="2" customView="1" name="Z_B3CDE377_BA5D_4E06_91D9_3A48E1959BA5_.wvu.FilterData" hidden="1" oldHidden="1">
    <formula>Marcelo!$A$1:$A$18</formula>
    <oldFormula>Marcelo!$A$1:$A$18</oldFormula>
  </rdn>
  <rdn rId="0" localSheetId="3" customView="1" name="Z_B3CDE377_BA5D_4E06_91D9_3A48E1959BA5_.wvu.FilterData" hidden="1" oldHidden="1">
    <formula>TOTAL!$A$1:$A$19</formula>
    <oldFormula>TOTAL!$A$1:$A$19</oldFormula>
  </rdn>
  <rdn rId="0" localSheetId="4" customView="1" name="Z_B3CDE377_BA5D_4E06_91D9_3A48E1959BA5_.wvu.FilterData" hidden="1" oldHidden="1">
    <formula>Diego!$A$1:$A$20</formula>
    <oldFormula>Diego!$A$1:$A$20</oldFormula>
  </rdn>
  <rdn rId="0" localSheetId="5" customView="1" name="Z_B3CDE377_BA5D_4E06_91D9_3A48E1959BA5_.wvu.FilterData" hidden="1" oldHidden="1">
    <formula>Aelton!$A$1:$A$19</formula>
    <oldFormula>Aelton!$A$1:$A$19</oldFormula>
  </rdn>
  <rdn rId="0" localSheetId="6" customView="1" name="Z_B3CDE377_BA5D_4E06_91D9_3A48E1959BA5_.wvu.FilterData" hidden="1" oldHidden="1">
    <formula>Leonam!$A$1:$BD$19</formula>
    <oldFormula>Leonam!$A$1:$BD$19</oldFormula>
  </rdn>
  <rdn rId="0" localSheetId="7" customView="1" name="Z_B3CDE377_BA5D_4E06_91D9_3A48E1959BA5_.wvu.FilterData" hidden="1" oldHidden="1">
    <formula>Danilo!$A$1:$A$19</formula>
    <oldFormula>Danilo!$A$1:$A$19</oldFormula>
  </rdn>
  <rdn rId="0" localSheetId="8" customView="1" name="Z_B3CDE377_BA5D_4E06_91D9_3A48E1959BA5_.wvu.FilterData" hidden="1" oldHidden="1">
    <formula>Marcos!$A$1:$A$19</formula>
    <oldFormula>Marcos!$A$1:$A$19</oldFormula>
  </rdn>
  <rdn rId="0" localSheetId="10" customView="1" name="Z_B3CDE377_BA5D_4E06_91D9_3A48E1959BA5_.wvu.FilterData" hidden="1" oldHidden="1">
    <formula>Alessandro!$A$1:$A$19</formula>
    <oldFormula>Alessandro!$A$1:$A$19</oldFormula>
  </rdn>
  <rdn rId="0" localSheetId="9" customView="1" name="Z_B3CDE377_BA5D_4E06_91D9_3A48E1959BA5_.wvu.FilterData" hidden="1" oldHidden="1">
    <formula>Carlos!$A$1:$A$19</formula>
    <oldFormula>Carlos!$A$1:$A$19</oldFormula>
  </rdn>
  <rcv guid="{B3CDE377-BA5D-4E06-91D9-3A48E1959BA5}" action="add"/>
</revisions>
</file>

<file path=xl/revisions/revisionLog13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0737" sId="6" odxf="1" dxf="1">
    <nc r="BK18" t="inlineStr">
      <is>
        <t>TROCANDO  CAIXAS E OS ESPELHOS</t>
      </is>
    </nc>
    <odxf>
      <alignment wrapText="0" readingOrder="0"/>
    </odxf>
    <ndxf>
      <alignment wrapText="1" readingOrder="0"/>
    </ndxf>
  </rcc>
  <rcc rId="10738" sId="6" odxf="1" dxf="1">
    <nc r="BL18" t="inlineStr">
      <is>
        <t>TROCANDO  CAIXAS E OS ESPELHOS</t>
      </is>
    </nc>
    <odxf>
      <alignment wrapText="0" readingOrder="0"/>
    </odxf>
    <ndxf>
      <alignment wrapText="1" readingOrder="0"/>
    </ndxf>
  </rcc>
  <rcc rId="10739" sId="6" odxf="1" dxf="1">
    <nc r="BM18" t="inlineStr">
      <is>
        <t>TROCANDO  CAIXAS E OS ESPELHOS</t>
      </is>
    </nc>
    <odxf>
      <alignment wrapText="0" readingOrder="0"/>
    </odxf>
    <ndxf>
      <alignment wrapText="1" readingOrder="0"/>
    </ndxf>
  </rcc>
  <rcc rId="10740" sId="6" odxf="1" dxf="1">
    <nc r="BN18" t="inlineStr">
      <is>
        <t>TROCANDO  CAIXAS E OS ESPELHOS</t>
      </is>
    </nc>
    <odxf>
      <alignment wrapText="0" readingOrder="0"/>
    </odxf>
    <ndxf>
      <alignment wrapText="1" readingOrder="0"/>
    </ndxf>
  </rcc>
  <rcc rId="10741" sId="6" odxf="1" dxf="1">
    <nc r="BO18" t="inlineStr">
      <is>
        <t>TROCANDO  CAIXAS E OS ESPELHOS</t>
      </is>
    </nc>
    <odxf>
      <alignment wrapText="0" readingOrder="0"/>
    </odxf>
    <ndxf>
      <alignment wrapText="1" readingOrder="0"/>
    </ndxf>
  </rcc>
  <rcc rId="10742" sId="6" odxf="1" dxf="1">
    <nc r="BQ18" t="inlineStr">
      <is>
        <t>TROCANDO  CAIXAS E OS ESPELHOS</t>
      </is>
    </nc>
    <odxf>
      <alignment wrapText="0" readingOrder="0"/>
    </odxf>
    <ndxf>
      <alignment wrapText="1" readingOrder="0"/>
    </ndxf>
  </rcc>
  <rcc rId="10743" sId="6" odxf="1" dxf="1">
    <nc r="BR18" t="inlineStr">
      <is>
        <t>TROCANDO  CAIXAS E OS ESPELHOS</t>
      </is>
    </nc>
    <odxf>
      <alignment wrapText="0" readingOrder="0"/>
    </odxf>
    <ndxf>
      <alignment wrapText="1" readingOrder="0"/>
    </ndxf>
  </rcc>
  <rcc rId="10744" sId="6" odxf="1" dxf="1">
    <nc r="BS18" t="inlineStr">
      <is>
        <t>TROCANDO  CAIXAS E OS ESPELHOS</t>
      </is>
    </nc>
    <odxf>
      <alignment wrapText="0" readingOrder="0"/>
    </odxf>
    <ndxf>
      <alignment wrapText="1" readingOrder="0"/>
    </ndxf>
  </rcc>
  <rcc rId="10745" sId="6" odxf="1" dxf="1">
    <nc r="BU18" t="inlineStr">
      <is>
        <t>TROCANDO  CAIXAS E OS ESPELHOS</t>
      </is>
    </nc>
    <odxf>
      <alignment wrapText="0" readingOrder="0"/>
    </odxf>
    <ndxf>
      <alignment wrapText="1" readingOrder="0"/>
    </ndxf>
  </rcc>
  <rcv guid="{9B623083-AA7B-440B-95EA-C33E1AB3D963}" action="delete"/>
  <rdn rId="0" localSheetId="1" customView="1" name="Z_9B623083_AA7B_440B_95EA_C33E1AB3D963_.wvu.FilterData" hidden="1" oldHidden="1">
    <formula>Patrícia!$A$1:$A$18</formula>
    <oldFormula>Patrícia!$A$1:$A$18</oldFormula>
  </rdn>
  <rdn rId="0" localSheetId="2" customView="1" name="Z_9B623083_AA7B_440B_95EA_C33E1AB3D963_.wvu.FilterData" hidden="1" oldHidden="1">
    <formula>Marcelo!$A$1:$A$18</formula>
    <oldFormula>Marcelo!$A$1:$A$18</oldFormula>
  </rdn>
  <rdn rId="0" localSheetId="3" customView="1" name="Z_9B623083_AA7B_440B_95EA_C33E1AB3D963_.wvu.FilterData" hidden="1" oldHidden="1">
    <formula>TOTAL!$A$1:$A$19</formula>
    <oldFormula>TOTAL!$A$1:$A$19</oldFormula>
  </rdn>
  <rdn rId="0" localSheetId="4" customView="1" name="Z_9B623083_AA7B_440B_95EA_C33E1AB3D963_.wvu.FilterData" hidden="1" oldHidden="1">
    <formula>Diego!$A$1:$A$20</formula>
    <oldFormula>Diego!$A$1:$A$20</oldFormula>
  </rdn>
  <rdn rId="0" localSheetId="5" customView="1" name="Z_9B623083_AA7B_440B_95EA_C33E1AB3D963_.wvu.FilterData" hidden="1" oldHidden="1">
    <formula>Aelton!$A$1:$A$19</formula>
    <oldFormula>Aelton!$A$1:$A$19</oldFormula>
  </rdn>
  <rdn rId="0" localSheetId="6" customView="1" name="Z_9B623083_AA7B_440B_95EA_C33E1AB3D963_.wvu.FilterData" hidden="1" oldHidden="1">
    <formula>Leonam!$A$1:$BD$19</formula>
    <oldFormula>Leonam!$A$1:$BD$19</oldFormula>
  </rdn>
  <rdn rId="0" localSheetId="7" customView="1" name="Z_9B623083_AA7B_440B_95EA_C33E1AB3D963_.wvu.FilterData" hidden="1" oldHidden="1">
    <formula>Danilo!$A$1:$A$19</formula>
    <oldFormula>Danilo!$A$1:$A$19</oldFormula>
  </rdn>
  <rdn rId="0" localSheetId="8" customView="1" name="Z_9B623083_AA7B_440B_95EA_C33E1AB3D963_.wvu.FilterData" hidden="1" oldHidden="1">
    <formula>Marcos!$A$1:$A$19</formula>
    <oldFormula>Marcos!$A$1:$A$19</oldFormula>
  </rdn>
  <rdn rId="0" localSheetId="10" customView="1" name="Z_9B623083_AA7B_440B_95EA_C33E1AB3D963_.wvu.FilterData" hidden="1" oldHidden="1">
    <formula>Alessandro!$A$1:$A$19</formula>
    <oldFormula>Alessandro!$A$1:$A$19</oldFormula>
  </rdn>
  <rdn rId="0" localSheetId="9" customView="1" name="Z_9B623083_AA7B_440B_95EA_C33E1AB3D963_.wvu.FilterData" hidden="1" oldHidden="1">
    <formula>Carlos!$A$1:$A$19</formula>
    <oldFormula>Carlos!$A$1:$A$19</oldFormula>
  </rdn>
  <rcv guid="{9B623083-AA7B-440B-95EA-C33E1AB3D963}" action="add"/>
</revisions>
</file>

<file path=xl/revisions/revisionLog13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0756" sId="4" odxf="1" dxf="1">
    <nc r="BQ18" t="inlineStr">
      <is>
        <t xml:space="preserve">TROCANDO OS ESPELHOS </t>
      </is>
    </nc>
    <odxf>
      <alignment wrapText="0"/>
    </odxf>
    <ndxf>
      <alignment wrapText="1"/>
    </ndxf>
  </rcc>
  <rcc rId="10757" sId="4" odxf="1" dxf="1">
    <nc r="BR18" t="inlineStr">
      <is>
        <t xml:space="preserve">TROCANDO OS ESPELHOS </t>
      </is>
    </nc>
    <odxf>
      <alignment wrapText="0"/>
    </odxf>
    <ndxf>
      <alignment wrapText="1"/>
    </ndxf>
  </rcc>
  <rcc rId="10758" sId="4" odxf="1" dxf="1">
    <nc r="BS18" t="inlineStr">
      <is>
        <t xml:space="preserve">TROCANDO OS ESPELHOS </t>
      </is>
    </nc>
    <odxf>
      <alignment wrapText="0"/>
    </odxf>
    <ndxf>
      <alignment wrapText="1"/>
    </ndxf>
  </rcc>
  <rcc rId="10759" sId="4" odxf="1" dxf="1">
    <nc r="BU18" t="inlineStr">
      <is>
        <t xml:space="preserve">TROCANDO OS ESPELHOS </t>
      </is>
    </nc>
    <odxf>
      <alignment wrapText="0"/>
    </odxf>
    <ndxf>
      <alignment wrapText="1"/>
    </ndxf>
  </rcc>
  <rcv guid="{20CB6D8F-C24D-4D4B-A424-AF380F620455}" action="delete"/>
  <rdn rId="0" localSheetId="1" customView="1" name="Z_20CB6D8F_C24D_4D4B_A424_AF380F620455_.wvu.FilterData" hidden="1" oldHidden="1">
    <formula>Patrícia!$A$1:$A$18</formula>
    <oldFormula>Patrícia!$A$1:$A$18</oldFormula>
  </rdn>
  <rdn rId="0" localSheetId="2" customView="1" name="Z_20CB6D8F_C24D_4D4B_A424_AF380F620455_.wvu.FilterData" hidden="1" oldHidden="1">
    <formula>Marcelo!$A$1:$A$18</formula>
    <oldFormula>Marcelo!$A$1:$A$18</oldFormula>
  </rdn>
  <rdn rId="0" localSheetId="3" customView="1" name="Z_20CB6D8F_C24D_4D4B_A424_AF380F620455_.wvu.FilterData" hidden="1" oldHidden="1">
    <formula>TOTAL!$A$1:$A$19</formula>
    <oldFormula>TOTAL!$A$1:$A$19</oldFormula>
  </rdn>
  <rdn rId="0" localSheetId="4" customView="1" name="Z_20CB6D8F_C24D_4D4B_A424_AF380F620455_.wvu.FilterData" hidden="1" oldHidden="1">
    <formula>Diego!$A$1:$A$20</formula>
    <oldFormula>Diego!$A$1:$A$20</oldFormula>
  </rdn>
  <rdn rId="0" localSheetId="5" customView="1" name="Z_20CB6D8F_C24D_4D4B_A424_AF380F620455_.wvu.FilterData" hidden="1" oldHidden="1">
    <formula>Aelton!$A$1:$A$19</formula>
    <oldFormula>Aelton!$A$1:$A$19</oldFormula>
  </rdn>
  <rdn rId="0" localSheetId="6" customView="1" name="Z_20CB6D8F_C24D_4D4B_A424_AF380F620455_.wvu.FilterData" hidden="1" oldHidden="1">
    <formula>Leonam!$A$1:$BD$19</formula>
    <oldFormula>Leonam!$A$1:$BD$19</oldFormula>
  </rdn>
  <rdn rId="0" localSheetId="7" customView="1" name="Z_20CB6D8F_C24D_4D4B_A424_AF380F620455_.wvu.FilterData" hidden="1" oldHidden="1">
    <formula>Danilo!$A$1:$A$19</formula>
    <oldFormula>Danilo!$A$1:$A$19</oldFormula>
  </rdn>
  <rdn rId="0" localSheetId="8" customView="1" name="Z_20CB6D8F_C24D_4D4B_A424_AF380F620455_.wvu.FilterData" hidden="1" oldHidden="1">
    <formula>Marcos!$A$1:$A$19</formula>
    <oldFormula>Marcos!$A$1:$A$19</oldFormula>
  </rdn>
  <rdn rId="0" localSheetId="10" customView="1" name="Z_20CB6D8F_C24D_4D4B_A424_AF380F620455_.wvu.FilterData" hidden="1" oldHidden="1">
    <formula>Alessandro!$A$1:$A$19</formula>
    <oldFormula>Alessandro!$A$1:$A$19</oldFormula>
  </rdn>
  <rdn rId="0" localSheetId="9" customView="1" name="Z_20CB6D8F_C24D_4D4B_A424_AF380F620455_.wvu.FilterData" hidden="1" oldHidden="1">
    <formula>Carlos!$A$1:$A$19</formula>
    <oldFormula>Carlos!$A$1:$A$19</oldFormula>
  </rdn>
  <rcv guid="{20CB6D8F-C24D-4D4B-A424-AF380F620455}" action="add"/>
</revisions>
</file>

<file path=xl/revisions/revisionLog13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0770" sId="7">
    <nc r="BF17">
      <v>8</v>
    </nc>
  </rcc>
  <rcc rId="10771" sId="7">
    <nc r="BG17">
      <v>10</v>
    </nc>
  </rcc>
  <rcc rId="10772" sId="7">
    <nc r="BH17">
      <v>10</v>
    </nc>
  </rcc>
  <rcc rId="10773" sId="7">
    <nc r="BI17">
      <v>10</v>
    </nc>
  </rcc>
  <rcc rId="10774" sId="7">
    <nc r="BK17">
      <v>9</v>
    </nc>
  </rcc>
  <rcc rId="10775" sId="7">
    <nc r="BL17">
      <v>7</v>
    </nc>
  </rcc>
  <rcc rId="10776" sId="7">
    <nc r="BM17">
      <v>10</v>
    </nc>
  </rcc>
  <rcc rId="10777" sId="7">
    <nc r="BN17">
      <v>10</v>
    </nc>
  </rcc>
  <rcc rId="10778" sId="7">
    <nc r="BO17">
      <v>10</v>
    </nc>
  </rcc>
  <rcc rId="10779" sId="7">
    <nc r="BQ17">
      <v>8</v>
    </nc>
  </rcc>
  <rcc rId="10780" sId="7">
    <nc r="BR17">
      <v>10</v>
    </nc>
  </rcc>
  <rcc rId="10781" sId="7">
    <nc r="BS17">
      <v>5</v>
    </nc>
  </rcc>
  <rcc rId="10782" sId="7">
    <nc r="BU17">
      <v>8</v>
    </nc>
  </rcc>
  <rcv guid="{20CB6D8F-C24D-4D4B-A424-AF380F620455}" action="delete"/>
  <rdn rId="0" localSheetId="1" customView="1" name="Z_20CB6D8F_C24D_4D4B_A424_AF380F620455_.wvu.FilterData" hidden="1" oldHidden="1">
    <formula>Patrícia!$A$1:$A$18</formula>
    <oldFormula>Patrícia!$A$1:$A$18</oldFormula>
  </rdn>
  <rdn rId="0" localSheetId="2" customView="1" name="Z_20CB6D8F_C24D_4D4B_A424_AF380F620455_.wvu.FilterData" hidden="1" oldHidden="1">
    <formula>Marcelo!$A$1:$A$18</formula>
    <oldFormula>Marcelo!$A$1:$A$18</oldFormula>
  </rdn>
  <rdn rId="0" localSheetId="3" customView="1" name="Z_20CB6D8F_C24D_4D4B_A424_AF380F620455_.wvu.FilterData" hidden="1" oldHidden="1">
    <formula>TOTAL!$A$1:$A$19</formula>
    <oldFormula>TOTAL!$A$1:$A$19</oldFormula>
  </rdn>
  <rdn rId="0" localSheetId="4" customView="1" name="Z_20CB6D8F_C24D_4D4B_A424_AF380F620455_.wvu.FilterData" hidden="1" oldHidden="1">
    <formula>Diego!$A$1:$A$20</formula>
    <oldFormula>Diego!$A$1:$A$20</oldFormula>
  </rdn>
  <rdn rId="0" localSheetId="5" customView="1" name="Z_20CB6D8F_C24D_4D4B_A424_AF380F620455_.wvu.FilterData" hidden="1" oldHidden="1">
    <formula>Aelton!$A$1:$A$19</formula>
    <oldFormula>Aelton!$A$1:$A$19</oldFormula>
  </rdn>
  <rdn rId="0" localSheetId="6" customView="1" name="Z_20CB6D8F_C24D_4D4B_A424_AF380F620455_.wvu.FilterData" hidden="1" oldHidden="1">
    <formula>Leonam!$A$1:$BD$19</formula>
    <oldFormula>Leonam!$A$1:$BD$19</oldFormula>
  </rdn>
  <rdn rId="0" localSheetId="7" customView="1" name="Z_20CB6D8F_C24D_4D4B_A424_AF380F620455_.wvu.FilterData" hidden="1" oldHidden="1">
    <formula>Danilo!$A$1:$A$19</formula>
    <oldFormula>Danilo!$A$1:$A$19</oldFormula>
  </rdn>
  <rdn rId="0" localSheetId="8" customView="1" name="Z_20CB6D8F_C24D_4D4B_A424_AF380F620455_.wvu.FilterData" hidden="1" oldHidden="1">
    <formula>Marcos!$A$1:$A$19</formula>
    <oldFormula>Marcos!$A$1:$A$19</oldFormula>
  </rdn>
  <rdn rId="0" localSheetId="10" customView="1" name="Z_20CB6D8F_C24D_4D4B_A424_AF380F620455_.wvu.FilterData" hidden="1" oldHidden="1">
    <formula>Alessandro!$A$1:$A$19</formula>
    <oldFormula>Alessandro!$A$1:$A$19</oldFormula>
  </rdn>
  <rdn rId="0" localSheetId="9" customView="1" name="Z_20CB6D8F_C24D_4D4B_A424_AF380F620455_.wvu.FilterData" hidden="1" oldHidden="1">
    <formula>Carlos!$A$1:$A$19</formula>
    <oldFormula>Carlos!$A$1:$A$19</oldFormula>
  </rdn>
  <rcv guid="{20CB6D8F-C24D-4D4B-A424-AF380F620455}" action="add"/>
</revisions>
</file>

<file path=xl/revisions/revisionLog13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0793" sId="6">
    <nc r="AT17">
      <v>10</v>
    </nc>
  </rcc>
  <rcc rId="10794" sId="6">
    <nc r="AU17">
      <v>10</v>
    </nc>
  </rcc>
  <rcc rId="10795" sId="6">
    <nc r="AV17">
      <v>10</v>
    </nc>
  </rcc>
  <rcc rId="10796" sId="6">
    <nc r="AW17">
      <v>10</v>
    </nc>
  </rcc>
  <rcc rId="10797" sId="6">
    <nc r="BH17">
      <v>10</v>
    </nc>
  </rcc>
  <rcc rId="10798" sId="6">
    <nc r="BI17">
      <v>10</v>
    </nc>
  </rcc>
  <rcc rId="10799" sId="6">
    <nc r="BK17">
      <v>10</v>
    </nc>
  </rcc>
  <rcc rId="10800" sId="6">
    <nc r="BL17">
      <v>10</v>
    </nc>
  </rcc>
  <rcc rId="10801" sId="6">
    <nc r="BM17">
      <v>10</v>
    </nc>
  </rcc>
  <rcc rId="10802" sId="6">
    <nc r="BN17">
      <v>10</v>
    </nc>
  </rcc>
  <rcc rId="10803" sId="6">
    <nc r="BO17">
      <v>10</v>
    </nc>
  </rcc>
  <rcc rId="10804" sId="6">
    <nc r="BQ17">
      <v>10</v>
    </nc>
  </rcc>
  <rcc rId="10805" sId="6">
    <nc r="BR17">
      <v>10</v>
    </nc>
  </rcc>
  <rcc rId="10806" sId="6">
    <nc r="BS17">
      <v>10</v>
    </nc>
  </rcc>
  <rcc rId="10807" sId="6">
    <nc r="BU17">
      <v>10</v>
    </nc>
  </rcc>
  <rcv guid="{9B623083-AA7B-440B-95EA-C33E1AB3D963}" action="delete"/>
  <rdn rId="0" localSheetId="1" customView="1" name="Z_9B623083_AA7B_440B_95EA_C33E1AB3D963_.wvu.FilterData" hidden="1" oldHidden="1">
    <formula>Patrícia!$A$1:$A$18</formula>
    <oldFormula>Patrícia!$A$1:$A$18</oldFormula>
  </rdn>
  <rdn rId="0" localSheetId="2" customView="1" name="Z_9B623083_AA7B_440B_95EA_C33E1AB3D963_.wvu.FilterData" hidden="1" oldHidden="1">
    <formula>Marcelo!$A$1:$A$18</formula>
    <oldFormula>Marcelo!$A$1:$A$18</oldFormula>
  </rdn>
  <rdn rId="0" localSheetId="3" customView="1" name="Z_9B623083_AA7B_440B_95EA_C33E1AB3D963_.wvu.FilterData" hidden="1" oldHidden="1">
    <formula>TOTAL!$A$1:$A$19</formula>
    <oldFormula>TOTAL!$A$1:$A$19</oldFormula>
  </rdn>
  <rdn rId="0" localSheetId="4" customView="1" name="Z_9B623083_AA7B_440B_95EA_C33E1AB3D963_.wvu.FilterData" hidden="1" oldHidden="1">
    <formula>Diego!$A$1:$A$20</formula>
    <oldFormula>Diego!$A$1:$A$20</oldFormula>
  </rdn>
  <rdn rId="0" localSheetId="5" customView="1" name="Z_9B623083_AA7B_440B_95EA_C33E1AB3D963_.wvu.FilterData" hidden="1" oldHidden="1">
    <formula>Aelton!$A$1:$A$19</formula>
    <oldFormula>Aelton!$A$1:$A$19</oldFormula>
  </rdn>
  <rdn rId="0" localSheetId="6" customView="1" name="Z_9B623083_AA7B_440B_95EA_C33E1AB3D963_.wvu.FilterData" hidden="1" oldHidden="1">
    <formula>Leonam!$A$1:$BD$19</formula>
    <oldFormula>Leonam!$A$1:$BD$19</oldFormula>
  </rdn>
  <rdn rId="0" localSheetId="7" customView="1" name="Z_9B623083_AA7B_440B_95EA_C33E1AB3D963_.wvu.FilterData" hidden="1" oldHidden="1">
    <formula>Danilo!$A$1:$A$19</formula>
    <oldFormula>Danilo!$A$1:$A$19</oldFormula>
  </rdn>
  <rdn rId="0" localSheetId="8" customView="1" name="Z_9B623083_AA7B_440B_95EA_C33E1AB3D963_.wvu.FilterData" hidden="1" oldHidden="1">
    <formula>Marcos!$A$1:$A$19</formula>
    <oldFormula>Marcos!$A$1:$A$19</oldFormula>
  </rdn>
  <rdn rId="0" localSheetId="10" customView="1" name="Z_9B623083_AA7B_440B_95EA_C33E1AB3D963_.wvu.FilterData" hidden="1" oldHidden="1">
    <formula>Alessandro!$A$1:$A$19</formula>
    <oldFormula>Alessandro!$A$1:$A$19</oldFormula>
  </rdn>
  <rdn rId="0" localSheetId="9" customView="1" name="Z_9B623083_AA7B_440B_95EA_C33E1AB3D963_.wvu.FilterData" hidden="1" oldHidden="1">
    <formula>Carlos!$A$1:$A$19</formula>
    <oldFormula>Carlos!$A$1:$A$19</oldFormula>
  </rdn>
  <rcv guid="{9B623083-AA7B-440B-95EA-C33E1AB3D963}" action="add"/>
</revisions>
</file>

<file path=xl/revisions/userNames.xml><?xml version="1.0" encoding="utf-8"?>
<user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 count="14">
  <userInfo guid="{E71441DC-DA8C-4C26-BB78-16A5DA329418}" name="Danilo Rafael Basilio da Silva" id="-1332259248" dateTime="2025-10-28T10:02:49"/>
  <userInfo guid="{18594E69-EDE7-44F4-ACC9-1EE2A7D0CB5E}" name="Alessandro Borges de Araújo" id="-864275184" dateTime="2025-11-03T16:42:08"/>
  <userInfo guid="{3BD521DB-E1E3-459E-99FB-8EA63F1997B6}" name="Aelton de Jesus Nunes" id="-687484719" dateTime="2025-11-06T17:52:07"/>
  <userInfo guid="{A9E82DBE-F6C7-421E-B8F5-D89A52811BCB}" name="Diego Santos de Abreu" id="-678728470" dateTime="2025-11-07T16:24:28"/>
  <userInfo guid="{7C13B7A8-6491-4039-88B4-46295049664E}" name="Marcos Neves de Almeida" id="-830242842" dateTime="2025-11-08T16:02:54"/>
  <userInfo guid="{42CA144F-0101-4850-B6A1-A26E7B585223}" name="Alessandro Borges de Araújo" id="-864259074" dateTime="2025-11-14T17:10:13"/>
  <userInfo guid="{DFD52EBE-11B8-4FFA-9C4A-964CFB8E2912}" name="Diego Santos de Abreu" id="-678739477" dateTime="2025-11-17T08:54:53"/>
  <userInfo guid="{E7DB2F73-58A8-437A-A4CE-4E5858C34A53}" name="Alessandro Borges de Araújo" id="-864261448" dateTime="2025-11-18T10:24:42"/>
  <userInfo guid="{33F89BA6-1FA1-4E38-AA2C-0C71D2B71959}" name="Alessandro Borges de Araújo" id="-864282553" dateTime="2025-11-28T15:52:39"/>
  <userInfo guid="{21EAA30E-01A9-4C75-9901-9F2C6714EED9}" name="Diego Santos de Abreu" id="-678736065" dateTime="2025-12-03T09:41:51"/>
  <userInfo guid="{5436066D-CC64-4854-B7C5-639B622C1D8A}" name="Alessandro Borges de Araújo" id="-864243986" dateTime="2025-12-08T10:52:15"/>
  <userInfo guid="{AC35BC1B-0372-4B44-B283-3FCF158EE24C}" name="Alessandro Borges de Araújo" id="-864271698" dateTime="2025-12-09T15:24:51"/>
  <userInfo guid="{AC35BC1B-0372-4B44-B283-3FCF158EE24C}" name="Leonam Morrison Monteiro de Oliveira" id="-1618930376" dateTime="2025-12-10T11:18:35"/>
  <userInfo guid="{C3E13C0C-2642-4638-8D2C-0AEA9E0A4DEE}" name="Diego Santos de Abreu" id="-678699055" dateTime="2025-12-15T10:03:08"/>
</user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printerSettings" Target="../printerSettings/printerSettings7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0.bin"/><Relationship Id="rId1" Type="http://schemas.openxmlformats.org/officeDocument/2006/relationships/printerSettings" Target="../printerSettings/printerSettings9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2.bin"/><Relationship Id="rId1" Type="http://schemas.openxmlformats.org/officeDocument/2006/relationships/printerSettings" Target="../printerSettings/printerSettings11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5.bin"/><Relationship Id="rId2" Type="http://schemas.openxmlformats.org/officeDocument/2006/relationships/printerSettings" Target="../printerSettings/printerSettings14.bin"/><Relationship Id="rId1" Type="http://schemas.openxmlformats.org/officeDocument/2006/relationships/printerSettings" Target="../printerSettings/printerSettings13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7.bin"/><Relationship Id="rId1" Type="http://schemas.openxmlformats.org/officeDocument/2006/relationships/printerSettings" Target="../printerSettings/printerSettings16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9.bin"/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6"/>
  <sheetViews>
    <sheetView workbookViewId="0">
      <selection activeCell="B13" sqref="B13"/>
    </sheetView>
  </sheetViews>
  <sheetFormatPr defaultRowHeight="15" x14ac:dyDescent="0.25"/>
  <cols>
    <col min="1" max="1" width="77.42578125" bestFit="1" customWidth="1"/>
    <col min="2" max="2" width="97.42578125" customWidth="1"/>
  </cols>
  <sheetData>
    <row r="1" spans="1:2" ht="24" x14ac:dyDescent="0.25">
      <c r="A1" s="33" t="s">
        <v>9</v>
      </c>
      <c r="B1" s="32" t="s">
        <v>29</v>
      </c>
    </row>
    <row r="2" spans="1:2" ht="18.75" x14ac:dyDescent="0.25">
      <c r="A2" s="34" t="s">
        <v>18</v>
      </c>
      <c r="B2" s="38" t="s">
        <v>30</v>
      </c>
    </row>
    <row r="3" spans="1:2" ht="31.5" x14ac:dyDescent="0.25">
      <c r="A3" s="35" t="s">
        <v>0</v>
      </c>
      <c r="B3" s="39" t="s">
        <v>31</v>
      </c>
    </row>
    <row r="4" spans="1:2" ht="18.75" x14ac:dyDescent="0.25">
      <c r="A4" s="36" t="s">
        <v>17</v>
      </c>
      <c r="B4" s="38" t="s">
        <v>30</v>
      </c>
    </row>
    <row r="5" spans="1:2" ht="18.75" x14ac:dyDescent="0.25">
      <c r="A5" s="37" t="s">
        <v>16</v>
      </c>
      <c r="B5" s="39" t="s">
        <v>32</v>
      </c>
    </row>
    <row r="6" spans="1:2" ht="31.5" x14ac:dyDescent="0.25">
      <c r="A6" s="36" t="s">
        <v>1</v>
      </c>
      <c r="B6" s="41" t="s">
        <v>33</v>
      </c>
    </row>
    <row r="7" spans="1:2" ht="18.75" x14ac:dyDescent="0.25">
      <c r="A7" s="37" t="s">
        <v>2</v>
      </c>
      <c r="B7" s="39" t="s">
        <v>23</v>
      </c>
    </row>
    <row r="8" spans="1:2" ht="18.75" x14ac:dyDescent="0.25">
      <c r="A8" s="36" t="s">
        <v>3</v>
      </c>
      <c r="B8" s="41" t="s">
        <v>34</v>
      </c>
    </row>
    <row r="9" spans="1:2" ht="18.75" x14ac:dyDescent="0.25">
      <c r="A9" s="37" t="s">
        <v>25</v>
      </c>
      <c r="B9" s="39" t="s">
        <v>23</v>
      </c>
    </row>
    <row r="10" spans="1:2" ht="18.75" x14ac:dyDescent="0.25">
      <c r="A10" s="36" t="s">
        <v>12</v>
      </c>
      <c r="B10" s="40" t="s">
        <v>23</v>
      </c>
    </row>
    <row r="11" spans="1:2" ht="18.75" x14ac:dyDescent="0.25">
      <c r="A11" s="37" t="s">
        <v>4</v>
      </c>
      <c r="B11" s="42" t="s">
        <v>23</v>
      </c>
    </row>
    <row r="12" spans="1:2" ht="18.75" x14ac:dyDescent="0.25">
      <c r="A12" s="36" t="s">
        <v>5</v>
      </c>
      <c r="B12" s="41" t="s">
        <v>23</v>
      </c>
    </row>
    <row r="13" spans="1:2" ht="37.5" x14ac:dyDescent="0.25">
      <c r="A13" s="37" t="s">
        <v>8</v>
      </c>
      <c r="B13" s="39" t="s">
        <v>37</v>
      </c>
    </row>
    <row r="14" spans="1:2" ht="18.75" x14ac:dyDescent="0.25">
      <c r="A14" s="36" t="s">
        <v>6</v>
      </c>
      <c r="B14" s="41" t="s">
        <v>26</v>
      </c>
    </row>
    <row r="15" spans="1:2" ht="31.5" x14ac:dyDescent="0.25">
      <c r="A15" s="35" t="s">
        <v>19</v>
      </c>
      <c r="B15" s="39" t="s">
        <v>35</v>
      </c>
    </row>
    <row r="16" spans="1:2" ht="31.5" x14ac:dyDescent="0.25">
      <c r="A16" s="34" t="s">
        <v>14</v>
      </c>
      <c r="B16" s="41" t="s">
        <v>36</v>
      </c>
    </row>
  </sheetData>
  <customSheetViews>
    <customSheetView guid="{9B623083-AA7B-440B-95EA-C33E1AB3D963}">
      <selection activeCell="B13" sqref="B13"/>
      <pageMargins left="0.511811024" right="0.511811024" top="0.78740157499999996" bottom="0.78740157499999996" header="0.31496062000000002" footer="0.31496062000000002"/>
    </customSheetView>
    <customSheetView guid="{20CB6D8F-C24D-4D4B-A424-AF380F620455}">
      <selection activeCell="B13" sqref="B13"/>
      <pageMargins left="0.511811024" right="0.511811024" top="0.78740157499999996" bottom="0.78740157499999996" header="0.31496062000000002" footer="0.31496062000000002"/>
    </customSheetView>
    <customSheetView guid="{B3CDE377-BA5D-4E06-91D9-3A48E1959BA5}">
      <selection activeCell="B13" sqref="B13"/>
      <pageMargins left="0.511811024" right="0.511811024" top="0.78740157499999996" bottom="0.78740157499999996" header="0.31496062000000002" footer="0.31496062000000002"/>
    </customSheetView>
    <customSheetView guid="{18A482E0-C8B6-4AA1-9E04-15FA7C9CD5E3}">
      <selection activeCell="B13" sqref="B13"/>
      <pageMargins left="0.511811024" right="0.511811024" top="0.78740157499999996" bottom="0.78740157499999996" header="0.31496062000000002" footer="0.31496062000000002"/>
    </customSheetView>
    <customSheetView guid="{E3841903-5B68-44FD-8F09-58E03D1025C5}">
      <selection activeCell="B13" sqref="B13"/>
      <pageMargins left="0.511811024" right="0.511811024" top="0.78740157499999996" bottom="0.78740157499999996" header="0.31496062000000002" footer="0.31496062000000002"/>
    </customSheetView>
    <customSheetView guid="{86039CF8-B158-4D70-9A6F-A10C29CBD68A}">
      <selection activeCell="B13" sqref="B13"/>
      <pageMargins left="0.511811024" right="0.511811024" top="0.78740157499999996" bottom="0.78740157499999996" header="0.31496062000000002" footer="0.31496062000000002"/>
    </customSheetView>
    <customSheetView guid="{3D987F8E-A6EA-454D-9537-6BFC5053CB00}">
      <selection activeCell="B13" sqref="B13"/>
      <pageMargins left="0.511811024" right="0.511811024" top="0.78740157499999996" bottom="0.78740157499999996" header="0.31496062000000002" footer="0.31496062000000002"/>
    </customSheetView>
  </customSheetView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D18"/>
  <sheetViews>
    <sheetView workbookViewId="0">
      <selection activeCell="A14" sqref="A14"/>
    </sheetView>
  </sheetViews>
  <sheetFormatPr defaultColWidth="9.140625" defaultRowHeight="15" x14ac:dyDescent="0.25"/>
  <cols>
    <col min="1" max="1" width="77.42578125" style="1" bestFit="1" customWidth="1"/>
    <col min="2" max="2" width="3" style="1" bestFit="1" customWidth="1"/>
    <col min="3" max="7" width="11.7109375" style="1" customWidth="1"/>
    <col min="8" max="8" width="14.28515625" style="1" bestFit="1" customWidth="1"/>
    <col min="9" max="13" width="9.5703125" style="1" customWidth="1"/>
    <col min="14" max="14" width="14.28515625" style="1" bestFit="1" customWidth="1"/>
    <col min="15" max="18" width="7.140625" style="1" bestFit="1" customWidth="1"/>
    <col min="19" max="19" width="7.5703125" style="1" customWidth="1"/>
    <col min="20" max="20" width="14.28515625" style="1" bestFit="1" customWidth="1"/>
    <col min="21" max="25" width="7.140625" style="1" bestFit="1" customWidth="1"/>
    <col min="26" max="26" width="14.28515625" style="1" bestFit="1" customWidth="1"/>
    <col min="27" max="31" width="9.140625" style="1"/>
    <col min="32" max="32" width="15.28515625" style="1" customWidth="1"/>
    <col min="33" max="37" width="9.140625" style="1"/>
    <col min="38" max="38" width="17.42578125" style="1" customWidth="1"/>
    <col min="39" max="43" width="9.140625" style="1"/>
    <col min="44" max="44" width="15.42578125" style="1" customWidth="1"/>
    <col min="45" max="49" width="9.140625" style="1"/>
    <col min="50" max="50" width="15.42578125" style="1" customWidth="1"/>
    <col min="51" max="55" width="9.140625" style="1"/>
    <col min="56" max="56" width="16.140625" style="1" customWidth="1"/>
    <col min="57" max="16384" width="9.140625" style="1"/>
  </cols>
  <sheetData>
    <row r="1" spans="1:56" x14ac:dyDescent="0.25">
      <c r="A1" s="18" t="s">
        <v>9</v>
      </c>
      <c r="B1" s="6"/>
      <c r="C1" s="5">
        <v>45810</v>
      </c>
      <c r="D1" s="5">
        <v>45811</v>
      </c>
      <c r="E1" s="5">
        <v>45812</v>
      </c>
      <c r="F1" s="5">
        <v>45813</v>
      </c>
      <c r="G1" s="5">
        <v>45814</v>
      </c>
      <c r="H1" s="12" t="s">
        <v>15</v>
      </c>
      <c r="I1" s="5">
        <v>45817</v>
      </c>
      <c r="J1" s="5">
        <v>45818</v>
      </c>
      <c r="K1" s="5">
        <v>45819</v>
      </c>
      <c r="L1" s="5">
        <v>45820</v>
      </c>
      <c r="M1" s="5">
        <v>45821</v>
      </c>
      <c r="N1" s="11" t="s">
        <v>15</v>
      </c>
      <c r="O1" s="5">
        <v>45824</v>
      </c>
      <c r="P1" s="5">
        <v>45825</v>
      </c>
      <c r="Q1" s="5">
        <v>45826</v>
      </c>
      <c r="R1" s="5">
        <v>45827</v>
      </c>
      <c r="S1" s="5">
        <v>45828</v>
      </c>
      <c r="T1" s="11" t="s">
        <v>15</v>
      </c>
      <c r="U1" s="5">
        <v>45831</v>
      </c>
      <c r="V1" s="5">
        <v>45832</v>
      </c>
      <c r="W1" s="5">
        <v>45833</v>
      </c>
      <c r="X1" s="5">
        <v>45834</v>
      </c>
      <c r="Y1" s="5">
        <v>45835</v>
      </c>
      <c r="Z1" s="11" t="s">
        <v>15</v>
      </c>
      <c r="AA1" s="5">
        <v>45838</v>
      </c>
      <c r="AB1" s="5">
        <v>45839</v>
      </c>
      <c r="AC1" s="5">
        <v>45840</v>
      </c>
      <c r="AD1" s="5">
        <v>45841</v>
      </c>
      <c r="AE1" s="5">
        <v>45842</v>
      </c>
      <c r="AF1" s="11" t="s">
        <v>15</v>
      </c>
      <c r="AG1" s="5">
        <v>45845</v>
      </c>
      <c r="AH1" s="5">
        <v>45846</v>
      </c>
      <c r="AI1" s="5">
        <v>45847</v>
      </c>
      <c r="AJ1" s="5">
        <v>45848</v>
      </c>
      <c r="AK1" s="5">
        <v>45849</v>
      </c>
      <c r="AL1" s="11" t="s">
        <v>15</v>
      </c>
      <c r="AM1" s="5">
        <v>45852</v>
      </c>
      <c r="AN1" s="5">
        <v>45853</v>
      </c>
      <c r="AO1" s="5">
        <v>45854</v>
      </c>
      <c r="AP1" s="5">
        <v>45855</v>
      </c>
      <c r="AQ1" s="5">
        <v>45856</v>
      </c>
      <c r="AR1" s="25" t="s">
        <v>15</v>
      </c>
      <c r="AS1" s="5">
        <v>45859</v>
      </c>
      <c r="AT1" s="5">
        <v>45860</v>
      </c>
      <c r="AU1" s="5">
        <v>45861</v>
      </c>
      <c r="AV1" s="5">
        <v>45862</v>
      </c>
      <c r="AW1" s="5">
        <v>45863</v>
      </c>
      <c r="AX1" s="25" t="s">
        <v>15</v>
      </c>
      <c r="AY1" s="5">
        <v>45866</v>
      </c>
      <c r="AZ1" s="5">
        <v>45867</v>
      </c>
      <c r="BA1" s="5">
        <v>45868</v>
      </c>
      <c r="BB1" s="5">
        <v>45869</v>
      </c>
      <c r="BC1" s="5">
        <v>45870</v>
      </c>
      <c r="BD1" s="25" t="s">
        <v>15</v>
      </c>
    </row>
    <row r="2" spans="1:56" x14ac:dyDescent="0.25">
      <c r="A2" s="2" t="s">
        <v>18</v>
      </c>
      <c r="B2" s="22">
        <v>1</v>
      </c>
      <c r="C2" s="13"/>
      <c r="H2" s="24">
        <f>SUM(C2:G2)</f>
        <v>0</v>
      </c>
      <c r="N2" s="24">
        <f>SUM(I2:M2)</f>
        <v>0</v>
      </c>
      <c r="T2" s="24">
        <f t="shared" ref="T2:T16" si="0">SUM(O2:S2)</f>
        <v>0</v>
      </c>
      <c r="Z2" s="24">
        <f>SUM(U2:Y2)</f>
        <v>0</v>
      </c>
      <c r="AF2" s="14">
        <f>SUM(AA2:AE2)</f>
        <v>0</v>
      </c>
      <c r="AL2" s="24">
        <f>SUM(AG2:AK2)</f>
        <v>0</v>
      </c>
      <c r="AR2" s="27">
        <f>SUM(AM2:AQ2)</f>
        <v>0</v>
      </c>
      <c r="AX2" s="27">
        <f>SUM(AS2:AW2)</f>
        <v>0</v>
      </c>
      <c r="BD2" s="26">
        <f>SUM(AY2:BC2)</f>
        <v>0</v>
      </c>
    </row>
    <row r="3" spans="1:56" x14ac:dyDescent="0.25">
      <c r="A3" s="2" t="s">
        <v>0</v>
      </c>
      <c r="B3" s="22">
        <v>2</v>
      </c>
      <c r="C3" s="13"/>
      <c r="H3" s="24">
        <f t="shared" ref="H3:H16" si="1">SUM(C3:G3)</f>
        <v>0</v>
      </c>
      <c r="N3" s="24">
        <f t="shared" ref="N3:N16" si="2">SUM(I3:M3)</f>
        <v>0</v>
      </c>
      <c r="T3" s="24">
        <f t="shared" si="0"/>
        <v>0</v>
      </c>
      <c r="Z3" s="24">
        <f t="shared" ref="Z3:Z16" si="3">SUM(U3:Y3)</f>
        <v>0</v>
      </c>
      <c r="AF3" s="14">
        <f t="shared" ref="AF3:AF16" si="4">SUM(AA3:AE3)</f>
        <v>0</v>
      </c>
      <c r="AL3" s="24">
        <f t="shared" ref="AL3:AL16" si="5">SUM(AG3:AK3)</f>
        <v>0</v>
      </c>
      <c r="AR3" s="27">
        <f t="shared" ref="AR3:AR16" si="6">SUM(AM3:AQ3)</f>
        <v>0</v>
      </c>
      <c r="AX3" s="27">
        <f t="shared" ref="AX3:AX16" si="7">SUM(AS3:AW3)</f>
        <v>0</v>
      </c>
      <c r="BD3" s="26">
        <f t="shared" ref="BD3:BD16" si="8">SUM(AY3:BC3)</f>
        <v>0</v>
      </c>
    </row>
    <row r="4" spans="1:56" x14ac:dyDescent="0.25">
      <c r="A4" s="3" t="s">
        <v>17</v>
      </c>
      <c r="B4" s="23">
        <v>3</v>
      </c>
      <c r="C4" s="13"/>
      <c r="H4" s="24">
        <f t="shared" si="1"/>
        <v>0</v>
      </c>
      <c r="N4" s="24">
        <f t="shared" si="2"/>
        <v>0</v>
      </c>
      <c r="T4" s="24">
        <f t="shared" si="0"/>
        <v>0</v>
      </c>
      <c r="Z4" s="24">
        <f t="shared" si="3"/>
        <v>0</v>
      </c>
      <c r="AF4" s="14">
        <f t="shared" si="4"/>
        <v>0</v>
      </c>
      <c r="AL4" s="24">
        <f t="shared" si="5"/>
        <v>0</v>
      </c>
      <c r="AR4" s="27">
        <f t="shared" si="6"/>
        <v>0</v>
      </c>
      <c r="AX4" s="27">
        <f t="shared" si="7"/>
        <v>0</v>
      </c>
      <c r="BD4" s="26">
        <f t="shared" si="8"/>
        <v>0</v>
      </c>
    </row>
    <row r="5" spans="1:56" x14ac:dyDescent="0.25">
      <c r="A5" s="3" t="s">
        <v>16</v>
      </c>
      <c r="B5" s="22">
        <v>4</v>
      </c>
      <c r="C5" s="13"/>
      <c r="H5" s="24">
        <f t="shared" si="1"/>
        <v>0</v>
      </c>
      <c r="N5" s="24">
        <f t="shared" si="2"/>
        <v>0</v>
      </c>
      <c r="T5" s="24">
        <f t="shared" si="0"/>
        <v>0</v>
      </c>
      <c r="Z5" s="24">
        <f t="shared" si="3"/>
        <v>0</v>
      </c>
      <c r="AF5" s="14">
        <f t="shared" si="4"/>
        <v>0</v>
      </c>
      <c r="AL5" s="24">
        <f t="shared" si="5"/>
        <v>0</v>
      </c>
      <c r="AR5" s="27">
        <f t="shared" si="6"/>
        <v>0</v>
      </c>
      <c r="AX5" s="27">
        <f t="shared" si="7"/>
        <v>0</v>
      </c>
      <c r="BD5" s="26">
        <f t="shared" si="8"/>
        <v>0</v>
      </c>
    </row>
    <row r="6" spans="1:56" x14ac:dyDescent="0.25">
      <c r="A6" s="3" t="s">
        <v>1</v>
      </c>
      <c r="B6" s="22">
        <v>5</v>
      </c>
      <c r="C6" s="13"/>
      <c r="H6" s="24">
        <f t="shared" si="1"/>
        <v>0</v>
      </c>
      <c r="N6" s="24">
        <f t="shared" si="2"/>
        <v>0</v>
      </c>
      <c r="T6" s="24">
        <f t="shared" si="0"/>
        <v>0</v>
      </c>
      <c r="Z6" s="24">
        <f t="shared" si="3"/>
        <v>0</v>
      </c>
      <c r="AF6" s="14">
        <f t="shared" si="4"/>
        <v>0</v>
      </c>
      <c r="AL6" s="24">
        <f t="shared" si="5"/>
        <v>0</v>
      </c>
      <c r="AR6" s="27">
        <f t="shared" si="6"/>
        <v>0</v>
      </c>
      <c r="AX6" s="27">
        <f t="shared" si="7"/>
        <v>0</v>
      </c>
      <c r="BD6" s="26">
        <f t="shared" si="8"/>
        <v>0</v>
      </c>
    </row>
    <row r="7" spans="1:56" x14ac:dyDescent="0.25">
      <c r="A7" s="3" t="s">
        <v>2</v>
      </c>
      <c r="B7" s="23">
        <v>6</v>
      </c>
      <c r="C7" s="13"/>
      <c r="H7" s="24">
        <f t="shared" si="1"/>
        <v>0</v>
      </c>
      <c r="N7" s="24">
        <f t="shared" si="2"/>
        <v>0</v>
      </c>
      <c r="T7" s="24">
        <f t="shared" si="0"/>
        <v>0</v>
      </c>
      <c r="Z7" s="24">
        <f t="shared" si="3"/>
        <v>0</v>
      </c>
      <c r="AF7" s="14">
        <f t="shared" si="4"/>
        <v>0</v>
      </c>
      <c r="AL7" s="24">
        <f t="shared" si="5"/>
        <v>0</v>
      </c>
      <c r="AR7" s="27">
        <f t="shared" si="6"/>
        <v>0</v>
      </c>
      <c r="AX7" s="27">
        <f t="shared" si="7"/>
        <v>0</v>
      </c>
      <c r="BD7" s="26">
        <f t="shared" si="8"/>
        <v>0</v>
      </c>
    </row>
    <row r="8" spans="1:56" x14ac:dyDescent="0.25">
      <c r="A8" s="3" t="s">
        <v>3</v>
      </c>
      <c r="B8" s="22">
        <v>7</v>
      </c>
      <c r="C8" s="13"/>
      <c r="H8" s="24">
        <f t="shared" si="1"/>
        <v>0</v>
      </c>
      <c r="N8" s="24">
        <f t="shared" si="2"/>
        <v>0</v>
      </c>
      <c r="T8" s="24">
        <f t="shared" si="0"/>
        <v>0</v>
      </c>
      <c r="Z8" s="24">
        <f t="shared" si="3"/>
        <v>0</v>
      </c>
      <c r="AF8" s="14">
        <f t="shared" si="4"/>
        <v>0</v>
      </c>
      <c r="AL8" s="24">
        <f t="shared" si="5"/>
        <v>0</v>
      </c>
      <c r="AR8" s="27">
        <f t="shared" si="6"/>
        <v>0</v>
      </c>
      <c r="AX8" s="27">
        <f t="shared" si="7"/>
        <v>0</v>
      </c>
      <c r="BD8" s="26">
        <f t="shared" si="8"/>
        <v>0</v>
      </c>
    </row>
    <row r="9" spans="1:56" x14ac:dyDescent="0.25">
      <c r="A9" s="3" t="s">
        <v>13</v>
      </c>
      <c r="B9" s="22">
        <v>8</v>
      </c>
      <c r="C9" s="13"/>
      <c r="H9" s="24">
        <f t="shared" si="1"/>
        <v>0</v>
      </c>
      <c r="N9" s="24">
        <f t="shared" si="2"/>
        <v>0</v>
      </c>
      <c r="T9" s="24">
        <f t="shared" si="0"/>
        <v>0</v>
      </c>
      <c r="Z9" s="24">
        <f t="shared" si="3"/>
        <v>0</v>
      </c>
      <c r="AF9" s="14">
        <f t="shared" si="4"/>
        <v>0</v>
      </c>
      <c r="AL9" s="24">
        <f t="shared" si="5"/>
        <v>0</v>
      </c>
      <c r="AR9" s="27">
        <f t="shared" si="6"/>
        <v>0</v>
      </c>
      <c r="AX9" s="27">
        <f t="shared" si="7"/>
        <v>0</v>
      </c>
      <c r="BD9" s="26">
        <f t="shared" si="8"/>
        <v>0</v>
      </c>
    </row>
    <row r="10" spans="1:56" x14ac:dyDescent="0.25">
      <c r="A10" s="2" t="s">
        <v>12</v>
      </c>
      <c r="B10" s="23">
        <v>9</v>
      </c>
      <c r="C10" s="13"/>
      <c r="H10" s="24">
        <f t="shared" si="1"/>
        <v>0</v>
      </c>
      <c r="N10" s="24">
        <f t="shared" si="2"/>
        <v>0</v>
      </c>
      <c r="T10" s="24">
        <f t="shared" si="0"/>
        <v>0</v>
      </c>
      <c r="Z10" s="24">
        <f t="shared" si="3"/>
        <v>0</v>
      </c>
      <c r="AF10" s="14">
        <f t="shared" si="4"/>
        <v>0</v>
      </c>
      <c r="AL10" s="24">
        <f t="shared" si="5"/>
        <v>0</v>
      </c>
      <c r="AR10" s="27">
        <f t="shared" si="6"/>
        <v>0</v>
      </c>
      <c r="AX10" s="27">
        <f t="shared" si="7"/>
        <v>0</v>
      </c>
      <c r="BD10" s="26">
        <f t="shared" si="8"/>
        <v>0</v>
      </c>
    </row>
    <row r="11" spans="1:56" x14ac:dyDescent="0.25">
      <c r="A11" s="3" t="s">
        <v>4</v>
      </c>
      <c r="B11" s="22">
        <v>10</v>
      </c>
      <c r="C11" s="13"/>
      <c r="H11" s="24">
        <f t="shared" si="1"/>
        <v>0</v>
      </c>
      <c r="N11" s="24">
        <f t="shared" si="2"/>
        <v>0</v>
      </c>
      <c r="T11" s="24">
        <f t="shared" si="0"/>
        <v>0</v>
      </c>
      <c r="Z11" s="24">
        <f t="shared" si="3"/>
        <v>0</v>
      </c>
      <c r="AF11" s="14">
        <f t="shared" si="4"/>
        <v>0</v>
      </c>
      <c r="AL11" s="24">
        <f t="shared" si="5"/>
        <v>0</v>
      </c>
      <c r="AR11" s="27">
        <f t="shared" si="6"/>
        <v>0</v>
      </c>
      <c r="AX11" s="27">
        <f t="shared" si="7"/>
        <v>0</v>
      </c>
      <c r="BD11" s="26">
        <f t="shared" si="8"/>
        <v>0</v>
      </c>
    </row>
    <row r="12" spans="1:56" x14ac:dyDescent="0.25">
      <c r="A12" s="3" t="s">
        <v>5</v>
      </c>
      <c r="B12" s="22">
        <v>11</v>
      </c>
      <c r="C12" s="13"/>
      <c r="H12" s="24">
        <f t="shared" si="1"/>
        <v>0</v>
      </c>
      <c r="N12" s="24">
        <f t="shared" si="2"/>
        <v>0</v>
      </c>
      <c r="T12" s="24">
        <f t="shared" si="0"/>
        <v>0</v>
      </c>
      <c r="Z12" s="24">
        <f t="shared" si="3"/>
        <v>0</v>
      </c>
      <c r="AF12" s="14">
        <f t="shared" si="4"/>
        <v>0</v>
      </c>
      <c r="AL12" s="24">
        <f t="shared" si="5"/>
        <v>0</v>
      </c>
      <c r="AR12" s="27">
        <f t="shared" si="6"/>
        <v>0</v>
      </c>
      <c r="AX12" s="27">
        <f t="shared" si="7"/>
        <v>0</v>
      </c>
      <c r="BD12" s="26">
        <f t="shared" si="8"/>
        <v>0</v>
      </c>
    </row>
    <row r="13" spans="1:56" x14ac:dyDescent="0.25">
      <c r="A13" s="2" t="s">
        <v>8</v>
      </c>
      <c r="B13" s="23">
        <v>12</v>
      </c>
      <c r="C13" s="13"/>
      <c r="H13" s="24">
        <f t="shared" si="1"/>
        <v>0</v>
      </c>
      <c r="J13" s="1">
        <v>1</v>
      </c>
      <c r="M13" s="1">
        <v>1</v>
      </c>
      <c r="N13" s="24">
        <f t="shared" si="2"/>
        <v>2</v>
      </c>
      <c r="P13" s="1">
        <v>1</v>
      </c>
      <c r="T13" s="24">
        <f t="shared" si="0"/>
        <v>1</v>
      </c>
      <c r="U13" s="1">
        <v>1</v>
      </c>
      <c r="V13" s="1">
        <v>1</v>
      </c>
      <c r="Z13" s="24">
        <f t="shared" si="3"/>
        <v>2</v>
      </c>
      <c r="AA13" s="1">
        <v>1</v>
      </c>
      <c r="AC13" s="1">
        <v>1</v>
      </c>
      <c r="AF13" s="14">
        <f t="shared" si="4"/>
        <v>2</v>
      </c>
      <c r="AL13" s="24">
        <f t="shared" si="5"/>
        <v>0</v>
      </c>
      <c r="AR13" s="27">
        <f t="shared" si="6"/>
        <v>0</v>
      </c>
      <c r="AX13" s="27">
        <f t="shared" si="7"/>
        <v>0</v>
      </c>
      <c r="BD13" s="26">
        <f t="shared" si="8"/>
        <v>0</v>
      </c>
    </row>
    <row r="14" spans="1:56" x14ac:dyDescent="0.25">
      <c r="A14" s="3" t="s">
        <v>6</v>
      </c>
      <c r="B14" s="22">
        <v>13</v>
      </c>
      <c r="C14" s="13"/>
      <c r="H14" s="24">
        <f t="shared" si="1"/>
        <v>0</v>
      </c>
      <c r="N14" s="24">
        <f t="shared" si="2"/>
        <v>0</v>
      </c>
      <c r="T14" s="24">
        <f t="shared" si="0"/>
        <v>0</v>
      </c>
      <c r="Z14" s="24">
        <f t="shared" si="3"/>
        <v>0</v>
      </c>
      <c r="AF14" s="14">
        <f t="shared" si="4"/>
        <v>0</v>
      </c>
      <c r="AL14" s="24">
        <f t="shared" si="5"/>
        <v>0</v>
      </c>
      <c r="AR14" s="27">
        <f t="shared" si="6"/>
        <v>0</v>
      </c>
      <c r="AX14" s="27">
        <f t="shared" si="7"/>
        <v>0</v>
      </c>
      <c r="BD14" s="26">
        <f t="shared" si="8"/>
        <v>0</v>
      </c>
    </row>
    <row r="15" spans="1:56" x14ac:dyDescent="0.25">
      <c r="A15" s="2" t="s">
        <v>7</v>
      </c>
      <c r="B15" s="22">
        <v>14</v>
      </c>
      <c r="C15" s="13"/>
      <c r="H15" s="24">
        <f t="shared" si="1"/>
        <v>0</v>
      </c>
      <c r="N15" s="24">
        <f t="shared" si="2"/>
        <v>0</v>
      </c>
      <c r="T15" s="24">
        <f t="shared" si="0"/>
        <v>0</v>
      </c>
      <c r="Z15" s="24">
        <f t="shared" si="3"/>
        <v>0</v>
      </c>
      <c r="AF15" s="14">
        <f t="shared" si="4"/>
        <v>0</v>
      </c>
      <c r="AL15" s="24">
        <f t="shared" si="5"/>
        <v>0</v>
      </c>
      <c r="AR15" s="27">
        <f t="shared" si="6"/>
        <v>0</v>
      </c>
      <c r="AX15" s="27">
        <f t="shared" si="7"/>
        <v>0</v>
      </c>
      <c r="BD15" s="26">
        <f t="shared" si="8"/>
        <v>0</v>
      </c>
    </row>
    <row r="16" spans="1:56" x14ac:dyDescent="0.25">
      <c r="A16" s="19" t="s">
        <v>14</v>
      </c>
      <c r="B16" s="20">
        <v>15</v>
      </c>
      <c r="C16" s="15"/>
      <c r="D16" s="16"/>
      <c r="E16" s="16"/>
      <c r="F16" s="16"/>
      <c r="G16" s="16"/>
      <c r="H16" s="17">
        <f t="shared" si="1"/>
        <v>0</v>
      </c>
      <c r="I16" s="16"/>
      <c r="J16" s="16"/>
      <c r="K16" s="16"/>
      <c r="L16" s="16"/>
      <c r="M16" s="16"/>
      <c r="N16" s="17">
        <f t="shared" si="2"/>
        <v>0</v>
      </c>
      <c r="O16" s="16"/>
      <c r="P16" s="16"/>
      <c r="Q16" s="16"/>
      <c r="R16" s="16"/>
      <c r="S16" s="16"/>
      <c r="T16" s="17">
        <f t="shared" si="0"/>
        <v>0</v>
      </c>
      <c r="U16" s="16"/>
      <c r="V16" s="16"/>
      <c r="W16" s="16"/>
      <c r="X16" s="16"/>
      <c r="Y16" s="16"/>
      <c r="Z16" s="17">
        <f t="shared" si="3"/>
        <v>0</v>
      </c>
      <c r="AA16" s="16"/>
      <c r="AB16" s="16"/>
      <c r="AC16" s="16"/>
      <c r="AD16" s="16"/>
      <c r="AE16" s="16"/>
      <c r="AF16" s="21">
        <f t="shared" si="4"/>
        <v>0</v>
      </c>
      <c r="AG16" s="16"/>
      <c r="AH16" s="16"/>
      <c r="AI16" s="16"/>
      <c r="AJ16" s="16"/>
      <c r="AK16" s="16"/>
      <c r="AL16" s="24">
        <f t="shared" si="5"/>
        <v>0</v>
      </c>
      <c r="AM16" s="16"/>
      <c r="AN16" s="16"/>
      <c r="AO16" s="16"/>
      <c r="AP16" s="16"/>
      <c r="AQ16" s="16"/>
      <c r="AR16" s="27">
        <f t="shared" si="6"/>
        <v>0</v>
      </c>
      <c r="AS16" s="16"/>
      <c r="AT16" s="16"/>
      <c r="AU16" s="16"/>
      <c r="AV16" s="16"/>
      <c r="AW16" s="16"/>
      <c r="AX16" s="27">
        <f t="shared" si="7"/>
        <v>0</v>
      </c>
      <c r="AY16" s="16"/>
      <c r="AZ16" s="16"/>
      <c r="BA16" s="16"/>
      <c r="BB16" s="16"/>
      <c r="BC16" s="16"/>
      <c r="BD16" s="26">
        <f t="shared" si="8"/>
        <v>0</v>
      </c>
    </row>
    <row r="17" spans="1:19" x14ac:dyDescent="0.25">
      <c r="A17" s="1" t="s">
        <v>11</v>
      </c>
      <c r="C17" s="4"/>
      <c r="D17" s="4"/>
      <c r="E17" s="4"/>
      <c r="F17" s="4"/>
      <c r="G17" s="4"/>
      <c r="H17" s="4"/>
      <c r="K17" s="4"/>
      <c r="M17" s="4"/>
      <c r="S17" s="4"/>
    </row>
    <row r="18" spans="1:19" x14ac:dyDescent="0.25">
      <c r="A18" s="1" t="s">
        <v>10</v>
      </c>
      <c r="C18" s="4"/>
    </row>
  </sheetData>
  <customSheetViews>
    <customSheetView guid="{9B623083-AA7B-440B-95EA-C33E1AB3D963}" showAutoFilter="1">
      <selection activeCell="E4" sqref="E4"/>
      <pageMargins left="0.511811024" right="0.511811024" top="0.78740157499999996" bottom="0.78740157499999996" header="0.31496062000000002" footer="0.31496062000000002"/>
      <autoFilter ref="A1:A18" xr:uid="{97B928F6-4615-42E3-9A6B-165F43569D3A}"/>
    </customSheetView>
    <customSheetView guid="{20CB6D8F-C24D-4D4B-A424-AF380F620455}" showPageBreaks="1">
      <selection activeCell="A14" sqref="A14"/>
      <pageMargins left="0.511811024" right="0.511811024" top="0.78740157499999996" bottom="0.78740157499999996" header="0.31496062000000002" footer="0.31496062000000002"/>
      <pageSetup paperSize="9" orientation="portrait" r:id="rId1"/>
    </customSheetView>
    <customSheetView guid="{B3CDE377-BA5D-4E06-91D9-3A48E1959BA5}">
      <selection activeCell="A16" sqref="A16:XFD16"/>
      <pageMargins left="0.511811024" right="0.511811024" top="0.78740157499999996" bottom="0.78740157499999996" header="0.31496062000000002" footer="0.31496062000000002"/>
    </customSheetView>
    <customSheetView guid="{18A482E0-C8B6-4AA1-9E04-15FA7C9CD5E3}">
      <pane xSplit="1" topLeftCell="BT1" activePane="topRight" state="frozen"/>
      <selection pane="topRight" activeCell="CE1" sqref="CE1"/>
      <pageMargins left="0.511811024" right="0.511811024" top="0.78740157499999996" bottom="0.78740157499999996" header="0.31496062000000002" footer="0.31496062000000002"/>
    </customSheetView>
    <customSheetView guid="{C69767F5-CD39-44C1-AD4B-CE19DC8285A6}">
      <selection activeCell="A14" sqref="A14"/>
      <pageMargins left="0.511811024" right="0.511811024" top="0.78740157499999996" bottom="0.78740157499999996" header="0.31496062000000002" footer="0.31496062000000002"/>
    </customSheetView>
    <customSheetView guid="{552DFCCD-1786-4D75-8B10-27DD730384DD}">
      <selection activeCell="D12" sqref="D12"/>
      <pageMargins left="0.511811024" right="0.511811024" top="0.78740157499999996" bottom="0.78740157499999996" header="0.31496062000000002" footer="0.31496062000000002"/>
    </customSheetView>
    <customSheetView guid="{E3841903-5B68-44FD-8F09-58E03D1025C5}">
      <selection activeCell="A9" sqref="A9:XFD9"/>
      <pageMargins left="0.511811024" right="0.511811024" top="0.78740157499999996" bottom="0.78740157499999996" header="0.31496062000000002" footer="0.31496062000000002"/>
    </customSheetView>
    <customSheetView guid="{86039CF8-B158-4D70-9A6F-A10C29CBD68A}">
      <selection activeCell="E1" sqref="E1:E1048576"/>
      <pageMargins left="0.511811024" right="0.511811024" top="0.78740157499999996" bottom="0.78740157499999996" header="0.31496062000000002" footer="0.31496062000000002"/>
    </customSheetView>
    <customSheetView guid="{3D987F8E-A6EA-454D-9537-6BFC5053CB00}">
      <selection activeCell="A14" sqref="A14"/>
      <pageMargins left="0.511811024" right="0.511811024" top="0.78740157499999996" bottom="0.78740157499999996" header="0.31496062000000002" footer="0.31496062000000002"/>
    </customSheetView>
  </customSheetViews>
  <pageMargins left="0.511811024" right="0.511811024" top="0.78740157499999996" bottom="0.78740157499999996" header="0.31496062000000002" footer="0.31496062000000002"/>
  <pageSetup paperSize="9"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D18"/>
  <sheetViews>
    <sheetView topLeftCell="A12" workbookViewId="0">
      <selection activeCell="A9" sqref="A9"/>
    </sheetView>
  </sheetViews>
  <sheetFormatPr defaultColWidth="9.140625" defaultRowHeight="15" x14ac:dyDescent="0.25"/>
  <cols>
    <col min="1" max="1" width="77.42578125" style="1" bestFit="1" customWidth="1"/>
    <col min="2" max="2" width="3" style="1" bestFit="1" customWidth="1"/>
    <col min="3" max="7" width="11.7109375" style="1" customWidth="1"/>
    <col min="8" max="8" width="14.28515625" style="1" bestFit="1" customWidth="1"/>
    <col min="9" max="13" width="9.5703125" style="1" customWidth="1"/>
    <col min="14" max="14" width="14.28515625" style="1" bestFit="1" customWidth="1"/>
    <col min="15" max="18" width="7.140625" style="1" bestFit="1" customWidth="1"/>
    <col min="19" max="19" width="7.5703125" style="1" customWidth="1"/>
    <col min="20" max="20" width="14.28515625" style="1" bestFit="1" customWidth="1"/>
    <col min="21" max="25" width="7.140625" style="1" bestFit="1" customWidth="1"/>
    <col min="26" max="26" width="14.28515625" style="1" bestFit="1" customWidth="1"/>
    <col min="27" max="31" width="9.140625" style="1"/>
    <col min="32" max="32" width="15.28515625" style="1" customWidth="1"/>
    <col min="33" max="37" width="9.140625" style="1"/>
    <col min="38" max="38" width="17.42578125" style="1" customWidth="1"/>
    <col min="39" max="43" width="9.140625" style="1"/>
    <col min="44" max="44" width="15.42578125" style="1" customWidth="1"/>
    <col min="45" max="49" width="9.140625" style="1"/>
    <col min="50" max="50" width="15.42578125" style="1" customWidth="1"/>
    <col min="51" max="55" width="9.140625" style="1"/>
    <col min="56" max="56" width="16.140625" style="1" customWidth="1"/>
    <col min="57" max="16384" width="9.140625" style="1"/>
  </cols>
  <sheetData>
    <row r="1" spans="1:56" x14ac:dyDescent="0.25">
      <c r="A1" s="18" t="s">
        <v>9</v>
      </c>
      <c r="B1" s="6"/>
      <c r="C1" s="5">
        <v>45810</v>
      </c>
      <c r="D1" s="5">
        <v>45811</v>
      </c>
      <c r="E1" s="5">
        <v>45812</v>
      </c>
      <c r="F1" s="5">
        <v>45813</v>
      </c>
      <c r="G1" s="5">
        <v>45814</v>
      </c>
      <c r="H1" s="12" t="s">
        <v>15</v>
      </c>
      <c r="I1" s="5">
        <v>45817</v>
      </c>
      <c r="J1" s="5">
        <v>45818</v>
      </c>
      <c r="K1" s="5">
        <v>45819</v>
      </c>
      <c r="L1" s="5">
        <v>45820</v>
      </c>
      <c r="M1" s="5">
        <v>45821</v>
      </c>
      <c r="N1" s="11" t="s">
        <v>15</v>
      </c>
      <c r="O1" s="5">
        <v>45824</v>
      </c>
      <c r="P1" s="5">
        <v>45825</v>
      </c>
      <c r="Q1" s="5">
        <v>45826</v>
      </c>
      <c r="R1" s="5">
        <v>45827</v>
      </c>
      <c r="S1" s="5">
        <v>45828</v>
      </c>
      <c r="T1" s="11" t="s">
        <v>15</v>
      </c>
      <c r="U1" s="5">
        <v>45831</v>
      </c>
      <c r="V1" s="5">
        <v>45832</v>
      </c>
      <c r="W1" s="5">
        <v>45833</v>
      </c>
      <c r="X1" s="5">
        <v>45834</v>
      </c>
      <c r="Y1" s="5">
        <v>45835</v>
      </c>
      <c r="Z1" s="11" t="s">
        <v>15</v>
      </c>
      <c r="AA1" s="5">
        <v>45838</v>
      </c>
      <c r="AB1" s="5">
        <v>45839</v>
      </c>
      <c r="AC1" s="5">
        <v>45840</v>
      </c>
      <c r="AD1" s="5">
        <v>45841</v>
      </c>
      <c r="AE1" s="5">
        <v>45842</v>
      </c>
      <c r="AF1" s="11" t="s">
        <v>15</v>
      </c>
      <c r="AG1" s="5">
        <v>45845</v>
      </c>
      <c r="AH1" s="5">
        <v>45846</v>
      </c>
      <c r="AI1" s="5">
        <v>45847</v>
      </c>
      <c r="AJ1" s="5">
        <v>45848</v>
      </c>
      <c r="AK1" s="5">
        <v>45849</v>
      </c>
      <c r="AL1" s="11" t="s">
        <v>15</v>
      </c>
      <c r="AM1" s="5">
        <v>45852</v>
      </c>
      <c r="AN1" s="5">
        <v>45853</v>
      </c>
      <c r="AO1" s="5">
        <v>45854</v>
      </c>
      <c r="AP1" s="5">
        <v>45855</v>
      </c>
      <c r="AQ1" s="5">
        <v>45856</v>
      </c>
      <c r="AR1" s="25" t="s">
        <v>15</v>
      </c>
      <c r="AS1" s="5">
        <v>45859</v>
      </c>
      <c r="AT1" s="5">
        <v>45860</v>
      </c>
      <c r="AU1" s="5">
        <v>45861</v>
      </c>
      <c r="AV1" s="5">
        <v>45862</v>
      </c>
      <c r="AW1" s="5">
        <v>45863</v>
      </c>
      <c r="AX1" s="25" t="s">
        <v>15</v>
      </c>
      <c r="AY1" s="5">
        <v>45866</v>
      </c>
      <c r="AZ1" s="5">
        <v>45867</v>
      </c>
      <c r="BA1" s="5">
        <v>45868</v>
      </c>
      <c r="BB1" s="5">
        <v>45869</v>
      </c>
      <c r="BC1" s="5">
        <v>45870</v>
      </c>
      <c r="BD1" s="25" t="s">
        <v>15</v>
      </c>
    </row>
    <row r="2" spans="1:56" x14ac:dyDescent="0.25">
      <c r="A2" s="2" t="s">
        <v>18</v>
      </c>
      <c r="B2" s="22">
        <v>1</v>
      </c>
      <c r="C2" s="13"/>
      <c r="H2" s="24">
        <f>SUM(C2:G2)</f>
        <v>0</v>
      </c>
      <c r="N2" s="24">
        <f>SUM(I2:M2)</f>
        <v>0</v>
      </c>
      <c r="T2" s="24">
        <f t="shared" ref="T2:T16" si="0">SUM(O2:S2)</f>
        <v>0</v>
      </c>
      <c r="Z2" s="24">
        <f>SUM(U2:Y2)</f>
        <v>0</v>
      </c>
      <c r="AF2" s="14">
        <f>SUM(AA2:AE2)</f>
        <v>0</v>
      </c>
      <c r="AL2" s="24">
        <f>SUM(AG2:AK2)</f>
        <v>0</v>
      </c>
      <c r="AR2" s="27">
        <f>SUM(AM2:AQ2)</f>
        <v>0</v>
      </c>
      <c r="AX2" s="27">
        <f>SUM(AS2:AW2)</f>
        <v>0</v>
      </c>
      <c r="BD2" s="26">
        <f>SUM(AY2:BC2)</f>
        <v>0</v>
      </c>
    </row>
    <row r="3" spans="1:56" x14ac:dyDescent="0.25">
      <c r="A3" s="2" t="s">
        <v>0</v>
      </c>
      <c r="B3" s="22">
        <v>2</v>
      </c>
      <c r="C3" s="13"/>
      <c r="H3" s="24">
        <f t="shared" ref="H3:H16" si="1">SUM(C3:G3)</f>
        <v>0</v>
      </c>
      <c r="N3" s="24">
        <f t="shared" ref="N3:N16" si="2">SUM(I3:M3)</f>
        <v>0</v>
      </c>
      <c r="T3" s="24">
        <f t="shared" si="0"/>
        <v>0</v>
      </c>
      <c r="Z3" s="24">
        <f t="shared" ref="Z3:Z16" si="3">SUM(U3:Y3)</f>
        <v>0</v>
      </c>
      <c r="AF3" s="14">
        <f t="shared" ref="AF3:AF16" si="4">SUM(AA3:AE3)</f>
        <v>0</v>
      </c>
      <c r="AL3" s="24">
        <f t="shared" ref="AL3:AL16" si="5">SUM(AG3:AK3)</f>
        <v>0</v>
      </c>
      <c r="AR3" s="27">
        <f t="shared" ref="AR3:AR16" si="6">SUM(AM3:AQ3)</f>
        <v>0</v>
      </c>
      <c r="AX3" s="27">
        <f t="shared" ref="AX3:AX16" si="7">SUM(AS3:AW3)</f>
        <v>0</v>
      </c>
      <c r="BD3" s="26">
        <f t="shared" ref="BD3:BD16" si="8">SUM(AY3:BC3)</f>
        <v>0</v>
      </c>
    </row>
    <row r="4" spans="1:56" x14ac:dyDescent="0.25">
      <c r="A4" s="3" t="s">
        <v>17</v>
      </c>
      <c r="B4" s="23">
        <v>3</v>
      </c>
      <c r="C4" s="13"/>
      <c r="H4" s="24">
        <f t="shared" si="1"/>
        <v>0</v>
      </c>
      <c r="N4" s="24">
        <f t="shared" si="2"/>
        <v>0</v>
      </c>
      <c r="T4" s="24">
        <f t="shared" si="0"/>
        <v>0</v>
      </c>
      <c r="Z4" s="24">
        <f t="shared" si="3"/>
        <v>0</v>
      </c>
      <c r="AF4" s="14">
        <f t="shared" si="4"/>
        <v>0</v>
      </c>
      <c r="AL4" s="24">
        <f t="shared" si="5"/>
        <v>0</v>
      </c>
      <c r="AR4" s="27">
        <f t="shared" si="6"/>
        <v>0</v>
      </c>
      <c r="AX4" s="27">
        <f t="shared" si="7"/>
        <v>0</v>
      </c>
      <c r="BD4" s="26">
        <f t="shared" si="8"/>
        <v>0</v>
      </c>
    </row>
    <row r="5" spans="1:56" x14ac:dyDescent="0.25">
      <c r="A5" s="3" t="s">
        <v>16</v>
      </c>
      <c r="B5" s="22">
        <v>4</v>
      </c>
      <c r="C5" s="13"/>
      <c r="H5" s="24">
        <f t="shared" si="1"/>
        <v>0</v>
      </c>
      <c r="N5" s="24">
        <f t="shared" si="2"/>
        <v>0</v>
      </c>
      <c r="T5" s="24">
        <f t="shared" si="0"/>
        <v>0</v>
      </c>
      <c r="Z5" s="24">
        <f t="shared" si="3"/>
        <v>0</v>
      </c>
      <c r="AF5" s="14">
        <f t="shared" si="4"/>
        <v>0</v>
      </c>
      <c r="AL5" s="24">
        <f t="shared" si="5"/>
        <v>0</v>
      </c>
      <c r="AR5" s="27">
        <f t="shared" si="6"/>
        <v>0</v>
      </c>
      <c r="AX5" s="27">
        <f t="shared" si="7"/>
        <v>0</v>
      </c>
      <c r="BD5" s="26">
        <f t="shared" si="8"/>
        <v>0</v>
      </c>
    </row>
    <row r="6" spans="1:56" x14ac:dyDescent="0.25">
      <c r="A6" s="3" t="s">
        <v>1</v>
      </c>
      <c r="B6" s="22">
        <v>5</v>
      </c>
      <c r="C6" s="13"/>
      <c r="H6" s="24">
        <f t="shared" si="1"/>
        <v>0</v>
      </c>
      <c r="N6" s="24">
        <f t="shared" si="2"/>
        <v>0</v>
      </c>
      <c r="T6" s="24">
        <f t="shared" si="0"/>
        <v>0</v>
      </c>
      <c r="Z6" s="24">
        <f t="shared" si="3"/>
        <v>0</v>
      </c>
      <c r="AF6" s="14">
        <f t="shared" si="4"/>
        <v>0</v>
      </c>
      <c r="AL6" s="24">
        <f t="shared" si="5"/>
        <v>0</v>
      </c>
      <c r="AR6" s="27">
        <f t="shared" si="6"/>
        <v>0</v>
      </c>
      <c r="AX6" s="27">
        <f t="shared" si="7"/>
        <v>0</v>
      </c>
      <c r="BD6" s="26">
        <f t="shared" si="8"/>
        <v>0</v>
      </c>
    </row>
    <row r="7" spans="1:56" x14ac:dyDescent="0.25">
      <c r="A7" s="3" t="s">
        <v>2</v>
      </c>
      <c r="B7" s="23">
        <v>6</v>
      </c>
      <c r="C7" s="13"/>
      <c r="H7" s="24">
        <f t="shared" si="1"/>
        <v>0</v>
      </c>
      <c r="N7" s="24">
        <f t="shared" si="2"/>
        <v>0</v>
      </c>
      <c r="T7" s="24">
        <f t="shared" si="0"/>
        <v>0</v>
      </c>
      <c r="Z7" s="24">
        <f t="shared" si="3"/>
        <v>0</v>
      </c>
      <c r="AF7" s="14">
        <f t="shared" si="4"/>
        <v>0</v>
      </c>
      <c r="AL7" s="24">
        <f t="shared" si="5"/>
        <v>0</v>
      </c>
      <c r="AR7" s="27">
        <f t="shared" si="6"/>
        <v>0</v>
      </c>
      <c r="AX7" s="27">
        <f t="shared" si="7"/>
        <v>0</v>
      </c>
      <c r="BD7" s="26">
        <f t="shared" si="8"/>
        <v>0</v>
      </c>
    </row>
    <row r="8" spans="1:56" x14ac:dyDescent="0.25">
      <c r="A8" s="3" t="s">
        <v>3</v>
      </c>
      <c r="B8" s="22">
        <v>7</v>
      </c>
      <c r="C8" s="13"/>
      <c r="H8" s="24">
        <f t="shared" si="1"/>
        <v>0</v>
      </c>
      <c r="N8" s="24">
        <f t="shared" si="2"/>
        <v>0</v>
      </c>
      <c r="T8" s="24">
        <f t="shared" si="0"/>
        <v>0</v>
      </c>
      <c r="Z8" s="24">
        <f t="shared" si="3"/>
        <v>0</v>
      </c>
      <c r="AF8" s="14">
        <f t="shared" si="4"/>
        <v>0</v>
      </c>
      <c r="AL8" s="24">
        <f t="shared" si="5"/>
        <v>0</v>
      </c>
      <c r="AR8" s="27">
        <f t="shared" si="6"/>
        <v>0</v>
      </c>
      <c r="AX8" s="27">
        <f t="shared" si="7"/>
        <v>0</v>
      </c>
      <c r="BD8" s="26">
        <f t="shared" si="8"/>
        <v>0</v>
      </c>
    </row>
    <row r="9" spans="1:56" x14ac:dyDescent="0.25">
      <c r="A9" s="3" t="s">
        <v>13</v>
      </c>
      <c r="B9" s="22">
        <v>8</v>
      </c>
      <c r="C9" s="13"/>
      <c r="H9" s="24">
        <f t="shared" si="1"/>
        <v>0</v>
      </c>
      <c r="N9" s="24">
        <f t="shared" si="2"/>
        <v>0</v>
      </c>
      <c r="T9" s="24">
        <f t="shared" si="0"/>
        <v>0</v>
      </c>
      <c r="Z9" s="24">
        <f t="shared" si="3"/>
        <v>0</v>
      </c>
      <c r="AF9" s="14">
        <f t="shared" si="4"/>
        <v>0</v>
      </c>
      <c r="AL9" s="24">
        <f t="shared" si="5"/>
        <v>0</v>
      </c>
      <c r="AR9" s="27">
        <f t="shared" si="6"/>
        <v>0</v>
      </c>
      <c r="AX9" s="27">
        <f t="shared" si="7"/>
        <v>0</v>
      </c>
      <c r="BD9" s="26">
        <f t="shared" si="8"/>
        <v>0</v>
      </c>
    </row>
    <row r="10" spans="1:56" x14ac:dyDescent="0.25">
      <c r="A10" s="2" t="s">
        <v>12</v>
      </c>
      <c r="B10" s="23">
        <v>9</v>
      </c>
      <c r="C10" s="13"/>
      <c r="H10" s="24">
        <f t="shared" si="1"/>
        <v>0</v>
      </c>
      <c r="N10" s="24">
        <f t="shared" si="2"/>
        <v>0</v>
      </c>
      <c r="T10" s="24">
        <f t="shared" si="0"/>
        <v>0</v>
      </c>
      <c r="Z10" s="24">
        <f t="shared" si="3"/>
        <v>0</v>
      </c>
      <c r="AF10" s="14">
        <f t="shared" si="4"/>
        <v>0</v>
      </c>
      <c r="AL10" s="24">
        <f t="shared" si="5"/>
        <v>0</v>
      </c>
      <c r="AR10" s="27">
        <f t="shared" si="6"/>
        <v>0</v>
      </c>
      <c r="AX10" s="27">
        <f t="shared" si="7"/>
        <v>0</v>
      </c>
      <c r="BD10" s="26">
        <f t="shared" si="8"/>
        <v>0</v>
      </c>
    </row>
    <row r="11" spans="1:56" x14ac:dyDescent="0.25">
      <c r="A11" s="3" t="s">
        <v>4</v>
      </c>
      <c r="B11" s="22">
        <v>10</v>
      </c>
      <c r="C11" s="13"/>
      <c r="H11" s="24">
        <f t="shared" si="1"/>
        <v>0</v>
      </c>
      <c r="N11" s="24">
        <f t="shared" si="2"/>
        <v>0</v>
      </c>
      <c r="T11" s="24">
        <f t="shared" si="0"/>
        <v>0</v>
      </c>
      <c r="Z11" s="24">
        <f t="shared" si="3"/>
        <v>0</v>
      </c>
      <c r="AF11" s="14">
        <f t="shared" si="4"/>
        <v>0</v>
      </c>
      <c r="AL11" s="24">
        <f t="shared" si="5"/>
        <v>0</v>
      </c>
      <c r="AR11" s="27">
        <f t="shared" si="6"/>
        <v>0</v>
      </c>
      <c r="AX11" s="27">
        <f t="shared" si="7"/>
        <v>0</v>
      </c>
      <c r="BD11" s="26">
        <f t="shared" si="8"/>
        <v>0</v>
      </c>
    </row>
    <row r="12" spans="1:56" x14ac:dyDescent="0.25">
      <c r="A12" s="3" t="s">
        <v>5</v>
      </c>
      <c r="B12" s="22">
        <v>11</v>
      </c>
      <c r="C12" s="13"/>
      <c r="H12" s="24">
        <f t="shared" si="1"/>
        <v>0</v>
      </c>
      <c r="N12" s="24">
        <f t="shared" si="2"/>
        <v>0</v>
      </c>
      <c r="T12" s="24">
        <f t="shared" si="0"/>
        <v>0</v>
      </c>
      <c r="Z12" s="24">
        <f t="shared" si="3"/>
        <v>0</v>
      </c>
      <c r="AF12" s="14">
        <f t="shared" si="4"/>
        <v>0</v>
      </c>
      <c r="AL12" s="24">
        <f t="shared" si="5"/>
        <v>0</v>
      </c>
      <c r="AR12" s="27">
        <f t="shared" si="6"/>
        <v>0</v>
      </c>
      <c r="AX12" s="27">
        <f t="shared" si="7"/>
        <v>0</v>
      </c>
      <c r="BD12" s="26">
        <f t="shared" si="8"/>
        <v>0</v>
      </c>
    </row>
    <row r="13" spans="1:56" x14ac:dyDescent="0.25">
      <c r="A13" s="2" t="s">
        <v>8</v>
      </c>
      <c r="B13" s="23">
        <v>12</v>
      </c>
      <c r="C13" s="13"/>
      <c r="H13" s="24">
        <f t="shared" si="1"/>
        <v>0</v>
      </c>
      <c r="N13" s="24">
        <f t="shared" si="2"/>
        <v>0</v>
      </c>
      <c r="T13" s="24">
        <f t="shared" si="0"/>
        <v>0</v>
      </c>
      <c r="Z13" s="24">
        <f t="shared" si="3"/>
        <v>0</v>
      </c>
      <c r="AF13" s="14">
        <f t="shared" si="4"/>
        <v>0</v>
      </c>
      <c r="AL13" s="24">
        <f t="shared" si="5"/>
        <v>0</v>
      </c>
      <c r="AR13" s="27">
        <f t="shared" si="6"/>
        <v>0</v>
      </c>
      <c r="AX13" s="27">
        <f t="shared" si="7"/>
        <v>0</v>
      </c>
      <c r="BD13" s="26">
        <f t="shared" si="8"/>
        <v>0</v>
      </c>
    </row>
    <row r="14" spans="1:56" x14ac:dyDescent="0.25">
      <c r="A14" s="3" t="s">
        <v>6</v>
      </c>
      <c r="B14" s="22">
        <v>13</v>
      </c>
      <c r="C14" s="13"/>
      <c r="H14" s="24">
        <f t="shared" si="1"/>
        <v>0</v>
      </c>
      <c r="N14" s="24">
        <f t="shared" si="2"/>
        <v>0</v>
      </c>
      <c r="T14" s="24">
        <f t="shared" si="0"/>
        <v>0</v>
      </c>
      <c r="Z14" s="24">
        <f t="shared" si="3"/>
        <v>0</v>
      </c>
      <c r="AF14" s="14">
        <f t="shared" si="4"/>
        <v>0</v>
      </c>
      <c r="AL14" s="24">
        <f t="shared" si="5"/>
        <v>0</v>
      </c>
      <c r="AR14" s="27">
        <f t="shared" si="6"/>
        <v>0</v>
      </c>
      <c r="AX14" s="27">
        <f t="shared" si="7"/>
        <v>0</v>
      </c>
      <c r="BD14" s="26">
        <f t="shared" si="8"/>
        <v>0</v>
      </c>
    </row>
    <row r="15" spans="1:56" x14ac:dyDescent="0.25">
      <c r="A15" s="2" t="s">
        <v>7</v>
      </c>
      <c r="B15" s="22">
        <v>14</v>
      </c>
      <c r="C15" s="13"/>
      <c r="H15" s="24">
        <f t="shared" si="1"/>
        <v>0</v>
      </c>
      <c r="N15" s="24">
        <f t="shared" si="2"/>
        <v>0</v>
      </c>
      <c r="T15" s="24">
        <f t="shared" si="0"/>
        <v>0</v>
      </c>
      <c r="Z15" s="24">
        <f t="shared" si="3"/>
        <v>0</v>
      </c>
      <c r="AF15" s="14">
        <f t="shared" si="4"/>
        <v>0</v>
      </c>
      <c r="AL15" s="24">
        <f t="shared" si="5"/>
        <v>0</v>
      </c>
      <c r="AR15" s="27">
        <f t="shared" si="6"/>
        <v>0</v>
      </c>
      <c r="AX15" s="27">
        <f t="shared" si="7"/>
        <v>0</v>
      </c>
      <c r="BD15" s="26">
        <f t="shared" si="8"/>
        <v>0</v>
      </c>
    </row>
    <row r="16" spans="1:56" x14ac:dyDescent="0.25">
      <c r="A16" s="19" t="s">
        <v>14</v>
      </c>
      <c r="B16" s="20">
        <v>15</v>
      </c>
      <c r="C16" s="15"/>
      <c r="D16" s="16"/>
      <c r="E16" s="16"/>
      <c r="F16" s="16"/>
      <c r="G16" s="16"/>
      <c r="H16" s="17">
        <f t="shared" si="1"/>
        <v>0</v>
      </c>
      <c r="I16" s="16"/>
      <c r="J16" s="16"/>
      <c r="K16" s="16"/>
      <c r="L16" s="16"/>
      <c r="M16" s="16"/>
      <c r="N16" s="17">
        <f t="shared" si="2"/>
        <v>0</v>
      </c>
      <c r="O16" s="16"/>
      <c r="P16" s="16"/>
      <c r="Q16" s="16"/>
      <c r="R16" s="16"/>
      <c r="S16" s="16"/>
      <c r="T16" s="17">
        <f t="shared" si="0"/>
        <v>0</v>
      </c>
      <c r="U16" s="16"/>
      <c r="V16" s="16"/>
      <c r="W16" s="16"/>
      <c r="X16" s="16"/>
      <c r="Y16" s="16"/>
      <c r="Z16" s="17">
        <f t="shared" si="3"/>
        <v>0</v>
      </c>
      <c r="AA16" s="16"/>
      <c r="AB16" s="16"/>
      <c r="AC16" s="16"/>
      <c r="AD16" s="16"/>
      <c r="AE16" s="16"/>
      <c r="AF16" s="21">
        <f t="shared" si="4"/>
        <v>0</v>
      </c>
      <c r="AG16" s="16"/>
      <c r="AH16" s="16"/>
      <c r="AI16" s="16"/>
      <c r="AJ16" s="16"/>
      <c r="AK16" s="16"/>
      <c r="AL16" s="24">
        <f t="shared" si="5"/>
        <v>0</v>
      </c>
      <c r="AM16" s="16"/>
      <c r="AN16" s="16"/>
      <c r="AO16" s="16"/>
      <c r="AP16" s="16"/>
      <c r="AQ16" s="16"/>
      <c r="AR16" s="27">
        <f t="shared" si="6"/>
        <v>0</v>
      </c>
      <c r="AS16" s="16"/>
      <c r="AT16" s="16"/>
      <c r="AU16" s="16"/>
      <c r="AV16" s="16"/>
      <c r="AW16" s="16"/>
      <c r="AX16" s="27">
        <f t="shared" si="7"/>
        <v>0</v>
      </c>
      <c r="AY16" s="16"/>
      <c r="AZ16" s="16"/>
      <c r="BA16" s="16"/>
      <c r="BB16" s="16"/>
      <c r="BC16" s="16"/>
      <c r="BD16" s="26">
        <f t="shared" si="8"/>
        <v>0</v>
      </c>
    </row>
    <row r="17" spans="1:19" x14ac:dyDescent="0.25">
      <c r="A17" s="1" t="s">
        <v>11</v>
      </c>
      <c r="C17" s="4"/>
      <c r="D17" s="4"/>
      <c r="E17" s="4"/>
      <c r="F17" s="4"/>
      <c r="G17" s="4"/>
      <c r="H17" s="4"/>
      <c r="K17" s="4"/>
      <c r="M17" s="4"/>
      <c r="S17" s="4"/>
    </row>
    <row r="18" spans="1:19" x14ac:dyDescent="0.25">
      <c r="A18" s="1" t="s">
        <v>10</v>
      </c>
      <c r="C18" s="4"/>
    </row>
  </sheetData>
  <customSheetViews>
    <customSheetView guid="{9B623083-AA7B-440B-95EA-C33E1AB3D963}" showAutoFilter="1">
      <selection sqref="A1:XFD1048576"/>
      <pageMargins left="0.511811024" right="0.511811024" top="0.78740157499999996" bottom="0.78740157499999996" header="0.31496062000000002" footer="0.31496062000000002"/>
      <autoFilter ref="A1:A18" xr:uid="{BF271923-2E17-4185-AD1F-8A5F1E3FD0FD}"/>
    </customSheetView>
    <customSheetView guid="{20CB6D8F-C24D-4D4B-A424-AF380F620455}" showPageBreaks="1" topLeftCell="A12">
      <selection activeCell="A9" sqref="A9"/>
      <pageMargins left="0.511811024" right="0.511811024" top="0.78740157499999996" bottom="0.78740157499999996" header="0.31496062000000002" footer="0.31496062000000002"/>
      <pageSetup paperSize="9" orientation="portrait" r:id="rId1"/>
    </customSheetView>
    <customSheetView guid="{B3CDE377-BA5D-4E06-91D9-3A48E1959BA5}">
      <selection activeCell="E1" sqref="E1:E1048576"/>
      <pageMargins left="0.511811024" right="0.511811024" top="0.78740157499999996" bottom="0.78740157499999996" header="0.31496062000000002" footer="0.31496062000000002"/>
    </customSheetView>
    <customSheetView guid="{18A482E0-C8B6-4AA1-9E04-15FA7C9CD5E3}">
      <pane xSplit="1" topLeftCell="BS1" activePane="topRight" state="frozen"/>
      <selection pane="topRight" activeCell="CF1" sqref="CF1"/>
      <pageMargins left="0.511811024" right="0.511811024" top="0.78740157499999996" bottom="0.78740157499999996" header="0.31496062000000002" footer="0.31496062000000002"/>
    </customSheetView>
    <customSheetView guid="{C69767F5-CD39-44C1-AD4B-CE19DC8285A6}" topLeftCell="A12">
      <selection activeCell="A9" sqref="A9"/>
      <pageMargins left="0.511811024" right="0.511811024" top="0.78740157499999996" bottom="0.78740157499999996" header="0.31496062000000002" footer="0.31496062000000002"/>
    </customSheetView>
    <customSheetView guid="{552DFCCD-1786-4D75-8B10-27DD730384DD}">
      <selection activeCell="C13" sqref="C13"/>
      <pageMargins left="0.511811024" right="0.511811024" top="0.78740157499999996" bottom="0.78740157499999996" header="0.31496062000000002" footer="0.31496062000000002"/>
    </customSheetView>
    <customSheetView guid="{E3841903-5B68-44FD-8F09-58E03D1025C5}">
      <selection activeCell="A9" sqref="A9:XFD9"/>
      <pageMargins left="0.511811024" right="0.511811024" top="0.78740157499999996" bottom="0.78740157499999996" header="0.31496062000000002" footer="0.31496062000000002"/>
    </customSheetView>
    <customSheetView guid="{86039CF8-B158-4D70-9A6F-A10C29CBD68A}">
      <selection activeCell="S1" sqref="S1:S1048576"/>
      <pageMargins left="0.511811024" right="0.511811024" top="0.78740157499999996" bottom="0.78740157499999996" header="0.31496062000000002" footer="0.31496062000000002"/>
    </customSheetView>
    <customSheetView guid="{3D987F8E-A6EA-454D-9537-6BFC5053CB00}">
      <selection activeCell="BA18" sqref="BA18"/>
      <pageMargins left="0.511811024" right="0.511811024" top="0.78740157499999996" bottom="0.78740157499999996" header="0.31496062000000002" footer="0.31496062000000002"/>
    </customSheetView>
  </customSheetViews>
  <pageMargins left="0.511811024" right="0.511811024" top="0.78740157499999996" bottom="0.78740157499999996" header="0.31496062000000002" footer="0.31496062000000002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24"/>
  <sheetViews>
    <sheetView zoomScaleNormal="110" workbookViewId="0">
      <selection activeCell="C1" sqref="C1:C1048576"/>
    </sheetView>
  </sheetViews>
  <sheetFormatPr defaultRowHeight="15" x14ac:dyDescent="0.25"/>
  <cols>
    <col min="1" max="1" width="77.140625" customWidth="1"/>
    <col min="2" max="2" width="46.42578125" style="7" customWidth="1"/>
    <col min="3" max="3" width="9.7109375" customWidth="1"/>
    <col min="4" max="4" width="9.5703125" customWidth="1"/>
    <col min="5" max="5" width="9.28515625" customWidth="1"/>
    <col min="6" max="6" width="11.7109375" customWidth="1"/>
    <col min="7" max="7" width="10.140625" customWidth="1"/>
    <col min="8" max="15" width="9.28515625" bestFit="1" customWidth="1"/>
  </cols>
  <sheetData>
    <row r="1" spans="1:15" ht="36" x14ac:dyDescent="0.25">
      <c r="A1" s="61" t="s">
        <v>9</v>
      </c>
      <c r="B1" s="62" t="s">
        <v>20</v>
      </c>
      <c r="C1" s="63" t="s">
        <v>39</v>
      </c>
      <c r="D1" s="63" t="s">
        <v>40</v>
      </c>
      <c r="E1" s="63" t="s">
        <v>41</v>
      </c>
      <c r="F1" s="63" t="s">
        <v>42</v>
      </c>
      <c r="G1" s="63" t="s">
        <v>43</v>
      </c>
      <c r="H1" s="63" t="s">
        <v>44</v>
      </c>
      <c r="I1" s="63" t="s">
        <v>45</v>
      </c>
      <c r="J1" s="63" t="s">
        <v>46</v>
      </c>
      <c r="K1" s="63" t="s">
        <v>47</v>
      </c>
      <c r="L1" s="63" t="s">
        <v>48</v>
      </c>
      <c r="M1" s="63" t="s">
        <v>49</v>
      </c>
      <c r="N1" s="63" t="s">
        <v>50</v>
      </c>
      <c r="O1" s="63" t="s">
        <v>51</v>
      </c>
    </row>
    <row r="2" spans="1:15" x14ac:dyDescent="0.25">
      <c r="A2" s="64" t="s">
        <v>18</v>
      </c>
      <c r="B2" s="65" t="s">
        <v>21</v>
      </c>
      <c r="C2" s="66">
        <f>Diego!H2+Aelton!H2+Leonam!H2+Danilo!H2+Marcos!H2+Alessandro!H2+Carlos!H2</f>
        <v>1</v>
      </c>
      <c r="D2" s="66">
        <f>Diego!N2+Aelton!N2+Leonam!N2+Danilo!N2+Marcos!N2+Carlos!N2+Alessandro!N2</f>
        <v>0</v>
      </c>
      <c r="E2" s="66">
        <f>Diego!T2+Aelton!T2+Leonam!T2+Danilo!T2+Marcos!T2+Carlos!T2+Alessandro!T2</f>
        <v>34</v>
      </c>
      <c r="F2" s="66">
        <f>Diego!Z2+Aelton!Z2+Leonam!Z2+Danilo!Z2+Marcos!Z2+Carlos!Z2+Alessandro!Z2</f>
        <v>0</v>
      </c>
      <c r="G2" s="66">
        <f>Diego!AF2+Aelton!AF2+Leonam!AF2+Danilo!AF2+Marcos!AF2+Carlos!AF2+Alessandro!AF2</f>
        <v>8</v>
      </c>
      <c r="H2" s="66">
        <f>Diego!AL2+Aelton!AL2+Leonam!AL2+Danilo!AL2+Marcos!AL2+Carlos!AL2+Alessandro!AL2</f>
        <v>95</v>
      </c>
      <c r="I2" s="66">
        <f>Diego!AR2+Aelton!AR2+Leonam!AR2+Danilo!AR2+Marcos!AR2+Carlos!AR2+Alessandro!AR2</f>
        <v>14</v>
      </c>
      <c r="J2" s="66">
        <f>Diego!AX2+Aelton!AX2+Leonam!AX2+Danilo!AX2+Marcos!AX2+Carlos!AX2+Alessandro!AX2</f>
        <v>0</v>
      </c>
      <c r="K2" s="66">
        <f>Diego!BD2+Aelton!BD2+Leonam!BD2+Danilo!BD2+Marcos!BD2+Carlos!BD2+Alessandro!BD2</f>
        <v>0</v>
      </c>
      <c r="L2" s="66">
        <f>Diego!BJ2+Aelton!BJ2+Leonam!BJ2+Danilo!BJ2+Marcos!BJ2+Carlos!BJ2+Alessandro!BJ2</f>
        <v>0</v>
      </c>
      <c r="M2" s="66">
        <f>Diego!BP2+Aelton!BP2+Leonam!BP2+Danilo!BP2+Marcos!BP2+Carlos!BP2+Alessandro!BP2</f>
        <v>0</v>
      </c>
      <c r="N2" s="66">
        <f>Diego!BV2+Aelton!BV2+Leonam!BV2+Danilo!BV2+Marcos!BV2+Carlos!BV2+Alessandro!BV2</f>
        <v>0</v>
      </c>
      <c r="O2" s="66">
        <f>Diego!CB2+Aelton!CB2+Leonam!CB2+Danilo!CBH2+Marcos!CBH2+Carlos!CB2+Alessandro!CB2</f>
        <v>1</v>
      </c>
    </row>
    <row r="3" spans="1:15" ht="24" x14ac:dyDescent="0.25">
      <c r="A3" s="2" t="s">
        <v>0</v>
      </c>
      <c r="B3" s="67" t="s">
        <v>22</v>
      </c>
      <c r="C3" s="68">
        <f>Diego!H3+Aelton!AF3+Leonam!H3+Danilo!H3+Marcos!H3+Alessandro!H3+Carlos!H3</f>
        <v>0</v>
      </c>
      <c r="D3" s="68">
        <f>Diego!N3+Aelton!N3+Leonam!N3+Danilo!N3+Marcos!N3+Carlos!N3+Alessandro!N3</f>
        <v>0</v>
      </c>
      <c r="E3" s="68">
        <f>Diego!T3+Aelton!T3+Leonam!T3+Danilo!T3+Marcos!T3+Carlos!T3+Alessandro!T3</f>
        <v>0</v>
      </c>
      <c r="F3" s="68">
        <f>Diego!Z3+Aelton!Z3+Leonam!Z3+Danilo!Z3+Marcos!Z3+Carlos!Z3+Alessandro!Z3</f>
        <v>0</v>
      </c>
      <c r="G3" s="68">
        <f>Diego!AF3+Aelton!AF3+Leonam!AF3+Danilo!AF3+Marcos!AF3+Carlos!AF3+Alessandro!AF3</f>
        <v>10</v>
      </c>
      <c r="H3" s="68">
        <f>Diego!AL3+Aelton!AL3+Leonam!AL3+Danilo!AL3+Marcos!AL3+Carlos!AL3+Alessandro!AL3</f>
        <v>45</v>
      </c>
      <c r="I3" s="68">
        <f>Diego!AR3+Aelton!AR3+Leonam!AR3+Danilo!AR3+Marcos!AR3+Carlos!AR3+Alessandro!AR3</f>
        <v>0</v>
      </c>
      <c r="J3" s="68">
        <f>Diego!AX3+Aelton!AX3+Leonam!AX3+Danilo!AX3+Marcos!AX3+Carlos!AX3+Alessandro!AX3</f>
        <v>2</v>
      </c>
      <c r="K3" s="68">
        <f>Diego!BD3+Aelton!BD3+Leonam!BD3+Danilo!BD3+Marcos!BD3+Carlos!BD3+Alessandro!BD3</f>
        <v>0</v>
      </c>
      <c r="L3" s="68">
        <f>Diego!BJ3+Aelton!BJ3+Leonam!BJ3+Danilo!BJ3+Marcos!BJ3+Carlos!BJ3+Alessandro!BJ3</f>
        <v>0</v>
      </c>
      <c r="M3" s="68">
        <f>Diego!BP3+Aelton!BP3+Leonam!BP3+Danilo!BP3+Marcos!BP3+Carlos!BP3+Alessandro!BP3</f>
        <v>0</v>
      </c>
      <c r="N3" s="68">
        <f>Diego!BV3+Aelton!BV3+Leonam!BV3+Danilo!BV3+Marcos!BV3+Carlos!BV3+Alessandro!BV3</f>
        <v>0</v>
      </c>
      <c r="O3" s="68">
        <f>Diego!CB3+Aelton!CB3+Leonam!CB3+Danilo!CBH3+Marcos!CBH3+Carlos!CB3+Alessandro!CB3</f>
        <v>0</v>
      </c>
    </row>
    <row r="4" spans="1:15" x14ac:dyDescent="0.25">
      <c r="A4" s="69" t="s">
        <v>17</v>
      </c>
      <c r="B4" s="70" t="s">
        <v>21</v>
      </c>
      <c r="C4" s="66">
        <f>Diego!H4+Aelton!AF4+Leonam!H4+Danilo!H4+Marcos!H4+Alessandro!H4+Carlos!H4</f>
        <v>20</v>
      </c>
      <c r="D4" s="66">
        <f>Diego!N4+Aelton!N4+Leonam!N4+Danilo!N4+Marcos!N4+Carlos!N4+Alessandro!N4</f>
        <v>0</v>
      </c>
      <c r="E4" s="66">
        <f>Diego!T4+Aelton!T4+Leonam!T4+Danilo!T4+Marcos!T4+Carlos!T4+Alessandro!T4</f>
        <v>0</v>
      </c>
      <c r="F4" s="66">
        <f>Diego!Z4+Aelton!Z4+Leonam!Z4+Danilo!Z4+Marcos!Z4+Carlos!Z4+Alessandro!Z4</f>
        <v>176</v>
      </c>
      <c r="G4" s="66">
        <f>Diego!AF4+Aelton!AF4+Leonam!AF4+Danilo!AF4+Marcos!AF4+Carlos!AF4+Alessandro!AF4</f>
        <v>35</v>
      </c>
      <c r="H4" s="66">
        <f>Diego!AL4+Aelton!AL4+Leonam!AL4+Danilo!AL4+Marcos!AL4+Carlos!AL4+Alessandro!AL4</f>
        <v>3</v>
      </c>
      <c r="I4" s="66">
        <f>Diego!AR4+Aelton!AR4+Leonam!AR4+Danilo!AR4+Marcos!AR4+Carlos!AR4+Alessandro!AR4</f>
        <v>50</v>
      </c>
      <c r="J4" s="66">
        <f>Diego!AX4+Aelton!AX4+Leonam!AX4+Danilo!AX4+Marcos!AX4+Carlos!AX4+Alessandro!AX4</f>
        <v>2</v>
      </c>
      <c r="K4" s="66">
        <f>Diego!BD4+Aelton!BD4+Leonam!BD4+Danilo!BD4+Marcos!BD4+Carlos!BD4+Alessandro!BD4</f>
        <v>0</v>
      </c>
      <c r="L4" s="66">
        <f>Diego!BJ4+Aelton!BJ4+Leonam!BJ4+Danilo!BJ4+Marcos!BJ4+Carlos!BJ4+Alessandro!BJ4</f>
        <v>0</v>
      </c>
      <c r="M4" s="66">
        <f>Diego!BP4+Aelton!BP4+Leonam!BP4+Danilo!BP4+Marcos!BP4+Carlos!BP4+Alessandro!BP4</f>
        <v>0</v>
      </c>
      <c r="N4" s="66">
        <f>Diego!BV4+Aelton!BV4+Leonam!BV4+Danilo!BV4+Marcos!BV4+Carlos!BV4+Alessandro!BV4</f>
        <v>0</v>
      </c>
      <c r="O4" s="66">
        <f>Diego!CB4+Aelton!CB4+Leonam!CB4+Danilo!CBH4+Marcos!CBH4+Carlos!CB4+Alessandro!CB4</f>
        <v>0</v>
      </c>
    </row>
    <row r="5" spans="1:15" x14ac:dyDescent="0.25">
      <c r="A5" s="3" t="s">
        <v>16</v>
      </c>
      <c r="B5" s="67" t="s">
        <v>21</v>
      </c>
      <c r="C5" s="68">
        <f>Diego!H5+Aelton!AF5+Leonam!H5+Danilo!H5+Marcos!H5+Alessandro!H5+Carlos!H5</f>
        <v>0</v>
      </c>
      <c r="D5" s="68">
        <f>Diego!N5+Aelton!N5+Leonam!N5+Danilo!N5+Marcos!N5+Carlos!N5+Alessandro!N5</f>
        <v>0</v>
      </c>
      <c r="E5" s="68">
        <f>Diego!T5+Aelton!T5+Leonam!T5+Danilo!T5+Marcos!T5+Carlos!T5+Alessandro!T5</f>
        <v>0</v>
      </c>
      <c r="F5" s="68">
        <f>Diego!Z5+Aelton!Z5+Leonam!Z5+Danilo!Z5+Marcos!Z5+Carlos!Z5+Alessandro!Z5</f>
        <v>0</v>
      </c>
      <c r="G5" s="68">
        <f>Diego!AF5+Aelton!AF5+Leonam!AF5+Danilo!AF5+Marcos!AF5+Carlos!AF5+Alessandro!AF5</f>
        <v>0</v>
      </c>
      <c r="H5" s="68">
        <f>Diego!AL5+Aelton!AL5+Leonam!AL5+Danilo!AL5+Marcos!AL5+Carlos!AL5+Alessandro!AL5</f>
        <v>0</v>
      </c>
      <c r="I5" s="68">
        <f>Diego!AR5+Aelton!AR5+Leonam!AR5+Danilo!AR5+Marcos!AR5+Carlos!AR5+Alessandro!AR5</f>
        <v>26</v>
      </c>
      <c r="J5" s="68">
        <f>Diego!AX5+Aelton!AX5+Leonam!AX5+Danilo!AX5+Marcos!AX5+Carlos!AX5+Alessandro!AX5</f>
        <v>0</v>
      </c>
      <c r="K5" s="68">
        <f>Diego!BD5+Aelton!BD5+Leonam!BD5+Danilo!BD5+Marcos!BD5+Carlos!BD5+Alessandro!BD5</f>
        <v>0</v>
      </c>
      <c r="L5" s="68">
        <f>Diego!BJ5+Aelton!BJ5+Leonam!BJ5+Danilo!BJ5+Marcos!BJ5+Carlos!BJ5+Alessandro!BJ5</f>
        <v>0</v>
      </c>
      <c r="M5" s="68">
        <f>Diego!BP5+Aelton!BP5+Leonam!BP5+Danilo!BP5+Marcos!BP5+Carlos!BP5+Alessandro!BP5</f>
        <v>1</v>
      </c>
      <c r="N5" s="68">
        <f>Diego!BV5+Aelton!BV5+Leonam!BV5+Danilo!BV5+Marcos!BV5+Carlos!BV5+Alessandro!BV5</f>
        <v>0</v>
      </c>
      <c r="O5" s="68">
        <f>Diego!CB5+Aelton!CB5+Leonam!CB5+Danilo!CBH5+Marcos!CBH5+Carlos!CB5+Alessandro!CB5</f>
        <v>0</v>
      </c>
    </row>
    <row r="6" spans="1:15" ht="24" x14ac:dyDescent="0.25">
      <c r="A6" s="69" t="s">
        <v>1</v>
      </c>
      <c r="B6" s="71" t="s">
        <v>38</v>
      </c>
      <c r="C6" s="66">
        <f>Diego!H6+Aelton!AF6+Leonam!H6+Danilo!H6+Marcos!H6+Alessandro!H6+Carlos!H6</f>
        <v>0</v>
      </c>
      <c r="D6" s="66">
        <f>Diego!N6+Aelton!N6+Leonam!N6+Danilo!N6+Marcos!N6+Carlos!N6+Alessandro!N6</f>
        <v>0</v>
      </c>
      <c r="E6" s="66">
        <f>Diego!T6+Aelton!T6+Leonam!T6+Danilo!T6+Marcos!T6+Carlos!T6+Alessandro!T6</f>
        <v>0</v>
      </c>
      <c r="F6" s="66">
        <f>Diego!Z6+Aelton!Z6+Leonam!Z6+Danilo!Z6+Marcos!Z6+Carlos!Z6+Alessandro!Z6</f>
        <v>0</v>
      </c>
      <c r="G6" s="66">
        <f>Diego!AF6+Aelton!AF6+Leonam!AF6+Danilo!AF6+Marcos!AF6+Carlos!AF6+Alessandro!AF6</f>
        <v>0</v>
      </c>
      <c r="H6" s="66">
        <f>Diego!AL6+Aelton!AL6+Leonam!AL6+Danilo!AL6+Marcos!AL6+Carlos!AL6+Alessandro!AL6</f>
        <v>0</v>
      </c>
      <c r="I6" s="66">
        <f>Diego!AR6+Aelton!AR6+Leonam!AR6+Danilo!AR6+Marcos!AR6+Carlos!AR6+Alessandro!AR6</f>
        <v>0</v>
      </c>
      <c r="J6" s="66">
        <f>Diego!AX6+Aelton!AX6+Leonam!AX6+Danilo!AX6+Marcos!AX6+Carlos!AX6+Alessandro!AX6</f>
        <v>0</v>
      </c>
      <c r="K6" s="66">
        <f>Diego!BD6+Aelton!BD6+Leonam!BD6+Danilo!BD6+Marcos!BD6+Carlos!BD6+Alessandro!BD6</f>
        <v>0</v>
      </c>
      <c r="L6" s="66">
        <f>Diego!BJ6+Aelton!BJ6+Leonam!BJ6+Danilo!BJ6+Marcos!BJ6+Carlos!BJ6+Alessandro!BJ6</f>
        <v>0</v>
      </c>
      <c r="M6" s="66">
        <f>Diego!BP6+Aelton!BP6+Leonam!BP6+Danilo!BP6+Marcos!BP6+Carlos!BP6+Alessandro!BP6</f>
        <v>0</v>
      </c>
      <c r="N6" s="66">
        <f>Diego!BV6+Aelton!BV6+Leonam!BV6+Danilo!BV6+Marcos!BV6+Carlos!BV6+Alessandro!BV6</f>
        <v>0</v>
      </c>
      <c r="O6" s="66">
        <f>Diego!CB6+Aelton!CB6+Leonam!CB6+Danilo!CBH6+Marcos!CBH6+Carlos!CB6+Alessandro!CB6</f>
        <v>0</v>
      </c>
    </row>
    <row r="7" spans="1:15" x14ac:dyDescent="0.25">
      <c r="A7" s="3" t="s">
        <v>2</v>
      </c>
      <c r="B7" s="67" t="s">
        <v>23</v>
      </c>
      <c r="C7" s="68">
        <f>Diego!H7+Aelton!AF7+Leonam!H7+Danilo!H7+Marcos!H7+Alessandro!H7+Carlos!H7</f>
        <v>0</v>
      </c>
      <c r="D7" s="68">
        <f>Diego!N7+Aelton!N7+Leonam!N7+Danilo!N7+Marcos!N7+Carlos!N7+Alessandro!N7</f>
        <v>0</v>
      </c>
      <c r="E7" s="68">
        <f>Diego!T7+Aelton!T7+Leonam!T7+Danilo!T7+Marcos!T7+Carlos!T7+Alessandro!T7</f>
        <v>0</v>
      </c>
      <c r="F7" s="68">
        <f>Diego!Z7+Aelton!Z7+Leonam!Z7+Danilo!Z7+Marcos!Z7+Carlos!Z7+Alessandro!Z7</f>
        <v>0</v>
      </c>
      <c r="G7" s="68">
        <f>Diego!AF7+Aelton!AF7+Leonam!AF7+Danilo!AF7+Marcos!AF7+Carlos!AF7+Alessandro!AF7</f>
        <v>0</v>
      </c>
      <c r="H7" s="68">
        <f>Diego!AL7+Aelton!AL7+Leonam!AL7+Danilo!AL7+Marcos!AL7+Carlos!AL7+Alessandro!AL7</f>
        <v>0</v>
      </c>
      <c r="I7" s="68">
        <f>Diego!AR7+Aelton!AR7+Leonam!AR7+Danilo!AR7+Marcos!AR7+Carlos!AR7+Alessandro!AR7</f>
        <v>0</v>
      </c>
      <c r="J7" s="68">
        <f>Diego!AX7+Aelton!AX7+Leonam!AX7+Danilo!AX7+Marcos!AX7+Carlos!AX7+Alessandro!AX7</f>
        <v>0</v>
      </c>
      <c r="K7" s="68">
        <f>Diego!BD7+Aelton!BD7+Leonam!BD7+Danilo!BD7+Marcos!BD7+Carlos!BD7+Alessandro!BD7</f>
        <v>0</v>
      </c>
      <c r="L7" s="68">
        <f>Diego!BJ7+Aelton!BJ7+Leonam!BJ7+Danilo!BJ7+Marcos!BJ7+Carlos!BJ7+Alessandro!BJ7</f>
        <v>0</v>
      </c>
      <c r="M7" s="68">
        <f>Diego!BP7+Aelton!BP7+Leonam!BP7+Danilo!BP7+Marcos!BP7+Carlos!BP7+Alessandro!BP7</f>
        <v>0</v>
      </c>
      <c r="N7" s="68">
        <f>Diego!BV7+Aelton!BV7+Leonam!BV7+Danilo!BV7+Marcos!BV7+Carlos!BV7+Alessandro!BV7</f>
        <v>0</v>
      </c>
      <c r="O7" s="68">
        <f>Diego!CB7+Aelton!CB7+Leonam!CB7+Danilo!CBH7+Marcos!CBH7+Carlos!CB7+Alessandro!CB7</f>
        <v>0</v>
      </c>
    </row>
    <row r="8" spans="1:15" ht="24" x14ac:dyDescent="0.25">
      <c r="A8" s="69" t="s">
        <v>3</v>
      </c>
      <c r="B8" s="71" t="s">
        <v>24</v>
      </c>
      <c r="C8" s="66">
        <f>Diego!H8+Aelton!AF8+Leonam!H8+Danilo!H8+Marcos!H8+Alessandro!H8+Carlos!H8</f>
        <v>0</v>
      </c>
      <c r="D8" s="66">
        <f>Diego!N8+Aelton!N8+Leonam!N8+Danilo!N8+Marcos!N8+Carlos!N8+Alessandro!N8</f>
        <v>0</v>
      </c>
      <c r="E8" s="66">
        <f>Diego!T8+Aelton!T8+Leonam!T8+Danilo!T8+Marcos!T8+Carlos!T8+Alessandro!T8</f>
        <v>0</v>
      </c>
      <c r="F8" s="66">
        <f>Diego!Z8+Aelton!Z8+Leonam!Z8+Danilo!Z8+Marcos!Z8+Carlos!Z8+Alessandro!Z8</f>
        <v>0</v>
      </c>
      <c r="G8" s="66">
        <f>Diego!AF8+Aelton!AF8+Leonam!AF8+Danilo!AF8+Marcos!AF8+Carlos!AF8+Alessandro!AF8</f>
        <v>0</v>
      </c>
      <c r="H8" s="66">
        <f>Diego!AL8+Aelton!AL8+Leonam!AL8+Danilo!AL8+Marcos!AL8+Carlos!AL8+Alessandro!AL8</f>
        <v>0</v>
      </c>
      <c r="I8" s="66">
        <f>Diego!AR8+Aelton!AR8+Leonam!AR8+Danilo!AR8+Marcos!AR8+Carlos!AR8+Alessandro!AR8</f>
        <v>0</v>
      </c>
      <c r="J8" s="66">
        <f>Diego!AX8+Aelton!AX8+Leonam!AX8+Danilo!AX8+Marcos!AX8+Carlos!AX8+Alessandro!AX8</f>
        <v>0</v>
      </c>
      <c r="K8" s="66">
        <f>Diego!BD8+Aelton!BD8+Leonam!BD8+Danilo!BD8+Marcos!BD8+Carlos!BD8+Alessandro!BD8</f>
        <v>0</v>
      </c>
      <c r="L8" s="66">
        <f>Diego!BJ8+Aelton!BJ8+Leonam!BJ8+Danilo!BJ8+Marcos!BJ8+Carlos!BJ8+Alessandro!BJ8</f>
        <v>0</v>
      </c>
      <c r="M8" s="66">
        <f>Diego!BP8+Aelton!BP8+Leonam!BP8+Danilo!BP8+Marcos!BP8+Carlos!BP8+Alessandro!BP8</f>
        <v>0</v>
      </c>
      <c r="N8" s="66">
        <f>Diego!BV8+Aelton!BV8+Leonam!BV8+Danilo!BV8+Marcos!BV8+Carlos!BV8+Alessandro!BV8</f>
        <v>0</v>
      </c>
      <c r="O8" s="66">
        <f>Diego!CB8+Aelton!CB8+Leonam!CB8+Danilo!CBH8+Marcos!CBH8+Carlos!CB8+Alessandro!CB8</f>
        <v>0</v>
      </c>
    </row>
    <row r="9" spans="1:15" x14ac:dyDescent="0.25">
      <c r="A9" s="3" t="s">
        <v>25</v>
      </c>
      <c r="B9" s="67" t="s">
        <v>23</v>
      </c>
      <c r="C9" s="68">
        <f>Diego!H9+Aelton!AF9+Leonam!H9+Danilo!H9+Marcos!H9+Alessandro!H9+Carlos!H9</f>
        <v>0</v>
      </c>
      <c r="D9" s="68">
        <f>Diego!N9+Aelton!N9+Leonam!N9+Danilo!N9+Marcos!N9+Carlos!N9+Alessandro!N9</f>
        <v>0</v>
      </c>
      <c r="E9" s="68">
        <f>Diego!T9+Aelton!T9+Leonam!T9+Danilo!T9+Marcos!T9+Carlos!T9+Alessandro!T9</f>
        <v>0</v>
      </c>
      <c r="F9" s="68">
        <f>Diego!Z9+Aelton!Z9+Leonam!Z9+Danilo!Z9+Marcos!Z9+Carlos!Z9+Alessandro!Z9</f>
        <v>0</v>
      </c>
      <c r="G9" s="68">
        <f>Diego!AF9+Aelton!AF9+Leonam!AF9+Danilo!AF9+Marcos!AF9+Carlos!AF9+Alessandro!AF9</f>
        <v>0</v>
      </c>
      <c r="H9" s="68">
        <f>Diego!AL9+Aelton!AL9+Leonam!AL9+Danilo!AL9+Marcos!AL9+Carlos!AL9+Alessandro!AL9</f>
        <v>0</v>
      </c>
      <c r="I9" s="68">
        <f>Diego!AR9+Aelton!AR9+Leonam!AR9+Danilo!AR9+Marcos!AR9+Carlos!AR9+Alessandro!AR9</f>
        <v>0</v>
      </c>
      <c r="J9" s="68">
        <f>Diego!AX9+Aelton!AX9+Leonam!AX9+Danilo!AX9+Marcos!AX9+Carlos!AX9+Alessandro!AX9</f>
        <v>0</v>
      </c>
      <c r="K9" s="68">
        <f>Diego!BD9+Aelton!BD9+Leonam!BD9+Danilo!BD9+Marcos!BD9+Carlos!BD9+Alessandro!BD9</f>
        <v>0</v>
      </c>
      <c r="L9" s="68">
        <f>Diego!BJ9+Aelton!BJ9+Leonam!BJ9+Danilo!BJ9+Marcos!BJ9+Carlos!BJ9+Alessandro!BJ9</f>
        <v>0</v>
      </c>
      <c r="M9" s="68">
        <f>Diego!BP9+Aelton!BP9+Leonam!BP9+Danilo!BP9+Marcos!BP9+Carlos!BP9+Alessandro!BP9</f>
        <v>0</v>
      </c>
      <c r="N9" s="68">
        <f>Diego!BV9+Aelton!BV9+Leonam!BV9+Danilo!BV9+Marcos!BV9+Carlos!BV9+Alessandro!BV9</f>
        <v>0</v>
      </c>
      <c r="O9" s="68">
        <f>Diego!CB9+Aelton!CB9+Leonam!CB9+Danilo!CBH9+Marcos!CBH9+Carlos!CB9+Alessandro!CB9</f>
        <v>0</v>
      </c>
    </row>
    <row r="10" spans="1:15" x14ac:dyDescent="0.25">
      <c r="A10" s="69" t="s">
        <v>12</v>
      </c>
      <c r="B10" s="70" t="s">
        <v>23</v>
      </c>
      <c r="C10" s="66">
        <f>Diego!H10+Aelton!AF10+Leonam!H10+Danilo!H10+Marcos!H10+Alessandro!H10+Carlos!H10</f>
        <v>0</v>
      </c>
      <c r="D10" s="66">
        <f>Diego!N10+Aelton!N10+Leonam!N10+Danilo!N10+Marcos!N10+Carlos!N10+Alessandro!N10</f>
        <v>0</v>
      </c>
      <c r="E10" s="66">
        <f>Diego!T10+Aelton!T10+Leonam!T10+Danilo!T10+Marcos!T10+Carlos!T10+Alessandro!T10</f>
        <v>0</v>
      </c>
      <c r="F10" s="66">
        <f>Diego!Z10+Aelton!Z10+Leonam!Z10+Danilo!Z10+Marcos!Z10+Carlos!Z10+Alessandro!Z10</f>
        <v>0</v>
      </c>
      <c r="G10" s="66">
        <f>Diego!AF10+Aelton!AF10+Leonam!AF10+Danilo!AF10+Marcos!AF10+Carlos!AF10+Alessandro!AF10</f>
        <v>0</v>
      </c>
      <c r="H10" s="66">
        <f>Diego!AL10+Aelton!AL10+Leonam!AL10+Danilo!AL10+Marcos!AL10+Carlos!AL10+Alessandro!AL10</f>
        <v>0</v>
      </c>
      <c r="I10" s="66">
        <f>Diego!AR10+Aelton!AR10+Leonam!AR10+Danilo!AR10+Marcos!AR10+Carlos!AR10+Alessandro!AR10</f>
        <v>0</v>
      </c>
      <c r="J10" s="66">
        <f>Diego!AX10+Aelton!AX10+Leonam!AX10+Danilo!AX10+Marcos!AX10+Carlos!AX10+Alessandro!AX10</f>
        <v>0</v>
      </c>
      <c r="K10" s="66">
        <f>Diego!BD10+Aelton!BD10+Leonam!BD10+Danilo!BD10+Marcos!BD10+Carlos!BD10+Alessandro!BD10</f>
        <v>0</v>
      </c>
      <c r="L10" s="66">
        <f>Diego!BJ10+Aelton!BJ10+Leonam!BJ10+Danilo!BJ10+Marcos!BJ10+Carlos!BJ10+Alessandro!BJ10</f>
        <v>0</v>
      </c>
      <c r="M10" s="66">
        <f>Diego!BP10+Aelton!BP10+Leonam!BP10+Danilo!BP10+Marcos!BP10+Carlos!BP10+Alessandro!BP10</f>
        <v>0</v>
      </c>
      <c r="N10" s="66">
        <f>Diego!BV10+Aelton!BV10+Leonam!BV10+Danilo!BV10+Marcos!BV10+Carlos!BV10+Alessandro!BV10</f>
        <v>0</v>
      </c>
      <c r="O10" s="66">
        <f>Diego!CB10+Aelton!CB10+Leonam!CB10+Danilo!CBH10+Marcos!CBH10+Carlos!CB10+Alessandro!CB10</f>
        <v>0</v>
      </c>
    </row>
    <row r="11" spans="1:15" x14ac:dyDescent="0.25">
      <c r="A11" s="3" t="s">
        <v>4</v>
      </c>
      <c r="B11" s="72" t="s">
        <v>23</v>
      </c>
      <c r="C11" s="68">
        <f>Diego!H11+Aelton!AF11+Leonam!H11+Danilo!H11+Marcos!H11+Alessandro!H11+Carlos!H11</f>
        <v>0</v>
      </c>
      <c r="D11" s="68">
        <f>Diego!N11+Aelton!N11+Leonam!N11+Danilo!N11+Marcos!N11+Carlos!N11+Alessandro!N11</f>
        <v>0</v>
      </c>
      <c r="E11" s="68">
        <f>Diego!T11+Aelton!T11+Leonam!T11+Danilo!T11+Marcos!T11+Carlos!T11+Alessandro!T11</f>
        <v>0</v>
      </c>
      <c r="F11" s="68">
        <f>Diego!Z11+Aelton!Z11+Leonam!Z11+Danilo!Z11+Marcos!Z11+Carlos!Z11+Alessandro!Z11</f>
        <v>0</v>
      </c>
      <c r="G11" s="68">
        <f>Diego!AF11+Aelton!AF11+Leonam!AF11+Danilo!AF11+Marcos!AF11+Carlos!AF11+Alessandro!AF11</f>
        <v>0</v>
      </c>
      <c r="H11" s="68">
        <f>Diego!AL11+Aelton!AL11+Leonam!AL11+Danilo!AL11+Marcos!AL11+Carlos!AL11+Alessandro!AL11</f>
        <v>0</v>
      </c>
      <c r="I11" s="68">
        <f>Diego!AR11+Aelton!AR11+Leonam!AR11+Danilo!AR11+Marcos!AR11+Carlos!AR11+Alessandro!AR11</f>
        <v>0</v>
      </c>
      <c r="J11" s="68">
        <f>Diego!AX11+Aelton!AX11+Leonam!AX11+Danilo!AX11+Marcos!AX11+Carlos!AX11+Alessandro!AX11</f>
        <v>0</v>
      </c>
      <c r="K11" s="68">
        <f>Diego!BD11+Aelton!BD11+Leonam!BD11+Danilo!BD11+Marcos!BD11+Carlos!BD11+Alessandro!BD11</f>
        <v>0</v>
      </c>
      <c r="L11" s="68">
        <f>Diego!BJ11+Aelton!BJ11+Leonam!BJ11+Danilo!BJ11+Marcos!BJ11+Carlos!BJ11+Alessandro!BJ11</f>
        <v>0</v>
      </c>
      <c r="M11" s="68">
        <f>Diego!BP11+Aelton!BP11+Leonam!BP11+Danilo!BP11+Marcos!BP11+Carlos!BP11+Alessandro!BP11</f>
        <v>0</v>
      </c>
      <c r="N11" s="68">
        <f>Diego!BV11+Aelton!BV11+Leonam!BV11+Danilo!BV11+Marcos!BV11+Carlos!BV11+Alessandro!BV11</f>
        <v>0</v>
      </c>
      <c r="O11" s="68">
        <f>Diego!CB11+Aelton!CB11+Leonam!CB11+Danilo!CBH11+Marcos!CBH11+Carlos!CB11+Alessandro!CB11</f>
        <v>0</v>
      </c>
    </row>
    <row r="12" spans="1:15" x14ac:dyDescent="0.25">
      <c r="A12" s="69" t="s">
        <v>5</v>
      </c>
      <c r="B12" s="71" t="s">
        <v>23</v>
      </c>
      <c r="C12" s="66">
        <f>Diego!H12+Aelton!AF12+Leonam!H12+Danilo!H12+Marcos!H12+Alessandro!H12+Carlos!H12</f>
        <v>0</v>
      </c>
      <c r="D12" s="66">
        <f>Diego!N12+Aelton!N12+Leonam!N12+Danilo!N12+Marcos!N12+Carlos!N12+Alessandro!N12</f>
        <v>0</v>
      </c>
      <c r="E12" s="66">
        <f>Diego!T12+Aelton!T12+Leonam!T12+Danilo!T12+Marcos!T12+Carlos!T12+Alessandro!T12</f>
        <v>0</v>
      </c>
      <c r="F12" s="66">
        <f>Diego!Z12+Aelton!Z12+Leonam!Z12+Danilo!Z12+Marcos!Z12+Carlos!Z12+Alessandro!Z12</f>
        <v>0</v>
      </c>
      <c r="G12" s="66">
        <f>Diego!AF12+Aelton!AF12+Leonam!AF12+Danilo!AF12+Marcos!AF12+Carlos!AF12+Alessandro!AF12</f>
        <v>0</v>
      </c>
      <c r="H12" s="66">
        <f>Diego!AL12+Aelton!AL12+Leonam!AL12+Danilo!AL12+Marcos!AL12+Carlos!AL12+Alessandro!AL12</f>
        <v>0</v>
      </c>
      <c r="I12" s="66">
        <f>Diego!AR12+Aelton!AR12+Leonam!AR12+Danilo!AR12+Marcos!AR12+Carlos!AR12+Alessandro!AR12</f>
        <v>0</v>
      </c>
      <c r="J12" s="66">
        <f>Diego!AX12+Aelton!AX12+Leonam!AX12+Danilo!AX12+Marcos!AX12+Carlos!AX12+Alessandro!AX12</f>
        <v>0</v>
      </c>
      <c r="K12" s="66">
        <f>Diego!BD12+Aelton!BD12+Leonam!BD12+Danilo!BD12+Marcos!BD12+Carlos!BD12+Alessandro!BD12</f>
        <v>0</v>
      </c>
      <c r="L12" s="66">
        <f>Diego!BJ12+Aelton!BJ12+Leonam!BJ12+Danilo!BJ12+Marcos!BJ12+Carlos!BJ12+Alessandro!BJ12</f>
        <v>0</v>
      </c>
      <c r="M12" s="66">
        <f>Diego!BP12+Aelton!BP12+Leonam!BP12+Danilo!BP12+Marcos!BP12+Carlos!BP12+Alessandro!BP12</f>
        <v>0</v>
      </c>
      <c r="N12" s="66">
        <f>Diego!BV12+Aelton!BV12+Leonam!BV12+Danilo!BV12+Marcos!BV12+Carlos!BV12+Alessandro!BV12</f>
        <v>0</v>
      </c>
      <c r="O12" s="66">
        <f>Diego!CB12+Aelton!CB12+Leonam!CB12+Danilo!CBH12+Marcos!CBH12+Carlos!CB12+Alessandro!CB12</f>
        <v>0</v>
      </c>
    </row>
    <row r="13" spans="1:15" ht="30" x14ac:dyDescent="0.25">
      <c r="A13" s="3" t="s">
        <v>8</v>
      </c>
      <c r="B13" s="67" t="s">
        <v>21</v>
      </c>
      <c r="C13" s="68">
        <f>Diego!H13+Aelton!H13</f>
        <v>3</v>
      </c>
      <c r="D13" s="68">
        <f>Diego!N13+Aelton!N13+Leonam!N13+Danilo!N13+Marcos!N13+Alessandro!N13+Carlos!N13</f>
        <v>3</v>
      </c>
      <c r="E13" s="68">
        <f>Diego!T13+Aelton!T13+Leonam!T13+Danilo!T13+Marcos!T13+Alessandro!T13+Carlos!T13</f>
        <v>2</v>
      </c>
      <c r="F13" s="68">
        <f>Diego!Z13+Aelton!Z13+Leonam!Z13+Danilo!Z13+Marcos!Z13+Carlos!Z13+Alessandro!Z13</f>
        <v>5</v>
      </c>
      <c r="G13" s="68">
        <f>Diego!AF13+Aelton!AF13+Leonam!AF13+Danilo!AF13+Marcos!AF13+Carlos!AF13+Alessandro!AF13</f>
        <v>9</v>
      </c>
      <c r="H13" s="68">
        <f>Diego!AL13+Aelton!AL13+Leonam!AL13+Danilo!AL13+Marcos!AL13+Carlos!AL13+Alessandro!AL13</f>
        <v>3</v>
      </c>
      <c r="I13" s="68">
        <f>Diego!AR13+Aelton!AR13+Leonam!AR13+Danilo!AR13+Marcos!AR13+Carlos!AR13+Alessandro!AR13</f>
        <v>6</v>
      </c>
      <c r="J13" s="68">
        <f>Diego!AX13+Aelton!AX13+Leonam!AX13+Danilo!AX13+Marcos!AX13+Carlos!AX13+Alessandro!AX13</f>
        <v>4</v>
      </c>
      <c r="K13" s="68">
        <f>Diego!BD13+Aelton!BD13+Leonam!BD13+Danilo!BD13+Marcos!BD13+Carlos!BD13+Alessandro!BD13</f>
        <v>2</v>
      </c>
      <c r="L13" s="68">
        <f>Diego!BJ13+Aelton!BJ13+Leonam!BJ13+Danilo!BJ13+Marcos!BJ13+Carlos!BJ13+Alessandro!BJ13</f>
        <v>3</v>
      </c>
      <c r="M13" s="68">
        <f>Diego!BP13+Aelton!BP13+Leonam!BP13+Danilo!BP13+Marcos!BP13+Carlos!BP13+Alessandro!BP13</f>
        <v>4</v>
      </c>
      <c r="N13" s="68">
        <f>Diego!BV13+Aelton!BV13+Leonam!BV13+Danilo!BV13+Marcos!BV13+Carlos!BV13+Alessandro!BV13</f>
        <v>0</v>
      </c>
      <c r="O13" s="68">
        <f>Diego!CB13+Aelton!CB13+Leonam!CB13+Danilo!CBH13+Marcos!CBH13+Carlos!CB13+Alessandro!CB13</f>
        <v>1</v>
      </c>
    </row>
    <row r="14" spans="1:15" x14ac:dyDescent="0.25">
      <c r="A14" s="69" t="s">
        <v>6</v>
      </c>
      <c r="B14" s="71" t="s">
        <v>26</v>
      </c>
      <c r="C14" s="66">
        <f>Diego!H14+Aelton!AF14+Leonam!H14+Danilo!H14+Marcos!H14+Alessandro!H14+Carlos!H14</f>
        <v>0</v>
      </c>
      <c r="D14" s="66">
        <f>Diego!N14+Aelton!N14+Leonam!N14+Danilo!N14+Marcos!N14+Carlos!N14+Alessandro!N14</f>
        <v>0</v>
      </c>
      <c r="E14" s="66">
        <f>Diego!T14+Aelton!T14+Leonam!T14+Danilo!T14+Marcos!T14+Carlos!T14+Alessandro!T14</f>
        <v>1</v>
      </c>
      <c r="F14" s="66">
        <f>Diego!Z14+Aelton!Z14+Leonam!Z14+Danilo!Z14+Marcos!Z14+Carlos!Z14+Alessandro!Z14</f>
        <v>1</v>
      </c>
      <c r="G14" s="66">
        <f>Diego!AF14+Aelton!AF14+Leonam!AF14+Danilo!AF14+Marcos!AF14+Carlos!AF14+Alessandro!AF14</f>
        <v>0</v>
      </c>
      <c r="H14" s="66">
        <f>Diego!AL14+Aelton!AL14+Leonam!AL14+Danilo!AL14+Marcos!AL14+Carlos!AL14+Alessandro!AL14</f>
        <v>0</v>
      </c>
      <c r="I14" s="66">
        <f>Diego!AR14+Aelton!AR14+Leonam!AR14+Danilo!AR14+Marcos!AR14+Carlos!AR14+Alessandro!AR14</f>
        <v>2</v>
      </c>
      <c r="J14" s="66">
        <f>Diego!AX14+Aelton!AX14+Leonam!AX14+Danilo!AX14+Marcos!AX14+Carlos!AX14+Alessandro!AX14</f>
        <v>0</v>
      </c>
      <c r="K14" s="66">
        <f>Diego!BD14+Aelton!BD14+Leonam!BD14+Danilo!BD14+Marcos!BD14+Carlos!BD14+Alessandro!BD14</f>
        <v>0</v>
      </c>
      <c r="L14" s="66">
        <f>Diego!BJ14+Aelton!BJ14+Leonam!BJ14+Danilo!BJ14+Marcos!BJ14+Carlos!BJ14+Alessandro!BJ14</f>
        <v>0</v>
      </c>
      <c r="M14" s="66">
        <f>Diego!BP14+Aelton!BP14+Leonam!BP14+Danilo!BP14+Marcos!BP14+Carlos!BP14+Alessandro!BP14</f>
        <v>1</v>
      </c>
      <c r="N14" s="66">
        <f>Diego!BV14+Aelton!BV14+Leonam!BV14+Danilo!BV14+Marcos!BV14+Carlos!BV14+Alessandro!BV14</f>
        <v>0</v>
      </c>
      <c r="O14" s="66">
        <f>Diego!CB14+Aelton!CB14+Leonam!CB14+Danilo!CBH14+Marcos!CBH14+Carlos!CB14+Alessandro!CB14</f>
        <v>0</v>
      </c>
    </row>
    <row r="15" spans="1:15" ht="24" x14ac:dyDescent="0.25">
      <c r="A15" s="2" t="s">
        <v>7</v>
      </c>
      <c r="B15" s="67" t="s">
        <v>27</v>
      </c>
      <c r="C15" s="68">
        <f>Diego!H15+Aelton!H15+Leonam!H15+Danilo!H15+Marcos!H15+Alessandro!H15+Carlos!H15</f>
        <v>0</v>
      </c>
      <c r="D15" s="68">
        <f>Diego!N15+Aelton!N15+Leonam!N15+Danilo!N15+Marcos!N15+Alessandro!N15+Carlos!N15</f>
        <v>70</v>
      </c>
      <c r="E15" s="68">
        <f>Diego!T15+Aelton!T15+Leonam!T15+Danilo!T15+Marcos!T15+Alessandro!T15+Carlos!T15</f>
        <v>0</v>
      </c>
      <c r="F15" s="68">
        <f>Diego!Z15+Aelton!Z15+Leonam!Z15+Danilo!Z15+Marcos!Z15+Carlos!Z15+Alessandro!Z15</f>
        <v>0</v>
      </c>
      <c r="G15" s="68">
        <f>Diego!AF15+Aelton!AF15+Leonam!AF15+Danilo!AF15+Marcos!AF15+Carlos!AF15+Alessandro!AF15</f>
        <v>0</v>
      </c>
      <c r="H15" s="68">
        <f>Diego!AL15+Aelton!AL15+Leonam!AL15+Danilo!AL15+Marcos!AL15+Carlos!AL15+Alessandro!AL15</f>
        <v>230</v>
      </c>
      <c r="I15" s="68">
        <f>Diego!AR15+Aelton!AR15+Leonam!AR15+Danilo!AR15+Marcos!AR15+Carlos!AR15+Alessandro!AR15</f>
        <v>460</v>
      </c>
      <c r="J15" s="68">
        <f>Diego!AX15+Aelton!AX15+Leonam!AX15+Danilo!AX15+Marcos!AX15+Carlos!AX15+Alessandro!AX15</f>
        <v>0</v>
      </c>
      <c r="K15" s="68">
        <f>Diego!BD15+Aelton!BD15+Leonam!BD15+Danilo!BD15+Marcos!BD15+Carlos!BD15+Alessandro!BD15</f>
        <v>80</v>
      </c>
      <c r="L15" s="68">
        <f>Diego!BJ15+Aelton!BJ15+Leonam!BJ15+Danilo!BJ15+Marcos!BJ15+Carlos!BJ15+Alessandro!BJ15</f>
        <v>28</v>
      </c>
      <c r="M15" s="68">
        <f>Diego!BP15+Aelton!BP15+Leonam!BP15+Danilo!BP15+Marcos!BP15+Carlos!BP15+Alessandro!BP15</f>
        <v>8</v>
      </c>
      <c r="N15" s="68">
        <f>Diego!BV15+Aelton!BV15+Leonam!BV15+Danilo!BV15+Marcos!BV15+Carlos!BV15+Alessandro!BV15</f>
        <v>0</v>
      </c>
      <c r="O15" s="68">
        <f>Diego!CB15+Aelton!CB15+Leonam!CB15+Danilo!CBH15+Marcos!CBH15+Carlos!CB15+Alessandro!CB15</f>
        <v>24</v>
      </c>
    </row>
    <row r="16" spans="1:15" ht="36" x14ac:dyDescent="0.25">
      <c r="A16" s="64" t="s">
        <v>14</v>
      </c>
      <c r="B16" s="71" t="s">
        <v>28</v>
      </c>
      <c r="C16" s="66">
        <f>Diego!H16+Aelton!H16+Leonam!H16+Danilo!H16+Marcos!H16+Alessandro!H16+Carlos!H16</f>
        <v>10</v>
      </c>
      <c r="D16" s="66">
        <f>Diego!N16+Aelton!N16+Leonam!N16+Danilo!N16+Marcos!N16+Alessandro!N16+Carlos!N16</f>
        <v>2443</v>
      </c>
      <c r="E16" s="66">
        <f>Diego!T16+Aelton!T16+Leonam!T16+Danilo!T16+Marcos!T16+Alessandro!T16+Carlos!T16</f>
        <v>2871</v>
      </c>
      <c r="F16" s="66">
        <f>Diego!Z16+Aelton!Z16+Leonam!Z16+Danilo!Z16+Marcos!Z16+Carlos!Z16+Alessandro!Z16</f>
        <v>0</v>
      </c>
      <c r="G16" s="66">
        <f>Diego!AF16+Aelton!AF16+Leonam!AF16+Danilo!AF16+Marcos!AF16+Carlos!AF16+Alessandro!AF16</f>
        <v>0</v>
      </c>
      <c r="H16" s="66">
        <f>Diego!AL16+Aelton!AL16+Leonam!AL16+Danilo!AL16+Marcos!AL16+Carlos!AL16+Alessandro!AL16</f>
        <v>0</v>
      </c>
      <c r="I16" s="66">
        <f>Diego!AR16+Aelton!AR16+Leonam!AR16+Danilo!AR16+Marcos!AR16+Carlos!AR16+Alessandro!AR16</f>
        <v>0</v>
      </c>
      <c r="J16" s="66">
        <f>Diego!AX16+Aelton!AX16+Leonam!AX16+Danilo!AX16+Marcos!AX16+Carlos!AX16+Alessandro!AX16</f>
        <v>60</v>
      </c>
      <c r="K16" s="66">
        <f>Diego!BD16+Aelton!BD16+Leonam!BD16+Danilo!BD16+Marcos!BD16+Carlos!BD16+Alessandro!BD16</f>
        <v>0</v>
      </c>
      <c r="L16" s="66">
        <f>Diego!BJ16+Aelton!BJ16+Leonam!BJ16+Danilo!BJ16+Marcos!BJ16+Carlos!BJ16+Alessandro!BJ16</f>
        <v>3</v>
      </c>
      <c r="M16" s="66">
        <f>Diego!BP16+Aelton!BP16+Leonam!BP16+Danilo!BP16+Marcos!BP16+Carlos!BP16+Alessandro!BP16</f>
        <v>25</v>
      </c>
      <c r="N16" s="66">
        <f>Diego!BV16+Aelton!BV16+Leonam!BV16+Danilo!BV16+Marcos!BV16+Carlos!BV16+Alessandro!BV16</f>
        <v>0</v>
      </c>
      <c r="O16" s="66">
        <f>Diego!CB16+Aelton!CB16+Leonam!CB16+Danilo!CBH16+Marcos!CBH16+Carlos!CB16+Alessandro!CB16</f>
        <v>0</v>
      </c>
    </row>
    <row r="17" spans="1:15" x14ac:dyDescent="0.25">
      <c r="A17" s="64" t="s">
        <v>100</v>
      </c>
      <c r="B17" s="71" t="s">
        <v>101</v>
      </c>
      <c r="C17" s="66">
        <f>Diego!H17+Aelton!H17+Leonam!H17+Danilo!H17+Marcos!H17+Alessandro!H17</f>
        <v>0</v>
      </c>
      <c r="D17" s="66">
        <f>Diego!N17+Aelton!N17+Leonam!N17+Danilo!N17+Marcos!N17+Alessandro!N17+Carlos!N17</f>
        <v>0</v>
      </c>
      <c r="E17" s="66">
        <f>Diego!T17+Aelton!T17+Leonam!T17+Danilo!T17+Marcos!T17+Alessandro!T17+Carlos!T17</f>
        <v>0</v>
      </c>
      <c r="F17" s="66">
        <f>Diego!Z17+Aelton!Z17+Leonam!Z17+Danilo!Z17+Marcos!Z17+Alessandro!Z17+Carlos!Z17</f>
        <v>125</v>
      </c>
      <c r="G17" s="66">
        <f>Diego!AF17+Aelton!AF17+Leonam!AF17+Danilo!AF17+Marcos!AF17+Alessandro!AF17+Carlos!AF17</f>
        <v>70</v>
      </c>
      <c r="H17" s="66">
        <f>Diego!AL17+Aelton!AL17+Leonam!AL17+Danilo!AL17+Marcos!AL17+Alessandro!AL17+Carlos!AL17</f>
        <v>139</v>
      </c>
      <c r="I17" s="66">
        <f>Diego!AR17+Aelton!AR17+Leonam!AR17+Danilo!AR17+Marcos!AR17+Alessandro!AR17+Carlos!AR17</f>
        <v>0</v>
      </c>
      <c r="J17" s="66">
        <f>Diego!AX17+Aelton!AX17+Leonam!AX17+Danilo!AX17+Marcos!AX17+Alessandro!AX17+Carlos!AX17</f>
        <v>235</v>
      </c>
      <c r="K17" s="66">
        <f>Diego!BD17+Aelton!BD17+Leonam!BD17+Danilo!BD17+Marcos!BD17+Alessandro!BD17+Carlos!BD17</f>
        <v>196</v>
      </c>
      <c r="L17" s="66">
        <f>Diego!BJ17+Aelton!BJ17+Leonam!BJ17+Danilo!BJ17+Marcos!BJ17+Alessandro!BJ17+Carlos!BJ17</f>
        <v>153</v>
      </c>
      <c r="M17" s="66">
        <f>Diego!BP17+Aelton!BP17+Leonam!BP17+Danilo!BP17+Marcos!BP17+Alessandro!BP17+Carlos!BP17</f>
        <v>234</v>
      </c>
      <c r="N17" s="66">
        <f>Diego!BV17+Aelton!BV17+Leonam!BV17+Danilo!BV17+Marcos!BV17+Alessandro!BV17+Carlos!BV17</f>
        <v>71</v>
      </c>
      <c r="O17" s="66">
        <f>Diego!CB17+Aelton!CB17+Leonam!CB17+Danilo!CB17+Marcos!CB17+Alessandro!CB17+Carlos!CB17</f>
        <v>65</v>
      </c>
    </row>
    <row r="18" spans="1:15" ht="408" customHeight="1" x14ac:dyDescent="0.25">
      <c r="A18" s="1" t="s">
        <v>11</v>
      </c>
      <c r="B18" s="1"/>
      <c r="C18" s="4" t="s">
        <v>75</v>
      </c>
      <c r="D18" s="4" t="s">
        <v>76</v>
      </c>
      <c r="E18" s="4" t="s">
        <v>76</v>
      </c>
      <c r="F18" s="9" t="s">
        <v>172</v>
      </c>
      <c r="G18" s="4" t="s">
        <v>173</v>
      </c>
      <c r="H18" s="87" t="s">
        <v>174</v>
      </c>
      <c r="I18" s="4" t="s">
        <v>175</v>
      </c>
      <c r="J18" s="87" t="s">
        <v>176</v>
      </c>
      <c r="K18" s="87" t="s">
        <v>177</v>
      </c>
      <c r="L18" s="87" t="s">
        <v>178</v>
      </c>
      <c r="M18" s="87" t="s">
        <v>199</v>
      </c>
      <c r="N18" s="87" t="s">
        <v>199</v>
      </c>
      <c r="O18" s="87" t="s">
        <v>199</v>
      </c>
    </row>
    <row r="19" spans="1:15" x14ac:dyDescent="0.25">
      <c r="A19" s="1" t="s">
        <v>10</v>
      </c>
      <c r="B19" s="1"/>
    </row>
    <row r="21" spans="1:15" ht="38.25" customHeight="1" x14ac:dyDescent="0.25">
      <c r="A21" s="8"/>
    </row>
    <row r="23" spans="1:15" x14ac:dyDescent="0.25">
      <c r="A23" s="9"/>
    </row>
    <row r="24" spans="1:15" x14ac:dyDescent="0.25">
      <c r="A24" s="10"/>
    </row>
  </sheetData>
  <customSheetViews>
    <customSheetView guid="{9B623083-AA7B-440B-95EA-C33E1AB3D963}" showAutoFilter="1" topLeftCell="B1">
      <selection activeCell="H7" sqref="H7"/>
      <pageMargins left="0.511811024" right="0.511811024" top="0.78740157499999996" bottom="0.78740157499999996" header="0.31496062000000002" footer="0.31496062000000002"/>
      <autoFilter ref="A1:A19" xr:uid="{4EE60B8A-8862-468C-A114-31FA82B35C5C}"/>
    </customSheetView>
    <customSheetView guid="{20CB6D8F-C24D-4D4B-A424-AF380F620455}">
      <selection activeCell="C1" sqref="C1:C1048576"/>
      <pageMargins left="0.511811024" right="0.511811024" top="0.78740157499999996" bottom="0.78740157499999996" header="0.31496062000000002" footer="0.31496062000000002"/>
    </customSheetView>
    <customSheetView guid="{B3CDE377-BA5D-4E06-91D9-3A48E1959BA5}">
      <selection activeCell="C1" sqref="C1:C1048576"/>
      <pageMargins left="0.511811024" right="0.511811024" top="0.78740157499999996" bottom="0.78740157499999996" header="0.31496062000000002" footer="0.31496062000000002"/>
    </customSheetView>
    <customSheetView guid="{18A482E0-C8B6-4AA1-9E04-15FA7C9CD5E3}" scale="110">
      <pane xSplit="1" topLeftCell="H1" activePane="topRight" state="frozen"/>
      <selection pane="topRight" activeCell="Q13" sqref="Q13"/>
      <pageMargins left="0.511811024" right="0.511811024" top="0.78740157499999996" bottom="0.78740157499999996" header="0.31496062000000002" footer="0.31496062000000002"/>
    </customSheetView>
    <customSheetView guid="{E3841903-5B68-44FD-8F09-58E03D1025C5}">
      <selection activeCell="C1" sqref="C1:C1048576"/>
      <pageMargins left="0.511811024" right="0.511811024" top="0.78740157499999996" bottom="0.78740157499999996" header="0.31496062000000002" footer="0.31496062000000002"/>
    </customSheetView>
    <customSheetView guid="{86039CF8-B158-4D70-9A6F-A10C29CBD68A}">
      <selection activeCell="E3" sqref="E3"/>
      <pageMargins left="0.511811024" right="0.511811024" top="0.78740157499999996" bottom="0.78740157499999996" header="0.31496062000000002" footer="0.31496062000000002"/>
    </customSheetView>
    <customSheetView guid="{3D987F8E-A6EA-454D-9537-6BFC5053CB00}" topLeftCell="B1">
      <selection activeCell="O15" sqref="O15"/>
      <pageMargins left="0.511811024" right="0.511811024" top="0.78740157499999996" bottom="0.78740157499999996" header="0.31496062000000002" footer="0.31496062000000002"/>
    </customSheetView>
  </customSheetViews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B20"/>
  <sheetViews>
    <sheetView zoomScale="90" zoomScaleNormal="70" workbookViewId="0">
      <pane xSplit="1" topLeftCell="BM1" activePane="topRight" state="frozen"/>
      <selection pane="topRight" activeCell="BX20" sqref="BX20"/>
    </sheetView>
  </sheetViews>
  <sheetFormatPr defaultColWidth="9.140625" defaultRowHeight="15" x14ac:dyDescent="0.25"/>
  <cols>
    <col min="1" max="1" width="77.42578125" style="1" bestFit="1" customWidth="1"/>
    <col min="2" max="2" width="3" style="1" bestFit="1" customWidth="1"/>
    <col min="3" max="3" width="23.5703125" style="1" customWidth="1"/>
    <col min="4" max="4" width="18.28515625" style="1" customWidth="1"/>
    <col min="5" max="5" width="15.42578125" style="1" customWidth="1"/>
    <col min="6" max="6" width="20.85546875" style="1" customWidth="1"/>
    <col min="7" max="7" width="24.28515625" style="1" customWidth="1"/>
    <col min="8" max="8" width="14.28515625" style="1" bestFit="1" customWidth="1"/>
    <col min="9" max="13" width="10.28515625" style="1" customWidth="1"/>
    <col min="14" max="14" width="14.28515625" style="1" bestFit="1" customWidth="1"/>
    <col min="15" max="15" width="29.5703125" style="1" customWidth="1"/>
    <col min="16" max="16" width="7.140625" style="1" bestFit="1" customWidth="1"/>
    <col min="17" max="17" width="14.5703125" style="1" customWidth="1"/>
    <col min="18" max="18" width="19.7109375" style="1" customWidth="1"/>
    <col min="19" max="19" width="33.140625" style="1" customWidth="1"/>
    <col min="20" max="20" width="14.28515625" style="1" bestFit="1" customWidth="1"/>
    <col min="21" max="21" width="14.85546875" style="1" customWidth="1"/>
    <col min="22" max="22" width="14" style="1" customWidth="1"/>
    <col min="23" max="23" width="13" style="1" customWidth="1"/>
    <col min="24" max="24" width="20.28515625" style="1" customWidth="1"/>
    <col min="25" max="25" width="16.85546875" style="1" customWidth="1"/>
    <col min="26" max="26" width="14.28515625" style="1" bestFit="1" customWidth="1"/>
    <col min="27" max="27" width="13.140625" style="1" customWidth="1"/>
    <col min="28" max="29" width="9.140625" style="1"/>
    <col min="30" max="30" width="11.85546875" style="1" customWidth="1"/>
    <col min="31" max="31" width="14.5703125" style="1" customWidth="1"/>
    <col min="32" max="32" width="15.28515625" style="1" customWidth="1"/>
    <col min="33" max="33" width="19.42578125" style="1" customWidth="1"/>
    <col min="34" max="34" width="17.140625" style="1" customWidth="1"/>
    <col min="35" max="35" width="20" style="1" customWidth="1"/>
    <col min="36" max="36" width="14.140625" style="1" customWidth="1"/>
    <col min="37" max="37" width="16.5703125" style="1" customWidth="1"/>
    <col min="38" max="38" width="14.28515625" style="1" bestFit="1" customWidth="1"/>
    <col min="39" max="39" width="23.140625" style="1" customWidth="1"/>
    <col min="40" max="40" width="19.42578125" style="1" customWidth="1"/>
    <col min="41" max="41" width="15.7109375" style="1" customWidth="1"/>
    <col min="42" max="42" width="13.42578125" style="1" customWidth="1"/>
    <col min="43" max="43" width="9.140625" style="1"/>
    <col min="44" max="44" width="15.42578125" style="1" customWidth="1"/>
    <col min="45" max="47" width="9.140625" style="1"/>
    <col min="48" max="48" width="16.85546875" style="1" customWidth="1"/>
    <col min="49" max="49" width="14" style="1" customWidth="1"/>
    <col min="50" max="50" width="15.42578125" style="1" customWidth="1"/>
    <col min="51" max="51" width="13.42578125" style="1" customWidth="1"/>
    <col min="52" max="52" width="21" style="1" customWidth="1"/>
    <col min="53" max="53" width="13.85546875" style="1" customWidth="1"/>
    <col min="54" max="54" width="18.42578125" style="1" customWidth="1"/>
    <col min="55" max="55" width="14" style="1" customWidth="1"/>
    <col min="56" max="56" width="16.140625" style="1" customWidth="1"/>
    <col min="57" max="57" width="15.140625" style="1" customWidth="1"/>
    <col min="58" max="58" width="13.140625" style="1" customWidth="1"/>
    <col min="59" max="59" width="18.7109375" style="1" customWidth="1"/>
    <col min="60" max="61" width="9.140625" style="1"/>
    <col min="62" max="62" width="14.28515625" style="1" bestFit="1" customWidth="1"/>
    <col min="63" max="63" width="13.85546875" style="1" customWidth="1"/>
    <col min="64" max="64" width="11.7109375" style="1" customWidth="1"/>
    <col min="65" max="65" width="10.5703125" style="1" customWidth="1"/>
    <col min="66" max="66" width="11.5703125" style="1" customWidth="1"/>
    <col min="67" max="67" width="12.5703125" style="1" customWidth="1"/>
    <col min="68" max="68" width="14.28515625" style="1" bestFit="1" customWidth="1"/>
    <col min="69" max="73" width="9.140625" style="1"/>
    <col min="74" max="74" width="14.28515625" style="1" bestFit="1" customWidth="1"/>
    <col min="75" max="79" width="9.140625" style="1"/>
    <col min="80" max="80" width="14.28515625" style="1" bestFit="1" customWidth="1"/>
    <col min="81" max="16384" width="9.140625" style="1"/>
  </cols>
  <sheetData>
    <row r="1" spans="1:80" x14ac:dyDescent="0.25">
      <c r="A1" s="18" t="s">
        <v>9</v>
      </c>
      <c r="B1" s="28"/>
      <c r="C1" s="29">
        <v>45936</v>
      </c>
      <c r="D1" s="29">
        <v>45937</v>
      </c>
      <c r="E1" s="29">
        <v>45938</v>
      </c>
      <c r="F1" s="29">
        <v>45939</v>
      </c>
      <c r="G1" s="29">
        <v>45940</v>
      </c>
      <c r="H1" s="12" t="s">
        <v>15</v>
      </c>
      <c r="I1" s="43">
        <v>45943</v>
      </c>
      <c r="J1" s="29">
        <v>45944</v>
      </c>
      <c r="K1" s="29">
        <v>45945</v>
      </c>
      <c r="L1" s="29">
        <v>45946</v>
      </c>
      <c r="M1" s="29">
        <v>45947</v>
      </c>
      <c r="N1" s="11" t="s">
        <v>15</v>
      </c>
      <c r="O1" s="43">
        <v>45950</v>
      </c>
      <c r="P1" s="29">
        <v>45951</v>
      </c>
      <c r="Q1" s="29">
        <v>45952</v>
      </c>
      <c r="R1" s="29">
        <v>45953</v>
      </c>
      <c r="S1" s="29">
        <v>45954</v>
      </c>
      <c r="T1" s="11" t="s">
        <v>15</v>
      </c>
      <c r="U1" s="43">
        <v>45957</v>
      </c>
      <c r="V1" s="29">
        <v>45958</v>
      </c>
      <c r="W1" s="29">
        <v>45959</v>
      </c>
      <c r="X1" s="29">
        <v>45960</v>
      </c>
      <c r="Y1" s="29">
        <v>45961</v>
      </c>
      <c r="Z1" s="11" t="s">
        <v>15</v>
      </c>
      <c r="AA1" s="43">
        <v>45964</v>
      </c>
      <c r="AB1" s="29">
        <v>45965</v>
      </c>
      <c r="AC1" s="29">
        <v>45966</v>
      </c>
      <c r="AD1" s="29">
        <v>45967</v>
      </c>
      <c r="AE1" s="29">
        <v>45968</v>
      </c>
      <c r="AF1" s="11" t="s">
        <v>15</v>
      </c>
      <c r="AG1" s="43">
        <v>45971</v>
      </c>
      <c r="AH1" s="29">
        <v>45972</v>
      </c>
      <c r="AI1" s="29">
        <v>45973</v>
      </c>
      <c r="AJ1" s="29">
        <v>45974</v>
      </c>
      <c r="AK1" s="29">
        <v>45975</v>
      </c>
      <c r="AL1" s="11" t="s">
        <v>15</v>
      </c>
      <c r="AM1" s="43">
        <v>45978</v>
      </c>
      <c r="AN1" s="29">
        <v>45979</v>
      </c>
      <c r="AO1" s="29">
        <v>45980</v>
      </c>
      <c r="AP1" s="29">
        <v>45981</v>
      </c>
      <c r="AQ1" s="29">
        <v>45982</v>
      </c>
      <c r="AR1" s="11" t="s">
        <v>15</v>
      </c>
      <c r="AS1" s="43">
        <v>45985</v>
      </c>
      <c r="AT1" s="29">
        <v>45986</v>
      </c>
      <c r="AU1" s="29">
        <v>45987</v>
      </c>
      <c r="AV1" s="29">
        <v>45988</v>
      </c>
      <c r="AW1" s="29">
        <v>45989</v>
      </c>
      <c r="AX1" s="11" t="s">
        <v>15</v>
      </c>
      <c r="AY1" s="29">
        <v>45992</v>
      </c>
      <c r="AZ1" s="29">
        <v>45993</v>
      </c>
      <c r="BA1" s="29">
        <v>45994</v>
      </c>
      <c r="BB1" s="29">
        <v>45995</v>
      </c>
      <c r="BC1" s="29">
        <v>45996</v>
      </c>
      <c r="BD1" s="11" t="s">
        <v>15</v>
      </c>
      <c r="BE1" s="29">
        <v>45999</v>
      </c>
      <c r="BF1" s="29">
        <v>46000</v>
      </c>
      <c r="BG1" s="29">
        <v>46001</v>
      </c>
      <c r="BH1" s="29">
        <v>46002</v>
      </c>
      <c r="BI1" s="29">
        <v>46003</v>
      </c>
      <c r="BJ1" s="11" t="s">
        <v>15</v>
      </c>
      <c r="BK1" s="43">
        <v>46006</v>
      </c>
      <c r="BL1" s="29">
        <v>46007</v>
      </c>
      <c r="BM1" s="29">
        <v>46008</v>
      </c>
      <c r="BN1" s="29">
        <v>46009</v>
      </c>
      <c r="BO1" s="29">
        <v>46010</v>
      </c>
      <c r="BP1" s="11" t="s">
        <v>15</v>
      </c>
      <c r="BQ1" s="43">
        <v>46013</v>
      </c>
      <c r="BR1" s="29">
        <v>46014</v>
      </c>
      <c r="BS1" s="29">
        <v>46015</v>
      </c>
      <c r="BT1" s="82">
        <v>46016</v>
      </c>
      <c r="BU1" s="29">
        <v>46017</v>
      </c>
      <c r="BV1" s="11" t="s">
        <v>15</v>
      </c>
      <c r="BW1" s="43">
        <v>46020</v>
      </c>
      <c r="BX1" s="29">
        <v>46021</v>
      </c>
      <c r="BY1" s="29">
        <v>46022</v>
      </c>
      <c r="BZ1" s="82">
        <v>46023</v>
      </c>
      <c r="CA1" s="29">
        <v>46024</v>
      </c>
      <c r="CB1" s="11" t="s">
        <v>15</v>
      </c>
    </row>
    <row r="2" spans="1:80" x14ac:dyDescent="0.25">
      <c r="A2" s="2" t="s">
        <v>18</v>
      </c>
      <c r="B2" s="22">
        <v>1</v>
      </c>
      <c r="C2" s="13"/>
      <c r="H2" s="44">
        <f>SUM(C2:G2)</f>
        <v>0</v>
      </c>
      <c r="N2" s="44">
        <f>SUM(I2:M2)</f>
        <v>0</v>
      </c>
      <c r="T2" s="44">
        <f t="shared" ref="T2:T16" si="0">SUM(O2:S2)</f>
        <v>0</v>
      </c>
      <c r="U2" s="24" t="s">
        <v>73</v>
      </c>
      <c r="Z2" s="44">
        <f>SUM(U2:Y2)</f>
        <v>0</v>
      </c>
      <c r="AF2" s="44">
        <f>SUM(AA2:AE2)</f>
        <v>0</v>
      </c>
      <c r="AK2" s="1">
        <v>35</v>
      </c>
      <c r="AL2" s="44">
        <f>SUM(AG2:AK2)</f>
        <v>35</v>
      </c>
      <c r="AR2" s="44">
        <f>SUM(AM2:AQ2)</f>
        <v>0</v>
      </c>
      <c r="AX2" s="44">
        <f>SUM(AS2:AW2)</f>
        <v>0</v>
      </c>
      <c r="BD2" s="44">
        <f>SUM(AY2:BC2)</f>
        <v>0</v>
      </c>
      <c r="BJ2" s="44">
        <f>SUM(BE2:BI2)</f>
        <v>0</v>
      </c>
      <c r="BP2" s="44">
        <f>SUM(BK2:BO2)</f>
        <v>0</v>
      </c>
      <c r="BT2" s="24" t="s">
        <v>73</v>
      </c>
      <c r="BV2" s="44">
        <f>SUM(BQ2:BU2)</f>
        <v>0</v>
      </c>
      <c r="BW2" s="1" t="s">
        <v>191</v>
      </c>
      <c r="BX2" s="1" t="s">
        <v>191</v>
      </c>
      <c r="BY2" s="1" t="s">
        <v>191</v>
      </c>
      <c r="BZ2" s="24" t="s">
        <v>73</v>
      </c>
      <c r="CA2" s="1" t="s">
        <v>191</v>
      </c>
      <c r="CB2" s="44">
        <f>SUM(BW2:CA2)</f>
        <v>0</v>
      </c>
    </row>
    <row r="3" spans="1:80" x14ac:dyDescent="0.25">
      <c r="A3" s="2" t="s">
        <v>0</v>
      </c>
      <c r="B3" s="22">
        <v>2</v>
      </c>
      <c r="C3" s="13"/>
      <c r="H3" s="44">
        <f t="shared" ref="H3:H15" si="1">SUM(C3:G3)</f>
        <v>0</v>
      </c>
      <c r="N3" s="44">
        <f t="shared" ref="N3:N16" si="2">SUM(I3:M3)</f>
        <v>0</v>
      </c>
      <c r="T3" s="44">
        <f t="shared" si="0"/>
        <v>0</v>
      </c>
      <c r="U3" s="24" t="s">
        <v>73</v>
      </c>
      <c r="Z3" s="44">
        <f t="shared" ref="Z3:Z16" si="3">SUM(U3:Y3)</f>
        <v>0</v>
      </c>
      <c r="AB3" s="1">
        <v>1</v>
      </c>
      <c r="AF3" s="44">
        <f t="shared" ref="AF3:AF16" si="4">SUM(AA3:AE3)</f>
        <v>1</v>
      </c>
      <c r="AL3" s="44">
        <f t="shared" ref="AL3:AL16" si="5">SUM(AG3:AK3)</f>
        <v>0</v>
      </c>
      <c r="AR3" s="44">
        <f t="shared" ref="AR3:AR16" si="6">SUM(AM3:AQ3)</f>
        <v>0</v>
      </c>
      <c r="AS3" s="1">
        <v>1</v>
      </c>
      <c r="AV3" s="1">
        <v>1</v>
      </c>
      <c r="AX3" s="44">
        <f t="shared" ref="AX3:AX16" si="7">SUM(AS3:AW3)</f>
        <v>2</v>
      </c>
      <c r="BD3" s="44">
        <f t="shared" ref="BD3:BD16" si="8">SUM(AY3:BC3)</f>
        <v>0</v>
      </c>
      <c r="BJ3" s="44">
        <f t="shared" ref="BJ3:BJ16" si="9">SUM(BE3:BI3)</f>
        <v>0</v>
      </c>
      <c r="BP3" s="44">
        <f t="shared" ref="BP3:BP16" si="10">SUM(BK3:BO3)</f>
        <v>0</v>
      </c>
      <c r="BT3" s="24" t="s">
        <v>73</v>
      </c>
      <c r="BV3" s="44">
        <f t="shared" ref="BV3:BV16" si="11">SUM(BQ3:BU3)</f>
        <v>0</v>
      </c>
      <c r="BW3" s="1" t="s">
        <v>191</v>
      </c>
      <c r="BX3" s="1" t="s">
        <v>191</v>
      </c>
      <c r="BY3" s="1" t="s">
        <v>191</v>
      </c>
      <c r="BZ3" s="24" t="s">
        <v>73</v>
      </c>
      <c r="CA3" s="1" t="s">
        <v>191</v>
      </c>
      <c r="CB3" s="44">
        <f t="shared" ref="CB3:CB16" si="12">SUM(BW3:CA3)</f>
        <v>0</v>
      </c>
    </row>
    <row r="4" spans="1:80" x14ac:dyDescent="0.25">
      <c r="A4" s="3" t="s">
        <v>17</v>
      </c>
      <c r="B4" s="23">
        <v>3</v>
      </c>
      <c r="C4" s="13"/>
      <c r="H4" s="44">
        <f t="shared" si="1"/>
        <v>0</v>
      </c>
      <c r="N4" s="44">
        <f t="shared" si="2"/>
        <v>0</v>
      </c>
      <c r="T4" s="44">
        <f t="shared" si="0"/>
        <v>0</v>
      </c>
      <c r="U4" s="24" t="s">
        <v>73</v>
      </c>
      <c r="W4" s="1">
        <v>8</v>
      </c>
      <c r="Z4" s="44">
        <f t="shared" si="3"/>
        <v>8</v>
      </c>
      <c r="AF4" s="44">
        <f t="shared" si="4"/>
        <v>0</v>
      </c>
      <c r="AL4" s="44">
        <f t="shared" si="5"/>
        <v>0</v>
      </c>
      <c r="AR4" s="44">
        <f t="shared" si="6"/>
        <v>0</v>
      </c>
      <c r="AV4" s="1">
        <v>1</v>
      </c>
      <c r="AX4" s="44">
        <f t="shared" si="7"/>
        <v>1</v>
      </c>
      <c r="BD4" s="44">
        <f t="shared" si="8"/>
        <v>0</v>
      </c>
      <c r="BJ4" s="44">
        <f t="shared" si="9"/>
        <v>0</v>
      </c>
      <c r="BP4" s="44">
        <f t="shared" si="10"/>
        <v>0</v>
      </c>
      <c r="BT4" s="24" t="s">
        <v>73</v>
      </c>
      <c r="BV4" s="44">
        <f t="shared" si="11"/>
        <v>0</v>
      </c>
      <c r="BW4" s="1" t="s">
        <v>191</v>
      </c>
      <c r="BX4" s="1" t="s">
        <v>191</v>
      </c>
      <c r="BY4" s="1" t="s">
        <v>191</v>
      </c>
      <c r="BZ4" s="24" t="s">
        <v>73</v>
      </c>
      <c r="CA4" s="1" t="s">
        <v>191</v>
      </c>
      <c r="CB4" s="44">
        <f t="shared" si="12"/>
        <v>0</v>
      </c>
    </row>
    <row r="5" spans="1:80" x14ac:dyDescent="0.25">
      <c r="A5" s="3" t="s">
        <v>16</v>
      </c>
      <c r="B5" s="22">
        <v>4</v>
      </c>
      <c r="C5" s="13"/>
      <c r="H5" s="44">
        <f t="shared" si="1"/>
        <v>0</v>
      </c>
      <c r="N5" s="44">
        <f t="shared" si="2"/>
        <v>0</v>
      </c>
      <c r="R5" s="53"/>
      <c r="T5" s="44">
        <f t="shared" si="0"/>
        <v>0</v>
      </c>
      <c r="U5" s="24" t="s">
        <v>73</v>
      </c>
      <c r="Z5" s="44">
        <f t="shared" si="3"/>
        <v>0</v>
      </c>
      <c r="AF5" s="44">
        <f t="shared" si="4"/>
        <v>0</v>
      </c>
      <c r="AL5" s="44">
        <f t="shared" si="5"/>
        <v>0</v>
      </c>
      <c r="AR5" s="44">
        <f t="shared" si="6"/>
        <v>0</v>
      </c>
      <c r="AX5" s="44">
        <f t="shared" si="7"/>
        <v>0</v>
      </c>
      <c r="BD5" s="44">
        <f t="shared" si="8"/>
        <v>0</v>
      </c>
      <c r="BJ5" s="44">
        <f t="shared" si="9"/>
        <v>0</v>
      </c>
      <c r="BP5" s="44">
        <f t="shared" si="10"/>
        <v>0</v>
      </c>
      <c r="BT5" s="24" t="s">
        <v>73</v>
      </c>
      <c r="BV5" s="44">
        <f t="shared" si="11"/>
        <v>0</v>
      </c>
      <c r="BW5" s="1" t="s">
        <v>191</v>
      </c>
      <c r="BX5" s="1" t="s">
        <v>191</v>
      </c>
      <c r="BY5" s="1" t="s">
        <v>191</v>
      </c>
      <c r="BZ5" s="24" t="s">
        <v>73</v>
      </c>
      <c r="CA5" s="1" t="s">
        <v>191</v>
      </c>
      <c r="CB5" s="44">
        <f t="shared" si="12"/>
        <v>0</v>
      </c>
    </row>
    <row r="6" spans="1:80" x14ac:dyDescent="0.25">
      <c r="A6" s="3" t="s">
        <v>1</v>
      </c>
      <c r="B6" s="22">
        <v>5</v>
      </c>
      <c r="C6" s="13"/>
      <c r="H6" s="44">
        <f t="shared" si="1"/>
        <v>0</v>
      </c>
      <c r="N6" s="44">
        <f t="shared" si="2"/>
        <v>0</v>
      </c>
      <c r="R6" s="53"/>
      <c r="T6" s="44">
        <f t="shared" si="0"/>
        <v>0</v>
      </c>
      <c r="U6" s="24" t="s">
        <v>73</v>
      </c>
      <c r="Z6" s="44">
        <f t="shared" si="3"/>
        <v>0</v>
      </c>
      <c r="AF6" s="44">
        <f t="shared" si="4"/>
        <v>0</v>
      </c>
      <c r="AL6" s="44">
        <f t="shared" si="5"/>
        <v>0</v>
      </c>
      <c r="AR6" s="44">
        <f t="shared" si="6"/>
        <v>0</v>
      </c>
      <c r="AX6" s="44">
        <f t="shared" si="7"/>
        <v>0</v>
      </c>
      <c r="BD6" s="44">
        <f t="shared" si="8"/>
        <v>0</v>
      </c>
      <c r="BJ6" s="44">
        <f t="shared" si="9"/>
        <v>0</v>
      </c>
      <c r="BP6" s="44">
        <f t="shared" si="10"/>
        <v>0</v>
      </c>
      <c r="BT6" s="24" t="s">
        <v>73</v>
      </c>
      <c r="BV6" s="44">
        <f t="shared" si="11"/>
        <v>0</v>
      </c>
      <c r="BW6" s="1" t="s">
        <v>191</v>
      </c>
      <c r="BX6" s="1" t="s">
        <v>191</v>
      </c>
      <c r="BY6" s="1" t="s">
        <v>191</v>
      </c>
      <c r="BZ6" s="24" t="s">
        <v>73</v>
      </c>
      <c r="CA6" s="1" t="s">
        <v>191</v>
      </c>
      <c r="CB6" s="44">
        <f t="shared" si="12"/>
        <v>0</v>
      </c>
    </row>
    <row r="7" spans="1:80" x14ac:dyDescent="0.25">
      <c r="A7" s="3" t="s">
        <v>2</v>
      </c>
      <c r="B7" s="23">
        <v>6</v>
      </c>
      <c r="C7" s="13"/>
      <c r="H7" s="44">
        <f t="shared" si="1"/>
        <v>0</v>
      </c>
      <c r="N7" s="44">
        <f t="shared" si="2"/>
        <v>0</v>
      </c>
      <c r="T7" s="44">
        <f t="shared" si="0"/>
        <v>0</v>
      </c>
      <c r="U7" s="24" t="s">
        <v>73</v>
      </c>
      <c r="Z7" s="44">
        <f t="shared" si="3"/>
        <v>0</v>
      </c>
      <c r="AF7" s="44">
        <f t="shared" si="4"/>
        <v>0</v>
      </c>
      <c r="AL7" s="44">
        <f t="shared" si="5"/>
        <v>0</v>
      </c>
      <c r="AR7" s="44">
        <f t="shared" si="6"/>
        <v>0</v>
      </c>
      <c r="AX7" s="44">
        <f t="shared" si="7"/>
        <v>0</v>
      </c>
      <c r="BD7" s="44">
        <f t="shared" si="8"/>
        <v>0</v>
      </c>
      <c r="BJ7" s="44">
        <f t="shared" si="9"/>
        <v>0</v>
      </c>
      <c r="BP7" s="44">
        <f t="shared" si="10"/>
        <v>0</v>
      </c>
      <c r="BT7" s="24" t="s">
        <v>73</v>
      </c>
      <c r="BV7" s="44">
        <f t="shared" si="11"/>
        <v>0</v>
      </c>
      <c r="BW7" s="1" t="s">
        <v>191</v>
      </c>
      <c r="BX7" s="1" t="s">
        <v>191</v>
      </c>
      <c r="BY7" s="1" t="s">
        <v>191</v>
      </c>
      <c r="BZ7" s="24" t="s">
        <v>73</v>
      </c>
      <c r="CA7" s="1" t="s">
        <v>191</v>
      </c>
      <c r="CB7" s="44">
        <f t="shared" si="12"/>
        <v>0</v>
      </c>
    </row>
    <row r="8" spans="1:80" x14ac:dyDescent="0.25">
      <c r="A8" s="3" t="s">
        <v>3</v>
      </c>
      <c r="B8" s="22">
        <v>7</v>
      </c>
      <c r="C8" s="13"/>
      <c r="H8" s="44">
        <f t="shared" si="1"/>
        <v>0</v>
      </c>
      <c r="N8" s="44">
        <f t="shared" si="2"/>
        <v>0</v>
      </c>
      <c r="T8" s="44">
        <f t="shared" si="0"/>
        <v>0</v>
      </c>
      <c r="U8" s="24" t="s">
        <v>73</v>
      </c>
      <c r="Z8" s="44">
        <f t="shared" si="3"/>
        <v>0</v>
      </c>
      <c r="AF8" s="44">
        <f t="shared" si="4"/>
        <v>0</v>
      </c>
      <c r="AL8" s="44">
        <f t="shared" si="5"/>
        <v>0</v>
      </c>
      <c r="AR8" s="44">
        <f t="shared" si="6"/>
        <v>0</v>
      </c>
      <c r="AX8" s="44">
        <f t="shared" si="7"/>
        <v>0</v>
      </c>
      <c r="BD8" s="44">
        <f t="shared" si="8"/>
        <v>0</v>
      </c>
      <c r="BJ8" s="44">
        <f t="shared" si="9"/>
        <v>0</v>
      </c>
      <c r="BP8" s="44">
        <f t="shared" si="10"/>
        <v>0</v>
      </c>
      <c r="BT8" s="24" t="s">
        <v>73</v>
      </c>
      <c r="BV8" s="44">
        <f t="shared" si="11"/>
        <v>0</v>
      </c>
      <c r="BW8" s="1" t="s">
        <v>191</v>
      </c>
      <c r="BX8" s="1" t="s">
        <v>191</v>
      </c>
      <c r="BY8" s="1" t="s">
        <v>191</v>
      </c>
      <c r="BZ8" s="24" t="s">
        <v>73</v>
      </c>
      <c r="CA8" s="1" t="s">
        <v>191</v>
      </c>
      <c r="CB8" s="44">
        <f t="shared" si="12"/>
        <v>0</v>
      </c>
    </row>
    <row r="9" spans="1:80" x14ac:dyDescent="0.25">
      <c r="A9" s="3" t="s">
        <v>13</v>
      </c>
      <c r="B9" s="22">
        <v>8</v>
      </c>
      <c r="C9" s="13"/>
      <c r="H9" s="44">
        <f t="shared" si="1"/>
        <v>0</v>
      </c>
      <c r="N9" s="44">
        <f t="shared" si="2"/>
        <v>0</v>
      </c>
      <c r="T9" s="44">
        <f t="shared" si="0"/>
        <v>0</v>
      </c>
      <c r="U9" s="24" t="s">
        <v>73</v>
      </c>
      <c r="Z9" s="44">
        <f t="shared" si="3"/>
        <v>0</v>
      </c>
      <c r="AF9" s="44">
        <f t="shared" si="4"/>
        <v>0</v>
      </c>
      <c r="AL9" s="44">
        <f t="shared" si="5"/>
        <v>0</v>
      </c>
      <c r="AR9" s="44">
        <f t="shared" si="6"/>
        <v>0</v>
      </c>
      <c r="AX9" s="44">
        <f t="shared" si="7"/>
        <v>0</v>
      </c>
      <c r="BD9" s="44">
        <f t="shared" si="8"/>
        <v>0</v>
      </c>
      <c r="BJ9" s="44">
        <f t="shared" si="9"/>
        <v>0</v>
      </c>
      <c r="BP9" s="44">
        <f t="shared" si="10"/>
        <v>0</v>
      </c>
      <c r="BT9" s="24" t="s">
        <v>73</v>
      </c>
      <c r="BV9" s="44">
        <f t="shared" si="11"/>
        <v>0</v>
      </c>
      <c r="BW9" s="1" t="s">
        <v>191</v>
      </c>
      <c r="BX9" s="1" t="s">
        <v>191</v>
      </c>
      <c r="BY9" s="1" t="s">
        <v>191</v>
      </c>
      <c r="BZ9" s="24" t="s">
        <v>73</v>
      </c>
      <c r="CA9" s="1" t="s">
        <v>191</v>
      </c>
      <c r="CB9" s="44">
        <f t="shared" si="12"/>
        <v>0</v>
      </c>
    </row>
    <row r="10" spans="1:80" x14ac:dyDescent="0.25">
      <c r="A10" s="2" t="s">
        <v>12</v>
      </c>
      <c r="B10" s="23">
        <v>9</v>
      </c>
      <c r="C10" s="13"/>
      <c r="H10" s="44">
        <f t="shared" si="1"/>
        <v>0</v>
      </c>
      <c r="N10" s="44">
        <f t="shared" si="2"/>
        <v>0</v>
      </c>
      <c r="T10" s="44">
        <f t="shared" si="0"/>
        <v>0</v>
      </c>
      <c r="U10" s="24" t="s">
        <v>73</v>
      </c>
      <c r="Z10" s="44">
        <f t="shared" si="3"/>
        <v>0</v>
      </c>
      <c r="AF10" s="44">
        <f t="shared" si="4"/>
        <v>0</v>
      </c>
      <c r="AL10" s="44">
        <f t="shared" si="5"/>
        <v>0</v>
      </c>
      <c r="AR10" s="44">
        <f t="shared" si="6"/>
        <v>0</v>
      </c>
      <c r="AX10" s="44">
        <f t="shared" si="7"/>
        <v>0</v>
      </c>
      <c r="BD10" s="44">
        <f t="shared" si="8"/>
        <v>0</v>
      </c>
      <c r="BJ10" s="44">
        <f t="shared" si="9"/>
        <v>0</v>
      </c>
      <c r="BP10" s="44">
        <f t="shared" si="10"/>
        <v>0</v>
      </c>
      <c r="BT10" s="24" t="s">
        <v>73</v>
      </c>
      <c r="BV10" s="44">
        <f t="shared" si="11"/>
        <v>0</v>
      </c>
      <c r="BW10" s="1" t="s">
        <v>191</v>
      </c>
      <c r="BX10" s="1" t="s">
        <v>191</v>
      </c>
      <c r="BY10" s="1" t="s">
        <v>191</v>
      </c>
      <c r="BZ10" s="24" t="s">
        <v>73</v>
      </c>
      <c r="CA10" s="1" t="s">
        <v>191</v>
      </c>
      <c r="CB10" s="44">
        <f t="shared" si="12"/>
        <v>0</v>
      </c>
    </row>
    <row r="11" spans="1:80" x14ac:dyDescent="0.25">
      <c r="A11" s="3" t="s">
        <v>4</v>
      </c>
      <c r="B11" s="22">
        <v>10</v>
      </c>
      <c r="C11" s="13"/>
      <c r="H11" s="44">
        <f t="shared" si="1"/>
        <v>0</v>
      </c>
      <c r="N11" s="44">
        <f t="shared" si="2"/>
        <v>0</v>
      </c>
      <c r="T11" s="44">
        <f t="shared" si="0"/>
        <v>0</v>
      </c>
      <c r="U11" s="24" t="s">
        <v>73</v>
      </c>
      <c r="Z11" s="44">
        <f t="shared" si="3"/>
        <v>0</v>
      </c>
      <c r="AF11" s="44">
        <f t="shared" si="4"/>
        <v>0</v>
      </c>
      <c r="AL11" s="44">
        <f t="shared" si="5"/>
        <v>0</v>
      </c>
      <c r="AR11" s="44">
        <f t="shared" si="6"/>
        <v>0</v>
      </c>
      <c r="AX11" s="44">
        <f t="shared" si="7"/>
        <v>0</v>
      </c>
      <c r="BD11" s="44">
        <f t="shared" si="8"/>
        <v>0</v>
      </c>
      <c r="BJ11" s="44">
        <f t="shared" si="9"/>
        <v>0</v>
      </c>
      <c r="BP11" s="44">
        <f t="shared" si="10"/>
        <v>0</v>
      </c>
      <c r="BT11" s="24" t="s">
        <v>73</v>
      </c>
      <c r="BV11" s="44">
        <f t="shared" si="11"/>
        <v>0</v>
      </c>
      <c r="BW11" s="1" t="s">
        <v>191</v>
      </c>
      <c r="BX11" s="1" t="s">
        <v>191</v>
      </c>
      <c r="BY11" s="1" t="s">
        <v>191</v>
      </c>
      <c r="BZ11" s="24" t="s">
        <v>73</v>
      </c>
      <c r="CA11" s="1" t="s">
        <v>191</v>
      </c>
      <c r="CB11" s="44">
        <f t="shared" si="12"/>
        <v>0</v>
      </c>
    </row>
    <row r="12" spans="1:80" x14ac:dyDescent="0.25">
      <c r="A12" s="3" t="s">
        <v>5</v>
      </c>
      <c r="B12" s="22">
        <v>11</v>
      </c>
      <c r="C12" s="13"/>
      <c r="H12" s="44">
        <f t="shared" si="1"/>
        <v>0</v>
      </c>
      <c r="N12" s="44">
        <f t="shared" si="2"/>
        <v>0</v>
      </c>
      <c r="T12" s="44">
        <f t="shared" si="0"/>
        <v>0</v>
      </c>
      <c r="U12" s="24" t="s">
        <v>73</v>
      </c>
      <c r="Z12" s="44">
        <f t="shared" si="3"/>
        <v>0</v>
      </c>
      <c r="AF12" s="44">
        <f t="shared" si="4"/>
        <v>0</v>
      </c>
      <c r="AL12" s="44">
        <f t="shared" si="5"/>
        <v>0</v>
      </c>
      <c r="AR12" s="44">
        <f t="shared" si="6"/>
        <v>0</v>
      </c>
      <c r="AX12" s="44">
        <f t="shared" si="7"/>
        <v>0</v>
      </c>
      <c r="BD12" s="44">
        <f t="shared" si="8"/>
        <v>0</v>
      </c>
      <c r="BJ12" s="44">
        <f t="shared" si="9"/>
        <v>0</v>
      </c>
      <c r="BP12" s="44">
        <f t="shared" si="10"/>
        <v>0</v>
      </c>
      <c r="BT12" s="24" t="s">
        <v>73</v>
      </c>
      <c r="BV12" s="44">
        <f t="shared" si="11"/>
        <v>0</v>
      </c>
      <c r="BW12" s="1" t="s">
        <v>191</v>
      </c>
      <c r="BX12" s="1" t="s">
        <v>191</v>
      </c>
      <c r="BY12" s="1" t="s">
        <v>191</v>
      </c>
      <c r="BZ12" s="24" t="s">
        <v>73</v>
      </c>
      <c r="CA12" s="1" t="s">
        <v>191</v>
      </c>
      <c r="CB12" s="44">
        <f t="shared" si="12"/>
        <v>0</v>
      </c>
    </row>
    <row r="13" spans="1:80" x14ac:dyDescent="0.25">
      <c r="A13" s="2" t="s">
        <v>8</v>
      </c>
      <c r="B13" s="23">
        <v>12</v>
      </c>
      <c r="C13" s="13">
        <v>2</v>
      </c>
      <c r="H13" s="44">
        <f t="shared" si="1"/>
        <v>2</v>
      </c>
      <c r="N13" s="44">
        <f t="shared" si="2"/>
        <v>0</v>
      </c>
      <c r="T13" s="44">
        <f t="shared" si="0"/>
        <v>0</v>
      </c>
      <c r="U13" s="24" t="s">
        <v>73</v>
      </c>
      <c r="Z13" s="44">
        <f t="shared" si="3"/>
        <v>0</v>
      </c>
      <c r="AF13" s="44">
        <f t="shared" si="4"/>
        <v>0</v>
      </c>
      <c r="AL13" s="44">
        <f t="shared" si="5"/>
        <v>0</v>
      </c>
      <c r="AR13" s="44">
        <f t="shared" si="6"/>
        <v>0</v>
      </c>
      <c r="AV13" s="1">
        <v>1</v>
      </c>
      <c r="AX13" s="44">
        <f t="shared" si="7"/>
        <v>1</v>
      </c>
      <c r="BD13" s="44">
        <f t="shared" si="8"/>
        <v>0</v>
      </c>
      <c r="BJ13" s="44">
        <f t="shared" si="9"/>
        <v>0</v>
      </c>
      <c r="BP13" s="44">
        <f t="shared" si="10"/>
        <v>0</v>
      </c>
      <c r="BT13" s="24" t="s">
        <v>73</v>
      </c>
      <c r="BV13" s="44">
        <f t="shared" si="11"/>
        <v>0</v>
      </c>
      <c r="BW13" s="1" t="s">
        <v>191</v>
      </c>
      <c r="BX13" s="1" t="s">
        <v>191</v>
      </c>
      <c r="BY13" s="1" t="s">
        <v>191</v>
      </c>
      <c r="BZ13" s="24" t="s">
        <v>73</v>
      </c>
      <c r="CA13" s="1" t="s">
        <v>191</v>
      </c>
      <c r="CB13" s="44">
        <f t="shared" si="12"/>
        <v>0</v>
      </c>
    </row>
    <row r="14" spans="1:80" x14ac:dyDescent="0.25">
      <c r="A14" s="3" t="s">
        <v>6</v>
      </c>
      <c r="B14" s="22">
        <v>13</v>
      </c>
      <c r="C14" s="13"/>
      <c r="H14" s="44">
        <f t="shared" si="1"/>
        <v>0</v>
      </c>
      <c r="N14" s="44">
        <f t="shared" si="2"/>
        <v>0</v>
      </c>
      <c r="T14" s="44">
        <f t="shared" si="0"/>
        <v>0</v>
      </c>
      <c r="U14" s="24" t="s">
        <v>73</v>
      </c>
      <c r="Z14" s="44">
        <f t="shared" si="3"/>
        <v>0</v>
      </c>
      <c r="AF14" s="44">
        <f t="shared" si="4"/>
        <v>0</v>
      </c>
      <c r="AL14" s="44">
        <f t="shared" si="5"/>
        <v>0</v>
      </c>
      <c r="AR14" s="44">
        <f t="shared" si="6"/>
        <v>0</v>
      </c>
      <c r="AX14" s="44">
        <f t="shared" si="7"/>
        <v>0</v>
      </c>
      <c r="BD14" s="44">
        <f t="shared" si="8"/>
        <v>0</v>
      </c>
      <c r="BJ14" s="44">
        <f t="shared" si="9"/>
        <v>0</v>
      </c>
      <c r="BP14" s="44">
        <f t="shared" si="10"/>
        <v>0</v>
      </c>
      <c r="BT14" s="24" t="s">
        <v>73</v>
      </c>
      <c r="BV14" s="44">
        <f t="shared" si="11"/>
        <v>0</v>
      </c>
      <c r="BW14" s="1" t="s">
        <v>191</v>
      </c>
      <c r="BX14" s="1" t="s">
        <v>191</v>
      </c>
      <c r="BY14" s="1" t="s">
        <v>191</v>
      </c>
      <c r="BZ14" s="24" t="s">
        <v>73</v>
      </c>
      <c r="CA14" s="1" t="s">
        <v>191</v>
      </c>
      <c r="CB14" s="44">
        <f t="shared" si="12"/>
        <v>0</v>
      </c>
    </row>
    <row r="15" spans="1:80" x14ac:dyDescent="0.25">
      <c r="A15" s="2" t="s">
        <v>7</v>
      </c>
      <c r="B15" s="50">
        <v>14</v>
      </c>
      <c r="H15" s="44">
        <f t="shared" si="1"/>
        <v>0</v>
      </c>
      <c r="N15" s="44">
        <f t="shared" si="2"/>
        <v>0</v>
      </c>
      <c r="T15" s="44">
        <f t="shared" si="0"/>
        <v>0</v>
      </c>
      <c r="U15" s="24" t="s">
        <v>73</v>
      </c>
      <c r="Z15" s="44">
        <f t="shared" si="3"/>
        <v>0</v>
      </c>
      <c r="AF15" s="44">
        <f t="shared" si="4"/>
        <v>0</v>
      </c>
      <c r="AI15" s="1">
        <v>40</v>
      </c>
      <c r="AK15" s="1">
        <v>65</v>
      </c>
      <c r="AL15" s="44">
        <f t="shared" si="5"/>
        <v>105</v>
      </c>
      <c r="AM15" s="1">
        <v>100</v>
      </c>
      <c r="AN15" s="1">
        <v>126</v>
      </c>
      <c r="AR15" s="44">
        <f t="shared" si="6"/>
        <v>226</v>
      </c>
      <c r="AX15" s="44">
        <f t="shared" si="7"/>
        <v>0</v>
      </c>
      <c r="BD15" s="44">
        <f t="shared" si="8"/>
        <v>0</v>
      </c>
      <c r="BJ15" s="44">
        <f t="shared" si="9"/>
        <v>0</v>
      </c>
      <c r="BP15" s="44">
        <f t="shared" si="10"/>
        <v>0</v>
      </c>
      <c r="BT15" s="24" t="s">
        <v>73</v>
      </c>
      <c r="BV15" s="44">
        <f t="shared" si="11"/>
        <v>0</v>
      </c>
      <c r="BW15" s="1" t="s">
        <v>191</v>
      </c>
      <c r="BX15" s="1" t="s">
        <v>191</v>
      </c>
      <c r="BY15" s="1" t="s">
        <v>191</v>
      </c>
      <c r="BZ15" s="24" t="s">
        <v>73</v>
      </c>
      <c r="CA15" s="1" t="s">
        <v>191</v>
      </c>
      <c r="CB15" s="44">
        <f t="shared" si="12"/>
        <v>0</v>
      </c>
    </row>
    <row r="16" spans="1:80" x14ac:dyDescent="0.25">
      <c r="A16" s="2" t="s">
        <v>14</v>
      </c>
      <c r="B16" s="51">
        <v>15</v>
      </c>
      <c r="C16" s="1">
        <v>10</v>
      </c>
      <c r="F16" s="49"/>
      <c r="G16" s="49"/>
      <c r="H16" s="44">
        <f>SUM(C16:G16)</f>
        <v>10</v>
      </c>
      <c r="I16" s="1">
        <v>150</v>
      </c>
      <c r="J16" s="1">
        <v>150</v>
      </c>
      <c r="K16" s="1">
        <v>150</v>
      </c>
      <c r="L16" s="1">
        <v>150</v>
      </c>
      <c r="M16" s="1">
        <v>150</v>
      </c>
      <c r="N16" s="44">
        <f t="shared" si="2"/>
        <v>750</v>
      </c>
      <c r="P16" s="1">
        <v>150</v>
      </c>
      <c r="Q16" s="1">
        <v>150</v>
      </c>
      <c r="R16" s="1">
        <v>150</v>
      </c>
      <c r="S16" s="1">
        <v>150</v>
      </c>
      <c r="T16" s="44">
        <f t="shared" si="0"/>
        <v>600</v>
      </c>
      <c r="U16" s="24" t="s">
        <v>73</v>
      </c>
      <c r="Z16" s="44">
        <f t="shared" si="3"/>
        <v>0</v>
      </c>
      <c r="AF16" s="44">
        <f t="shared" si="4"/>
        <v>0</v>
      </c>
      <c r="AL16" s="44">
        <f t="shared" si="5"/>
        <v>0</v>
      </c>
      <c r="AR16" s="44">
        <f t="shared" si="6"/>
        <v>0</v>
      </c>
      <c r="AS16" s="1">
        <v>20</v>
      </c>
      <c r="AX16" s="44">
        <f t="shared" si="7"/>
        <v>20</v>
      </c>
      <c r="BD16" s="44">
        <f t="shared" si="8"/>
        <v>0</v>
      </c>
      <c r="BJ16" s="44">
        <f t="shared" si="9"/>
        <v>0</v>
      </c>
      <c r="BK16" s="1">
        <v>20</v>
      </c>
      <c r="BP16" s="44">
        <f t="shared" si="10"/>
        <v>20</v>
      </c>
      <c r="BT16" s="24" t="s">
        <v>73</v>
      </c>
      <c r="BV16" s="44">
        <f t="shared" si="11"/>
        <v>0</v>
      </c>
      <c r="BW16" s="1" t="s">
        <v>191</v>
      </c>
      <c r="BX16" s="1" t="s">
        <v>191</v>
      </c>
      <c r="BY16" s="1" t="s">
        <v>191</v>
      </c>
      <c r="BZ16" s="24" t="s">
        <v>73</v>
      </c>
      <c r="CA16" s="1" t="s">
        <v>191</v>
      </c>
      <c r="CB16" s="44">
        <f t="shared" si="12"/>
        <v>0</v>
      </c>
    </row>
    <row r="17" spans="1:80" x14ac:dyDescent="0.25">
      <c r="A17" s="2" t="s">
        <v>100</v>
      </c>
      <c r="B17" s="52">
        <v>16</v>
      </c>
      <c r="C17" s="16"/>
      <c r="D17" s="16"/>
      <c r="E17" s="16"/>
      <c r="F17" s="30"/>
      <c r="G17" s="30"/>
      <c r="H17" s="45">
        <f>SUM(C17:G17)</f>
        <v>0</v>
      </c>
      <c r="I17" s="16"/>
      <c r="J17" s="16"/>
      <c r="K17" s="16"/>
      <c r="L17" s="16"/>
      <c r="M17" s="16"/>
      <c r="N17" s="45">
        <f>SUM(I17:M17)</f>
        <v>0</v>
      </c>
      <c r="O17" s="16"/>
      <c r="P17" s="16"/>
      <c r="Q17" s="16"/>
      <c r="R17" s="16"/>
      <c r="S17" s="16"/>
      <c r="T17" s="45">
        <f>SUM(O17:S17)</f>
        <v>0</v>
      </c>
      <c r="U17" s="17" t="s">
        <v>73</v>
      </c>
      <c r="V17" s="16">
        <v>10</v>
      </c>
      <c r="W17" s="16"/>
      <c r="X17" s="16">
        <v>10</v>
      </c>
      <c r="Y17" s="16">
        <v>10</v>
      </c>
      <c r="Z17" s="45">
        <f>SUM(U17:Y17)</f>
        <v>30</v>
      </c>
      <c r="AA17" s="16">
        <v>10</v>
      </c>
      <c r="AB17" s="16">
        <v>10</v>
      </c>
      <c r="AC17" s="16">
        <v>10</v>
      </c>
      <c r="AD17" s="16">
        <v>10</v>
      </c>
      <c r="AE17" s="16">
        <v>10</v>
      </c>
      <c r="AF17" s="45">
        <f>SUM(AA17:AE17)</f>
        <v>50</v>
      </c>
      <c r="AG17" s="16">
        <v>10</v>
      </c>
      <c r="AH17" s="16">
        <v>25</v>
      </c>
      <c r="AI17" s="16"/>
      <c r="AJ17" s="16"/>
      <c r="AK17" s="16"/>
      <c r="AL17" s="45">
        <f>SUM(AG17:AK17)</f>
        <v>35</v>
      </c>
      <c r="AM17" s="16"/>
      <c r="AN17" s="16"/>
      <c r="AO17" s="16"/>
      <c r="AP17" s="16"/>
      <c r="AQ17" s="16"/>
      <c r="AR17" s="45">
        <f>SUM(AM17:AQ17)</f>
        <v>0</v>
      </c>
      <c r="AS17" s="16"/>
      <c r="AT17" s="16"/>
      <c r="AU17" s="16"/>
      <c r="AV17" s="16">
        <v>50</v>
      </c>
      <c r="AW17" s="16">
        <v>20</v>
      </c>
      <c r="AX17" s="45">
        <f>SUM(AS17:AW17)</f>
        <v>70</v>
      </c>
      <c r="AY17" s="16">
        <v>15</v>
      </c>
      <c r="AZ17" s="16">
        <v>15</v>
      </c>
      <c r="BA17" s="16">
        <v>20</v>
      </c>
      <c r="BB17" s="16">
        <v>20</v>
      </c>
      <c r="BC17" s="16">
        <v>20</v>
      </c>
      <c r="BD17" s="45">
        <f>SUM(AY17:BC17)</f>
        <v>90</v>
      </c>
      <c r="BE17" s="16"/>
      <c r="BF17" s="16"/>
      <c r="BG17" s="16"/>
      <c r="BH17" s="16">
        <v>20</v>
      </c>
      <c r="BI17" s="16">
        <v>20</v>
      </c>
      <c r="BJ17" s="45">
        <f>SUM(BE17:BI17)</f>
        <v>40</v>
      </c>
      <c r="BK17" s="16"/>
      <c r="BL17" s="16"/>
      <c r="BM17" s="16">
        <v>10</v>
      </c>
      <c r="BN17" s="16">
        <v>10</v>
      </c>
      <c r="BO17" s="16">
        <v>10</v>
      </c>
      <c r="BP17" s="45">
        <f>SUM(BK17:BO17)</f>
        <v>30</v>
      </c>
      <c r="BQ17" s="16"/>
      <c r="BR17" s="16"/>
      <c r="BS17" s="16"/>
      <c r="BT17" s="17" t="s">
        <v>73</v>
      </c>
      <c r="BU17" s="16"/>
      <c r="BV17" s="45">
        <f>SUM(BQ17:BU17)</f>
        <v>0</v>
      </c>
      <c r="BW17" s="16" t="s">
        <v>191</v>
      </c>
      <c r="BX17" s="16" t="s">
        <v>191</v>
      </c>
      <c r="BY17" s="16" t="s">
        <v>191</v>
      </c>
      <c r="BZ17" s="17" t="s">
        <v>73</v>
      </c>
      <c r="CA17" s="16" t="s">
        <v>191</v>
      </c>
      <c r="CB17" s="45">
        <f>SUM(BW17:CA17)</f>
        <v>0</v>
      </c>
    </row>
    <row r="18" spans="1:80" ht="103.5" customHeight="1" x14ac:dyDescent="0.25">
      <c r="A18" s="1" t="s">
        <v>11</v>
      </c>
      <c r="C18" s="4" t="s">
        <v>55</v>
      </c>
      <c r="D18" s="4" t="s">
        <v>55</v>
      </c>
      <c r="E18" s="4" t="s">
        <v>55</v>
      </c>
      <c r="F18" s="4" t="s">
        <v>55</v>
      </c>
      <c r="G18" s="4" t="s">
        <v>55</v>
      </c>
      <c r="H18" s="4"/>
      <c r="I18" s="4" t="s">
        <v>63</v>
      </c>
      <c r="J18" s="4" t="s">
        <v>64</v>
      </c>
      <c r="K18" s="4" t="s">
        <v>64</v>
      </c>
      <c r="L18" s="4" t="s">
        <v>64</v>
      </c>
      <c r="M18" s="4" t="s">
        <v>64</v>
      </c>
      <c r="O18" s="4" t="s">
        <v>74</v>
      </c>
      <c r="P18" s="4" t="s">
        <v>64</v>
      </c>
      <c r="Q18" s="4" t="s">
        <v>64</v>
      </c>
      <c r="R18" s="4" t="s">
        <v>64</v>
      </c>
      <c r="S18" s="4" t="s">
        <v>64</v>
      </c>
      <c r="U18" s="4" t="s">
        <v>73</v>
      </c>
      <c r="V18" s="4" t="s">
        <v>89</v>
      </c>
      <c r="W18" s="4" t="s">
        <v>91</v>
      </c>
      <c r="X18" s="4" t="s">
        <v>90</v>
      </c>
      <c r="Y18" s="4" t="s">
        <v>93</v>
      </c>
      <c r="AA18" s="4" t="s">
        <v>112</v>
      </c>
      <c r="AB18" s="4" t="s">
        <v>95</v>
      </c>
      <c r="AC18" s="4" t="s">
        <v>114</v>
      </c>
      <c r="AD18" s="4" t="s">
        <v>113</v>
      </c>
      <c r="AE18" s="4" t="s">
        <v>99</v>
      </c>
      <c r="AG18" s="4" t="s">
        <v>114</v>
      </c>
      <c r="AH18" s="4" t="s">
        <v>114</v>
      </c>
      <c r="AI18" s="4" t="s">
        <v>116</v>
      </c>
      <c r="AJ18" s="4" t="s">
        <v>116</v>
      </c>
      <c r="AK18" s="4" t="s">
        <v>116</v>
      </c>
      <c r="AM18" s="4" t="s">
        <v>129</v>
      </c>
      <c r="AN18" s="4" t="s">
        <v>130</v>
      </c>
      <c r="AO18" s="4" t="s">
        <v>145</v>
      </c>
      <c r="AP18" s="1" t="s">
        <v>73</v>
      </c>
      <c r="AQ18" s="1" t="s">
        <v>94</v>
      </c>
      <c r="AS18" s="4"/>
      <c r="AT18" s="4" t="s">
        <v>143</v>
      </c>
      <c r="AU18" s="4" t="s">
        <v>144</v>
      </c>
      <c r="AV18" s="4" t="s">
        <v>146</v>
      </c>
      <c r="AW18" s="4" t="s">
        <v>146</v>
      </c>
      <c r="AY18" s="4" t="s">
        <v>146</v>
      </c>
      <c r="AZ18" s="4" t="s">
        <v>146</v>
      </c>
      <c r="BA18" s="4" t="s">
        <v>146</v>
      </c>
      <c r="BB18" s="4" t="s">
        <v>146</v>
      </c>
      <c r="BC18" s="4" t="s">
        <v>146</v>
      </c>
      <c r="BD18" s="4" t="s">
        <v>146</v>
      </c>
      <c r="BE18" s="4" t="s">
        <v>165</v>
      </c>
      <c r="BF18" s="4" t="s">
        <v>165</v>
      </c>
      <c r="BG18" s="4" t="s">
        <v>168</v>
      </c>
      <c r="BH18" s="4" t="s">
        <v>146</v>
      </c>
      <c r="BI18" s="4" t="s">
        <v>146</v>
      </c>
      <c r="BJ18" s="4"/>
      <c r="BK18" s="4" t="s">
        <v>183</v>
      </c>
      <c r="BL18" s="4" t="s">
        <v>184</v>
      </c>
      <c r="BM18" s="4" t="s">
        <v>184</v>
      </c>
      <c r="BN18" s="4" t="s">
        <v>146</v>
      </c>
      <c r="BO18" s="4" t="s">
        <v>146</v>
      </c>
      <c r="BQ18" s="4" t="s">
        <v>146</v>
      </c>
      <c r="BR18" s="4" t="s">
        <v>146</v>
      </c>
      <c r="BS18" s="4" t="s">
        <v>146</v>
      </c>
      <c r="BT18" s="90" t="s">
        <v>195</v>
      </c>
      <c r="BU18" s="4" t="s">
        <v>146</v>
      </c>
      <c r="BW18" s="4" t="s">
        <v>192</v>
      </c>
      <c r="BX18" s="4" t="s">
        <v>192</v>
      </c>
      <c r="BY18" s="4" t="s">
        <v>192</v>
      </c>
      <c r="BZ18" s="90" t="s">
        <v>194</v>
      </c>
      <c r="CA18" s="4" t="s">
        <v>192</v>
      </c>
    </row>
    <row r="19" spans="1:80" ht="60" x14ac:dyDescent="0.25">
      <c r="A19" s="1" t="s">
        <v>10</v>
      </c>
      <c r="C19" s="4" t="s">
        <v>57</v>
      </c>
      <c r="F19" s="1" t="s">
        <v>56</v>
      </c>
      <c r="G19" s="1" t="s">
        <v>56</v>
      </c>
      <c r="J19" s="4"/>
      <c r="K19" s="4"/>
      <c r="L19" s="4"/>
      <c r="O19" s="4" t="s">
        <v>66</v>
      </c>
      <c r="Q19" s="4"/>
      <c r="U19" s="4"/>
      <c r="W19" s="4"/>
      <c r="X19" s="4"/>
      <c r="Y19" s="4"/>
      <c r="Z19" s="4"/>
      <c r="AA19" s="4"/>
      <c r="AB19" s="4"/>
      <c r="AC19" s="4"/>
      <c r="AD19" s="4"/>
      <c r="AE19" s="4"/>
      <c r="AG19" s="4"/>
      <c r="AH19" s="4"/>
      <c r="AJ19" s="4"/>
      <c r="AK19" s="4"/>
      <c r="AN19" s="4" t="s">
        <v>134</v>
      </c>
      <c r="AO19" s="4"/>
      <c r="AP19" s="4"/>
      <c r="AQ19" s="4"/>
      <c r="AT19" s="4"/>
      <c r="AU19" s="4"/>
      <c r="AW19" s="4"/>
      <c r="AY19" s="4"/>
      <c r="AZ19" s="4"/>
      <c r="BA19" s="4"/>
      <c r="BB19" s="4" t="s">
        <v>169</v>
      </c>
    </row>
    <row r="20" spans="1:80" x14ac:dyDescent="0.25">
      <c r="O20" s="1" t="s">
        <v>67</v>
      </c>
    </row>
  </sheetData>
  <customSheetViews>
    <customSheetView guid="{9B623083-AA7B-440B-95EA-C33E1AB3D963}" scale="90" showAutoFilter="1">
      <pane xSplit="1" topLeftCell="AF1" activePane="topRight" state="frozen"/>
      <selection pane="topRight" activeCell="AJ19" sqref="AJ19"/>
      <pageMargins left="0.511811024" right="0.511811024" top="0.78740157499999996" bottom="0.78740157499999996" header="0.31496062000000002" footer="0.31496062000000002"/>
      <autoFilter ref="A1:A20" xr:uid="{1B47BA25-B7FE-451F-B19D-9ED861120AB5}"/>
    </customSheetView>
    <customSheetView guid="{20CB6D8F-C24D-4D4B-A424-AF380F620455}" scale="90" showPageBreaks="1">
      <pane xSplit="1" topLeftCell="BM1" activePane="topRight" state="frozen"/>
      <selection pane="topRight" activeCell="BU18" sqref="BU18"/>
      <pageMargins left="0.511811024" right="0.511811024" top="0.78740157499999996" bottom="0.78740157499999996" header="0.31496062000000002" footer="0.31496062000000002"/>
      <pageSetup paperSize="9" orientation="portrait" r:id="rId1"/>
    </customSheetView>
    <customSheetView guid="{B3CDE377-BA5D-4E06-91D9-3A48E1959BA5}" scale="80">
      <pane xSplit="1" topLeftCell="AW1" activePane="topRight" state="frozen"/>
      <selection pane="topRight" activeCell="AJ18" sqref="AJ18"/>
      <pageMargins left="0.511811024" right="0.511811024" top="0.78740157499999996" bottom="0.78740157499999996" header="0.31496062000000002" footer="0.31496062000000002"/>
    </customSheetView>
    <customSheetView guid="{18A482E0-C8B6-4AA1-9E04-15FA7C9CD5E3}">
      <pane xSplit="1" topLeftCell="BS1" activePane="topRight" state="frozen"/>
      <selection pane="topRight" activeCell="CG1" sqref="CG1"/>
      <pageMargins left="0.511811024" right="0.511811024" top="0.78740157499999996" bottom="0.78740157499999996" header="0.31496062000000002" footer="0.31496062000000002"/>
    </customSheetView>
    <customSheetView guid="{C69767F5-CD39-44C1-AD4B-CE19DC8285A6}">
      <selection activeCell="D11" sqref="D11"/>
      <pageMargins left="0.511811024" right="0.511811024" top="0.78740157499999996" bottom="0.78740157499999996" header="0.31496062000000002" footer="0.31496062000000002"/>
    </customSheetView>
    <customSheetView guid="{552DFCCD-1786-4D75-8B10-27DD730384DD}">
      <pane xSplit="1" topLeftCell="I1" activePane="topRight" state="frozen"/>
      <selection pane="topRight" activeCell="M11" sqref="M11"/>
      <pageMargins left="0.511811024" right="0.511811024" top="0.78740157499999996" bottom="0.78740157499999996" header="0.31496062000000002" footer="0.31496062000000002"/>
    </customSheetView>
    <customSheetView guid="{E3841903-5B68-44FD-8F09-58E03D1025C5}" scale="70" topLeftCell="AR1">
      <selection activeCell="AJ18" sqref="AJ18"/>
      <pageMargins left="0.511811024" right="0.511811024" top="0.78740157499999996" bottom="0.78740157499999996" header="0.31496062000000002" footer="0.31496062000000002"/>
    </customSheetView>
    <customSheetView guid="{86039CF8-B158-4D70-9A6F-A10C29CBD68A}" scale="90" topLeftCell="AI1">
      <selection activeCell="M17" sqref="M17"/>
      <pageMargins left="0.511811024" right="0.511811024" top="0.78740157499999996" bottom="0.78740157499999996" header="0.31496062000000002" footer="0.31496062000000002"/>
    </customSheetView>
    <customSheetView guid="{3D987F8E-A6EA-454D-9537-6BFC5053CB00}" scale="90">
      <pane xSplit="1" topLeftCell="BQ1" activePane="topRight" state="frozen"/>
      <selection pane="topRight" activeCell="CF18" sqref="CF18"/>
      <pageMargins left="0.511811024" right="0.511811024" top="0.78740157499999996" bottom="0.78740157499999996" header="0.31496062000000002" footer="0.31496062000000002"/>
    </customSheetView>
  </customSheetViews>
  <pageMargins left="0.511811024" right="0.511811024" top="0.78740157499999996" bottom="0.78740157499999996" header="0.31496062000000002" footer="0.31496062000000002"/>
  <pageSetup paperSize="9" orientation="portrait"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B19"/>
  <sheetViews>
    <sheetView topLeftCell="AS1" zoomScale="90" zoomScaleNormal="90" workbookViewId="0">
      <selection activeCell="S17" sqref="S17"/>
    </sheetView>
  </sheetViews>
  <sheetFormatPr defaultColWidth="9.140625" defaultRowHeight="15" x14ac:dyDescent="0.25"/>
  <cols>
    <col min="1" max="1" width="77.42578125" style="1" bestFit="1" customWidth="1"/>
    <col min="2" max="2" width="3" style="1" bestFit="1" customWidth="1"/>
    <col min="3" max="3" width="23.85546875" style="1" customWidth="1"/>
    <col min="4" max="5" width="20.7109375" style="1" customWidth="1"/>
    <col min="6" max="6" width="20.42578125" style="1" customWidth="1"/>
    <col min="7" max="7" width="20.28515625" style="1" customWidth="1"/>
    <col min="8" max="8" width="14.28515625" style="1" bestFit="1" customWidth="1"/>
    <col min="9" max="13" width="16.7109375" style="1" customWidth="1"/>
    <col min="14" max="14" width="14.28515625" style="1" bestFit="1" customWidth="1"/>
    <col min="15" max="15" width="20.85546875" style="1" customWidth="1"/>
    <col min="16" max="16" width="18.85546875" style="1" customWidth="1"/>
    <col min="17" max="17" width="23" style="1" customWidth="1"/>
    <col min="18" max="18" width="18.7109375" style="1" customWidth="1"/>
    <col min="19" max="19" width="16.28515625" style="1" customWidth="1"/>
    <col min="20" max="20" width="14.28515625" style="1" bestFit="1" customWidth="1"/>
    <col min="21" max="25" width="20.42578125" style="1" customWidth="1"/>
    <col min="26" max="26" width="14.28515625" style="1" bestFit="1" customWidth="1"/>
    <col min="27" max="31" width="20.42578125" style="1" customWidth="1"/>
    <col min="32" max="32" width="15.28515625" style="1" customWidth="1"/>
    <col min="33" max="37" width="20.7109375" style="1" customWidth="1"/>
    <col min="38" max="38" width="17.42578125" style="1" customWidth="1"/>
    <col min="39" max="43" width="19.28515625" style="1" customWidth="1"/>
    <col min="44" max="44" width="15.42578125" style="1" customWidth="1"/>
    <col min="45" max="49" width="19.7109375" style="1" customWidth="1"/>
    <col min="50" max="50" width="15.42578125" style="1" customWidth="1"/>
    <col min="51" max="55" width="9.140625" style="1"/>
    <col min="56" max="56" width="16.140625" style="1" customWidth="1"/>
    <col min="57" max="61" width="9.140625" style="1"/>
    <col min="62" max="62" width="15.140625" style="1" customWidth="1"/>
    <col min="63" max="67" width="19.85546875" style="1" customWidth="1"/>
    <col min="68" max="68" width="14.140625" style="1" customWidth="1"/>
    <col min="69" max="73" width="9.140625" style="1"/>
    <col min="74" max="74" width="14.140625" style="1" customWidth="1"/>
    <col min="75" max="79" width="20.42578125" style="1" customWidth="1"/>
    <col min="80" max="80" width="14.28515625" style="1" bestFit="1" customWidth="1"/>
    <col min="81" max="16384" width="9.140625" style="1"/>
  </cols>
  <sheetData>
    <row r="1" spans="1:80" x14ac:dyDescent="0.25">
      <c r="A1" s="18" t="s">
        <v>9</v>
      </c>
      <c r="B1" s="56"/>
      <c r="C1" s="43">
        <v>45936</v>
      </c>
      <c r="D1" s="29">
        <v>45937</v>
      </c>
      <c r="E1" s="29">
        <v>45938</v>
      </c>
      <c r="F1" s="29">
        <v>45939</v>
      </c>
      <c r="G1" s="29">
        <v>45940</v>
      </c>
      <c r="H1" s="12" t="s">
        <v>15</v>
      </c>
      <c r="I1" s="43">
        <v>45943</v>
      </c>
      <c r="J1" s="29">
        <v>45944</v>
      </c>
      <c r="K1" s="29">
        <v>45945</v>
      </c>
      <c r="L1" s="29">
        <v>45946</v>
      </c>
      <c r="M1" s="29">
        <v>45947</v>
      </c>
      <c r="N1" s="11" t="s">
        <v>15</v>
      </c>
      <c r="O1" s="43">
        <v>45950</v>
      </c>
      <c r="P1" s="29">
        <v>45951</v>
      </c>
      <c r="Q1" s="29">
        <v>45952</v>
      </c>
      <c r="R1" s="29">
        <v>45953</v>
      </c>
      <c r="S1" s="29">
        <v>45954</v>
      </c>
      <c r="T1" s="11" t="s">
        <v>15</v>
      </c>
      <c r="U1" s="43">
        <v>45957</v>
      </c>
      <c r="V1" s="29">
        <v>45958</v>
      </c>
      <c r="W1" s="29">
        <v>45959</v>
      </c>
      <c r="X1" s="29">
        <v>45960</v>
      </c>
      <c r="Y1" s="29">
        <v>45961</v>
      </c>
      <c r="Z1" s="11" t="s">
        <v>15</v>
      </c>
      <c r="AA1" s="43">
        <v>45964</v>
      </c>
      <c r="AB1" s="29">
        <v>45965</v>
      </c>
      <c r="AC1" s="29">
        <v>45966</v>
      </c>
      <c r="AD1" s="29">
        <v>45967</v>
      </c>
      <c r="AE1" s="29">
        <v>45968</v>
      </c>
      <c r="AF1" s="11" t="s">
        <v>15</v>
      </c>
      <c r="AG1" s="43">
        <v>45971</v>
      </c>
      <c r="AH1" s="29">
        <v>45972</v>
      </c>
      <c r="AI1" s="29">
        <v>45973</v>
      </c>
      <c r="AJ1" s="29">
        <v>45974</v>
      </c>
      <c r="AK1" s="29">
        <v>45975</v>
      </c>
      <c r="AL1" s="11" t="s">
        <v>15</v>
      </c>
      <c r="AM1" s="29">
        <v>45978</v>
      </c>
      <c r="AN1" s="29">
        <v>45979</v>
      </c>
      <c r="AO1" s="29">
        <v>45980</v>
      </c>
      <c r="AP1" s="29">
        <v>45981</v>
      </c>
      <c r="AQ1" s="5">
        <v>45982</v>
      </c>
      <c r="AR1" s="11" t="s">
        <v>15</v>
      </c>
      <c r="AS1" s="43">
        <v>45985</v>
      </c>
      <c r="AT1" s="43">
        <v>45986</v>
      </c>
      <c r="AU1" s="43">
        <v>45987</v>
      </c>
      <c r="AV1" s="43">
        <v>45988</v>
      </c>
      <c r="AW1" s="43">
        <v>45989</v>
      </c>
      <c r="AX1" s="11" t="s">
        <v>15</v>
      </c>
      <c r="AY1" s="29">
        <v>45992</v>
      </c>
      <c r="AZ1" s="43">
        <v>45993</v>
      </c>
      <c r="BA1" s="43">
        <v>45994</v>
      </c>
      <c r="BB1" s="43">
        <v>45995</v>
      </c>
      <c r="BC1" s="73">
        <v>45996</v>
      </c>
      <c r="BD1" s="11" t="s">
        <v>15</v>
      </c>
      <c r="BE1" s="43">
        <v>45999</v>
      </c>
      <c r="BF1" s="43">
        <v>46000</v>
      </c>
      <c r="BG1" s="43">
        <v>46001</v>
      </c>
      <c r="BH1" s="43">
        <v>46002</v>
      </c>
      <c r="BI1" s="43">
        <v>46003</v>
      </c>
      <c r="BJ1" s="11" t="s">
        <v>15</v>
      </c>
      <c r="BK1" s="43">
        <v>46006</v>
      </c>
      <c r="BL1" s="43">
        <v>46007</v>
      </c>
      <c r="BM1" s="43">
        <v>46008</v>
      </c>
      <c r="BN1" s="43">
        <v>46009</v>
      </c>
      <c r="BO1" s="43">
        <v>46010</v>
      </c>
      <c r="BP1" s="11" t="s">
        <v>15</v>
      </c>
      <c r="BQ1" s="43">
        <v>46013</v>
      </c>
      <c r="BR1" s="29">
        <v>46014</v>
      </c>
      <c r="BS1" s="29">
        <v>46015</v>
      </c>
      <c r="BT1" s="82">
        <v>46016</v>
      </c>
      <c r="BU1" s="29">
        <v>46017</v>
      </c>
      <c r="BV1" s="11" t="s">
        <v>15</v>
      </c>
      <c r="BW1" s="43">
        <v>46020</v>
      </c>
      <c r="BX1" s="43">
        <v>46021</v>
      </c>
      <c r="BY1" s="43">
        <v>46022</v>
      </c>
      <c r="BZ1" s="43">
        <v>46023</v>
      </c>
      <c r="CA1" s="43">
        <v>46024</v>
      </c>
      <c r="CB1" s="11" t="s">
        <v>15</v>
      </c>
    </row>
    <row r="2" spans="1:80" x14ac:dyDescent="0.25">
      <c r="A2" s="54" t="s">
        <v>18</v>
      </c>
      <c r="B2" s="57">
        <v>1</v>
      </c>
      <c r="C2" s="1">
        <v>1</v>
      </c>
      <c r="H2" s="44">
        <f>SUM(C2:G2)</f>
        <v>1</v>
      </c>
      <c r="N2" s="44">
        <f>SUM(I2:M2)</f>
        <v>0</v>
      </c>
      <c r="O2" s="1">
        <v>17</v>
      </c>
      <c r="S2" s="1">
        <v>1</v>
      </c>
      <c r="T2" s="44">
        <f t="shared" ref="T2:T16" si="0">SUM(O2:S2)</f>
        <v>18</v>
      </c>
      <c r="Z2" s="44">
        <f>SUM(U2:Y2)</f>
        <v>0</v>
      </c>
      <c r="AC2" s="1">
        <v>2</v>
      </c>
      <c r="AF2" s="44">
        <f t="shared" ref="AF2:AF8" si="1">SUM(AA2:AE2)</f>
        <v>2</v>
      </c>
      <c r="AG2" s="18"/>
      <c r="AH2" s="28"/>
      <c r="AI2" s="28"/>
      <c r="AJ2" s="28">
        <v>6</v>
      </c>
      <c r="AK2" s="28"/>
      <c r="AL2" s="76">
        <f>SUM(AG2:AK2)</f>
        <v>6</v>
      </c>
      <c r="AM2" s="13">
        <v>1</v>
      </c>
      <c r="AN2" s="1">
        <v>1</v>
      </c>
      <c r="AP2" s="78"/>
      <c r="AQ2" s="79"/>
      <c r="AR2" s="44">
        <f>SUM(AM2:AQ2)</f>
        <v>2</v>
      </c>
      <c r="AX2" s="44">
        <f>SUM(AS2:AW2)</f>
        <v>0</v>
      </c>
      <c r="AY2" s="13"/>
      <c r="BC2" s="79"/>
      <c r="BD2" s="44">
        <f>SUM(AY2:BC2)</f>
        <v>0</v>
      </c>
      <c r="BE2" s="18"/>
      <c r="BF2" s="28"/>
      <c r="BG2" s="28"/>
      <c r="BH2" s="28"/>
      <c r="BI2" s="6"/>
      <c r="BJ2" s="44">
        <f>SUM(BE2:BI2)</f>
        <v>0</v>
      </c>
      <c r="BK2" s="18"/>
      <c r="BL2" s="28"/>
      <c r="BM2" s="28"/>
      <c r="BN2" s="28"/>
      <c r="BO2" s="6"/>
      <c r="BP2" s="44">
        <f>SUM(BK2:BO2)</f>
        <v>0</v>
      </c>
      <c r="BQ2" s="1" t="s">
        <v>191</v>
      </c>
      <c r="BR2" s="1" t="s">
        <v>191</v>
      </c>
      <c r="BS2" s="1" t="s">
        <v>191</v>
      </c>
      <c r="BT2" s="24" t="s">
        <v>73</v>
      </c>
      <c r="BU2" s="1" t="s">
        <v>191</v>
      </c>
      <c r="BV2" s="44">
        <f>SUM(BQ2:BU2)</f>
        <v>0</v>
      </c>
      <c r="BX2" s="1">
        <v>1</v>
      </c>
      <c r="BZ2" s="1" t="s">
        <v>73</v>
      </c>
      <c r="CB2" s="44">
        <f>SUM(BW2:CA2)</f>
        <v>1</v>
      </c>
    </row>
    <row r="3" spans="1:80" x14ac:dyDescent="0.25">
      <c r="A3" s="54" t="s">
        <v>0</v>
      </c>
      <c r="B3" s="57">
        <v>2</v>
      </c>
      <c r="H3" s="44">
        <f t="shared" ref="H3:H16" si="2">SUM(C3:G3)</f>
        <v>0</v>
      </c>
      <c r="N3" s="44">
        <f t="shared" ref="N3:N16" si="3">SUM(I3:M3)</f>
        <v>0</v>
      </c>
      <c r="T3" s="44">
        <f t="shared" si="0"/>
        <v>0</v>
      </c>
      <c r="Z3" s="44">
        <f t="shared" ref="Z3:Z16" si="4">SUM(U3:Y3)</f>
        <v>0</v>
      </c>
      <c r="AF3" s="44">
        <f t="shared" si="1"/>
        <v>0</v>
      </c>
      <c r="AG3" s="13"/>
      <c r="AL3" s="44">
        <f t="shared" ref="AL3:AL16" si="5">SUM(AG3:AK3)</f>
        <v>0</v>
      </c>
      <c r="AM3" s="13"/>
      <c r="AP3" s="78"/>
      <c r="AQ3" s="79"/>
      <c r="AR3" s="44">
        <f t="shared" ref="AR3:AR16" si="6">SUM(AM3:AQ3)</f>
        <v>0</v>
      </c>
      <c r="AX3" s="44">
        <f t="shared" ref="AX3:AX16" si="7">SUM(AS3:AW3)</f>
        <v>0</v>
      </c>
      <c r="AY3" s="13"/>
      <c r="BC3" s="79"/>
      <c r="BD3" s="44">
        <f t="shared" ref="BD3:BD16" si="8">SUM(AY3:BC3)</f>
        <v>0</v>
      </c>
      <c r="BE3" s="13"/>
      <c r="BI3" s="79"/>
      <c r="BJ3" s="44">
        <f t="shared" ref="BJ3:BJ16" si="9">SUM(BE3:BI3)</f>
        <v>0</v>
      </c>
      <c r="BK3" s="13"/>
      <c r="BO3" s="79"/>
      <c r="BP3" s="44">
        <f t="shared" ref="BP3:BP16" si="10">SUM(BK3:BO3)</f>
        <v>0</v>
      </c>
      <c r="BQ3" s="1" t="s">
        <v>191</v>
      </c>
      <c r="BR3" s="1" t="s">
        <v>191</v>
      </c>
      <c r="BS3" s="1" t="s">
        <v>191</v>
      </c>
      <c r="BT3" s="24" t="s">
        <v>73</v>
      </c>
      <c r="BU3" s="1" t="s">
        <v>191</v>
      </c>
      <c r="BV3" s="44">
        <f t="shared" ref="BV3:BV16" si="11">SUM(BQ3:BU3)</f>
        <v>0</v>
      </c>
      <c r="BZ3" s="1" t="s">
        <v>73</v>
      </c>
      <c r="CB3" s="44">
        <f t="shared" ref="CB3:CB16" si="12">SUM(BW3:CA3)</f>
        <v>0</v>
      </c>
    </row>
    <row r="4" spans="1:80" x14ac:dyDescent="0.25">
      <c r="A4" s="55" t="s">
        <v>17</v>
      </c>
      <c r="B4" s="58">
        <v>3</v>
      </c>
      <c r="H4" s="44">
        <f t="shared" si="2"/>
        <v>0</v>
      </c>
      <c r="N4" s="44">
        <f t="shared" si="3"/>
        <v>0</v>
      </c>
      <c r="T4" s="44">
        <f t="shared" si="0"/>
        <v>0</v>
      </c>
      <c r="W4" s="1">
        <v>3</v>
      </c>
      <c r="X4" s="1">
        <v>158</v>
      </c>
      <c r="Z4" s="44">
        <f t="shared" si="4"/>
        <v>161</v>
      </c>
      <c r="AA4" s="1">
        <v>1</v>
      </c>
      <c r="AB4" s="1">
        <v>7</v>
      </c>
      <c r="AC4" s="1">
        <v>7</v>
      </c>
      <c r="AD4" s="1">
        <v>5</v>
      </c>
      <c r="AF4" s="44">
        <f t="shared" si="1"/>
        <v>20</v>
      </c>
      <c r="AG4" s="13"/>
      <c r="AL4" s="44">
        <f t="shared" si="5"/>
        <v>0</v>
      </c>
      <c r="AM4" s="13"/>
      <c r="AO4" s="1">
        <v>2</v>
      </c>
      <c r="AP4" s="78"/>
      <c r="AQ4" s="79"/>
      <c r="AR4" s="44">
        <f t="shared" si="6"/>
        <v>2</v>
      </c>
      <c r="AW4" s="1">
        <v>1</v>
      </c>
      <c r="AX4" s="44">
        <f t="shared" si="7"/>
        <v>1</v>
      </c>
      <c r="AY4" s="13"/>
      <c r="BC4" s="79"/>
      <c r="BD4" s="44">
        <f t="shared" si="8"/>
        <v>0</v>
      </c>
      <c r="BE4" s="13"/>
      <c r="BI4" s="79"/>
      <c r="BJ4" s="44">
        <f t="shared" si="9"/>
        <v>0</v>
      </c>
      <c r="BK4" s="13"/>
      <c r="BO4" s="79"/>
      <c r="BP4" s="44">
        <f t="shared" si="10"/>
        <v>0</v>
      </c>
      <c r="BQ4" s="1" t="s">
        <v>191</v>
      </c>
      <c r="BR4" s="1" t="s">
        <v>191</v>
      </c>
      <c r="BS4" s="1" t="s">
        <v>191</v>
      </c>
      <c r="BT4" s="24" t="s">
        <v>73</v>
      </c>
      <c r="BU4" s="1" t="s">
        <v>191</v>
      </c>
      <c r="BV4" s="44">
        <f t="shared" si="11"/>
        <v>0</v>
      </c>
      <c r="BZ4" s="1" t="s">
        <v>73</v>
      </c>
      <c r="CB4" s="44">
        <f t="shared" si="12"/>
        <v>0</v>
      </c>
    </row>
    <row r="5" spans="1:80" x14ac:dyDescent="0.25">
      <c r="A5" s="55" t="s">
        <v>16</v>
      </c>
      <c r="B5" s="57">
        <v>4</v>
      </c>
      <c r="H5" s="44">
        <f t="shared" si="2"/>
        <v>0</v>
      </c>
      <c r="N5" s="44">
        <f t="shared" si="3"/>
        <v>0</v>
      </c>
      <c r="T5" s="44">
        <f t="shared" si="0"/>
        <v>0</v>
      </c>
      <c r="Z5" s="44">
        <f t="shared" si="4"/>
        <v>0</v>
      </c>
      <c r="AF5" s="44">
        <f t="shared" si="1"/>
        <v>0</v>
      </c>
      <c r="AG5" s="13"/>
      <c r="AL5" s="44">
        <f t="shared" si="5"/>
        <v>0</v>
      </c>
      <c r="AM5" s="13"/>
      <c r="AP5" s="78"/>
      <c r="AQ5" s="79"/>
      <c r="AR5" s="44">
        <f t="shared" si="6"/>
        <v>0</v>
      </c>
      <c r="AX5" s="44">
        <f t="shared" si="7"/>
        <v>0</v>
      </c>
      <c r="AY5" s="13"/>
      <c r="BC5" s="79"/>
      <c r="BD5" s="44">
        <f t="shared" si="8"/>
        <v>0</v>
      </c>
      <c r="BE5" s="13"/>
      <c r="BI5" s="79"/>
      <c r="BJ5" s="44">
        <f t="shared" si="9"/>
        <v>0</v>
      </c>
      <c r="BK5" s="13">
        <v>1</v>
      </c>
      <c r="BO5" s="79"/>
      <c r="BP5" s="44">
        <f t="shared" si="10"/>
        <v>1</v>
      </c>
      <c r="BQ5" s="1" t="s">
        <v>191</v>
      </c>
      <c r="BR5" s="1" t="s">
        <v>191</v>
      </c>
      <c r="BS5" s="1" t="s">
        <v>191</v>
      </c>
      <c r="BT5" s="24" t="s">
        <v>73</v>
      </c>
      <c r="BU5" s="1" t="s">
        <v>191</v>
      </c>
      <c r="BV5" s="44">
        <f t="shared" si="11"/>
        <v>0</v>
      </c>
      <c r="BZ5" s="1" t="s">
        <v>73</v>
      </c>
      <c r="CB5" s="44">
        <f t="shared" si="12"/>
        <v>0</v>
      </c>
    </row>
    <row r="6" spans="1:80" x14ac:dyDescent="0.25">
      <c r="A6" s="55" t="s">
        <v>1</v>
      </c>
      <c r="B6" s="57">
        <v>5</v>
      </c>
      <c r="H6" s="44">
        <f t="shared" si="2"/>
        <v>0</v>
      </c>
      <c r="N6" s="44">
        <f t="shared" si="3"/>
        <v>0</v>
      </c>
      <c r="T6" s="44">
        <f t="shared" si="0"/>
        <v>0</v>
      </c>
      <c r="Z6" s="44">
        <f t="shared" si="4"/>
        <v>0</v>
      </c>
      <c r="AF6" s="44">
        <f t="shared" si="1"/>
        <v>0</v>
      </c>
      <c r="AG6" s="13"/>
      <c r="AL6" s="44">
        <f t="shared" si="5"/>
        <v>0</v>
      </c>
      <c r="AM6" s="13"/>
      <c r="AP6" s="78"/>
      <c r="AQ6" s="79"/>
      <c r="AR6" s="44">
        <f t="shared" si="6"/>
        <v>0</v>
      </c>
      <c r="AX6" s="44">
        <f t="shared" si="7"/>
        <v>0</v>
      </c>
      <c r="AY6" s="13"/>
      <c r="BC6" s="79"/>
      <c r="BD6" s="44">
        <f t="shared" si="8"/>
        <v>0</v>
      </c>
      <c r="BE6" s="13"/>
      <c r="BI6" s="79"/>
      <c r="BJ6" s="44">
        <f t="shared" si="9"/>
        <v>0</v>
      </c>
      <c r="BK6" s="13"/>
      <c r="BO6" s="79"/>
      <c r="BP6" s="44">
        <f t="shared" si="10"/>
        <v>0</v>
      </c>
      <c r="BQ6" s="1" t="s">
        <v>191</v>
      </c>
      <c r="BR6" s="1" t="s">
        <v>191</v>
      </c>
      <c r="BS6" s="1" t="s">
        <v>191</v>
      </c>
      <c r="BT6" s="24" t="s">
        <v>73</v>
      </c>
      <c r="BU6" s="1" t="s">
        <v>191</v>
      </c>
      <c r="BV6" s="44">
        <f t="shared" si="11"/>
        <v>0</v>
      </c>
      <c r="BZ6" s="1" t="s">
        <v>73</v>
      </c>
      <c r="CB6" s="44">
        <f t="shared" si="12"/>
        <v>0</v>
      </c>
    </row>
    <row r="7" spans="1:80" x14ac:dyDescent="0.25">
      <c r="A7" s="55" t="s">
        <v>2</v>
      </c>
      <c r="B7" s="58">
        <v>6</v>
      </c>
      <c r="H7" s="44">
        <f t="shared" si="2"/>
        <v>0</v>
      </c>
      <c r="N7" s="44">
        <f t="shared" si="3"/>
        <v>0</v>
      </c>
      <c r="T7" s="44">
        <f t="shared" si="0"/>
        <v>0</v>
      </c>
      <c r="Z7" s="44">
        <f t="shared" si="4"/>
        <v>0</v>
      </c>
      <c r="AF7" s="44">
        <f t="shared" si="1"/>
        <v>0</v>
      </c>
      <c r="AG7" s="13"/>
      <c r="AL7" s="44">
        <f t="shared" si="5"/>
        <v>0</v>
      </c>
      <c r="AM7" s="13"/>
      <c r="AP7" s="78"/>
      <c r="AQ7" s="79"/>
      <c r="AR7" s="44">
        <f t="shared" si="6"/>
        <v>0</v>
      </c>
      <c r="AX7" s="44">
        <f t="shared" si="7"/>
        <v>0</v>
      </c>
      <c r="AY7" s="13"/>
      <c r="BC7" s="79"/>
      <c r="BD7" s="44">
        <f t="shared" si="8"/>
        <v>0</v>
      </c>
      <c r="BE7" s="13"/>
      <c r="BI7" s="79"/>
      <c r="BJ7" s="44">
        <f t="shared" si="9"/>
        <v>0</v>
      </c>
      <c r="BK7" s="13"/>
      <c r="BO7" s="79"/>
      <c r="BP7" s="44">
        <f t="shared" si="10"/>
        <v>0</v>
      </c>
      <c r="BQ7" s="1" t="s">
        <v>191</v>
      </c>
      <c r="BR7" s="1" t="s">
        <v>191</v>
      </c>
      <c r="BS7" s="1" t="s">
        <v>191</v>
      </c>
      <c r="BT7" s="24" t="s">
        <v>73</v>
      </c>
      <c r="BU7" s="1" t="s">
        <v>191</v>
      </c>
      <c r="BV7" s="44">
        <f t="shared" si="11"/>
        <v>0</v>
      </c>
      <c r="BZ7" s="1" t="s">
        <v>73</v>
      </c>
      <c r="CB7" s="44">
        <f t="shared" si="12"/>
        <v>0</v>
      </c>
    </row>
    <row r="8" spans="1:80" x14ac:dyDescent="0.25">
      <c r="A8" s="55" t="s">
        <v>3</v>
      </c>
      <c r="B8" s="57">
        <v>7</v>
      </c>
      <c r="H8" s="44">
        <f t="shared" si="2"/>
        <v>0</v>
      </c>
      <c r="N8" s="44">
        <f t="shared" si="3"/>
        <v>0</v>
      </c>
      <c r="T8" s="44">
        <f t="shared" si="0"/>
        <v>0</v>
      </c>
      <c r="Z8" s="44">
        <f t="shared" si="4"/>
        <v>0</v>
      </c>
      <c r="AF8" s="44">
        <f t="shared" si="1"/>
        <v>0</v>
      </c>
      <c r="AG8" s="13"/>
      <c r="AL8" s="44">
        <f t="shared" si="5"/>
        <v>0</v>
      </c>
      <c r="AM8" s="13"/>
      <c r="AP8" s="78"/>
      <c r="AQ8" s="79"/>
      <c r="AR8" s="44">
        <f t="shared" si="6"/>
        <v>0</v>
      </c>
      <c r="AX8" s="44">
        <f t="shared" si="7"/>
        <v>0</v>
      </c>
      <c r="AY8" s="13"/>
      <c r="BC8" s="79"/>
      <c r="BD8" s="44">
        <f t="shared" si="8"/>
        <v>0</v>
      </c>
      <c r="BE8" s="13"/>
      <c r="BI8" s="79"/>
      <c r="BJ8" s="44">
        <f t="shared" si="9"/>
        <v>0</v>
      </c>
      <c r="BK8" s="13"/>
      <c r="BO8" s="79"/>
      <c r="BP8" s="44">
        <f t="shared" si="10"/>
        <v>0</v>
      </c>
      <c r="BQ8" s="1" t="s">
        <v>191</v>
      </c>
      <c r="BR8" s="1" t="s">
        <v>191</v>
      </c>
      <c r="BS8" s="1" t="s">
        <v>191</v>
      </c>
      <c r="BT8" s="24" t="s">
        <v>73</v>
      </c>
      <c r="BU8" s="1" t="s">
        <v>191</v>
      </c>
      <c r="BV8" s="44">
        <f t="shared" si="11"/>
        <v>0</v>
      </c>
      <c r="BZ8" s="1" t="s">
        <v>73</v>
      </c>
      <c r="CB8" s="44">
        <f t="shared" si="12"/>
        <v>0</v>
      </c>
    </row>
    <row r="9" spans="1:80" x14ac:dyDescent="0.25">
      <c r="A9" s="55" t="s">
        <v>13</v>
      </c>
      <c r="B9" s="57">
        <v>8</v>
      </c>
      <c r="H9" s="44">
        <f t="shared" si="2"/>
        <v>0</v>
      </c>
      <c r="N9" s="44">
        <f t="shared" si="3"/>
        <v>0</v>
      </c>
      <c r="T9" s="44">
        <f t="shared" si="0"/>
        <v>0</v>
      </c>
      <c r="Z9" s="44">
        <f t="shared" si="4"/>
        <v>0</v>
      </c>
      <c r="AF9" s="44">
        <f t="shared" ref="AF9:AF16" si="13">SUM(AA9:AE9)</f>
        <v>0</v>
      </c>
      <c r="AG9" s="13"/>
      <c r="AL9" s="44">
        <f t="shared" si="5"/>
        <v>0</v>
      </c>
      <c r="AM9" s="13"/>
      <c r="AP9" s="78"/>
      <c r="AQ9" s="79"/>
      <c r="AR9" s="44">
        <f t="shared" si="6"/>
        <v>0</v>
      </c>
      <c r="AX9" s="44">
        <f t="shared" si="7"/>
        <v>0</v>
      </c>
      <c r="AY9" s="13"/>
      <c r="BC9" s="79"/>
      <c r="BD9" s="44">
        <f t="shared" si="8"/>
        <v>0</v>
      </c>
      <c r="BE9" s="13"/>
      <c r="BI9" s="79"/>
      <c r="BJ9" s="44">
        <f t="shared" si="9"/>
        <v>0</v>
      </c>
      <c r="BK9" s="13"/>
      <c r="BO9" s="79"/>
      <c r="BP9" s="44">
        <f t="shared" si="10"/>
        <v>0</v>
      </c>
      <c r="BQ9" s="1" t="s">
        <v>191</v>
      </c>
      <c r="BR9" s="1" t="s">
        <v>191</v>
      </c>
      <c r="BS9" s="1" t="s">
        <v>191</v>
      </c>
      <c r="BT9" s="24" t="s">
        <v>73</v>
      </c>
      <c r="BU9" s="1" t="s">
        <v>191</v>
      </c>
      <c r="BV9" s="44">
        <f t="shared" si="11"/>
        <v>0</v>
      </c>
      <c r="BZ9" s="1" t="s">
        <v>73</v>
      </c>
      <c r="CB9" s="44">
        <f t="shared" si="12"/>
        <v>0</v>
      </c>
    </row>
    <row r="10" spans="1:80" x14ac:dyDescent="0.25">
      <c r="A10" s="54" t="s">
        <v>12</v>
      </c>
      <c r="B10" s="58">
        <v>9</v>
      </c>
      <c r="H10" s="44">
        <f t="shared" si="2"/>
        <v>0</v>
      </c>
      <c r="N10" s="44">
        <f t="shared" si="3"/>
        <v>0</v>
      </c>
      <c r="T10" s="44">
        <f t="shared" si="0"/>
        <v>0</v>
      </c>
      <c r="Z10" s="44">
        <f t="shared" si="4"/>
        <v>0</v>
      </c>
      <c r="AF10" s="44">
        <f t="shared" si="13"/>
        <v>0</v>
      </c>
      <c r="AG10" s="13"/>
      <c r="AL10" s="44">
        <f t="shared" si="5"/>
        <v>0</v>
      </c>
      <c r="AM10" s="13"/>
      <c r="AP10" s="78"/>
      <c r="AQ10" s="79"/>
      <c r="AR10" s="44">
        <f t="shared" si="6"/>
        <v>0</v>
      </c>
      <c r="AX10" s="44">
        <f t="shared" si="7"/>
        <v>0</v>
      </c>
      <c r="AY10" s="13"/>
      <c r="BC10" s="79"/>
      <c r="BD10" s="44">
        <f t="shared" si="8"/>
        <v>0</v>
      </c>
      <c r="BE10" s="13"/>
      <c r="BI10" s="79"/>
      <c r="BJ10" s="44">
        <f t="shared" si="9"/>
        <v>0</v>
      </c>
      <c r="BK10" s="13"/>
      <c r="BO10" s="79"/>
      <c r="BP10" s="44">
        <f t="shared" si="10"/>
        <v>0</v>
      </c>
      <c r="BQ10" s="1" t="s">
        <v>191</v>
      </c>
      <c r="BR10" s="1" t="s">
        <v>191</v>
      </c>
      <c r="BS10" s="1" t="s">
        <v>191</v>
      </c>
      <c r="BT10" s="24" t="s">
        <v>73</v>
      </c>
      <c r="BU10" s="1" t="s">
        <v>191</v>
      </c>
      <c r="BV10" s="44">
        <f t="shared" si="11"/>
        <v>0</v>
      </c>
      <c r="BZ10" s="1" t="s">
        <v>73</v>
      </c>
      <c r="CB10" s="44">
        <f t="shared" si="12"/>
        <v>0</v>
      </c>
    </row>
    <row r="11" spans="1:80" x14ac:dyDescent="0.25">
      <c r="A11" s="55" t="s">
        <v>4</v>
      </c>
      <c r="B11" s="57">
        <v>10</v>
      </c>
      <c r="H11" s="44">
        <f t="shared" si="2"/>
        <v>0</v>
      </c>
      <c r="N11" s="44">
        <f t="shared" si="3"/>
        <v>0</v>
      </c>
      <c r="T11" s="44">
        <f t="shared" si="0"/>
        <v>0</v>
      </c>
      <c r="Z11" s="44">
        <f t="shared" si="4"/>
        <v>0</v>
      </c>
      <c r="AF11" s="44">
        <f t="shared" si="13"/>
        <v>0</v>
      </c>
      <c r="AG11" s="13"/>
      <c r="AL11" s="44">
        <f t="shared" si="5"/>
        <v>0</v>
      </c>
      <c r="AM11" s="13"/>
      <c r="AP11" s="78"/>
      <c r="AQ11" s="79"/>
      <c r="AR11" s="44">
        <f t="shared" si="6"/>
        <v>0</v>
      </c>
      <c r="AX11" s="44">
        <f t="shared" si="7"/>
        <v>0</v>
      </c>
      <c r="AY11" s="13"/>
      <c r="BC11" s="79"/>
      <c r="BD11" s="44">
        <f t="shared" si="8"/>
        <v>0</v>
      </c>
      <c r="BE11" s="13"/>
      <c r="BI11" s="79"/>
      <c r="BJ11" s="44">
        <f t="shared" si="9"/>
        <v>0</v>
      </c>
      <c r="BK11" s="13"/>
      <c r="BO11" s="79"/>
      <c r="BP11" s="44">
        <f t="shared" si="10"/>
        <v>0</v>
      </c>
      <c r="BQ11" s="1" t="s">
        <v>191</v>
      </c>
      <c r="BR11" s="1" t="s">
        <v>191</v>
      </c>
      <c r="BS11" s="1" t="s">
        <v>191</v>
      </c>
      <c r="BT11" s="24" t="s">
        <v>73</v>
      </c>
      <c r="BU11" s="1" t="s">
        <v>191</v>
      </c>
      <c r="BV11" s="44">
        <f t="shared" si="11"/>
        <v>0</v>
      </c>
      <c r="BZ11" s="1" t="s">
        <v>73</v>
      </c>
      <c r="CB11" s="44">
        <f t="shared" si="12"/>
        <v>0</v>
      </c>
    </row>
    <row r="12" spans="1:80" x14ac:dyDescent="0.25">
      <c r="A12" s="55" t="s">
        <v>5</v>
      </c>
      <c r="B12" s="57">
        <v>11</v>
      </c>
      <c r="H12" s="44">
        <f t="shared" si="2"/>
        <v>0</v>
      </c>
      <c r="N12" s="44">
        <f t="shared" si="3"/>
        <v>0</v>
      </c>
      <c r="T12" s="44">
        <f t="shared" si="0"/>
        <v>0</v>
      </c>
      <c r="Z12" s="44">
        <f t="shared" si="4"/>
        <v>0</v>
      </c>
      <c r="AF12" s="44">
        <f t="shared" si="13"/>
        <v>0</v>
      </c>
      <c r="AG12" s="13"/>
      <c r="AL12" s="44">
        <f t="shared" si="5"/>
        <v>0</v>
      </c>
      <c r="AM12" s="13"/>
      <c r="AP12" s="78"/>
      <c r="AQ12" s="79"/>
      <c r="AR12" s="44">
        <f t="shared" si="6"/>
        <v>0</v>
      </c>
      <c r="AX12" s="44">
        <f t="shared" si="7"/>
        <v>0</v>
      </c>
      <c r="AY12" s="13"/>
      <c r="BC12" s="79"/>
      <c r="BD12" s="44">
        <f t="shared" si="8"/>
        <v>0</v>
      </c>
      <c r="BE12" s="13"/>
      <c r="BI12" s="79"/>
      <c r="BJ12" s="44">
        <f t="shared" si="9"/>
        <v>0</v>
      </c>
      <c r="BK12" s="13"/>
      <c r="BO12" s="79"/>
      <c r="BP12" s="44">
        <f t="shared" si="10"/>
        <v>0</v>
      </c>
      <c r="BQ12" s="1" t="s">
        <v>191</v>
      </c>
      <c r="BR12" s="1" t="s">
        <v>191</v>
      </c>
      <c r="BS12" s="1" t="s">
        <v>191</v>
      </c>
      <c r="BT12" s="24" t="s">
        <v>73</v>
      </c>
      <c r="BU12" s="1" t="s">
        <v>191</v>
      </c>
      <c r="BV12" s="44">
        <f t="shared" si="11"/>
        <v>0</v>
      </c>
      <c r="BZ12" s="1" t="s">
        <v>73</v>
      </c>
      <c r="CB12" s="44">
        <f t="shared" si="12"/>
        <v>0</v>
      </c>
    </row>
    <row r="13" spans="1:80" x14ac:dyDescent="0.25">
      <c r="A13" s="54" t="s">
        <v>8</v>
      </c>
      <c r="B13" s="58">
        <v>12</v>
      </c>
      <c r="F13" s="1">
        <v>1</v>
      </c>
      <c r="H13" s="44">
        <f t="shared" si="2"/>
        <v>1</v>
      </c>
      <c r="I13" s="1">
        <v>1</v>
      </c>
      <c r="L13" s="1">
        <v>2</v>
      </c>
      <c r="N13" s="44">
        <f t="shared" si="3"/>
        <v>3</v>
      </c>
      <c r="O13" s="1">
        <v>1</v>
      </c>
      <c r="S13" s="1">
        <v>1</v>
      </c>
      <c r="T13" s="44">
        <f t="shared" si="0"/>
        <v>2</v>
      </c>
      <c r="V13" s="1">
        <v>1</v>
      </c>
      <c r="W13" s="1">
        <v>1</v>
      </c>
      <c r="X13" s="1">
        <v>3</v>
      </c>
      <c r="Z13" s="44">
        <f t="shared" si="4"/>
        <v>5</v>
      </c>
      <c r="AA13" s="1">
        <v>2</v>
      </c>
      <c r="AC13" s="1">
        <v>1</v>
      </c>
      <c r="AD13" s="1">
        <v>2</v>
      </c>
      <c r="AF13" s="44">
        <f t="shared" si="13"/>
        <v>5</v>
      </c>
      <c r="AG13" s="13">
        <v>1</v>
      </c>
      <c r="AH13" s="1">
        <v>1</v>
      </c>
      <c r="AL13" s="44">
        <f t="shared" si="5"/>
        <v>2</v>
      </c>
      <c r="AM13" s="13"/>
      <c r="AO13" s="1">
        <v>1</v>
      </c>
      <c r="AP13" s="78"/>
      <c r="AQ13" s="79">
        <v>1</v>
      </c>
      <c r="AR13" s="44">
        <f t="shared" si="6"/>
        <v>2</v>
      </c>
      <c r="AT13" s="1">
        <v>1</v>
      </c>
      <c r="AW13" s="1">
        <v>1</v>
      </c>
      <c r="AX13" s="44">
        <f t="shared" si="7"/>
        <v>2</v>
      </c>
      <c r="AY13" s="13"/>
      <c r="BA13" s="1">
        <v>1</v>
      </c>
      <c r="BB13" s="1">
        <v>1</v>
      </c>
      <c r="BC13" s="79"/>
      <c r="BD13" s="44">
        <f t="shared" si="8"/>
        <v>2</v>
      </c>
      <c r="BE13" s="13">
        <v>1</v>
      </c>
      <c r="BH13" s="1">
        <v>1</v>
      </c>
      <c r="BI13" s="79">
        <v>1</v>
      </c>
      <c r="BJ13" s="44">
        <f t="shared" si="9"/>
        <v>3</v>
      </c>
      <c r="BK13" s="13"/>
      <c r="BL13" s="1">
        <v>1</v>
      </c>
      <c r="BO13" s="79">
        <v>3</v>
      </c>
      <c r="BP13" s="44">
        <f t="shared" si="10"/>
        <v>4</v>
      </c>
      <c r="BQ13" s="1" t="s">
        <v>191</v>
      </c>
      <c r="BR13" s="1" t="s">
        <v>191</v>
      </c>
      <c r="BS13" s="1" t="s">
        <v>191</v>
      </c>
      <c r="BT13" s="24" t="s">
        <v>73</v>
      </c>
      <c r="BU13" s="1" t="s">
        <v>191</v>
      </c>
      <c r="BV13" s="44">
        <f t="shared" si="11"/>
        <v>0</v>
      </c>
      <c r="BX13" s="1">
        <v>1</v>
      </c>
      <c r="BZ13" s="1" t="s">
        <v>73</v>
      </c>
      <c r="CB13" s="44">
        <f t="shared" si="12"/>
        <v>1</v>
      </c>
    </row>
    <row r="14" spans="1:80" x14ac:dyDescent="0.25">
      <c r="A14" s="55" t="s">
        <v>6</v>
      </c>
      <c r="B14" s="57">
        <v>13</v>
      </c>
      <c r="H14" s="44">
        <f t="shared" si="2"/>
        <v>0</v>
      </c>
      <c r="N14" s="44">
        <f t="shared" si="3"/>
        <v>0</v>
      </c>
      <c r="Q14" s="1">
        <v>1</v>
      </c>
      <c r="T14" s="44">
        <f t="shared" si="0"/>
        <v>1</v>
      </c>
      <c r="Y14" s="1">
        <v>1</v>
      </c>
      <c r="Z14" s="44">
        <f t="shared" si="4"/>
        <v>1</v>
      </c>
      <c r="AF14" s="44">
        <f t="shared" si="13"/>
        <v>0</v>
      </c>
      <c r="AG14" s="13"/>
      <c r="AL14" s="44">
        <f t="shared" si="5"/>
        <v>0</v>
      </c>
      <c r="AM14" s="13"/>
      <c r="AP14" s="78"/>
      <c r="AQ14" s="79"/>
      <c r="AR14" s="44">
        <f t="shared" si="6"/>
        <v>0</v>
      </c>
      <c r="AX14" s="44">
        <f t="shared" si="7"/>
        <v>0</v>
      </c>
      <c r="AY14" s="13"/>
      <c r="BC14" s="79"/>
      <c r="BD14" s="44">
        <f t="shared" si="8"/>
        <v>0</v>
      </c>
      <c r="BE14" s="13"/>
      <c r="BI14" s="79"/>
      <c r="BJ14" s="44">
        <f t="shared" si="9"/>
        <v>0</v>
      </c>
      <c r="BK14" s="13"/>
      <c r="BM14" s="1">
        <v>1</v>
      </c>
      <c r="BO14" s="79"/>
      <c r="BP14" s="44">
        <f t="shared" si="10"/>
        <v>1</v>
      </c>
      <c r="BQ14" s="1" t="s">
        <v>191</v>
      </c>
      <c r="BR14" s="1" t="s">
        <v>191</v>
      </c>
      <c r="BS14" s="1" t="s">
        <v>191</v>
      </c>
      <c r="BT14" s="24" t="s">
        <v>73</v>
      </c>
      <c r="BU14" s="1" t="s">
        <v>191</v>
      </c>
      <c r="BV14" s="44">
        <f t="shared" si="11"/>
        <v>0</v>
      </c>
      <c r="BZ14" s="1" t="s">
        <v>73</v>
      </c>
      <c r="CB14" s="44">
        <f t="shared" si="12"/>
        <v>0</v>
      </c>
    </row>
    <row r="15" spans="1:80" x14ac:dyDescent="0.25">
      <c r="A15" s="54" t="s">
        <v>7</v>
      </c>
      <c r="B15" s="57">
        <v>14</v>
      </c>
      <c r="H15" s="44">
        <f t="shared" si="2"/>
        <v>0</v>
      </c>
      <c r="N15" s="44">
        <f t="shared" si="3"/>
        <v>0</v>
      </c>
      <c r="T15" s="44">
        <f t="shared" si="0"/>
        <v>0</v>
      </c>
      <c r="Z15" s="44">
        <f t="shared" si="4"/>
        <v>0</v>
      </c>
      <c r="AF15" s="44">
        <f t="shared" si="13"/>
        <v>0</v>
      </c>
      <c r="AG15" s="13"/>
      <c r="AI15" s="1">
        <v>20</v>
      </c>
      <c r="AL15" s="44">
        <f t="shared" si="5"/>
        <v>20</v>
      </c>
      <c r="AM15" s="13"/>
      <c r="AP15" s="78"/>
      <c r="AQ15" s="79"/>
      <c r="AR15" s="44">
        <f t="shared" si="6"/>
        <v>0</v>
      </c>
      <c r="AX15" s="44">
        <f t="shared" si="7"/>
        <v>0</v>
      </c>
      <c r="AY15" s="13">
        <v>20</v>
      </c>
      <c r="AZ15" s="1">
        <v>20</v>
      </c>
      <c r="BA15" s="1">
        <v>10</v>
      </c>
      <c r="BB15" s="1">
        <v>16</v>
      </c>
      <c r="BC15" s="79">
        <v>14</v>
      </c>
      <c r="BD15" s="44">
        <f t="shared" si="8"/>
        <v>80</v>
      </c>
      <c r="BE15" s="13">
        <v>23</v>
      </c>
      <c r="BI15" s="79">
        <v>5</v>
      </c>
      <c r="BJ15" s="44">
        <f t="shared" si="9"/>
        <v>28</v>
      </c>
      <c r="BK15" s="13"/>
      <c r="BN15" s="1">
        <v>8</v>
      </c>
      <c r="BO15" s="79"/>
      <c r="BP15" s="44">
        <f t="shared" si="10"/>
        <v>8</v>
      </c>
      <c r="BQ15" s="1" t="s">
        <v>191</v>
      </c>
      <c r="BR15" s="1" t="s">
        <v>191</v>
      </c>
      <c r="BS15" s="1" t="s">
        <v>191</v>
      </c>
      <c r="BT15" s="24" t="s">
        <v>73</v>
      </c>
      <c r="BU15" s="1" t="s">
        <v>191</v>
      </c>
      <c r="BV15" s="44">
        <f t="shared" si="11"/>
        <v>0</v>
      </c>
      <c r="BX15" s="1">
        <v>16</v>
      </c>
      <c r="BY15" s="1">
        <v>8</v>
      </c>
      <c r="BZ15" s="1" t="s">
        <v>73</v>
      </c>
      <c r="CB15" s="44">
        <f t="shared" si="12"/>
        <v>24</v>
      </c>
    </row>
    <row r="16" spans="1:80" x14ac:dyDescent="0.25">
      <c r="A16" s="54" t="s">
        <v>14</v>
      </c>
      <c r="B16" s="51">
        <v>15</v>
      </c>
      <c r="H16" s="44">
        <f t="shared" si="2"/>
        <v>0</v>
      </c>
      <c r="I16" s="1">
        <v>7</v>
      </c>
      <c r="J16" s="1">
        <v>7</v>
      </c>
      <c r="K16" s="1">
        <v>10</v>
      </c>
      <c r="L16" s="1">
        <v>8</v>
      </c>
      <c r="M16" s="1">
        <v>11</v>
      </c>
      <c r="N16" s="44">
        <f t="shared" si="3"/>
        <v>43</v>
      </c>
      <c r="P16" s="1">
        <v>21</v>
      </c>
      <c r="T16" s="44">
        <f t="shared" si="0"/>
        <v>21</v>
      </c>
      <c r="Z16" s="44">
        <f t="shared" si="4"/>
        <v>0</v>
      </c>
      <c r="AF16" s="44">
        <f t="shared" si="13"/>
        <v>0</v>
      </c>
      <c r="AG16" s="13"/>
      <c r="AL16" s="44">
        <f t="shared" si="5"/>
        <v>0</v>
      </c>
      <c r="AM16" s="13"/>
      <c r="AP16" s="78"/>
      <c r="AQ16" s="79"/>
      <c r="AR16" s="44">
        <f t="shared" si="6"/>
        <v>0</v>
      </c>
      <c r="AS16" s="1">
        <v>20</v>
      </c>
      <c r="AX16" s="44">
        <f t="shared" si="7"/>
        <v>20</v>
      </c>
      <c r="AY16" s="13"/>
      <c r="BC16" s="79"/>
      <c r="BD16" s="44">
        <f t="shared" si="8"/>
        <v>0</v>
      </c>
      <c r="BE16" s="13"/>
      <c r="BI16" s="79"/>
      <c r="BJ16" s="44">
        <f t="shared" si="9"/>
        <v>0</v>
      </c>
      <c r="BK16" s="13">
        <v>5</v>
      </c>
      <c r="BO16" s="79"/>
      <c r="BP16" s="44">
        <f t="shared" si="10"/>
        <v>5</v>
      </c>
      <c r="BQ16" s="1" t="s">
        <v>191</v>
      </c>
      <c r="BR16" s="1" t="s">
        <v>191</v>
      </c>
      <c r="BS16" s="1" t="s">
        <v>191</v>
      </c>
      <c r="BT16" s="24" t="s">
        <v>73</v>
      </c>
      <c r="BU16" s="1" t="s">
        <v>191</v>
      </c>
      <c r="BV16" s="44">
        <f t="shared" si="11"/>
        <v>0</v>
      </c>
      <c r="BZ16" s="1" t="s">
        <v>73</v>
      </c>
      <c r="CB16" s="44">
        <f t="shared" si="12"/>
        <v>0</v>
      </c>
    </row>
    <row r="17" spans="1:80" ht="30" x14ac:dyDescent="0.25">
      <c r="A17" s="19" t="s">
        <v>100</v>
      </c>
      <c r="B17" s="52">
        <v>16</v>
      </c>
      <c r="C17" s="16"/>
      <c r="D17" s="16"/>
      <c r="E17" s="16"/>
      <c r="F17" s="16"/>
      <c r="G17" s="16"/>
      <c r="H17" s="45">
        <f>SUM(C17:G17)</f>
        <v>0</v>
      </c>
      <c r="I17" s="16"/>
      <c r="J17" s="16"/>
      <c r="K17" s="16"/>
      <c r="L17" s="16"/>
      <c r="M17" s="16"/>
      <c r="N17" s="45">
        <f>SUM(I17:M17)</f>
        <v>0</v>
      </c>
      <c r="O17" s="16"/>
      <c r="P17" s="16"/>
      <c r="Q17" s="16"/>
      <c r="R17" s="16"/>
      <c r="S17" s="16"/>
      <c r="T17" s="45">
        <f>SUM(O17:S17)</f>
        <v>0</v>
      </c>
      <c r="U17" s="16"/>
      <c r="V17" s="16"/>
      <c r="W17" s="16"/>
      <c r="X17" s="16"/>
      <c r="Y17" s="16"/>
      <c r="Z17" s="45">
        <f>SUM(U17:Y17)</f>
        <v>0</v>
      </c>
      <c r="AA17" s="16"/>
      <c r="AB17" s="16"/>
      <c r="AC17" s="16"/>
      <c r="AD17" s="16"/>
      <c r="AE17" s="16"/>
      <c r="AF17" s="45">
        <f>SUM(AA17:AE17)</f>
        <v>0</v>
      </c>
      <c r="AG17" s="74"/>
      <c r="AH17" s="75"/>
      <c r="AI17" s="75"/>
      <c r="AJ17" s="75"/>
      <c r="AK17" s="77">
        <v>19</v>
      </c>
      <c r="AL17" s="45">
        <f>SUM(AG17:AK17)</f>
        <v>19</v>
      </c>
      <c r="AM17" s="15"/>
      <c r="AN17" s="16"/>
      <c r="AO17" s="16"/>
      <c r="AP17" s="80" t="s">
        <v>139</v>
      </c>
      <c r="AQ17" s="81"/>
      <c r="AR17" s="45">
        <f>SUM(AM17:AQ17)</f>
        <v>0</v>
      </c>
      <c r="AS17" s="16"/>
      <c r="AT17" s="16"/>
      <c r="AU17" s="16"/>
      <c r="AV17" s="16"/>
      <c r="AW17" s="16">
        <v>5</v>
      </c>
      <c r="AX17" s="45">
        <f>SUM(AS17:AW17)</f>
        <v>5</v>
      </c>
      <c r="AY17" s="15">
        <v>10</v>
      </c>
      <c r="AZ17" s="16">
        <v>10</v>
      </c>
      <c r="BA17" s="16"/>
      <c r="BB17" s="16">
        <v>8</v>
      </c>
      <c r="BC17" s="81">
        <v>7</v>
      </c>
      <c r="BD17" s="45">
        <f>SUM(AY17:BC17)</f>
        <v>35</v>
      </c>
      <c r="BE17" s="15"/>
      <c r="BF17" s="16"/>
      <c r="BG17" s="16">
        <v>5</v>
      </c>
      <c r="BH17" s="16">
        <v>5</v>
      </c>
      <c r="BI17" s="81">
        <v>5</v>
      </c>
      <c r="BJ17" s="45">
        <f>SUM(BE17:BI17)</f>
        <v>15</v>
      </c>
      <c r="BK17" s="15"/>
      <c r="BL17" s="16"/>
      <c r="BM17" s="16"/>
      <c r="BN17" s="16">
        <v>8</v>
      </c>
      <c r="BO17" s="81"/>
      <c r="BP17" s="45">
        <f>SUM(BK17:BO17)</f>
        <v>8</v>
      </c>
      <c r="BQ17" s="16" t="s">
        <v>191</v>
      </c>
      <c r="BR17" s="16" t="s">
        <v>191</v>
      </c>
      <c r="BS17" s="16" t="s">
        <v>191</v>
      </c>
      <c r="BT17" s="17" t="s">
        <v>73</v>
      </c>
      <c r="BU17" s="16" t="s">
        <v>191</v>
      </c>
      <c r="BV17" s="45">
        <f>SUM(BQ17:BU17)</f>
        <v>0</v>
      </c>
      <c r="BW17" s="15"/>
      <c r="BX17" s="16"/>
      <c r="BY17" s="16">
        <v>5</v>
      </c>
      <c r="BZ17" s="16" t="s">
        <v>73</v>
      </c>
      <c r="CA17" s="81">
        <v>10</v>
      </c>
      <c r="CB17" s="45">
        <f>SUM(BW17:CA17)</f>
        <v>15</v>
      </c>
    </row>
    <row r="18" spans="1:80" ht="255" x14ac:dyDescent="0.25">
      <c r="A18" s="1" t="s">
        <v>11</v>
      </c>
      <c r="B18" s="48">
        <v>16</v>
      </c>
      <c r="C18" s="4" t="s">
        <v>58</v>
      </c>
      <c r="D18" s="4" t="s">
        <v>59</v>
      </c>
      <c r="E18" s="46" t="s">
        <v>60</v>
      </c>
      <c r="F18" s="46" t="s">
        <v>61</v>
      </c>
      <c r="G18" s="46" t="s">
        <v>62</v>
      </c>
      <c r="H18" s="4"/>
      <c r="I18" s="4" t="s">
        <v>63</v>
      </c>
      <c r="J18" s="4" t="s">
        <v>64</v>
      </c>
      <c r="K18" s="4" t="s">
        <v>64</v>
      </c>
      <c r="L18" s="4" t="s">
        <v>64</v>
      </c>
      <c r="M18" s="4" t="s">
        <v>64</v>
      </c>
      <c r="O18" s="4" t="s">
        <v>68</v>
      </c>
      <c r="P18" s="46" t="s">
        <v>69</v>
      </c>
      <c r="Q18" s="46" t="s">
        <v>70</v>
      </c>
      <c r="R18" s="4" t="s">
        <v>71</v>
      </c>
      <c r="S18" s="4" t="s">
        <v>72</v>
      </c>
      <c r="U18" s="47" t="s">
        <v>79</v>
      </c>
      <c r="V18" s="46" t="s">
        <v>80</v>
      </c>
      <c r="W18" s="46" t="s">
        <v>81</v>
      </c>
      <c r="X18" s="4" t="s">
        <v>82</v>
      </c>
      <c r="Y18" s="4" t="s">
        <v>83</v>
      </c>
      <c r="AA18" s="4" t="s">
        <v>103</v>
      </c>
      <c r="AB18" s="4" t="s">
        <v>96</v>
      </c>
      <c r="AC18" s="4" t="s">
        <v>97</v>
      </c>
      <c r="AD18" s="4" t="s">
        <v>98</v>
      </c>
      <c r="AE18" s="4" t="s">
        <v>115</v>
      </c>
      <c r="AG18" s="4" t="s">
        <v>119</v>
      </c>
      <c r="AH18" s="4" t="s">
        <v>120</v>
      </c>
      <c r="AI18" s="4" t="s">
        <v>121</v>
      </c>
      <c r="AJ18" s="4" t="s">
        <v>122</v>
      </c>
      <c r="AK18" s="4" t="s">
        <v>123</v>
      </c>
      <c r="AM18" s="4" t="s">
        <v>137</v>
      </c>
      <c r="AN18" s="4" t="s">
        <v>137</v>
      </c>
      <c r="AO18" s="4" t="s">
        <v>138</v>
      </c>
      <c r="AQ18" s="4" t="s">
        <v>140</v>
      </c>
      <c r="AS18" s="85" t="s">
        <v>149</v>
      </c>
      <c r="AT18" s="85" t="s">
        <v>150</v>
      </c>
      <c r="AU18" s="4" t="s">
        <v>151</v>
      </c>
      <c r="AV18" s="4" t="s">
        <v>152</v>
      </c>
      <c r="AW18" s="4" t="s">
        <v>153</v>
      </c>
      <c r="BA18" s="4" t="s">
        <v>158</v>
      </c>
      <c r="BB18" s="4" t="s">
        <v>157</v>
      </c>
      <c r="BE18" s="4" t="s">
        <v>182</v>
      </c>
      <c r="BF18" s="88" t="s">
        <v>179</v>
      </c>
      <c r="BG18" s="4" t="s">
        <v>180</v>
      </c>
      <c r="BH18" s="4" t="s">
        <v>181</v>
      </c>
      <c r="BI18" s="4"/>
      <c r="BK18" s="4" t="s">
        <v>185</v>
      </c>
      <c r="BL18" s="4" t="s">
        <v>186</v>
      </c>
      <c r="BM18" s="4" t="s">
        <v>187</v>
      </c>
      <c r="BN18" s="4"/>
      <c r="BO18" s="4" t="s">
        <v>188</v>
      </c>
      <c r="BQ18" s="4" t="s">
        <v>189</v>
      </c>
      <c r="BR18" s="4" t="s">
        <v>189</v>
      </c>
      <c r="BS18" s="4" t="s">
        <v>189</v>
      </c>
      <c r="BT18" s="90" t="s">
        <v>195</v>
      </c>
      <c r="BU18" s="4" t="s">
        <v>189</v>
      </c>
      <c r="BW18" s="46" t="s">
        <v>197</v>
      </c>
      <c r="BX18" s="4" t="s">
        <v>198</v>
      </c>
      <c r="BZ18" s="1" t="s">
        <v>194</v>
      </c>
    </row>
    <row r="19" spans="1:80" x14ac:dyDescent="0.25">
      <c r="A19" s="1" t="s">
        <v>10</v>
      </c>
      <c r="B19" s="48">
        <v>16</v>
      </c>
      <c r="C19" s="4"/>
      <c r="J19" s="4"/>
      <c r="K19" s="4"/>
      <c r="L19" s="4"/>
      <c r="Q19" s="4"/>
      <c r="U19" s="4"/>
      <c r="W19" s="4"/>
      <c r="X19" s="4"/>
      <c r="Y19" s="4"/>
      <c r="Z19" s="4"/>
      <c r="AA19" s="4"/>
      <c r="AB19" s="4"/>
      <c r="AC19" s="4"/>
      <c r="AD19" s="4"/>
      <c r="AE19" s="4"/>
      <c r="AG19" s="4"/>
      <c r="AH19" s="4"/>
      <c r="AJ19" s="4"/>
      <c r="AK19" s="4"/>
      <c r="AN19" s="4"/>
      <c r="AO19" s="4"/>
      <c r="AP19" s="4"/>
      <c r="AQ19" s="4"/>
      <c r="AT19" s="4"/>
      <c r="AU19" s="4"/>
      <c r="AV19" s="4"/>
      <c r="AW19" s="4"/>
      <c r="AY19" s="4"/>
      <c r="AZ19" s="4"/>
      <c r="BA19" s="4"/>
      <c r="BB19" s="4"/>
      <c r="BC19" s="4"/>
    </row>
  </sheetData>
  <customSheetViews>
    <customSheetView guid="{9B623083-AA7B-440B-95EA-C33E1AB3D963}" scale="90" showAutoFilter="1">
      <pane xSplit="1" topLeftCell="AM1" activePane="topRight" state="frozen"/>
      <selection pane="topRight" activeCell="W17" sqref="W17"/>
      <pageMargins left="0.511811024" right="0.511811024" top="0.78740157499999996" bottom="0.78740157499999996" header="0.31496062000000002" footer="0.31496062000000002"/>
      <autoFilter ref="A1:A19" xr:uid="{BB619D65-AB74-4134-8730-0705A5D403D1}"/>
    </customSheetView>
    <customSheetView guid="{20CB6D8F-C24D-4D4B-A424-AF380F620455}" scale="90" showPageBreaks="1" topLeftCell="AS1">
      <selection activeCell="S17" sqref="S17"/>
      <pageMargins left="0.511811024" right="0.511811024" top="0.78740157499999996" bottom="0.78740157499999996" header="0.31496062000000002" footer="0.31496062000000002"/>
      <pageSetup paperSize="9" orientation="portrait" r:id="rId1"/>
    </customSheetView>
    <customSheetView guid="{B3CDE377-BA5D-4E06-91D9-3A48E1959BA5}">
      <pane xSplit="1" topLeftCell="AG1" activePane="topRight" state="frozen"/>
      <selection pane="topRight" activeCell="AE18" sqref="AE18"/>
      <pageMargins left="0.511811024" right="0.511811024" top="0.78740157499999996" bottom="0.78740157499999996" header="0.31496062000000002" footer="0.31496062000000002"/>
    </customSheetView>
    <customSheetView guid="{18A482E0-C8B6-4AA1-9E04-15FA7C9CD5E3}" scale="90">
      <pane xSplit="1" topLeftCell="B1" activePane="topRight" state="frozen"/>
      <selection pane="topRight" activeCell="C1" sqref="C1:CB18"/>
      <pageMargins left="0.511811024" right="0.511811024" top="0.78740157499999996" bottom="0.78740157499999996" header="0.31496062000000002" footer="0.31496062000000002"/>
    </customSheetView>
    <customSheetView guid="{C69767F5-CD39-44C1-AD4B-CE19DC8285A6}">
      <selection activeCell="F5" sqref="F5"/>
      <pageMargins left="0.511811024" right="0.511811024" top="0.78740157499999996" bottom="0.78740157499999996" header="0.31496062000000002" footer="0.31496062000000002"/>
    </customSheetView>
    <customSheetView guid="{552DFCCD-1786-4D75-8B10-27DD730384DD}">
      <selection activeCell="E3" sqref="E3"/>
      <pageMargins left="0.511811024" right="0.511811024" top="0.78740157499999996" bottom="0.78740157499999996" header="0.31496062000000002" footer="0.31496062000000002"/>
    </customSheetView>
    <customSheetView guid="{E3841903-5B68-44FD-8F09-58E03D1025C5}" topLeftCell="E1">
      <selection activeCell="AA2" sqref="AA2:AE18"/>
      <pageMargins left="0.511811024" right="0.511811024" top="0.78740157499999996" bottom="0.78740157499999996" header="0.31496062000000002" footer="0.31496062000000002"/>
    </customSheetView>
    <customSheetView guid="{86039CF8-B158-4D70-9A6F-A10C29CBD68A}">
      <pane xSplit="1" topLeftCell="BV1" activePane="topRight" state="frozen"/>
      <selection pane="topRight" activeCell="CA2" sqref="CA2:CA18"/>
      <pageMargins left="0.511811024" right="0.511811024" top="0.78740157499999996" bottom="0.78740157499999996" header="0.31496062000000002" footer="0.31496062000000002"/>
    </customSheetView>
    <customSheetView guid="{3D987F8E-A6EA-454D-9537-6BFC5053CB00}" topLeftCell="A14">
      <pane xSplit="1" topLeftCell="BJ1" activePane="topRight" state="frozen"/>
      <selection pane="topRight" activeCell="BJ18" sqref="BJ18"/>
      <pageMargins left="0.511811024" right="0.511811024" top="0.78740157499999996" bottom="0.78740157499999996" header="0.31496062000000002" footer="0.31496062000000002"/>
    </customSheetView>
  </customSheetViews>
  <pageMargins left="0.511811024" right="0.511811024" top="0.78740157499999996" bottom="0.78740157499999996" header="0.31496062000000002" footer="0.31496062000000002"/>
  <pageSetup paperSize="9" orientation="portrait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B34"/>
  <sheetViews>
    <sheetView topLeftCell="AE1" zoomScaleNormal="90" workbookViewId="0">
      <selection activeCell="AM17" sqref="AM17:AQ17"/>
    </sheetView>
  </sheetViews>
  <sheetFormatPr defaultColWidth="9.140625" defaultRowHeight="15" x14ac:dyDescent="0.25"/>
  <cols>
    <col min="1" max="1" width="77.42578125" style="1" bestFit="1" customWidth="1"/>
    <col min="2" max="2" width="3" style="1" bestFit="1" customWidth="1"/>
    <col min="3" max="3" width="23.85546875" style="1" customWidth="1"/>
    <col min="4" max="7" width="11.7109375" style="1" customWidth="1"/>
    <col min="8" max="8" width="14.28515625" style="1" bestFit="1" customWidth="1"/>
    <col min="9" max="13" width="9.5703125" style="1" customWidth="1"/>
    <col min="14" max="14" width="14.28515625" style="1" bestFit="1" customWidth="1"/>
    <col min="15" max="15" width="9.7109375" style="1" customWidth="1"/>
    <col min="16" max="16" width="10" style="1" customWidth="1"/>
    <col min="17" max="17" width="14.5703125" style="1" customWidth="1"/>
    <col min="18" max="18" width="9.140625" style="1" customWidth="1"/>
    <col min="19" max="19" width="11.140625" style="1" customWidth="1"/>
    <col min="20" max="20" width="14.28515625" style="1" bestFit="1" customWidth="1"/>
    <col min="21" max="21" width="9.85546875" style="1" customWidth="1"/>
    <col min="22" max="22" width="14" style="1" customWidth="1"/>
    <col min="23" max="23" width="13" style="1" customWidth="1"/>
    <col min="24" max="24" width="16.140625" style="1" customWidth="1"/>
    <col min="25" max="25" width="16.85546875" style="1" customWidth="1"/>
    <col min="26" max="26" width="14.28515625" style="1" bestFit="1" customWidth="1"/>
    <col min="27" max="31" width="20" style="1" customWidth="1"/>
    <col min="32" max="32" width="15.28515625" style="1" customWidth="1"/>
    <col min="33" max="33" width="19.42578125" style="1" customWidth="1"/>
    <col min="34" max="35" width="9.140625" style="1"/>
    <col min="36" max="36" width="6.85546875" style="1" customWidth="1"/>
    <col min="37" max="37" width="16.5703125" style="1" customWidth="1"/>
    <col min="38" max="38" width="17.42578125" style="1" customWidth="1"/>
    <col min="39" max="40" width="11.42578125" style="1" customWidth="1"/>
    <col min="41" max="41" width="10.85546875" style="1" customWidth="1"/>
    <col min="42" max="42" width="13.42578125" style="1" customWidth="1"/>
    <col min="43" max="43" width="9.140625" style="1"/>
    <col min="44" max="44" width="15.42578125" style="1" customWidth="1"/>
    <col min="45" max="49" width="9.140625" style="1"/>
    <col min="50" max="50" width="15.42578125" style="1" customWidth="1"/>
    <col min="51" max="55" width="9.140625" style="1"/>
    <col min="56" max="56" width="16.140625" style="1" customWidth="1"/>
    <col min="57" max="61" width="9.140625" style="1"/>
    <col min="62" max="62" width="16.28515625" style="1" customWidth="1"/>
    <col min="63" max="67" width="9.140625" style="1"/>
    <col min="68" max="68" width="14.5703125" style="1" customWidth="1"/>
    <col min="69" max="73" width="9.140625" style="1"/>
    <col min="74" max="74" width="14.5703125" style="1" customWidth="1"/>
    <col min="75" max="79" width="9.140625" style="1"/>
    <col min="80" max="80" width="14.7109375" style="1" customWidth="1"/>
    <col min="81" max="16384" width="9.140625" style="1"/>
  </cols>
  <sheetData>
    <row r="1" spans="1:80" x14ac:dyDescent="0.25">
      <c r="A1" s="18" t="s">
        <v>9</v>
      </c>
      <c r="B1" s="56"/>
      <c r="C1" s="43">
        <v>45936</v>
      </c>
      <c r="D1" s="29">
        <v>45937</v>
      </c>
      <c r="E1" s="29">
        <v>45938</v>
      </c>
      <c r="F1" s="29">
        <v>45939</v>
      </c>
      <c r="G1" s="29">
        <v>45940</v>
      </c>
      <c r="H1" s="12" t="s">
        <v>15</v>
      </c>
      <c r="I1" s="43">
        <v>45943</v>
      </c>
      <c r="J1" s="29">
        <v>45944</v>
      </c>
      <c r="K1" s="29">
        <v>45945</v>
      </c>
      <c r="L1" s="29">
        <v>45946</v>
      </c>
      <c r="M1" s="29">
        <v>45947</v>
      </c>
      <c r="N1" s="11" t="s">
        <v>15</v>
      </c>
      <c r="O1" s="43">
        <v>45950</v>
      </c>
      <c r="P1" s="29">
        <v>45951</v>
      </c>
      <c r="Q1" s="29">
        <v>45952</v>
      </c>
      <c r="R1" s="29">
        <v>45953</v>
      </c>
      <c r="S1" s="29">
        <v>45954</v>
      </c>
      <c r="T1" s="11" t="s">
        <v>15</v>
      </c>
      <c r="U1" s="43">
        <v>45957</v>
      </c>
      <c r="V1" s="29">
        <v>45958</v>
      </c>
      <c r="W1" s="29">
        <v>45959</v>
      </c>
      <c r="X1" s="29">
        <v>45960</v>
      </c>
      <c r="Y1" s="29">
        <v>45961</v>
      </c>
      <c r="Z1" s="11" t="s">
        <v>15</v>
      </c>
      <c r="AA1" s="29">
        <v>45964</v>
      </c>
      <c r="AB1" s="43">
        <v>45965</v>
      </c>
      <c r="AC1" s="43">
        <v>45966</v>
      </c>
      <c r="AD1" s="43">
        <v>45967</v>
      </c>
      <c r="AE1" s="73">
        <v>45968</v>
      </c>
      <c r="AF1" s="11" t="s">
        <v>15</v>
      </c>
      <c r="AG1" s="43">
        <v>45971</v>
      </c>
      <c r="AH1" s="29">
        <v>45972</v>
      </c>
      <c r="AI1" s="29">
        <v>45973</v>
      </c>
      <c r="AJ1" s="29">
        <v>45974</v>
      </c>
      <c r="AK1" s="29">
        <v>45975</v>
      </c>
      <c r="AL1" s="11" t="s">
        <v>15</v>
      </c>
      <c r="AM1" s="43">
        <v>45978</v>
      </c>
      <c r="AN1" s="29">
        <v>45979</v>
      </c>
      <c r="AO1" s="29">
        <v>45980</v>
      </c>
      <c r="AP1" s="29">
        <v>45981</v>
      </c>
      <c r="AQ1" s="29">
        <v>45982</v>
      </c>
      <c r="AR1" s="11" t="s">
        <v>15</v>
      </c>
      <c r="AS1" s="43">
        <v>45985</v>
      </c>
      <c r="AT1" s="29">
        <v>45986</v>
      </c>
      <c r="AU1" s="29">
        <v>45987</v>
      </c>
      <c r="AV1" s="29">
        <v>45988</v>
      </c>
      <c r="AW1" s="29">
        <v>45989</v>
      </c>
      <c r="AX1" s="11" t="s">
        <v>15</v>
      </c>
      <c r="AY1" s="43">
        <v>45992</v>
      </c>
      <c r="AZ1" s="29">
        <v>45993</v>
      </c>
      <c r="BA1" s="29">
        <v>45994</v>
      </c>
      <c r="BB1" s="29">
        <v>45995</v>
      </c>
      <c r="BC1" s="29">
        <v>45996</v>
      </c>
      <c r="BD1" s="11" t="s">
        <v>15</v>
      </c>
      <c r="BE1" s="43">
        <v>45999</v>
      </c>
      <c r="BF1" s="29">
        <v>46000</v>
      </c>
      <c r="BG1" s="29">
        <v>46001</v>
      </c>
      <c r="BH1" s="29">
        <v>46002</v>
      </c>
      <c r="BI1" s="29">
        <v>46003</v>
      </c>
      <c r="BJ1" s="11" t="s">
        <v>15</v>
      </c>
      <c r="BK1" s="43">
        <v>46006</v>
      </c>
      <c r="BL1" s="29">
        <v>46007</v>
      </c>
      <c r="BM1" s="29">
        <v>46008</v>
      </c>
      <c r="BN1" s="29">
        <v>46009</v>
      </c>
      <c r="BO1" s="29">
        <v>46010</v>
      </c>
      <c r="BP1" s="11" t="s">
        <v>15</v>
      </c>
      <c r="BQ1" s="43">
        <v>46013</v>
      </c>
      <c r="BR1" s="29">
        <v>46014</v>
      </c>
      <c r="BS1" s="29">
        <v>46015</v>
      </c>
      <c r="BT1" s="82">
        <v>46016</v>
      </c>
      <c r="BU1" s="29">
        <v>46017</v>
      </c>
      <c r="BV1" s="11" t="s">
        <v>15</v>
      </c>
      <c r="BW1" s="43">
        <v>46020</v>
      </c>
      <c r="BX1" s="29">
        <v>46021</v>
      </c>
      <c r="BY1" s="29">
        <v>46022</v>
      </c>
      <c r="BZ1" s="82">
        <v>46023</v>
      </c>
      <c r="CA1" s="29">
        <v>46024</v>
      </c>
      <c r="CB1" s="11" t="s">
        <v>15</v>
      </c>
    </row>
    <row r="2" spans="1:80" x14ac:dyDescent="0.25">
      <c r="A2" s="54" t="s">
        <v>18</v>
      </c>
      <c r="B2" s="57">
        <v>1</v>
      </c>
      <c r="H2" s="44">
        <f>SUM(C2:G2)</f>
        <v>0</v>
      </c>
      <c r="N2" s="44">
        <f>SUM(I2:M2)</f>
        <v>0</v>
      </c>
      <c r="T2" s="44">
        <f t="shared" ref="T2:T16" si="0">SUM(O2:S2)</f>
        <v>0</v>
      </c>
      <c r="U2" s="24" t="s">
        <v>73</v>
      </c>
      <c r="Z2" s="44">
        <f>SUM(U2:Y2)</f>
        <v>0</v>
      </c>
      <c r="AA2" s="1">
        <v>3</v>
      </c>
      <c r="AF2" s="44">
        <f>SUM(AA2:AE2)</f>
        <v>3</v>
      </c>
      <c r="AI2" s="1">
        <v>4</v>
      </c>
      <c r="AJ2" s="1">
        <v>6</v>
      </c>
      <c r="AK2" s="1">
        <v>7</v>
      </c>
      <c r="AL2" s="44">
        <f>SUM(AG2:AK2)</f>
        <v>17</v>
      </c>
      <c r="AP2" s="1" t="s">
        <v>73</v>
      </c>
      <c r="AR2" s="44">
        <f>SUM(AM2:AQ2)</f>
        <v>0</v>
      </c>
      <c r="AX2" s="44">
        <f>SUM(AS2:AW2)</f>
        <v>0</v>
      </c>
      <c r="BD2" s="44">
        <f>SUM(AY2:BC2)</f>
        <v>0</v>
      </c>
      <c r="BJ2" s="44">
        <f>SUM(BE2:BI2)</f>
        <v>0</v>
      </c>
      <c r="BP2" s="44">
        <f>SUM(BK2:BO2)</f>
        <v>0</v>
      </c>
      <c r="BT2" s="24" t="s">
        <v>196</v>
      </c>
      <c r="BV2" s="44">
        <f>SUM(BQ2:BU2)</f>
        <v>0</v>
      </c>
      <c r="BW2" s="1" t="s">
        <v>191</v>
      </c>
      <c r="BX2" s="1" t="s">
        <v>191</v>
      </c>
      <c r="BY2" s="1" t="s">
        <v>191</v>
      </c>
      <c r="BZ2" s="24" t="s">
        <v>73</v>
      </c>
      <c r="CA2" s="1" t="s">
        <v>191</v>
      </c>
      <c r="CB2" s="44">
        <f>SUM(BW2:CA2)</f>
        <v>0</v>
      </c>
    </row>
    <row r="3" spans="1:80" x14ac:dyDescent="0.25">
      <c r="A3" s="54" t="s">
        <v>0</v>
      </c>
      <c r="B3" s="57">
        <v>2</v>
      </c>
      <c r="H3" s="44">
        <f t="shared" ref="H3:H16" si="1">SUM(C3:G3)</f>
        <v>0</v>
      </c>
      <c r="N3" s="44">
        <f t="shared" ref="N3:N16" si="2">SUM(I3:M3)</f>
        <v>0</v>
      </c>
      <c r="T3" s="44">
        <f t="shared" si="0"/>
        <v>0</v>
      </c>
      <c r="U3" s="24" t="s">
        <v>73</v>
      </c>
      <c r="Z3" s="44">
        <f t="shared" ref="Z3:Z16" si="3">SUM(U3:Y3)</f>
        <v>0</v>
      </c>
      <c r="AA3" s="1">
        <v>3</v>
      </c>
      <c r="AB3" s="1">
        <v>1</v>
      </c>
      <c r="AF3" s="44">
        <f t="shared" ref="AF3:AF16" si="4">SUM(AA3:AE3)</f>
        <v>4</v>
      </c>
      <c r="AL3" s="44">
        <f t="shared" ref="AL3:AL16" si="5">SUM(AG3:AK3)</f>
        <v>0</v>
      </c>
      <c r="AP3" s="1" t="s">
        <v>73</v>
      </c>
      <c r="AR3" s="44">
        <f t="shared" ref="AR3:AR16" si="6">SUM(AM3:AQ3)</f>
        <v>0</v>
      </c>
      <c r="AX3" s="44">
        <f t="shared" ref="AX3:AX16" si="7">SUM(AS3:AW3)</f>
        <v>0</v>
      </c>
      <c r="BD3" s="44">
        <f t="shared" ref="BD3:BD16" si="8">SUM(AY3:BC3)</f>
        <v>0</v>
      </c>
      <c r="BJ3" s="44">
        <f t="shared" ref="BJ3:BJ16" si="9">SUM(BE3:BI3)</f>
        <v>0</v>
      </c>
      <c r="BP3" s="44">
        <f t="shared" ref="BP3:BP16" si="10">SUM(BK3:BO3)</f>
        <v>0</v>
      </c>
      <c r="BT3" s="24" t="s">
        <v>196</v>
      </c>
      <c r="BV3" s="44">
        <f t="shared" ref="BV3:BV16" si="11">SUM(BQ3:BU3)</f>
        <v>0</v>
      </c>
      <c r="BW3" s="1" t="s">
        <v>191</v>
      </c>
      <c r="BX3" s="1" t="s">
        <v>191</v>
      </c>
      <c r="BY3" s="1" t="s">
        <v>191</v>
      </c>
      <c r="BZ3" s="24" t="s">
        <v>73</v>
      </c>
      <c r="CA3" s="1" t="s">
        <v>191</v>
      </c>
      <c r="CB3" s="44">
        <f>SUM(BW3:CA3)</f>
        <v>0</v>
      </c>
    </row>
    <row r="4" spans="1:80" x14ac:dyDescent="0.25">
      <c r="A4" s="55" t="s">
        <v>17</v>
      </c>
      <c r="B4" s="58">
        <v>3</v>
      </c>
      <c r="H4" s="44">
        <f t="shared" si="1"/>
        <v>0</v>
      </c>
      <c r="N4" s="44">
        <f t="shared" si="2"/>
        <v>0</v>
      </c>
      <c r="T4" s="44">
        <f t="shared" si="0"/>
        <v>0</v>
      </c>
      <c r="U4" s="24" t="s">
        <v>73</v>
      </c>
      <c r="W4" s="1">
        <v>7</v>
      </c>
      <c r="Z4" s="44">
        <f t="shared" si="3"/>
        <v>7</v>
      </c>
      <c r="AF4" s="44">
        <f t="shared" si="4"/>
        <v>0</v>
      </c>
      <c r="AL4" s="44">
        <f t="shared" si="5"/>
        <v>0</v>
      </c>
      <c r="AM4" s="1">
        <v>13</v>
      </c>
      <c r="AN4" s="1">
        <v>10</v>
      </c>
      <c r="AO4" s="1">
        <v>1</v>
      </c>
      <c r="AP4" s="1" t="s">
        <v>73</v>
      </c>
      <c r="AR4" s="44">
        <f t="shared" si="6"/>
        <v>24</v>
      </c>
      <c r="AX4" s="44">
        <f t="shared" si="7"/>
        <v>0</v>
      </c>
      <c r="BD4" s="44">
        <f t="shared" si="8"/>
        <v>0</v>
      </c>
      <c r="BJ4" s="44">
        <f t="shared" si="9"/>
        <v>0</v>
      </c>
      <c r="BP4" s="44">
        <f t="shared" si="10"/>
        <v>0</v>
      </c>
      <c r="BT4" s="24" t="s">
        <v>196</v>
      </c>
      <c r="BV4" s="44">
        <f t="shared" si="11"/>
        <v>0</v>
      </c>
      <c r="BW4" s="1" t="s">
        <v>191</v>
      </c>
      <c r="BX4" s="1" t="s">
        <v>191</v>
      </c>
      <c r="BY4" s="1" t="s">
        <v>191</v>
      </c>
      <c r="BZ4" s="24" t="s">
        <v>73</v>
      </c>
      <c r="CA4" s="1" t="s">
        <v>191</v>
      </c>
      <c r="CB4" s="44">
        <f t="shared" ref="CB4:CB16" si="12">SUM(BW4:CA4)</f>
        <v>0</v>
      </c>
    </row>
    <row r="5" spans="1:80" x14ac:dyDescent="0.25">
      <c r="A5" s="55" t="s">
        <v>16</v>
      </c>
      <c r="B5" s="57">
        <v>4</v>
      </c>
      <c r="H5" s="44">
        <f t="shared" si="1"/>
        <v>0</v>
      </c>
      <c r="N5" s="44">
        <f t="shared" si="2"/>
        <v>0</v>
      </c>
      <c r="T5" s="44">
        <f t="shared" si="0"/>
        <v>0</v>
      </c>
      <c r="U5" s="24" t="s">
        <v>73</v>
      </c>
      <c r="Z5" s="44">
        <f t="shared" si="3"/>
        <v>0</v>
      </c>
      <c r="AF5" s="44">
        <f t="shared" si="4"/>
        <v>0</v>
      </c>
      <c r="AL5" s="44">
        <f t="shared" si="5"/>
        <v>0</v>
      </c>
      <c r="AM5" s="1">
        <v>13</v>
      </c>
      <c r="AP5" s="1" t="s">
        <v>73</v>
      </c>
      <c r="AR5" s="44">
        <f t="shared" si="6"/>
        <v>13</v>
      </c>
      <c r="AX5" s="44">
        <f t="shared" si="7"/>
        <v>0</v>
      </c>
      <c r="BD5" s="44">
        <f t="shared" si="8"/>
        <v>0</v>
      </c>
      <c r="BJ5" s="44">
        <f t="shared" si="9"/>
        <v>0</v>
      </c>
      <c r="BP5" s="44">
        <f t="shared" si="10"/>
        <v>0</v>
      </c>
      <c r="BT5" s="24" t="s">
        <v>196</v>
      </c>
      <c r="BV5" s="44">
        <f t="shared" si="11"/>
        <v>0</v>
      </c>
      <c r="BW5" s="1" t="s">
        <v>191</v>
      </c>
      <c r="BX5" s="1" t="s">
        <v>191</v>
      </c>
      <c r="BY5" s="1" t="s">
        <v>191</v>
      </c>
      <c r="BZ5" s="24" t="s">
        <v>73</v>
      </c>
      <c r="CA5" s="1" t="s">
        <v>191</v>
      </c>
      <c r="CB5" s="44">
        <f t="shared" si="12"/>
        <v>0</v>
      </c>
    </row>
    <row r="6" spans="1:80" x14ac:dyDescent="0.25">
      <c r="A6" s="55" t="s">
        <v>1</v>
      </c>
      <c r="B6" s="57">
        <v>5</v>
      </c>
      <c r="H6" s="44">
        <f t="shared" si="1"/>
        <v>0</v>
      </c>
      <c r="N6" s="44">
        <f t="shared" si="2"/>
        <v>0</v>
      </c>
      <c r="T6" s="44">
        <f t="shared" si="0"/>
        <v>0</v>
      </c>
      <c r="U6" s="24" t="s">
        <v>73</v>
      </c>
      <c r="Z6" s="44">
        <f t="shared" si="3"/>
        <v>0</v>
      </c>
      <c r="AF6" s="44">
        <f t="shared" si="4"/>
        <v>0</v>
      </c>
      <c r="AL6" s="44">
        <f t="shared" si="5"/>
        <v>0</v>
      </c>
      <c r="AP6" s="1" t="s">
        <v>73</v>
      </c>
      <c r="AR6" s="44">
        <f t="shared" si="6"/>
        <v>0</v>
      </c>
      <c r="AX6" s="44">
        <f t="shared" si="7"/>
        <v>0</v>
      </c>
      <c r="BD6" s="44">
        <f t="shared" si="8"/>
        <v>0</v>
      </c>
      <c r="BJ6" s="44">
        <f t="shared" si="9"/>
        <v>0</v>
      </c>
      <c r="BP6" s="44">
        <f t="shared" si="10"/>
        <v>0</v>
      </c>
      <c r="BT6" s="24" t="s">
        <v>196</v>
      </c>
      <c r="BV6" s="44">
        <f t="shared" si="11"/>
        <v>0</v>
      </c>
      <c r="BW6" s="1" t="s">
        <v>191</v>
      </c>
      <c r="BX6" s="1" t="s">
        <v>191</v>
      </c>
      <c r="BY6" s="1" t="s">
        <v>191</v>
      </c>
      <c r="BZ6" s="24" t="s">
        <v>73</v>
      </c>
      <c r="CA6" s="1" t="s">
        <v>191</v>
      </c>
      <c r="CB6" s="44">
        <f t="shared" si="12"/>
        <v>0</v>
      </c>
    </row>
    <row r="7" spans="1:80" x14ac:dyDescent="0.25">
      <c r="A7" s="55" t="s">
        <v>2</v>
      </c>
      <c r="B7" s="58">
        <v>6</v>
      </c>
      <c r="H7" s="44">
        <f t="shared" si="1"/>
        <v>0</v>
      </c>
      <c r="N7" s="44">
        <f t="shared" si="2"/>
        <v>0</v>
      </c>
      <c r="T7" s="44">
        <f t="shared" si="0"/>
        <v>0</v>
      </c>
      <c r="U7" s="24" t="s">
        <v>73</v>
      </c>
      <c r="Z7" s="44">
        <f t="shared" si="3"/>
        <v>0</v>
      </c>
      <c r="AF7" s="44">
        <f t="shared" si="4"/>
        <v>0</v>
      </c>
      <c r="AL7" s="44">
        <f t="shared" si="5"/>
        <v>0</v>
      </c>
      <c r="AP7" s="1" t="s">
        <v>73</v>
      </c>
      <c r="AR7" s="44">
        <f>SUM(AM7:AQ7)</f>
        <v>0</v>
      </c>
      <c r="AX7" s="44">
        <f t="shared" si="7"/>
        <v>0</v>
      </c>
      <c r="BD7" s="44">
        <f t="shared" si="8"/>
        <v>0</v>
      </c>
      <c r="BJ7" s="44">
        <f t="shared" si="9"/>
        <v>0</v>
      </c>
      <c r="BP7" s="44">
        <f t="shared" si="10"/>
        <v>0</v>
      </c>
      <c r="BT7" s="24" t="s">
        <v>196</v>
      </c>
      <c r="BV7" s="44">
        <f t="shared" si="11"/>
        <v>0</v>
      </c>
      <c r="BW7" s="1" t="s">
        <v>191</v>
      </c>
      <c r="BX7" s="1" t="s">
        <v>191</v>
      </c>
      <c r="BY7" s="1" t="s">
        <v>191</v>
      </c>
      <c r="BZ7" s="24" t="s">
        <v>73</v>
      </c>
      <c r="CA7" s="1" t="s">
        <v>191</v>
      </c>
      <c r="CB7" s="44">
        <f t="shared" si="12"/>
        <v>0</v>
      </c>
    </row>
    <row r="8" spans="1:80" x14ac:dyDescent="0.25">
      <c r="A8" s="55" t="s">
        <v>3</v>
      </c>
      <c r="B8" s="57">
        <v>7</v>
      </c>
      <c r="H8" s="44">
        <f t="shared" si="1"/>
        <v>0</v>
      </c>
      <c r="N8" s="44">
        <f t="shared" si="2"/>
        <v>0</v>
      </c>
      <c r="T8" s="44">
        <f t="shared" si="0"/>
        <v>0</v>
      </c>
      <c r="U8" s="24" t="s">
        <v>73</v>
      </c>
      <c r="Z8" s="44">
        <f t="shared" si="3"/>
        <v>0</v>
      </c>
      <c r="AF8" s="44">
        <f t="shared" si="4"/>
        <v>0</v>
      </c>
      <c r="AL8" s="44">
        <f t="shared" si="5"/>
        <v>0</v>
      </c>
      <c r="AP8" s="1" t="s">
        <v>73</v>
      </c>
      <c r="AR8" s="44">
        <f t="shared" si="6"/>
        <v>0</v>
      </c>
      <c r="AX8" s="44">
        <f t="shared" si="7"/>
        <v>0</v>
      </c>
      <c r="BD8" s="44">
        <f t="shared" si="8"/>
        <v>0</v>
      </c>
      <c r="BJ8" s="44">
        <f t="shared" si="9"/>
        <v>0</v>
      </c>
      <c r="BP8" s="44">
        <f t="shared" si="10"/>
        <v>0</v>
      </c>
      <c r="BT8" s="24" t="s">
        <v>196</v>
      </c>
      <c r="BV8" s="44">
        <f t="shared" si="11"/>
        <v>0</v>
      </c>
      <c r="BW8" s="1" t="s">
        <v>191</v>
      </c>
      <c r="BX8" s="1" t="s">
        <v>191</v>
      </c>
      <c r="BY8" s="1" t="s">
        <v>191</v>
      </c>
      <c r="BZ8" s="24" t="s">
        <v>73</v>
      </c>
      <c r="CA8" s="1" t="s">
        <v>191</v>
      </c>
      <c r="CB8" s="44">
        <f t="shared" si="12"/>
        <v>0</v>
      </c>
    </row>
    <row r="9" spans="1:80" x14ac:dyDescent="0.25">
      <c r="A9" s="55" t="s">
        <v>13</v>
      </c>
      <c r="B9" s="57">
        <v>8</v>
      </c>
      <c r="H9" s="44">
        <f t="shared" si="1"/>
        <v>0</v>
      </c>
      <c r="N9" s="44">
        <f t="shared" si="2"/>
        <v>0</v>
      </c>
      <c r="T9" s="44">
        <f t="shared" si="0"/>
        <v>0</v>
      </c>
      <c r="U9" s="24" t="s">
        <v>73</v>
      </c>
      <c r="Z9" s="44">
        <f t="shared" si="3"/>
        <v>0</v>
      </c>
      <c r="AF9" s="44">
        <f t="shared" si="4"/>
        <v>0</v>
      </c>
      <c r="AL9" s="44">
        <f t="shared" si="5"/>
        <v>0</v>
      </c>
      <c r="AP9" s="1" t="s">
        <v>73</v>
      </c>
      <c r="AR9" s="44">
        <f t="shared" si="6"/>
        <v>0</v>
      </c>
      <c r="AX9" s="44">
        <f t="shared" si="7"/>
        <v>0</v>
      </c>
      <c r="BD9" s="44">
        <f t="shared" si="8"/>
        <v>0</v>
      </c>
      <c r="BJ9" s="44">
        <f t="shared" si="9"/>
        <v>0</v>
      </c>
      <c r="BP9" s="44">
        <f t="shared" si="10"/>
        <v>0</v>
      </c>
      <c r="BT9" s="24" t="s">
        <v>196</v>
      </c>
      <c r="BV9" s="44">
        <f t="shared" si="11"/>
        <v>0</v>
      </c>
      <c r="BW9" s="1" t="s">
        <v>191</v>
      </c>
      <c r="BX9" s="1" t="s">
        <v>191</v>
      </c>
      <c r="BY9" s="1" t="s">
        <v>191</v>
      </c>
      <c r="BZ9" s="24" t="s">
        <v>73</v>
      </c>
      <c r="CA9" s="1" t="s">
        <v>191</v>
      </c>
      <c r="CB9" s="44">
        <f t="shared" si="12"/>
        <v>0</v>
      </c>
    </row>
    <row r="10" spans="1:80" x14ac:dyDescent="0.25">
      <c r="A10" s="54" t="s">
        <v>12</v>
      </c>
      <c r="B10" s="58">
        <v>9</v>
      </c>
      <c r="H10" s="44">
        <f t="shared" si="1"/>
        <v>0</v>
      </c>
      <c r="N10" s="44">
        <f t="shared" si="2"/>
        <v>0</v>
      </c>
      <c r="T10" s="44">
        <f t="shared" si="0"/>
        <v>0</v>
      </c>
      <c r="U10" s="24" t="s">
        <v>73</v>
      </c>
      <c r="Z10" s="44">
        <f t="shared" si="3"/>
        <v>0</v>
      </c>
      <c r="AF10" s="44">
        <f t="shared" si="4"/>
        <v>0</v>
      </c>
      <c r="AL10" s="44">
        <f t="shared" si="5"/>
        <v>0</v>
      </c>
      <c r="AP10" s="1" t="s">
        <v>73</v>
      </c>
      <c r="AR10" s="44">
        <f t="shared" si="6"/>
        <v>0</v>
      </c>
      <c r="AX10" s="44">
        <f t="shared" si="7"/>
        <v>0</v>
      </c>
      <c r="BD10" s="44">
        <f t="shared" si="8"/>
        <v>0</v>
      </c>
      <c r="BJ10" s="44">
        <f t="shared" si="9"/>
        <v>0</v>
      </c>
      <c r="BP10" s="44">
        <f t="shared" si="10"/>
        <v>0</v>
      </c>
      <c r="BT10" s="24" t="s">
        <v>196</v>
      </c>
      <c r="BV10" s="44">
        <f t="shared" si="11"/>
        <v>0</v>
      </c>
      <c r="BW10" s="1" t="s">
        <v>191</v>
      </c>
      <c r="BX10" s="1" t="s">
        <v>191</v>
      </c>
      <c r="BY10" s="1" t="s">
        <v>191</v>
      </c>
      <c r="BZ10" s="24" t="s">
        <v>73</v>
      </c>
      <c r="CA10" s="1" t="s">
        <v>191</v>
      </c>
      <c r="CB10" s="44">
        <f t="shared" si="12"/>
        <v>0</v>
      </c>
    </row>
    <row r="11" spans="1:80" x14ac:dyDescent="0.25">
      <c r="A11" s="55" t="s">
        <v>4</v>
      </c>
      <c r="B11" s="57">
        <v>10</v>
      </c>
      <c r="H11" s="44">
        <f t="shared" si="1"/>
        <v>0</v>
      </c>
      <c r="N11" s="44">
        <f t="shared" si="2"/>
        <v>0</v>
      </c>
      <c r="T11" s="44">
        <f t="shared" si="0"/>
        <v>0</v>
      </c>
      <c r="U11" s="24" t="s">
        <v>73</v>
      </c>
      <c r="Z11" s="44">
        <f t="shared" si="3"/>
        <v>0</v>
      </c>
      <c r="AF11" s="44">
        <f t="shared" si="4"/>
        <v>0</v>
      </c>
      <c r="AL11" s="44">
        <f t="shared" si="5"/>
        <v>0</v>
      </c>
      <c r="AP11" s="1" t="s">
        <v>73</v>
      </c>
      <c r="AR11" s="44">
        <f t="shared" si="6"/>
        <v>0</v>
      </c>
      <c r="AX11" s="44">
        <f t="shared" si="7"/>
        <v>0</v>
      </c>
      <c r="BD11" s="44">
        <f t="shared" si="8"/>
        <v>0</v>
      </c>
      <c r="BJ11" s="44">
        <f t="shared" si="9"/>
        <v>0</v>
      </c>
      <c r="BP11" s="44">
        <f t="shared" si="10"/>
        <v>0</v>
      </c>
      <c r="BT11" s="24" t="s">
        <v>196</v>
      </c>
      <c r="BV11" s="44">
        <f t="shared" si="11"/>
        <v>0</v>
      </c>
      <c r="BW11" s="1" t="s">
        <v>191</v>
      </c>
      <c r="BX11" s="1" t="s">
        <v>191</v>
      </c>
      <c r="BY11" s="1" t="s">
        <v>191</v>
      </c>
      <c r="BZ11" s="24" t="s">
        <v>73</v>
      </c>
      <c r="CA11" s="1" t="s">
        <v>191</v>
      </c>
      <c r="CB11" s="44">
        <f t="shared" si="12"/>
        <v>0</v>
      </c>
    </row>
    <row r="12" spans="1:80" x14ac:dyDescent="0.25">
      <c r="A12" s="55" t="s">
        <v>5</v>
      </c>
      <c r="B12" s="57">
        <v>11</v>
      </c>
      <c r="H12" s="44">
        <f t="shared" si="1"/>
        <v>0</v>
      </c>
      <c r="N12" s="44">
        <f t="shared" si="2"/>
        <v>0</v>
      </c>
      <c r="T12" s="44">
        <f t="shared" si="0"/>
        <v>0</v>
      </c>
      <c r="U12" s="24" t="s">
        <v>73</v>
      </c>
      <c r="Z12" s="44">
        <f t="shared" si="3"/>
        <v>0</v>
      </c>
      <c r="AF12" s="44">
        <f t="shared" si="4"/>
        <v>0</v>
      </c>
      <c r="AL12" s="44">
        <f t="shared" si="5"/>
        <v>0</v>
      </c>
      <c r="AP12" s="1" t="s">
        <v>73</v>
      </c>
      <c r="AR12" s="44">
        <f t="shared" si="6"/>
        <v>0</v>
      </c>
      <c r="AX12" s="44">
        <f t="shared" si="7"/>
        <v>0</v>
      </c>
      <c r="BD12" s="44">
        <f t="shared" si="8"/>
        <v>0</v>
      </c>
      <c r="BJ12" s="44">
        <f t="shared" si="9"/>
        <v>0</v>
      </c>
      <c r="BP12" s="44">
        <f t="shared" si="10"/>
        <v>0</v>
      </c>
      <c r="BT12" s="24" t="s">
        <v>196</v>
      </c>
      <c r="BV12" s="44">
        <f t="shared" si="11"/>
        <v>0</v>
      </c>
      <c r="BW12" s="1" t="s">
        <v>191</v>
      </c>
      <c r="BX12" s="1" t="s">
        <v>191</v>
      </c>
      <c r="BY12" s="1" t="s">
        <v>191</v>
      </c>
      <c r="BZ12" s="24" t="s">
        <v>73</v>
      </c>
      <c r="CA12" s="1" t="s">
        <v>191</v>
      </c>
      <c r="CB12" s="44">
        <f t="shared" si="12"/>
        <v>0</v>
      </c>
    </row>
    <row r="13" spans="1:80" x14ac:dyDescent="0.25">
      <c r="A13" s="54" t="s">
        <v>8</v>
      </c>
      <c r="B13" s="58">
        <v>12</v>
      </c>
      <c r="H13" s="44">
        <f t="shared" si="1"/>
        <v>0</v>
      </c>
      <c r="N13" s="44">
        <f t="shared" si="2"/>
        <v>0</v>
      </c>
      <c r="T13" s="44">
        <f t="shared" si="0"/>
        <v>0</v>
      </c>
      <c r="U13" s="24" t="s">
        <v>73</v>
      </c>
      <c r="Z13" s="44">
        <f t="shared" si="3"/>
        <v>0</v>
      </c>
      <c r="AC13" s="1">
        <v>2</v>
      </c>
      <c r="AF13" s="44">
        <f t="shared" si="4"/>
        <v>2</v>
      </c>
      <c r="AL13" s="44">
        <f t="shared" si="5"/>
        <v>0</v>
      </c>
      <c r="AM13" s="1">
        <v>1</v>
      </c>
      <c r="AP13" s="1" t="s">
        <v>73</v>
      </c>
      <c r="AQ13" s="1">
        <v>1</v>
      </c>
      <c r="AR13" s="44">
        <f t="shared" si="6"/>
        <v>2</v>
      </c>
      <c r="AX13" s="44">
        <f t="shared" si="7"/>
        <v>0</v>
      </c>
      <c r="BD13" s="44">
        <f t="shared" si="8"/>
        <v>0</v>
      </c>
      <c r="BJ13" s="44">
        <f t="shared" si="9"/>
        <v>0</v>
      </c>
      <c r="BP13" s="44">
        <f t="shared" si="10"/>
        <v>0</v>
      </c>
      <c r="BT13" s="24" t="s">
        <v>196</v>
      </c>
      <c r="BV13" s="44">
        <f t="shared" si="11"/>
        <v>0</v>
      </c>
      <c r="BW13" s="1" t="s">
        <v>191</v>
      </c>
      <c r="BX13" s="1" t="s">
        <v>191</v>
      </c>
      <c r="BY13" s="1" t="s">
        <v>191</v>
      </c>
      <c r="BZ13" s="24" t="s">
        <v>73</v>
      </c>
      <c r="CA13" s="1" t="s">
        <v>191</v>
      </c>
      <c r="CB13" s="44">
        <f t="shared" si="12"/>
        <v>0</v>
      </c>
    </row>
    <row r="14" spans="1:80" x14ac:dyDescent="0.25">
      <c r="A14" s="55" t="s">
        <v>6</v>
      </c>
      <c r="B14" s="57">
        <v>13</v>
      </c>
      <c r="H14" s="44">
        <f t="shared" si="1"/>
        <v>0</v>
      </c>
      <c r="N14" s="44">
        <f t="shared" si="2"/>
        <v>0</v>
      </c>
      <c r="T14" s="44">
        <f t="shared" si="0"/>
        <v>0</v>
      </c>
      <c r="U14" s="24" t="s">
        <v>73</v>
      </c>
      <c r="Z14" s="44">
        <f t="shared" si="3"/>
        <v>0</v>
      </c>
      <c r="AF14" s="44">
        <f t="shared" si="4"/>
        <v>0</v>
      </c>
      <c r="AL14" s="44">
        <f t="shared" si="5"/>
        <v>0</v>
      </c>
      <c r="AN14" s="1">
        <v>1</v>
      </c>
      <c r="AP14" s="1" t="s">
        <v>73</v>
      </c>
      <c r="AR14" s="44">
        <f t="shared" si="6"/>
        <v>1</v>
      </c>
      <c r="AX14" s="44">
        <f t="shared" si="7"/>
        <v>0</v>
      </c>
      <c r="BD14" s="44">
        <f t="shared" si="8"/>
        <v>0</v>
      </c>
      <c r="BJ14" s="44">
        <f t="shared" si="9"/>
        <v>0</v>
      </c>
      <c r="BP14" s="44">
        <f t="shared" si="10"/>
        <v>0</v>
      </c>
      <c r="BT14" s="24" t="s">
        <v>196</v>
      </c>
      <c r="BV14" s="44">
        <f t="shared" si="11"/>
        <v>0</v>
      </c>
      <c r="BW14" s="1" t="s">
        <v>191</v>
      </c>
      <c r="BX14" s="1" t="s">
        <v>191</v>
      </c>
      <c r="BY14" s="1" t="s">
        <v>191</v>
      </c>
      <c r="BZ14" s="24" t="s">
        <v>73</v>
      </c>
      <c r="CA14" s="1" t="s">
        <v>191</v>
      </c>
      <c r="CB14" s="44">
        <f t="shared" si="12"/>
        <v>0</v>
      </c>
    </row>
    <row r="15" spans="1:80" x14ac:dyDescent="0.25">
      <c r="A15" s="54" t="s">
        <v>7</v>
      </c>
      <c r="B15" s="57">
        <v>14</v>
      </c>
      <c r="H15" s="44">
        <f t="shared" si="1"/>
        <v>0</v>
      </c>
      <c r="N15" s="44">
        <f t="shared" si="2"/>
        <v>0</v>
      </c>
      <c r="T15" s="44">
        <f t="shared" si="0"/>
        <v>0</v>
      </c>
      <c r="U15" s="24" t="s">
        <v>73</v>
      </c>
      <c r="Z15" s="44">
        <f t="shared" si="3"/>
        <v>0</v>
      </c>
      <c r="AF15" s="44">
        <f t="shared" si="4"/>
        <v>0</v>
      </c>
      <c r="AI15" s="1">
        <v>40</v>
      </c>
      <c r="AK15" s="1">
        <v>65</v>
      </c>
      <c r="AL15" s="44">
        <f t="shared" si="5"/>
        <v>105</v>
      </c>
      <c r="AP15" s="1" t="s">
        <v>73</v>
      </c>
      <c r="AQ15" s="1">
        <v>4</v>
      </c>
      <c r="AR15" s="44">
        <f t="shared" si="6"/>
        <v>4</v>
      </c>
      <c r="AX15" s="44">
        <f t="shared" si="7"/>
        <v>0</v>
      </c>
      <c r="BD15" s="44">
        <f t="shared" si="8"/>
        <v>0</v>
      </c>
      <c r="BJ15" s="44">
        <f t="shared" si="9"/>
        <v>0</v>
      </c>
      <c r="BP15" s="44">
        <f t="shared" si="10"/>
        <v>0</v>
      </c>
      <c r="BT15" s="24" t="s">
        <v>196</v>
      </c>
      <c r="BV15" s="44">
        <f t="shared" si="11"/>
        <v>0</v>
      </c>
      <c r="BW15" s="1" t="s">
        <v>191</v>
      </c>
      <c r="BX15" s="1" t="s">
        <v>191</v>
      </c>
      <c r="BY15" s="1" t="s">
        <v>191</v>
      </c>
      <c r="BZ15" s="24" t="s">
        <v>73</v>
      </c>
      <c r="CA15" s="1" t="s">
        <v>191</v>
      </c>
      <c r="CB15" s="44">
        <f t="shared" si="12"/>
        <v>0</v>
      </c>
    </row>
    <row r="16" spans="1:80" x14ac:dyDescent="0.25">
      <c r="A16" s="54" t="s">
        <v>14</v>
      </c>
      <c r="B16" s="51">
        <v>15</v>
      </c>
      <c r="F16" s="49"/>
      <c r="G16" s="49"/>
      <c r="H16" s="44">
        <f t="shared" si="1"/>
        <v>0</v>
      </c>
      <c r="I16" s="1">
        <v>150</v>
      </c>
      <c r="J16" s="1">
        <v>150</v>
      </c>
      <c r="K16" s="1">
        <v>150</v>
      </c>
      <c r="L16" s="1">
        <v>150</v>
      </c>
      <c r="M16" s="1">
        <v>150</v>
      </c>
      <c r="N16" s="44">
        <f t="shared" si="2"/>
        <v>750</v>
      </c>
      <c r="O16" s="1">
        <v>150</v>
      </c>
      <c r="P16" s="1">
        <v>150</v>
      </c>
      <c r="Q16" s="1">
        <v>150</v>
      </c>
      <c r="R16" s="1">
        <v>150</v>
      </c>
      <c r="S16" s="1">
        <v>150</v>
      </c>
      <c r="T16" s="44">
        <f t="shared" si="0"/>
        <v>750</v>
      </c>
      <c r="U16" s="24" t="s">
        <v>73</v>
      </c>
      <c r="Z16" s="44">
        <f t="shared" si="3"/>
        <v>0</v>
      </c>
      <c r="AF16" s="44">
        <f t="shared" si="4"/>
        <v>0</v>
      </c>
      <c r="AL16" s="44">
        <f t="shared" si="5"/>
        <v>0</v>
      </c>
      <c r="AP16" s="1" t="s">
        <v>73</v>
      </c>
      <c r="AR16" s="44">
        <f t="shared" si="6"/>
        <v>0</v>
      </c>
      <c r="AX16" s="44">
        <f t="shared" si="7"/>
        <v>0</v>
      </c>
      <c r="BD16" s="44">
        <f t="shared" si="8"/>
        <v>0</v>
      </c>
      <c r="BJ16" s="44">
        <f t="shared" si="9"/>
        <v>0</v>
      </c>
      <c r="BP16" s="44">
        <f t="shared" si="10"/>
        <v>0</v>
      </c>
      <c r="BT16" s="24" t="s">
        <v>196</v>
      </c>
      <c r="BV16" s="44">
        <f t="shared" si="11"/>
        <v>0</v>
      </c>
      <c r="BW16" s="1" t="s">
        <v>191</v>
      </c>
      <c r="BX16" s="1" t="s">
        <v>191</v>
      </c>
      <c r="BY16" s="1" t="s">
        <v>191</v>
      </c>
      <c r="BZ16" s="24" t="s">
        <v>73</v>
      </c>
      <c r="CA16" s="1" t="s">
        <v>191</v>
      </c>
      <c r="CB16" s="44">
        <f t="shared" si="12"/>
        <v>0</v>
      </c>
    </row>
    <row r="17" spans="1:80" x14ac:dyDescent="0.25">
      <c r="A17" s="19" t="s">
        <v>100</v>
      </c>
      <c r="B17" s="52">
        <v>16</v>
      </c>
      <c r="C17" s="16"/>
      <c r="D17" s="16"/>
      <c r="E17" s="16"/>
      <c r="F17" s="30"/>
      <c r="G17" s="30"/>
      <c r="H17" s="45">
        <f>SUM(C17:G17)</f>
        <v>0</v>
      </c>
      <c r="I17" s="16"/>
      <c r="J17" s="16"/>
      <c r="K17" s="16"/>
      <c r="L17" s="16"/>
      <c r="M17" s="16"/>
      <c r="N17" s="45">
        <f>SUM(I17:M17)</f>
        <v>0</v>
      </c>
      <c r="O17" s="16"/>
      <c r="P17" s="16"/>
      <c r="Q17" s="16"/>
      <c r="R17" s="16"/>
      <c r="S17" s="16"/>
      <c r="T17" s="45">
        <f>SUM(O17:S17)</f>
        <v>0</v>
      </c>
      <c r="U17" s="17" t="s">
        <v>73</v>
      </c>
      <c r="V17" s="16">
        <v>10</v>
      </c>
      <c r="W17" s="16"/>
      <c r="X17" s="16">
        <v>10</v>
      </c>
      <c r="Y17" s="16">
        <v>10</v>
      </c>
      <c r="Z17" s="45">
        <f>SUM(U17:Y17)</f>
        <v>30</v>
      </c>
      <c r="AA17" s="16"/>
      <c r="AB17" s="16"/>
      <c r="AC17" s="16">
        <v>10</v>
      </c>
      <c r="AD17" s="16"/>
      <c r="AE17" s="16"/>
      <c r="AF17" s="45">
        <f>SUM(AA17:AE17)</f>
        <v>10</v>
      </c>
      <c r="AG17" s="16">
        <v>10</v>
      </c>
      <c r="AH17" s="16">
        <v>25</v>
      </c>
      <c r="AI17" s="16"/>
      <c r="AJ17" s="16"/>
      <c r="AK17" s="16"/>
      <c r="AL17" s="45">
        <f>SUM(AG17:AK17)</f>
        <v>35</v>
      </c>
      <c r="AM17" s="16"/>
      <c r="AN17" s="16"/>
      <c r="AO17" s="16"/>
      <c r="AP17" s="16" t="s">
        <v>73</v>
      </c>
      <c r="AQ17" s="16"/>
      <c r="AR17" s="45">
        <f>SUM(AM17:AQ17)</f>
        <v>0</v>
      </c>
      <c r="AS17" s="16"/>
      <c r="AT17" s="16">
        <v>10</v>
      </c>
      <c r="AU17" s="16">
        <v>10</v>
      </c>
      <c r="AV17" s="16">
        <v>10</v>
      </c>
      <c r="AW17" s="16">
        <v>10</v>
      </c>
      <c r="AX17" s="45">
        <f>SUM(AS17:AW17)</f>
        <v>40</v>
      </c>
      <c r="AY17" s="16"/>
      <c r="AZ17" s="16"/>
      <c r="BA17" s="16"/>
      <c r="BB17" s="16"/>
      <c r="BC17" s="16"/>
      <c r="BD17" s="45">
        <f>SUM(AY17:BC17)</f>
        <v>0</v>
      </c>
      <c r="BE17" s="16"/>
      <c r="BF17" s="16"/>
      <c r="BG17" s="16"/>
      <c r="BH17" s="16">
        <v>10</v>
      </c>
      <c r="BI17" s="16">
        <v>10</v>
      </c>
      <c r="BJ17" s="45">
        <f>SUM(BE17:BI17)</f>
        <v>20</v>
      </c>
      <c r="BK17" s="16">
        <v>10</v>
      </c>
      <c r="BL17" s="16">
        <v>10</v>
      </c>
      <c r="BM17" s="16">
        <v>10</v>
      </c>
      <c r="BN17" s="16">
        <v>10</v>
      </c>
      <c r="BO17" s="16">
        <v>10</v>
      </c>
      <c r="BP17" s="45">
        <f>SUM(BK17:BO17)</f>
        <v>50</v>
      </c>
      <c r="BQ17" s="16">
        <v>10</v>
      </c>
      <c r="BR17" s="16">
        <v>10</v>
      </c>
      <c r="BS17" s="16">
        <v>10</v>
      </c>
      <c r="BT17" s="17" t="s">
        <v>196</v>
      </c>
      <c r="BU17" s="16">
        <v>10</v>
      </c>
      <c r="BV17" s="45">
        <f>SUM(BQ17:BU17)</f>
        <v>40</v>
      </c>
      <c r="BW17" s="16" t="s">
        <v>191</v>
      </c>
      <c r="BX17" s="16" t="s">
        <v>191</v>
      </c>
      <c r="BY17" s="16" t="s">
        <v>191</v>
      </c>
      <c r="BZ17" s="17" t="s">
        <v>73</v>
      </c>
      <c r="CA17" s="16" t="s">
        <v>191</v>
      </c>
      <c r="CB17" s="45">
        <f>SUM(BW17:CA17)</f>
        <v>0</v>
      </c>
    </row>
    <row r="18" spans="1:80" ht="179.25" customHeight="1" x14ac:dyDescent="0.25">
      <c r="A18" s="1" t="s">
        <v>11</v>
      </c>
      <c r="C18" s="4" t="s">
        <v>55</v>
      </c>
      <c r="D18" s="4" t="s">
        <v>55</v>
      </c>
      <c r="E18" s="4" t="s">
        <v>55</v>
      </c>
      <c r="F18" s="4" t="s">
        <v>55</v>
      </c>
      <c r="G18" s="4" t="s">
        <v>55</v>
      </c>
      <c r="H18" s="4"/>
      <c r="I18" s="4" t="s">
        <v>63</v>
      </c>
      <c r="J18" s="4" t="s">
        <v>64</v>
      </c>
      <c r="K18" s="4" t="s">
        <v>64</v>
      </c>
      <c r="L18" s="4" t="s">
        <v>64</v>
      </c>
      <c r="M18" s="4" t="s">
        <v>64</v>
      </c>
      <c r="O18" s="4" t="s">
        <v>64</v>
      </c>
      <c r="P18" s="4" t="s">
        <v>64</v>
      </c>
      <c r="Q18" s="4" t="s">
        <v>64</v>
      </c>
      <c r="R18" s="4" t="s">
        <v>64</v>
      </c>
      <c r="S18" s="4" t="s">
        <v>64</v>
      </c>
      <c r="U18" s="4" t="s">
        <v>92</v>
      </c>
      <c r="V18" s="4" t="s">
        <v>89</v>
      </c>
      <c r="W18" s="4" t="s">
        <v>91</v>
      </c>
      <c r="X18" s="4" t="s">
        <v>90</v>
      </c>
      <c r="Y18" s="4" t="s">
        <v>93</v>
      </c>
      <c r="AA18" s="4" t="s">
        <v>112</v>
      </c>
      <c r="AB18" s="4" t="s">
        <v>95</v>
      </c>
      <c r="AC18" s="4" t="s">
        <v>114</v>
      </c>
      <c r="AD18" s="4" t="s">
        <v>113</v>
      </c>
      <c r="AE18" s="4" t="s">
        <v>99</v>
      </c>
      <c r="AG18" s="4" t="s">
        <v>127</v>
      </c>
      <c r="AH18" s="4" t="s">
        <v>128</v>
      </c>
      <c r="AI18" s="4" t="s">
        <v>124</v>
      </c>
      <c r="AJ18" s="4" t="s">
        <v>125</v>
      </c>
      <c r="AK18" s="4" t="s">
        <v>126</v>
      </c>
      <c r="AM18" s="4"/>
      <c r="AO18" s="4" t="s">
        <v>135</v>
      </c>
      <c r="AP18" s="1" t="s">
        <v>73</v>
      </c>
      <c r="AS18" s="4" t="s">
        <v>136</v>
      </c>
      <c r="AT18" s="4" t="s">
        <v>155</v>
      </c>
      <c r="AU18" s="4" t="s">
        <v>155</v>
      </c>
      <c r="AV18" s="4" t="s">
        <v>155</v>
      </c>
      <c r="AW18" s="4" t="s">
        <v>155</v>
      </c>
      <c r="AY18" s="4" t="s">
        <v>162</v>
      </c>
      <c r="AZ18" s="4" t="s">
        <v>162</v>
      </c>
      <c r="BA18" s="4" t="s">
        <v>162</v>
      </c>
      <c r="BB18" s="4" t="s">
        <v>162</v>
      </c>
      <c r="BC18" s="4" t="s">
        <v>162</v>
      </c>
      <c r="BE18" s="4" t="s">
        <v>162</v>
      </c>
      <c r="BF18" s="4" t="s">
        <v>163</v>
      </c>
      <c r="BG18" s="4" t="s">
        <v>164</v>
      </c>
      <c r="BH18" s="4" t="s">
        <v>155</v>
      </c>
      <c r="BI18" s="4" t="s">
        <v>155</v>
      </c>
      <c r="BK18" s="4" t="s">
        <v>155</v>
      </c>
      <c r="BL18" s="4" t="s">
        <v>155</v>
      </c>
      <c r="BM18" s="4" t="s">
        <v>155</v>
      </c>
      <c r="BN18" s="4" t="s">
        <v>155</v>
      </c>
      <c r="BO18" s="4" t="s">
        <v>155</v>
      </c>
      <c r="BQ18" s="4" t="s">
        <v>155</v>
      </c>
      <c r="BR18" s="4" t="s">
        <v>155</v>
      </c>
      <c r="BS18" s="4" t="s">
        <v>155</v>
      </c>
      <c r="BT18" s="90" t="s">
        <v>195</v>
      </c>
      <c r="BU18" s="4" t="s">
        <v>155</v>
      </c>
      <c r="BW18" s="4" t="s">
        <v>192</v>
      </c>
      <c r="BX18" s="4" t="s">
        <v>192</v>
      </c>
      <c r="BY18" s="4" t="s">
        <v>192</v>
      </c>
      <c r="BZ18" s="90" t="s">
        <v>194</v>
      </c>
      <c r="CA18" s="4" t="s">
        <v>192</v>
      </c>
    </row>
    <row r="19" spans="1:80" ht="120" x14ac:dyDescent="0.25">
      <c r="A19" s="1" t="s">
        <v>10</v>
      </c>
      <c r="C19" s="4"/>
      <c r="J19" s="4"/>
      <c r="K19" s="4"/>
      <c r="L19" s="4"/>
      <c r="Q19" s="4"/>
      <c r="U19" s="4"/>
      <c r="W19" s="4"/>
      <c r="X19" s="4"/>
      <c r="Y19" s="4"/>
      <c r="Z19" s="4"/>
      <c r="AA19" s="4"/>
      <c r="AB19" s="4"/>
      <c r="AC19" s="4"/>
      <c r="AD19" s="4"/>
      <c r="AE19" s="4"/>
      <c r="AG19" s="4"/>
      <c r="AH19" s="4"/>
      <c r="AJ19" s="4"/>
      <c r="AK19" s="4"/>
      <c r="AN19" s="4"/>
      <c r="AO19" s="4"/>
      <c r="AP19" s="4"/>
      <c r="AQ19" s="4"/>
      <c r="AS19" s="4" t="s">
        <v>141</v>
      </c>
      <c r="AT19" s="4"/>
      <c r="AU19" s="4"/>
      <c r="AW19" s="4"/>
      <c r="AY19" s="4"/>
      <c r="AZ19" s="4"/>
      <c r="BA19" s="4"/>
      <c r="BB19" s="4"/>
    </row>
    <row r="33" spans="17:17" x14ac:dyDescent="0.25">
      <c r="Q33" s="16"/>
    </row>
    <row r="34" spans="17:17" x14ac:dyDescent="0.25">
      <c r="Q34" s="4"/>
    </row>
  </sheetData>
  <customSheetViews>
    <customSheetView guid="{9B623083-AA7B-440B-95EA-C33E1AB3D963}" showAutoFilter="1">
      <pane xSplit="1" topLeftCell="BU1" activePane="topRight" state="frozen"/>
      <selection pane="topRight" activeCell="CH17" sqref="CH17"/>
      <pageMargins left="0.511811024" right="0.511811024" top="0.78740157499999996" bottom="0.78740157499999996" header="0.31496062000000002" footer="0.31496062000000002"/>
      <autoFilter ref="A1:BD19" xr:uid="{2DD52300-D5C5-430A-8C2A-85B05CD72877}"/>
    </customSheetView>
    <customSheetView guid="{20CB6D8F-C24D-4D4B-A424-AF380F620455}" showPageBreaks="1" topLeftCell="AE1">
      <selection activeCell="AM17" sqref="AM17:AQ17"/>
      <pageMargins left="0.511811024" right="0.511811024" top="0.78740157499999996" bottom="0.78740157499999996" header="0.31496062000000002" footer="0.31496062000000002"/>
      <pageSetup paperSize="9" orientation="portrait" r:id="rId1"/>
    </customSheetView>
    <customSheetView guid="{B3CDE377-BA5D-4E06-91D9-3A48E1959BA5}">
      <pane xSplit="1" topLeftCell="BP1" activePane="topRight" state="frozen"/>
      <selection pane="topRight" activeCell="AA18" sqref="AA18"/>
      <pageMargins left="0.511811024" right="0.511811024" top="0.78740157499999996" bottom="0.78740157499999996" header="0.31496062000000002" footer="0.31496062000000002"/>
    </customSheetView>
    <customSheetView guid="{18A482E0-C8B6-4AA1-9E04-15FA7C9CD5E3}" scale="90">
      <pane xSplit="1" topLeftCell="B1" activePane="topRight" state="frozen"/>
      <selection pane="topRight" activeCell="C1" sqref="C1:CB18"/>
      <pageMargins left="0.511811024" right="0.511811024" top="0.78740157499999996" bottom="0.78740157499999996" header="0.31496062000000002" footer="0.31496062000000002"/>
    </customSheetView>
    <customSheetView guid="{C69767F5-CD39-44C1-AD4B-CE19DC8285A6}" topLeftCell="D1">
      <selection activeCell="L10" sqref="L10"/>
      <pageMargins left="0.511811024" right="0.511811024" top="0.78740157499999996" bottom="0.78740157499999996" header="0.31496062000000002" footer="0.31496062000000002"/>
    </customSheetView>
    <customSheetView guid="{552DFCCD-1786-4D75-8B10-27DD730384DD}">
      <selection activeCell="G12" sqref="G12"/>
      <pageMargins left="0.511811024" right="0.511811024" top="0.78740157499999996" bottom="0.78740157499999996" header="0.31496062000000002" footer="0.31496062000000002"/>
    </customSheetView>
    <customSheetView guid="{E3841903-5B68-44FD-8F09-58E03D1025C5}" topLeftCell="Z1">
      <selection activeCell="AA2" sqref="AA2:AE18"/>
      <pageMargins left="0.511811024" right="0.511811024" top="0.78740157499999996" bottom="0.78740157499999996" header="0.31496062000000002" footer="0.31496062000000002"/>
    </customSheetView>
    <customSheetView guid="{86039CF8-B158-4D70-9A6F-A10C29CBD68A}" topLeftCell="X1">
      <selection activeCell="AF17" sqref="AF17"/>
      <pageMargins left="0.511811024" right="0.511811024" top="0.78740157499999996" bottom="0.78740157499999996" header="0.31496062000000002" footer="0.31496062000000002"/>
    </customSheetView>
    <customSheetView guid="{3D987F8E-A6EA-454D-9537-6BFC5053CB00}">
      <pane xSplit="1" topLeftCell="BT1" activePane="topRight" state="frozen"/>
      <selection pane="topRight" activeCell="CG17" sqref="CG17"/>
      <pageMargins left="0.511811024" right="0.511811024" top="0.78740157499999996" bottom="0.78740157499999996" header="0.31496062000000002" footer="0.31496062000000002"/>
    </customSheetView>
  </customSheetViews>
  <pageMargins left="0.511811024" right="0.511811024" top="0.78740157499999996" bottom="0.78740157499999996" header="0.31496062000000002" footer="0.31496062000000002"/>
  <pageSetup paperSize="9" orientation="portrait"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B19"/>
  <sheetViews>
    <sheetView tabSelected="1" topLeftCell="BH1" zoomScaleNormal="100" workbookViewId="0">
      <selection activeCell="BZ17" sqref="BZ17"/>
    </sheetView>
  </sheetViews>
  <sheetFormatPr defaultColWidth="9.140625" defaultRowHeight="15" x14ac:dyDescent="0.25"/>
  <cols>
    <col min="1" max="1" width="77.42578125" style="1" bestFit="1" customWidth="1"/>
    <col min="2" max="2" width="3" style="1" bestFit="1" customWidth="1"/>
    <col min="3" max="3" width="23.85546875" style="1" customWidth="1"/>
    <col min="4" max="7" width="11.7109375" style="1" customWidth="1"/>
    <col min="8" max="8" width="14.28515625" style="1" bestFit="1" customWidth="1"/>
    <col min="9" max="9" width="19.5703125" style="1" customWidth="1"/>
    <col min="10" max="13" width="9.5703125" style="1" customWidth="1"/>
    <col min="14" max="14" width="14.28515625" style="1" bestFit="1" customWidth="1"/>
    <col min="15" max="15" width="7" style="1" bestFit="1" customWidth="1"/>
    <col min="16" max="16" width="7.140625" style="1" bestFit="1" customWidth="1"/>
    <col min="17" max="17" width="14.5703125" style="1" customWidth="1"/>
    <col min="18" max="18" width="7.140625" style="1" bestFit="1" customWidth="1"/>
    <col min="19" max="19" width="7.5703125" style="1" customWidth="1"/>
    <col min="20" max="20" width="14.28515625" style="1" bestFit="1" customWidth="1"/>
    <col min="21" max="21" width="11.5703125" style="1" customWidth="1"/>
    <col min="22" max="22" width="14" style="1" customWidth="1"/>
    <col min="23" max="23" width="13" style="1" customWidth="1"/>
    <col min="24" max="24" width="16.140625" style="1" customWidth="1"/>
    <col min="25" max="25" width="16.85546875" style="1" customWidth="1"/>
    <col min="26" max="26" width="14.28515625" style="1" bestFit="1" customWidth="1"/>
    <col min="27" max="27" width="13.140625" style="1" customWidth="1"/>
    <col min="28" max="31" width="9.140625" style="1"/>
    <col min="32" max="32" width="15.28515625" style="1" customWidth="1"/>
    <col min="33" max="33" width="19.42578125" style="1" customWidth="1"/>
    <col min="34" max="35" width="9.140625" style="1"/>
    <col min="36" max="36" width="6.85546875" style="1" customWidth="1"/>
    <col min="37" max="37" width="16.5703125" style="1" customWidth="1"/>
    <col min="38" max="38" width="17.42578125" style="1" customWidth="1"/>
    <col min="39" max="40" width="11.42578125" style="1" customWidth="1"/>
    <col min="41" max="41" width="10.85546875" style="1" customWidth="1"/>
    <col min="42" max="42" width="13.42578125" style="1" customWidth="1"/>
    <col min="43" max="43" width="9.140625" style="1"/>
    <col min="44" max="44" width="15.42578125" style="1" customWidth="1"/>
    <col min="45" max="49" width="9.140625" style="1"/>
    <col min="50" max="50" width="15.42578125" style="1" customWidth="1"/>
    <col min="51" max="55" width="9.140625" style="1"/>
    <col min="56" max="56" width="16.140625" style="1" customWidth="1"/>
    <col min="57" max="61" width="9.140625" style="1"/>
    <col min="62" max="62" width="16.140625" style="1" customWidth="1"/>
    <col min="63" max="67" width="9.140625" style="1"/>
    <col min="68" max="68" width="14.85546875" style="1" customWidth="1"/>
    <col min="69" max="73" width="9.140625" style="1"/>
    <col min="74" max="74" width="15.7109375" style="1" customWidth="1"/>
    <col min="75" max="79" width="9.140625" style="1"/>
    <col min="80" max="80" width="15.5703125" style="1" customWidth="1"/>
    <col min="81" max="16384" width="9.140625" style="1"/>
  </cols>
  <sheetData>
    <row r="1" spans="1:80" x14ac:dyDescent="0.25">
      <c r="A1" s="18" t="s">
        <v>9</v>
      </c>
      <c r="B1" s="56"/>
      <c r="C1" s="43">
        <v>45936</v>
      </c>
      <c r="D1" s="29">
        <v>45937</v>
      </c>
      <c r="E1" s="29">
        <v>45938</v>
      </c>
      <c r="F1" s="29">
        <v>45939</v>
      </c>
      <c r="G1" s="29">
        <v>45940</v>
      </c>
      <c r="H1" s="12" t="s">
        <v>15</v>
      </c>
      <c r="I1" s="43">
        <v>45943</v>
      </c>
      <c r="J1" s="29">
        <v>45944</v>
      </c>
      <c r="K1" s="29">
        <v>45945</v>
      </c>
      <c r="L1" s="29">
        <v>45946</v>
      </c>
      <c r="M1" s="29">
        <v>45947</v>
      </c>
      <c r="N1" s="11" t="s">
        <v>15</v>
      </c>
      <c r="O1" s="43">
        <v>45950</v>
      </c>
      <c r="P1" s="29">
        <v>45951</v>
      </c>
      <c r="Q1" s="29">
        <v>45952</v>
      </c>
      <c r="R1" s="29">
        <v>45953</v>
      </c>
      <c r="S1" s="29">
        <v>45954</v>
      </c>
      <c r="T1" s="11" t="s">
        <v>15</v>
      </c>
      <c r="U1" s="43">
        <v>45957</v>
      </c>
      <c r="V1" s="29">
        <v>45958</v>
      </c>
      <c r="W1" s="29">
        <v>45959</v>
      </c>
      <c r="X1" s="29">
        <v>45960</v>
      </c>
      <c r="Y1" s="29">
        <v>45961</v>
      </c>
      <c r="Z1" s="11" t="s">
        <v>15</v>
      </c>
      <c r="AA1" s="43">
        <v>45964</v>
      </c>
      <c r="AB1" s="29">
        <v>45965</v>
      </c>
      <c r="AC1" s="29">
        <v>45966</v>
      </c>
      <c r="AD1" s="29">
        <v>45967</v>
      </c>
      <c r="AE1" s="29">
        <v>45968</v>
      </c>
      <c r="AF1" s="11" t="s">
        <v>15</v>
      </c>
      <c r="AG1" s="43">
        <v>45971</v>
      </c>
      <c r="AH1" s="29">
        <v>45972</v>
      </c>
      <c r="AI1" s="29">
        <v>45973</v>
      </c>
      <c r="AJ1" s="29">
        <v>45974</v>
      </c>
      <c r="AK1" s="29">
        <v>45975</v>
      </c>
      <c r="AL1" s="11" t="s">
        <v>15</v>
      </c>
      <c r="AM1" s="43">
        <v>45978</v>
      </c>
      <c r="AN1" s="29">
        <v>45979</v>
      </c>
      <c r="AO1" s="29">
        <v>45980</v>
      </c>
      <c r="AP1" s="29">
        <v>45981</v>
      </c>
      <c r="AQ1" s="29">
        <v>45982</v>
      </c>
      <c r="AR1" s="11" t="s">
        <v>15</v>
      </c>
      <c r="AS1" s="43">
        <v>45985</v>
      </c>
      <c r="AT1" s="29">
        <v>45986</v>
      </c>
      <c r="AU1" s="29">
        <v>45987</v>
      </c>
      <c r="AV1" s="29">
        <v>45988</v>
      </c>
      <c r="AW1" s="29">
        <v>45989</v>
      </c>
      <c r="AX1" s="11" t="s">
        <v>15</v>
      </c>
      <c r="AY1" s="29">
        <v>45992</v>
      </c>
      <c r="AZ1" s="29">
        <v>45993</v>
      </c>
      <c r="BA1" s="29">
        <v>45994</v>
      </c>
      <c r="BB1" s="29">
        <v>45995</v>
      </c>
      <c r="BC1" s="29">
        <v>45996</v>
      </c>
      <c r="BD1" s="11" t="s">
        <v>15</v>
      </c>
      <c r="BE1" s="29">
        <v>45999</v>
      </c>
      <c r="BF1" s="29">
        <v>46000</v>
      </c>
      <c r="BG1" s="29">
        <v>46001</v>
      </c>
      <c r="BH1" s="29">
        <v>46002</v>
      </c>
      <c r="BI1" s="29">
        <v>46003</v>
      </c>
      <c r="BJ1" s="11" t="s">
        <v>15</v>
      </c>
      <c r="BK1" s="43">
        <v>46006</v>
      </c>
      <c r="BL1" s="29">
        <v>46007</v>
      </c>
      <c r="BM1" s="29">
        <v>46008</v>
      </c>
      <c r="BN1" s="29">
        <v>46009</v>
      </c>
      <c r="BO1" s="29">
        <v>46010</v>
      </c>
      <c r="BP1" s="11" t="s">
        <v>15</v>
      </c>
      <c r="BQ1" s="43">
        <v>46013</v>
      </c>
      <c r="BR1" s="29">
        <v>46014</v>
      </c>
      <c r="BS1" s="29">
        <v>46015</v>
      </c>
      <c r="BT1" s="82">
        <v>46016</v>
      </c>
      <c r="BU1" s="29">
        <v>46017</v>
      </c>
      <c r="BV1" s="11" t="s">
        <v>15</v>
      </c>
      <c r="BW1" s="43">
        <v>46020</v>
      </c>
      <c r="BX1" s="29">
        <v>46021</v>
      </c>
      <c r="BY1" s="29">
        <v>46022</v>
      </c>
      <c r="BZ1" s="82">
        <v>46023</v>
      </c>
      <c r="CA1" s="29">
        <v>46024</v>
      </c>
      <c r="CB1" s="11" t="s">
        <v>15</v>
      </c>
    </row>
    <row r="2" spans="1:80" x14ac:dyDescent="0.25">
      <c r="A2" s="54" t="s">
        <v>18</v>
      </c>
      <c r="B2" s="57">
        <v>1</v>
      </c>
      <c r="H2" s="44">
        <f>SUM(C2:G2)</f>
        <v>0</v>
      </c>
      <c r="N2" s="44">
        <f>SUM(I2:M2)</f>
        <v>0</v>
      </c>
      <c r="T2" s="44">
        <f t="shared" ref="T2:T17" si="0">SUM(O2:S2)</f>
        <v>0</v>
      </c>
      <c r="U2" s="24" t="s">
        <v>73</v>
      </c>
      <c r="Z2" s="44">
        <f>SUM(U2:Y2)</f>
        <v>0</v>
      </c>
      <c r="AA2" s="1">
        <v>3</v>
      </c>
      <c r="AF2" s="44">
        <f>SUM(AA2:AE2)</f>
        <v>3</v>
      </c>
      <c r="AL2" s="44">
        <f>SUM(AG2:AK2)</f>
        <v>0</v>
      </c>
      <c r="AP2" s="1" t="s">
        <v>73</v>
      </c>
      <c r="AR2" s="44">
        <f>SUM(AM2:AQ2)</f>
        <v>0</v>
      </c>
      <c r="AX2" s="44">
        <f>SUM(AS2:AW2)</f>
        <v>0</v>
      </c>
      <c r="BD2" s="44">
        <f>SUM(AY2:BC2)</f>
        <v>0</v>
      </c>
      <c r="BJ2" s="44">
        <f>SUM(BE2:BI2)</f>
        <v>0</v>
      </c>
      <c r="BP2" s="44">
        <f>SUM(BK2:BO2)</f>
        <v>0</v>
      </c>
      <c r="BT2" s="24" t="s">
        <v>73</v>
      </c>
      <c r="BV2" s="44">
        <f t="shared" ref="BV2:BV17" si="1">SUM(BQ2:BU2)</f>
        <v>0</v>
      </c>
      <c r="BW2" s="1" t="s">
        <v>191</v>
      </c>
      <c r="BX2" s="1" t="s">
        <v>191</v>
      </c>
      <c r="BY2" s="1" t="s">
        <v>191</v>
      </c>
      <c r="BZ2" s="24" t="s">
        <v>73</v>
      </c>
      <c r="CA2" s="1" t="s">
        <v>191</v>
      </c>
      <c r="CB2" s="44">
        <f t="shared" ref="CB2:CB17" si="2">SUM(BW2:CA2)</f>
        <v>0</v>
      </c>
    </row>
    <row r="3" spans="1:80" x14ac:dyDescent="0.25">
      <c r="A3" s="54" t="s">
        <v>0</v>
      </c>
      <c r="B3" s="57">
        <v>2</v>
      </c>
      <c r="H3" s="44">
        <f t="shared" ref="H3:H17" si="3">SUM(C3:G3)</f>
        <v>0</v>
      </c>
      <c r="N3" s="44">
        <f t="shared" ref="N3:N15" si="4">SUM(I3:M3)</f>
        <v>0</v>
      </c>
      <c r="T3" s="44">
        <f t="shared" si="0"/>
        <v>0</v>
      </c>
      <c r="U3" s="24" t="s">
        <v>73</v>
      </c>
      <c r="Z3" s="44">
        <f t="shared" ref="Z3:Z17" si="5">SUM(U3:Y3)</f>
        <v>0</v>
      </c>
      <c r="AA3" s="1">
        <v>3</v>
      </c>
      <c r="AB3" s="1">
        <v>1</v>
      </c>
      <c r="AF3" s="44">
        <f t="shared" ref="AF3:AF17" si="6">SUM(AA3:AE3)</f>
        <v>4</v>
      </c>
      <c r="AJ3" s="1">
        <v>35</v>
      </c>
      <c r="AK3" s="1">
        <v>10</v>
      </c>
      <c r="AL3" s="44">
        <f t="shared" ref="AL3:AL17" si="7">SUM(AG3:AK3)</f>
        <v>45</v>
      </c>
      <c r="AP3" s="1" t="s">
        <v>73</v>
      </c>
      <c r="AR3" s="44">
        <f t="shared" ref="AR3:AR17" si="8">SUM(AM3:AQ3)</f>
        <v>0</v>
      </c>
      <c r="AX3" s="44">
        <f t="shared" ref="AX3:AX17" si="9">SUM(AS3:AW3)</f>
        <v>0</v>
      </c>
      <c r="BD3" s="44">
        <f t="shared" ref="BD3:BD17" si="10">SUM(AY3:BC3)</f>
        <v>0</v>
      </c>
      <c r="BJ3" s="44">
        <f t="shared" ref="BJ3:BJ17" si="11">SUM(BE3:BI3)</f>
        <v>0</v>
      </c>
      <c r="BP3" s="44">
        <f t="shared" ref="BP3:BP17" si="12">SUM(BK3:BO3)</f>
        <v>0</v>
      </c>
      <c r="BT3" s="24" t="s">
        <v>73</v>
      </c>
      <c r="BV3" s="44">
        <f t="shared" si="1"/>
        <v>0</v>
      </c>
      <c r="BW3" s="1" t="s">
        <v>191</v>
      </c>
      <c r="BX3" s="1" t="s">
        <v>191</v>
      </c>
      <c r="BY3" s="1" t="s">
        <v>191</v>
      </c>
      <c r="BZ3" s="24" t="s">
        <v>73</v>
      </c>
      <c r="CA3" s="1" t="s">
        <v>191</v>
      </c>
      <c r="CB3" s="44">
        <f t="shared" si="2"/>
        <v>0</v>
      </c>
    </row>
    <row r="4" spans="1:80" x14ac:dyDescent="0.25">
      <c r="A4" s="55" t="s">
        <v>17</v>
      </c>
      <c r="B4" s="58">
        <v>3</v>
      </c>
      <c r="H4" s="44">
        <f t="shared" si="3"/>
        <v>0</v>
      </c>
      <c r="N4" s="44">
        <f t="shared" si="4"/>
        <v>0</v>
      </c>
      <c r="T4" s="44">
        <f t="shared" si="0"/>
        <v>0</v>
      </c>
      <c r="U4" s="24" t="s">
        <v>73</v>
      </c>
      <c r="Z4" s="44">
        <f t="shared" si="5"/>
        <v>0</v>
      </c>
      <c r="AF4" s="44">
        <f t="shared" si="6"/>
        <v>0</v>
      </c>
      <c r="AI4" s="1">
        <v>3</v>
      </c>
      <c r="AL4" s="44">
        <f t="shared" si="7"/>
        <v>3</v>
      </c>
      <c r="AM4" s="1">
        <v>13</v>
      </c>
      <c r="AN4" s="1">
        <v>10</v>
      </c>
      <c r="AO4" s="1">
        <v>1</v>
      </c>
      <c r="AP4" s="1" t="s">
        <v>73</v>
      </c>
      <c r="AR4" s="44">
        <f t="shared" si="8"/>
        <v>24</v>
      </c>
      <c r="AX4" s="44">
        <f t="shared" si="9"/>
        <v>0</v>
      </c>
      <c r="BD4" s="44">
        <f t="shared" si="10"/>
        <v>0</v>
      </c>
      <c r="BJ4" s="44">
        <f t="shared" si="11"/>
        <v>0</v>
      </c>
      <c r="BP4" s="44">
        <f t="shared" si="12"/>
        <v>0</v>
      </c>
      <c r="BT4" s="24" t="s">
        <v>73</v>
      </c>
      <c r="BV4" s="44">
        <f t="shared" si="1"/>
        <v>0</v>
      </c>
      <c r="BW4" s="1" t="s">
        <v>191</v>
      </c>
      <c r="BX4" s="1" t="s">
        <v>191</v>
      </c>
      <c r="BY4" s="1" t="s">
        <v>191</v>
      </c>
      <c r="BZ4" s="24" t="s">
        <v>73</v>
      </c>
      <c r="CA4" s="1" t="s">
        <v>191</v>
      </c>
      <c r="CB4" s="44">
        <f t="shared" si="2"/>
        <v>0</v>
      </c>
    </row>
    <row r="5" spans="1:80" x14ac:dyDescent="0.25">
      <c r="A5" s="55" t="s">
        <v>16</v>
      </c>
      <c r="B5" s="57">
        <v>4</v>
      </c>
      <c r="H5" s="44">
        <f t="shared" si="3"/>
        <v>0</v>
      </c>
      <c r="N5" s="44">
        <f t="shared" si="4"/>
        <v>0</v>
      </c>
      <c r="T5" s="44">
        <f t="shared" si="0"/>
        <v>0</v>
      </c>
      <c r="U5" s="24" t="s">
        <v>73</v>
      </c>
      <c r="Z5" s="44">
        <f t="shared" si="5"/>
        <v>0</v>
      </c>
      <c r="AF5" s="44">
        <f t="shared" si="6"/>
        <v>0</v>
      </c>
      <c r="AL5" s="44">
        <f t="shared" si="7"/>
        <v>0</v>
      </c>
      <c r="AM5" s="1">
        <v>13</v>
      </c>
      <c r="AP5" s="1" t="s">
        <v>73</v>
      </c>
      <c r="AR5" s="44">
        <f t="shared" si="8"/>
        <v>13</v>
      </c>
      <c r="AX5" s="44">
        <f t="shared" si="9"/>
        <v>0</v>
      </c>
      <c r="BD5" s="44">
        <f t="shared" si="10"/>
        <v>0</v>
      </c>
      <c r="BJ5" s="44">
        <f t="shared" si="11"/>
        <v>0</v>
      </c>
      <c r="BP5" s="44">
        <f t="shared" si="12"/>
        <v>0</v>
      </c>
      <c r="BT5" s="24" t="s">
        <v>73</v>
      </c>
      <c r="BV5" s="44">
        <f t="shared" si="1"/>
        <v>0</v>
      </c>
      <c r="BW5" s="1" t="s">
        <v>191</v>
      </c>
      <c r="BX5" s="1" t="s">
        <v>191</v>
      </c>
      <c r="BY5" s="1" t="s">
        <v>191</v>
      </c>
      <c r="BZ5" s="24" t="s">
        <v>73</v>
      </c>
      <c r="CA5" s="1" t="s">
        <v>191</v>
      </c>
      <c r="CB5" s="44">
        <f t="shared" si="2"/>
        <v>0</v>
      </c>
    </row>
    <row r="6" spans="1:80" x14ac:dyDescent="0.25">
      <c r="A6" s="55" t="s">
        <v>1</v>
      </c>
      <c r="B6" s="57">
        <v>5</v>
      </c>
      <c r="H6" s="44">
        <f t="shared" si="3"/>
        <v>0</v>
      </c>
      <c r="N6" s="44">
        <f t="shared" si="4"/>
        <v>0</v>
      </c>
      <c r="T6" s="44">
        <f t="shared" si="0"/>
        <v>0</v>
      </c>
      <c r="U6" s="24" t="s">
        <v>73</v>
      </c>
      <c r="Z6" s="44">
        <f t="shared" si="5"/>
        <v>0</v>
      </c>
      <c r="AF6" s="44">
        <f t="shared" si="6"/>
        <v>0</v>
      </c>
      <c r="AL6" s="44">
        <f t="shared" si="7"/>
        <v>0</v>
      </c>
      <c r="AP6" s="1" t="s">
        <v>73</v>
      </c>
      <c r="AR6" s="44">
        <f t="shared" si="8"/>
        <v>0</v>
      </c>
      <c r="AX6" s="44">
        <f t="shared" si="9"/>
        <v>0</v>
      </c>
      <c r="BD6" s="44">
        <f t="shared" si="10"/>
        <v>0</v>
      </c>
      <c r="BJ6" s="44">
        <f t="shared" si="11"/>
        <v>0</v>
      </c>
      <c r="BP6" s="44">
        <f t="shared" si="12"/>
        <v>0</v>
      </c>
      <c r="BT6" s="24" t="s">
        <v>73</v>
      </c>
      <c r="BV6" s="44">
        <f t="shared" si="1"/>
        <v>0</v>
      </c>
      <c r="BW6" s="1" t="s">
        <v>191</v>
      </c>
      <c r="BX6" s="1" t="s">
        <v>191</v>
      </c>
      <c r="BY6" s="1" t="s">
        <v>191</v>
      </c>
      <c r="BZ6" s="24" t="s">
        <v>73</v>
      </c>
      <c r="CA6" s="1" t="s">
        <v>191</v>
      </c>
      <c r="CB6" s="44">
        <f t="shared" si="2"/>
        <v>0</v>
      </c>
    </row>
    <row r="7" spans="1:80" x14ac:dyDescent="0.25">
      <c r="A7" s="55" t="s">
        <v>2</v>
      </c>
      <c r="B7" s="58">
        <v>6</v>
      </c>
      <c r="H7" s="44">
        <f t="shared" si="3"/>
        <v>0</v>
      </c>
      <c r="N7" s="44">
        <f t="shared" si="4"/>
        <v>0</v>
      </c>
      <c r="T7" s="44">
        <f t="shared" si="0"/>
        <v>0</v>
      </c>
      <c r="U7" s="24" t="s">
        <v>73</v>
      </c>
      <c r="Z7" s="44">
        <f t="shared" si="5"/>
        <v>0</v>
      </c>
      <c r="AF7" s="44">
        <f t="shared" si="6"/>
        <v>0</v>
      </c>
      <c r="AL7" s="44">
        <f t="shared" si="7"/>
        <v>0</v>
      </c>
      <c r="AP7" s="1" t="s">
        <v>73</v>
      </c>
      <c r="AR7" s="44">
        <f t="shared" si="8"/>
        <v>0</v>
      </c>
      <c r="AX7" s="44">
        <f t="shared" si="9"/>
        <v>0</v>
      </c>
      <c r="BD7" s="44">
        <f t="shared" si="10"/>
        <v>0</v>
      </c>
      <c r="BJ7" s="44">
        <f t="shared" si="11"/>
        <v>0</v>
      </c>
      <c r="BP7" s="44">
        <f t="shared" si="12"/>
        <v>0</v>
      </c>
      <c r="BT7" s="24" t="s">
        <v>73</v>
      </c>
      <c r="BV7" s="44">
        <f t="shared" si="1"/>
        <v>0</v>
      </c>
      <c r="BW7" s="1" t="s">
        <v>191</v>
      </c>
      <c r="BX7" s="1" t="s">
        <v>191</v>
      </c>
      <c r="BY7" s="1" t="s">
        <v>191</v>
      </c>
      <c r="BZ7" s="24" t="s">
        <v>73</v>
      </c>
      <c r="CA7" s="1" t="s">
        <v>191</v>
      </c>
      <c r="CB7" s="44">
        <f t="shared" si="2"/>
        <v>0</v>
      </c>
    </row>
    <row r="8" spans="1:80" x14ac:dyDescent="0.25">
      <c r="A8" s="55" t="s">
        <v>3</v>
      </c>
      <c r="B8" s="57">
        <v>7</v>
      </c>
      <c r="H8" s="44">
        <f t="shared" si="3"/>
        <v>0</v>
      </c>
      <c r="N8" s="44">
        <f t="shared" si="4"/>
        <v>0</v>
      </c>
      <c r="T8" s="44">
        <f t="shared" si="0"/>
        <v>0</v>
      </c>
      <c r="U8" s="24" t="s">
        <v>73</v>
      </c>
      <c r="Z8" s="44">
        <f t="shared" si="5"/>
        <v>0</v>
      </c>
      <c r="AF8" s="44">
        <f t="shared" si="6"/>
        <v>0</v>
      </c>
      <c r="AL8" s="44">
        <f t="shared" si="7"/>
        <v>0</v>
      </c>
      <c r="AP8" s="1" t="s">
        <v>73</v>
      </c>
      <c r="AR8" s="44">
        <f t="shared" si="8"/>
        <v>0</v>
      </c>
      <c r="AX8" s="44">
        <f t="shared" si="9"/>
        <v>0</v>
      </c>
      <c r="BD8" s="44">
        <f t="shared" si="10"/>
        <v>0</v>
      </c>
      <c r="BJ8" s="44">
        <f t="shared" si="11"/>
        <v>0</v>
      </c>
      <c r="BP8" s="44">
        <f t="shared" si="12"/>
        <v>0</v>
      </c>
      <c r="BT8" s="24" t="s">
        <v>73</v>
      </c>
      <c r="BV8" s="44">
        <f t="shared" si="1"/>
        <v>0</v>
      </c>
      <c r="BW8" s="1" t="s">
        <v>191</v>
      </c>
      <c r="BX8" s="1" t="s">
        <v>191</v>
      </c>
      <c r="BY8" s="1" t="s">
        <v>191</v>
      </c>
      <c r="BZ8" s="24" t="s">
        <v>73</v>
      </c>
      <c r="CA8" s="1" t="s">
        <v>191</v>
      </c>
      <c r="CB8" s="44">
        <f t="shared" si="2"/>
        <v>0</v>
      </c>
    </row>
    <row r="9" spans="1:80" x14ac:dyDescent="0.25">
      <c r="A9" s="55" t="s">
        <v>13</v>
      </c>
      <c r="B9" s="57">
        <v>8</v>
      </c>
      <c r="H9" s="44">
        <f t="shared" si="3"/>
        <v>0</v>
      </c>
      <c r="N9" s="44">
        <f t="shared" si="4"/>
        <v>0</v>
      </c>
      <c r="T9" s="44">
        <f t="shared" si="0"/>
        <v>0</v>
      </c>
      <c r="U9" s="24" t="s">
        <v>73</v>
      </c>
      <c r="Z9" s="44">
        <f t="shared" si="5"/>
        <v>0</v>
      </c>
      <c r="AF9" s="44">
        <f t="shared" si="6"/>
        <v>0</v>
      </c>
      <c r="AL9" s="44">
        <f t="shared" si="7"/>
        <v>0</v>
      </c>
      <c r="AP9" s="1" t="s">
        <v>73</v>
      </c>
      <c r="AR9" s="44">
        <f t="shared" si="8"/>
        <v>0</v>
      </c>
      <c r="AX9" s="44">
        <f t="shared" si="9"/>
        <v>0</v>
      </c>
      <c r="BD9" s="44">
        <f t="shared" si="10"/>
        <v>0</v>
      </c>
      <c r="BJ9" s="44">
        <f t="shared" si="11"/>
        <v>0</v>
      </c>
      <c r="BP9" s="44">
        <f t="shared" si="12"/>
        <v>0</v>
      </c>
      <c r="BT9" s="24" t="s">
        <v>73</v>
      </c>
      <c r="BV9" s="44">
        <f t="shared" si="1"/>
        <v>0</v>
      </c>
      <c r="BW9" s="1" t="s">
        <v>191</v>
      </c>
      <c r="BX9" s="1" t="s">
        <v>191</v>
      </c>
      <c r="BY9" s="1" t="s">
        <v>191</v>
      </c>
      <c r="BZ9" s="24" t="s">
        <v>73</v>
      </c>
      <c r="CA9" s="1" t="s">
        <v>191</v>
      </c>
      <c r="CB9" s="44">
        <f t="shared" si="2"/>
        <v>0</v>
      </c>
    </row>
    <row r="10" spans="1:80" x14ac:dyDescent="0.25">
      <c r="A10" s="54" t="s">
        <v>12</v>
      </c>
      <c r="B10" s="58">
        <v>9</v>
      </c>
      <c r="H10" s="44">
        <f t="shared" si="3"/>
        <v>0</v>
      </c>
      <c r="N10" s="44">
        <f t="shared" si="4"/>
        <v>0</v>
      </c>
      <c r="T10" s="44">
        <f t="shared" si="0"/>
        <v>0</v>
      </c>
      <c r="U10" s="24" t="s">
        <v>73</v>
      </c>
      <c r="Z10" s="44">
        <f t="shared" si="5"/>
        <v>0</v>
      </c>
      <c r="AF10" s="44">
        <f t="shared" si="6"/>
        <v>0</v>
      </c>
      <c r="AL10" s="44">
        <f t="shared" si="7"/>
        <v>0</v>
      </c>
      <c r="AP10" s="1" t="s">
        <v>73</v>
      </c>
      <c r="AR10" s="44">
        <f t="shared" si="8"/>
        <v>0</v>
      </c>
      <c r="AX10" s="44">
        <f t="shared" si="9"/>
        <v>0</v>
      </c>
      <c r="BD10" s="44">
        <f t="shared" si="10"/>
        <v>0</v>
      </c>
      <c r="BJ10" s="44">
        <f t="shared" si="11"/>
        <v>0</v>
      </c>
      <c r="BP10" s="44">
        <f t="shared" si="12"/>
        <v>0</v>
      </c>
      <c r="BT10" s="24" t="s">
        <v>73</v>
      </c>
      <c r="BV10" s="44">
        <f t="shared" si="1"/>
        <v>0</v>
      </c>
      <c r="BW10" s="1" t="s">
        <v>191</v>
      </c>
      <c r="BX10" s="1" t="s">
        <v>191</v>
      </c>
      <c r="BY10" s="1" t="s">
        <v>191</v>
      </c>
      <c r="BZ10" s="24" t="s">
        <v>73</v>
      </c>
      <c r="CA10" s="1" t="s">
        <v>191</v>
      </c>
      <c r="CB10" s="44">
        <f t="shared" si="2"/>
        <v>0</v>
      </c>
    </row>
    <row r="11" spans="1:80" x14ac:dyDescent="0.25">
      <c r="A11" s="55" t="s">
        <v>4</v>
      </c>
      <c r="B11" s="57">
        <v>10</v>
      </c>
      <c r="H11" s="44">
        <f t="shared" si="3"/>
        <v>0</v>
      </c>
      <c r="N11" s="44">
        <f t="shared" si="4"/>
        <v>0</v>
      </c>
      <c r="T11" s="44">
        <f t="shared" si="0"/>
        <v>0</v>
      </c>
      <c r="U11" s="24" t="s">
        <v>73</v>
      </c>
      <c r="Z11" s="44">
        <f t="shared" si="5"/>
        <v>0</v>
      </c>
      <c r="AF11" s="44">
        <f t="shared" si="6"/>
        <v>0</v>
      </c>
      <c r="AL11" s="44">
        <f t="shared" si="7"/>
        <v>0</v>
      </c>
      <c r="AP11" s="1" t="s">
        <v>73</v>
      </c>
      <c r="AR11" s="44">
        <f t="shared" si="8"/>
        <v>0</v>
      </c>
      <c r="AX11" s="44">
        <f t="shared" si="9"/>
        <v>0</v>
      </c>
      <c r="BD11" s="44">
        <f t="shared" si="10"/>
        <v>0</v>
      </c>
      <c r="BJ11" s="44">
        <f t="shared" si="11"/>
        <v>0</v>
      </c>
      <c r="BP11" s="44">
        <f t="shared" si="12"/>
        <v>0</v>
      </c>
      <c r="BT11" s="24" t="s">
        <v>73</v>
      </c>
      <c r="BV11" s="44">
        <f t="shared" si="1"/>
        <v>0</v>
      </c>
      <c r="BW11" s="1" t="s">
        <v>191</v>
      </c>
      <c r="BX11" s="1" t="s">
        <v>191</v>
      </c>
      <c r="BY11" s="1" t="s">
        <v>191</v>
      </c>
      <c r="BZ11" s="24" t="s">
        <v>73</v>
      </c>
      <c r="CA11" s="1" t="s">
        <v>191</v>
      </c>
      <c r="CB11" s="44">
        <f t="shared" si="2"/>
        <v>0</v>
      </c>
    </row>
    <row r="12" spans="1:80" x14ac:dyDescent="0.25">
      <c r="A12" s="55" t="s">
        <v>5</v>
      </c>
      <c r="B12" s="57">
        <v>11</v>
      </c>
      <c r="H12" s="44">
        <f t="shared" si="3"/>
        <v>0</v>
      </c>
      <c r="N12" s="44">
        <f t="shared" si="4"/>
        <v>0</v>
      </c>
      <c r="T12" s="44">
        <f t="shared" si="0"/>
        <v>0</v>
      </c>
      <c r="U12" s="24" t="s">
        <v>73</v>
      </c>
      <c r="Z12" s="44">
        <f t="shared" si="5"/>
        <v>0</v>
      </c>
      <c r="AF12" s="44">
        <f t="shared" si="6"/>
        <v>0</v>
      </c>
      <c r="AL12" s="44">
        <f t="shared" si="7"/>
        <v>0</v>
      </c>
      <c r="AP12" s="1" t="s">
        <v>73</v>
      </c>
      <c r="AR12" s="44">
        <f t="shared" si="8"/>
        <v>0</v>
      </c>
      <c r="AX12" s="44">
        <f t="shared" si="9"/>
        <v>0</v>
      </c>
      <c r="BD12" s="44">
        <f t="shared" si="10"/>
        <v>0</v>
      </c>
      <c r="BJ12" s="44">
        <f t="shared" si="11"/>
        <v>0</v>
      </c>
      <c r="BP12" s="44">
        <f t="shared" si="12"/>
        <v>0</v>
      </c>
      <c r="BT12" s="24" t="s">
        <v>73</v>
      </c>
      <c r="BV12" s="44">
        <f t="shared" si="1"/>
        <v>0</v>
      </c>
      <c r="BW12" s="1" t="s">
        <v>191</v>
      </c>
      <c r="BX12" s="1" t="s">
        <v>191</v>
      </c>
      <c r="BY12" s="1" t="s">
        <v>191</v>
      </c>
      <c r="BZ12" s="24" t="s">
        <v>73</v>
      </c>
      <c r="CA12" s="1" t="s">
        <v>191</v>
      </c>
      <c r="CB12" s="44">
        <f t="shared" si="2"/>
        <v>0</v>
      </c>
    </row>
    <row r="13" spans="1:80" x14ac:dyDescent="0.25">
      <c r="A13" s="54" t="s">
        <v>8</v>
      </c>
      <c r="B13" s="58">
        <v>12</v>
      </c>
      <c r="H13" s="44">
        <f t="shared" si="3"/>
        <v>0</v>
      </c>
      <c r="N13" s="44">
        <f t="shared" si="4"/>
        <v>0</v>
      </c>
      <c r="T13" s="44">
        <f t="shared" si="0"/>
        <v>0</v>
      </c>
      <c r="U13" s="24" t="s">
        <v>73</v>
      </c>
      <c r="Z13" s="44">
        <f t="shared" si="5"/>
        <v>0</v>
      </c>
      <c r="AC13" s="1">
        <v>2</v>
      </c>
      <c r="AF13" s="44">
        <f t="shared" si="6"/>
        <v>2</v>
      </c>
      <c r="AL13" s="44">
        <f t="shared" si="7"/>
        <v>0</v>
      </c>
      <c r="AM13" s="1">
        <v>1</v>
      </c>
      <c r="AP13" s="1" t="s">
        <v>73</v>
      </c>
      <c r="AQ13" s="1">
        <v>1</v>
      </c>
      <c r="AR13" s="44">
        <f t="shared" si="8"/>
        <v>2</v>
      </c>
      <c r="AX13" s="44">
        <f t="shared" si="9"/>
        <v>0</v>
      </c>
      <c r="BD13" s="44">
        <f t="shared" si="10"/>
        <v>0</v>
      </c>
      <c r="BJ13" s="44">
        <f t="shared" si="11"/>
        <v>0</v>
      </c>
      <c r="BP13" s="44">
        <f t="shared" si="12"/>
        <v>0</v>
      </c>
      <c r="BT13" s="24" t="s">
        <v>73</v>
      </c>
      <c r="BV13" s="44">
        <f t="shared" si="1"/>
        <v>0</v>
      </c>
      <c r="BW13" s="1" t="s">
        <v>191</v>
      </c>
      <c r="BX13" s="1" t="s">
        <v>191</v>
      </c>
      <c r="BY13" s="1" t="s">
        <v>191</v>
      </c>
      <c r="BZ13" s="24" t="s">
        <v>73</v>
      </c>
      <c r="CA13" s="1" t="s">
        <v>191</v>
      </c>
      <c r="CB13" s="44">
        <f t="shared" si="2"/>
        <v>0</v>
      </c>
    </row>
    <row r="14" spans="1:80" x14ac:dyDescent="0.25">
      <c r="A14" s="55" t="s">
        <v>6</v>
      </c>
      <c r="B14" s="57">
        <v>13</v>
      </c>
      <c r="H14" s="44">
        <f t="shared" si="3"/>
        <v>0</v>
      </c>
      <c r="N14" s="44">
        <f t="shared" si="4"/>
        <v>0</v>
      </c>
      <c r="T14" s="44">
        <f t="shared" si="0"/>
        <v>0</v>
      </c>
      <c r="U14" s="24" t="s">
        <v>73</v>
      </c>
      <c r="Z14" s="44">
        <f t="shared" si="5"/>
        <v>0</v>
      </c>
      <c r="AF14" s="44">
        <f t="shared" si="6"/>
        <v>0</v>
      </c>
      <c r="AL14" s="44">
        <f t="shared" si="7"/>
        <v>0</v>
      </c>
      <c r="AN14" s="1">
        <v>1</v>
      </c>
      <c r="AP14" s="1" t="s">
        <v>73</v>
      </c>
      <c r="AR14" s="44">
        <f t="shared" si="8"/>
        <v>1</v>
      </c>
      <c r="AX14" s="44">
        <f t="shared" si="9"/>
        <v>0</v>
      </c>
      <c r="BD14" s="44">
        <f t="shared" si="10"/>
        <v>0</v>
      </c>
      <c r="BJ14" s="44">
        <f t="shared" si="11"/>
        <v>0</v>
      </c>
      <c r="BP14" s="44">
        <f t="shared" si="12"/>
        <v>0</v>
      </c>
      <c r="BT14" s="24" t="s">
        <v>73</v>
      </c>
      <c r="BV14" s="44">
        <f t="shared" si="1"/>
        <v>0</v>
      </c>
      <c r="BW14" s="1" t="s">
        <v>191</v>
      </c>
      <c r="BX14" s="1" t="s">
        <v>191</v>
      </c>
      <c r="BY14" s="1" t="s">
        <v>191</v>
      </c>
      <c r="BZ14" s="24" t="s">
        <v>73</v>
      </c>
      <c r="CA14" s="1" t="s">
        <v>191</v>
      </c>
      <c r="CB14" s="44">
        <f t="shared" si="2"/>
        <v>0</v>
      </c>
    </row>
    <row r="15" spans="1:80" x14ac:dyDescent="0.25">
      <c r="A15" s="54" t="s">
        <v>7</v>
      </c>
      <c r="B15" s="57">
        <v>14</v>
      </c>
      <c r="H15" s="44">
        <f t="shared" si="3"/>
        <v>0</v>
      </c>
      <c r="N15" s="44">
        <f t="shared" si="4"/>
        <v>0</v>
      </c>
      <c r="T15" s="44">
        <f t="shared" si="0"/>
        <v>0</v>
      </c>
      <c r="U15" s="24" t="s">
        <v>73</v>
      </c>
      <c r="Z15" s="44">
        <f t="shared" si="5"/>
        <v>0</v>
      </c>
      <c r="AF15" s="44">
        <f t="shared" si="6"/>
        <v>0</v>
      </c>
      <c r="AL15" s="44">
        <f t="shared" si="7"/>
        <v>0</v>
      </c>
      <c r="AP15" s="1" t="s">
        <v>73</v>
      </c>
      <c r="AQ15" s="1">
        <v>4</v>
      </c>
      <c r="AR15" s="44">
        <f t="shared" si="8"/>
        <v>4</v>
      </c>
      <c r="AX15" s="44">
        <f t="shared" si="9"/>
        <v>0</v>
      </c>
      <c r="BD15" s="44">
        <f t="shared" si="10"/>
        <v>0</v>
      </c>
      <c r="BJ15" s="44">
        <f t="shared" si="11"/>
        <v>0</v>
      </c>
      <c r="BP15" s="44">
        <f t="shared" si="12"/>
        <v>0</v>
      </c>
      <c r="BT15" s="24" t="s">
        <v>73</v>
      </c>
      <c r="BV15" s="44">
        <f t="shared" si="1"/>
        <v>0</v>
      </c>
      <c r="BW15" s="1" t="s">
        <v>191</v>
      </c>
      <c r="BX15" s="1" t="s">
        <v>191</v>
      </c>
      <c r="BY15" s="1" t="s">
        <v>191</v>
      </c>
      <c r="BZ15" s="24" t="s">
        <v>73</v>
      </c>
      <c r="CA15" s="1" t="s">
        <v>191</v>
      </c>
      <c r="CB15" s="44">
        <f t="shared" si="2"/>
        <v>0</v>
      </c>
    </row>
    <row r="16" spans="1:80" x14ac:dyDescent="0.25">
      <c r="A16" s="54" t="s">
        <v>14</v>
      </c>
      <c r="B16" s="51">
        <v>15</v>
      </c>
      <c r="F16" s="49"/>
      <c r="G16" s="49"/>
      <c r="H16" s="44">
        <f t="shared" si="3"/>
        <v>0</v>
      </c>
      <c r="I16" s="49">
        <v>150</v>
      </c>
      <c r="J16" s="49">
        <v>150</v>
      </c>
      <c r="K16" s="49">
        <v>150</v>
      </c>
      <c r="L16" s="49">
        <v>150</v>
      </c>
      <c r="M16" s="49">
        <v>150</v>
      </c>
      <c r="N16" s="44">
        <v>150</v>
      </c>
      <c r="O16" s="49">
        <v>150</v>
      </c>
      <c r="P16" s="49">
        <v>150</v>
      </c>
      <c r="Q16" s="49">
        <v>150</v>
      </c>
      <c r="R16" s="49">
        <v>150</v>
      </c>
      <c r="S16" s="49">
        <v>150</v>
      </c>
      <c r="T16" s="44">
        <f t="shared" si="0"/>
        <v>750</v>
      </c>
      <c r="U16" s="60" t="s">
        <v>73</v>
      </c>
      <c r="Z16" s="44">
        <f t="shared" si="5"/>
        <v>0</v>
      </c>
      <c r="AF16" s="44">
        <f t="shared" si="6"/>
        <v>0</v>
      </c>
      <c r="AL16" s="44">
        <f t="shared" si="7"/>
        <v>0</v>
      </c>
      <c r="AP16" s="1" t="s">
        <v>73</v>
      </c>
      <c r="AR16" s="44">
        <f t="shared" si="8"/>
        <v>0</v>
      </c>
      <c r="AX16" s="44">
        <f t="shared" si="9"/>
        <v>0</v>
      </c>
      <c r="BD16" s="44">
        <f t="shared" si="10"/>
        <v>0</v>
      </c>
      <c r="BJ16" s="44">
        <f t="shared" si="11"/>
        <v>0</v>
      </c>
      <c r="BP16" s="44">
        <f t="shared" si="12"/>
        <v>0</v>
      </c>
      <c r="BT16" s="24" t="s">
        <v>73</v>
      </c>
      <c r="BV16" s="44">
        <f t="shared" si="1"/>
        <v>0</v>
      </c>
      <c r="BW16" s="1" t="s">
        <v>191</v>
      </c>
      <c r="BX16" s="1" t="s">
        <v>191</v>
      </c>
      <c r="BY16" s="1" t="s">
        <v>191</v>
      </c>
      <c r="BZ16" s="24" t="s">
        <v>73</v>
      </c>
      <c r="CA16" s="1" t="s">
        <v>191</v>
      </c>
      <c r="CB16" s="44">
        <f t="shared" si="2"/>
        <v>0</v>
      </c>
    </row>
    <row r="17" spans="1:80" x14ac:dyDescent="0.25">
      <c r="A17" s="19" t="s">
        <v>100</v>
      </c>
      <c r="B17" s="52">
        <v>16</v>
      </c>
      <c r="C17" s="16"/>
      <c r="D17" s="16"/>
      <c r="E17" s="16"/>
      <c r="F17" s="30"/>
      <c r="G17" s="30"/>
      <c r="H17" s="45">
        <f t="shared" si="3"/>
        <v>0</v>
      </c>
      <c r="I17" s="30"/>
      <c r="J17" s="30"/>
      <c r="K17" s="30"/>
      <c r="L17" s="30"/>
      <c r="M17" s="30"/>
      <c r="N17" s="45">
        <f t="shared" ref="N17" si="13">SUM(I17:M17)</f>
        <v>0</v>
      </c>
      <c r="O17" s="30"/>
      <c r="P17" s="30"/>
      <c r="Q17" s="30"/>
      <c r="R17" s="30"/>
      <c r="S17" s="30"/>
      <c r="T17" s="45">
        <f t="shared" si="0"/>
        <v>0</v>
      </c>
      <c r="U17" s="17" t="s">
        <v>73</v>
      </c>
      <c r="V17" s="16">
        <v>10</v>
      </c>
      <c r="W17" s="16">
        <v>15</v>
      </c>
      <c r="X17" s="16">
        <v>10</v>
      </c>
      <c r="Y17" s="16">
        <v>10</v>
      </c>
      <c r="Z17" s="45">
        <f t="shared" si="5"/>
        <v>45</v>
      </c>
      <c r="AA17" s="16"/>
      <c r="AB17" s="16"/>
      <c r="AC17" s="16">
        <v>10</v>
      </c>
      <c r="AD17" s="16"/>
      <c r="AE17" s="16"/>
      <c r="AF17" s="45">
        <f t="shared" si="6"/>
        <v>10</v>
      </c>
      <c r="AG17" s="16">
        <v>10</v>
      </c>
      <c r="AH17" s="16">
        <v>10</v>
      </c>
      <c r="AI17" s="16"/>
      <c r="AJ17" s="16"/>
      <c r="AK17" s="16"/>
      <c r="AL17" s="45">
        <f t="shared" si="7"/>
        <v>20</v>
      </c>
      <c r="AM17" s="16"/>
      <c r="AN17" s="16"/>
      <c r="AO17" s="16"/>
      <c r="AP17" s="16" t="s">
        <v>73</v>
      </c>
      <c r="AQ17" s="16"/>
      <c r="AR17" s="45">
        <f t="shared" si="8"/>
        <v>0</v>
      </c>
      <c r="AS17" s="16"/>
      <c r="AT17" s="16">
        <v>15</v>
      </c>
      <c r="AU17" s="16">
        <v>15</v>
      </c>
      <c r="AV17" s="16">
        <v>15</v>
      </c>
      <c r="AW17" s="16">
        <v>15</v>
      </c>
      <c r="AX17" s="45">
        <f t="shared" si="9"/>
        <v>60</v>
      </c>
      <c r="AY17" s="16"/>
      <c r="AZ17" s="16"/>
      <c r="BA17" s="16"/>
      <c r="BB17" s="16"/>
      <c r="BC17" s="16"/>
      <c r="BD17" s="45">
        <f t="shared" si="10"/>
        <v>0</v>
      </c>
      <c r="BE17" s="16"/>
      <c r="BF17" s="16">
        <v>8</v>
      </c>
      <c r="BG17" s="16">
        <v>10</v>
      </c>
      <c r="BH17" s="16">
        <v>10</v>
      </c>
      <c r="BI17" s="16">
        <v>10</v>
      </c>
      <c r="BJ17" s="45">
        <f t="shared" si="11"/>
        <v>38</v>
      </c>
      <c r="BK17" s="16">
        <v>9</v>
      </c>
      <c r="BL17" s="16">
        <v>7</v>
      </c>
      <c r="BM17" s="16">
        <v>10</v>
      </c>
      <c r="BN17" s="16">
        <v>10</v>
      </c>
      <c r="BO17" s="16">
        <v>10</v>
      </c>
      <c r="BP17" s="45">
        <f t="shared" si="12"/>
        <v>46</v>
      </c>
      <c r="BQ17" s="16">
        <v>8</v>
      </c>
      <c r="BR17" s="16">
        <v>10</v>
      </c>
      <c r="BS17" s="16">
        <v>5</v>
      </c>
      <c r="BT17" s="17" t="s">
        <v>73</v>
      </c>
      <c r="BU17" s="16">
        <v>8</v>
      </c>
      <c r="BV17" s="45">
        <f t="shared" si="1"/>
        <v>31</v>
      </c>
      <c r="BW17" s="16" t="s">
        <v>191</v>
      </c>
      <c r="BX17" s="16" t="s">
        <v>191</v>
      </c>
      <c r="BY17" s="16" t="s">
        <v>191</v>
      </c>
      <c r="BZ17" s="24" t="s">
        <v>73</v>
      </c>
      <c r="CA17" s="16" t="s">
        <v>191</v>
      </c>
      <c r="CB17" s="45">
        <f t="shared" si="2"/>
        <v>0</v>
      </c>
    </row>
    <row r="18" spans="1:80" ht="162.75" customHeight="1" x14ac:dyDescent="0.25">
      <c r="A18" s="1" t="s">
        <v>11</v>
      </c>
      <c r="C18" s="4" t="s">
        <v>55</v>
      </c>
      <c r="D18" s="4" t="s">
        <v>55</v>
      </c>
      <c r="E18" s="4" t="s">
        <v>55</v>
      </c>
      <c r="F18" s="4" t="s">
        <v>55</v>
      </c>
      <c r="G18" s="4" t="s">
        <v>55</v>
      </c>
      <c r="H18" s="4"/>
      <c r="I18" s="4" t="s">
        <v>63</v>
      </c>
      <c r="J18" s="4" t="s">
        <v>64</v>
      </c>
      <c r="K18" s="4" t="s">
        <v>64</v>
      </c>
      <c r="L18" s="4" t="s">
        <v>64</v>
      </c>
      <c r="M18" s="4" t="s">
        <v>64</v>
      </c>
      <c r="O18" s="4" t="s">
        <v>64</v>
      </c>
      <c r="P18" s="4" t="s">
        <v>64</v>
      </c>
      <c r="Q18" s="4" t="s">
        <v>64</v>
      </c>
      <c r="R18" s="4" t="s">
        <v>64</v>
      </c>
      <c r="S18" s="4" t="s">
        <v>64</v>
      </c>
      <c r="T18" s="4"/>
      <c r="U18" s="4" t="s">
        <v>73</v>
      </c>
      <c r="V18" s="4" t="s">
        <v>89</v>
      </c>
      <c r="W18" s="4" t="s">
        <v>91</v>
      </c>
      <c r="X18" s="4" t="s">
        <v>90</v>
      </c>
      <c r="Y18" s="4" t="s">
        <v>93</v>
      </c>
      <c r="AA18" s="4" t="s">
        <v>112</v>
      </c>
      <c r="AB18" s="4" t="s">
        <v>95</v>
      </c>
      <c r="AC18" s="4" t="s">
        <v>114</v>
      </c>
      <c r="AD18" s="4" t="s">
        <v>113</v>
      </c>
      <c r="AE18" s="4" t="s">
        <v>99</v>
      </c>
      <c r="AG18" s="4" t="s">
        <v>114</v>
      </c>
      <c r="AH18" s="4" t="s">
        <v>114</v>
      </c>
      <c r="AI18" s="4" t="s">
        <v>131</v>
      </c>
      <c r="AJ18" s="4" t="s">
        <v>131</v>
      </c>
      <c r="AK18" s="4" t="s">
        <v>131</v>
      </c>
      <c r="AM18" s="4"/>
      <c r="AO18" s="4" t="s">
        <v>135</v>
      </c>
      <c r="AS18" s="4" t="s">
        <v>136</v>
      </c>
      <c r="AT18" s="4" t="s">
        <v>155</v>
      </c>
      <c r="AU18" s="4" t="s">
        <v>155</v>
      </c>
      <c r="AV18" s="4" t="s">
        <v>155</v>
      </c>
      <c r="AW18" s="4" t="s">
        <v>155</v>
      </c>
      <c r="AY18" s="4" t="s">
        <v>159</v>
      </c>
      <c r="AZ18" s="4" t="s">
        <v>160</v>
      </c>
      <c r="BA18" s="4" t="s">
        <v>160</v>
      </c>
      <c r="BB18" s="4" t="s">
        <v>160</v>
      </c>
      <c r="BC18" s="4" t="s">
        <v>160</v>
      </c>
      <c r="BD18" s="4"/>
      <c r="BE18" s="4" t="s">
        <v>161</v>
      </c>
      <c r="BF18" s="4" t="s">
        <v>155</v>
      </c>
      <c r="BG18" s="4" t="s">
        <v>155</v>
      </c>
      <c r="BH18" s="4" t="s">
        <v>155</v>
      </c>
      <c r="BI18" s="4" t="s">
        <v>155</v>
      </c>
      <c r="BK18" s="4" t="s">
        <v>155</v>
      </c>
      <c r="BL18" s="4" t="s">
        <v>155</v>
      </c>
      <c r="BM18" s="4" t="s">
        <v>155</v>
      </c>
      <c r="BN18" s="4" t="s">
        <v>155</v>
      </c>
      <c r="BO18" s="4" t="s">
        <v>155</v>
      </c>
      <c r="BP18" s="4"/>
      <c r="BQ18" s="4" t="s">
        <v>155</v>
      </c>
      <c r="BR18" s="4" t="s">
        <v>155</v>
      </c>
      <c r="BS18" s="4" t="s">
        <v>155</v>
      </c>
      <c r="BT18" s="90" t="s">
        <v>195</v>
      </c>
      <c r="BU18" s="4" t="s">
        <v>155</v>
      </c>
      <c r="BW18" s="4" t="s">
        <v>192</v>
      </c>
      <c r="BX18" s="4" t="s">
        <v>192</v>
      </c>
      <c r="BY18" s="4" t="s">
        <v>192</v>
      </c>
      <c r="BZ18" s="90" t="s">
        <v>194</v>
      </c>
      <c r="CA18" s="4" t="s">
        <v>192</v>
      </c>
    </row>
    <row r="19" spans="1:80" x14ac:dyDescent="0.25">
      <c r="A19" s="1" t="s">
        <v>10</v>
      </c>
      <c r="C19" s="4" t="s">
        <v>57</v>
      </c>
      <c r="F19" s="1" t="s">
        <v>56</v>
      </c>
      <c r="G19" s="1" t="s">
        <v>56</v>
      </c>
      <c r="J19" s="4"/>
      <c r="K19" s="4"/>
      <c r="L19" s="4"/>
      <c r="Q19" s="4"/>
      <c r="U19" s="4"/>
      <c r="W19" s="4"/>
      <c r="X19" s="4"/>
      <c r="Y19" s="4"/>
      <c r="Z19" s="4"/>
      <c r="AA19" s="4"/>
      <c r="AB19" s="4"/>
      <c r="AC19" s="4"/>
      <c r="AD19" s="4"/>
      <c r="AE19" s="4"/>
      <c r="AG19" s="4"/>
      <c r="AH19" s="4"/>
      <c r="AJ19" s="4"/>
      <c r="AK19" s="4"/>
      <c r="AN19" s="4"/>
      <c r="AO19" s="4"/>
      <c r="AP19" s="4"/>
      <c r="AQ19" s="4"/>
      <c r="AT19" s="4"/>
      <c r="AU19" s="4"/>
      <c r="AW19" s="4"/>
      <c r="AY19" s="4"/>
      <c r="AZ19" s="4"/>
      <c r="BA19" s="4"/>
      <c r="BB19" s="4"/>
    </row>
  </sheetData>
  <customSheetViews>
    <customSheetView guid="{9B623083-AA7B-440B-95EA-C33E1AB3D963}" showAutoFilter="1">
      <pane xSplit="1" topLeftCell="BD1" activePane="topRight" state="frozen"/>
      <selection pane="topRight" activeCell="AS18" sqref="AS18:AW18"/>
      <pageMargins left="0.511811024" right="0.511811024" top="0.78740157499999996" bottom="0.78740157499999996" header="0.31496062000000002" footer="0.31496062000000002"/>
      <autoFilter ref="A1:A19" xr:uid="{B6942F77-439C-4BD5-857C-A9B3137A40B3}"/>
    </customSheetView>
    <customSheetView guid="{20CB6D8F-C24D-4D4B-A424-AF380F620455}" showPageBreaks="1" topLeftCell="BE1">
      <selection activeCell="BZ17" sqref="BZ17"/>
      <pageMargins left="0.511811024" right="0.511811024" top="0.78740157499999996" bottom="0.78740157499999996" header="0.31496062000000002" footer="0.31496062000000002"/>
      <pageSetup paperSize="9" orientation="portrait" r:id="rId1"/>
    </customSheetView>
    <customSheetView guid="{B3CDE377-BA5D-4E06-91D9-3A48E1959BA5}">
      <pane xSplit="1" topLeftCell="BP1" activePane="topRight" state="frozen"/>
      <selection pane="topRight" activeCell="BN18" sqref="BN18"/>
      <pageMargins left="0.511811024" right="0.511811024" top="0.78740157499999996" bottom="0.78740157499999996" header="0.31496062000000002" footer="0.31496062000000002"/>
    </customSheetView>
    <customSheetView guid="{18A482E0-C8B6-4AA1-9E04-15FA7C9CD5E3}" scale="90">
      <pane xSplit="1" topLeftCell="B1" activePane="topRight" state="frozen"/>
      <selection pane="topRight" activeCell="C1" sqref="C1:CB18"/>
      <pageMargins left="0.511811024" right="0.511811024" top="0.78740157499999996" bottom="0.78740157499999996" header="0.31496062000000002" footer="0.31496062000000002"/>
    </customSheetView>
    <customSheetView guid="{C69767F5-CD39-44C1-AD4B-CE19DC8285A6}">
      <selection activeCell="A18" sqref="A18"/>
      <pageMargins left="0.511811024" right="0.511811024" top="0.78740157499999996" bottom="0.78740157499999996" header="0.31496062000000002" footer="0.31496062000000002"/>
    </customSheetView>
    <customSheetView guid="{552DFCCD-1786-4D75-8B10-27DD730384DD}">
      <pane xSplit="1" topLeftCell="J1" activePane="topRight" state="frozen"/>
      <selection pane="topRight" activeCell="L8" sqref="L8"/>
      <pageMargins left="0.511811024" right="0.511811024" top="0.78740157499999996" bottom="0.78740157499999996" header="0.31496062000000002" footer="0.31496062000000002"/>
    </customSheetView>
    <customSheetView guid="{E3841903-5B68-44FD-8F09-58E03D1025C5}" topLeftCell="BZ17">
      <selection activeCell="CR18" sqref="CR18"/>
      <pageMargins left="0.511811024" right="0.511811024" top="0.78740157499999996" bottom="0.78740157499999996" header="0.31496062000000002" footer="0.31496062000000002"/>
    </customSheetView>
    <customSheetView guid="{86039CF8-B158-4D70-9A6F-A10C29CBD68A}" topLeftCell="B1">
      <selection activeCell="S1" sqref="S1:S1048576"/>
      <pageMargins left="0.511811024" right="0.511811024" top="0.78740157499999996" bottom="0.78740157499999996" header="0.31496062000000002" footer="0.31496062000000002"/>
    </customSheetView>
    <customSheetView guid="{3D987F8E-A6EA-454D-9537-6BFC5053CB00}">
      <pane xSplit="1" topLeftCell="BQ1" activePane="topRight" state="frozen"/>
      <selection pane="topRight" activeCell="CC18" sqref="CC18"/>
      <pageMargins left="0.511811024" right="0.511811024" top="0.78740157499999996" bottom="0.78740157499999996" header="0.31496062000000002" footer="0.31496062000000002"/>
    </customSheetView>
  </customSheetViews>
  <pageMargins left="0.511811024" right="0.511811024" top="0.78740157499999996" bottom="0.78740157499999996" header="0.31496062000000002" footer="0.31496062000000002"/>
  <pageSetup paperSize="9" orientation="portrait"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B19"/>
  <sheetViews>
    <sheetView topLeftCell="AR1" zoomScaleNormal="100" workbookViewId="0">
      <selection activeCell="BF18" sqref="BF18"/>
    </sheetView>
  </sheetViews>
  <sheetFormatPr defaultColWidth="9.140625" defaultRowHeight="15" x14ac:dyDescent="0.25"/>
  <cols>
    <col min="1" max="1" width="77.42578125" style="1" bestFit="1" customWidth="1"/>
    <col min="2" max="2" width="3" style="1" bestFit="1" customWidth="1"/>
    <col min="3" max="3" width="23.85546875" style="1" customWidth="1"/>
    <col min="4" max="7" width="11.7109375" style="1" customWidth="1"/>
    <col min="8" max="8" width="14.28515625" style="1" bestFit="1" customWidth="1"/>
    <col min="9" max="13" width="9.5703125" style="1" customWidth="1"/>
    <col min="14" max="14" width="14.28515625" style="1" bestFit="1" customWidth="1"/>
    <col min="15" max="15" width="11.85546875" style="1" customWidth="1"/>
    <col min="16" max="16" width="13" style="1" customWidth="1"/>
    <col min="17" max="17" width="11.5703125" style="1" customWidth="1"/>
    <col min="18" max="18" width="11.28515625" style="1" customWidth="1"/>
    <col min="19" max="19" width="12.140625" style="1" customWidth="1"/>
    <col min="20" max="20" width="14.28515625" style="1" bestFit="1" customWidth="1"/>
    <col min="21" max="21" width="11" style="1" customWidth="1"/>
    <col min="22" max="22" width="14" style="1" customWidth="1"/>
    <col min="23" max="23" width="13" style="1" customWidth="1"/>
    <col min="24" max="24" width="16.140625" style="1" customWidth="1"/>
    <col min="25" max="25" width="16.85546875" style="1" customWidth="1"/>
    <col min="26" max="26" width="14.28515625" style="1" bestFit="1" customWidth="1"/>
    <col min="27" max="27" width="13.140625" style="1" customWidth="1"/>
    <col min="28" max="31" width="9.140625" style="1"/>
    <col min="32" max="32" width="15.28515625" style="1" customWidth="1"/>
    <col min="33" max="33" width="19.42578125" style="1" customWidth="1"/>
    <col min="34" max="35" width="9.140625" style="1"/>
    <col min="36" max="36" width="6.85546875" style="1" customWidth="1"/>
    <col min="37" max="37" width="16.5703125" style="1" customWidth="1"/>
    <col min="38" max="38" width="17.42578125" style="1" customWidth="1"/>
    <col min="39" max="40" width="11.42578125" style="1" customWidth="1"/>
    <col min="41" max="41" width="10.85546875" style="1" customWidth="1"/>
    <col min="42" max="42" width="13.42578125" style="1" customWidth="1"/>
    <col min="43" max="43" width="9.140625" style="1"/>
    <col min="44" max="44" width="15.42578125" style="1" customWidth="1"/>
    <col min="45" max="49" width="9.140625" style="1"/>
    <col min="50" max="50" width="15.42578125" style="1" customWidth="1"/>
    <col min="51" max="55" width="9.140625" style="1"/>
    <col min="56" max="56" width="16.140625" style="1" customWidth="1"/>
    <col min="57" max="61" width="9.140625" style="1"/>
    <col min="62" max="62" width="14.85546875" style="1" customWidth="1"/>
    <col min="63" max="67" width="9.140625" style="1"/>
    <col min="68" max="68" width="14.5703125" style="1" customWidth="1"/>
    <col min="69" max="73" width="9.140625" style="1"/>
    <col min="74" max="74" width="14.7109375" style="1" customWidth="1"/>
    <col min="75" max="79" width="9.140625" style="1"/>
    <col min="80" max="80" width="15.85546875" style="1" customWidth="1"/>
    <col min="81" max="16384" width="9.140625" style="1"/>
  </cols>
  <sheetData>
    <row r="1" spans="1:80" x14ac:dyDescent="0.25">
      <c r="A1" s="18" t="s">
        <v>9</v>
      </c>
      <c r="B1" s="56"/>
      <c r="C1" s="43">
        <v>45936</v>
      </c>
      <c r="D1" s="29">
        <v>45937</v>
      </c>
      <c r="E1" s="29">
        <v>45938</v>
      </c>
      <c r="F1" s="29">
        <v>45939</v>
      </c>
      <c r="G1" s="29">
        <v>45940</v>
      </c>
      <c r="H1" s="12" t="s">
        <v>15</v>
      </c>
      <c r="I1" s="43">
        <v>45943</v>
      </c>
      <c r="J1" s="29">
        <v>45944</v>
      </c>
      <c r="K1" s="29">
        <v>45945</v>
      </c>
      <c r="L1" s="29">
        <v>45946</v>
      </c>
      <c r="M1" s="29">
        <v>45947</v>
      </c>
      <c r="N1" s="11" t="s">
        <v>15</v>
      </c>
      <c r="O1" s="43">
        <v>45950</v>
      </c>
      <c r="P1" s="29">
        <v>45951</v>
      </c>
      <c r="Q1" s="29">
        <v>45952</v>
      </c>
      <c r="R1" s="29">
        <v>45953</v>
      </c>
      <c r="S1" s="29">
        <v>45954</v>
      </c>
      <c r="T1" s="11" t="s">
        <v>15</v>
      </c>
      <c r="U1" s="43">
        <v>45957</v>
      </c>
      <c r="V1" s="29">
        <v>45958</v>
      </c>
      <c r="W1" s="29">
        <v>45959</v>
      </c>
      <c r="X1" s="29">
        <v>45960</v>
      </c>
      <c r="Y1" s="29">
        <v>45961</v>
      </c>
      <c r="Z1" s="11" t="s">
        <v>15</v>
      </c>
      <c r="AA1" s="43">
        <v>45964</v>
      </c>
      <c r="AB1" s="29">
        <v>45965</v>
      </c>
      <c r="AC1" s="29">
        <v>45966</v>
      </c>
      <c r="AD1" s="29">
        <v>45967</v>
      </c>
      <c r="AE1" s="29">
        <v>45968</v>
      </c>
      <c r="AF1" s="11" t="s">
        <v>15</v>
      </c>
      <c r="AG1" s="43">
        <v>45971</v>
      </c>
      <c r="AH1" s="29">
        <v>45972</v>
      </c>
      <c r="AI1" s="29">
        <v>45973</v>
      </c>
      <c r="AJ1" s="29">
        <v>45974</v>
      </c>
      <c r="AK1" s="29">
        <v>45975</v>
      </c>
      <c r="AL1" s="11" t="s">
        <v>15</v>
      </c>
      <c r="AM1" s="43">
        <v>45978</v>
      </c>
      <c r="AN1" s="29">
        <v>45979</v>
      </c>
      <c r="AO1" s="29">
        <v>45980</v>
      </c>
      <c r="AP1" s="29">
        <v>45981</v>
      </c>
      <c r="AQ1" s="29">
        <v>45982</v>
      </c>
      <c r="AR1" s="11" t="s">
        <v>15</v>
      </c>
      <c r="AS1" s="43">
        <v>45985</v>
      </c>
      <c r="AT1" s="29">
        <v>45986</v>
      </c>
      <c r="AU1" s="29">
        <v>45987</v>
      </c>
      <c r="AV1" s="29">
        <v>45988</v>
      </c>
      <c r="AW1" s="29">
        <v>45989</v>
      </c>
      <c r="AX1" s="11" t="s">
        <v>15</v>
      </c>
      <c r="AY1" s="43">
        <v>45992</v>
      </c>
      <c r="AZ1" s="29">
        <v>45993</v>
      </c>
      <c r="BA1" s="29">
        <v>45994</v>
      </c>
      <c r="BB1" s="29">
        <v>45995</v>
      </c>
      <c r="BC1" s="29">
        <v>45996</v>
      </c>
      <c r="BD1" s="11" t="s">
        <v>15</v>
      </c>
      <c r="BE1" s="43">
        <v>45999</v>
      </c>
      <c r="BF1" s="29">
        <v>46000</v>
      </c>
      <c r="BG1" s="29">
        <v>46001</v>
      </c>
      <c r="BH1" s="29">
        <v>46002</v>
      </c>
      <c r="BI1" s="29">
        <v>46003</v>
      </c>
      <c r="BJ1" s="11" t="s">
        <v>15</v>
      </c>
      <c r="BK1" s="43">
        <v>46006</v>
      </c>
      <c r="BL1" s="29">
        <v>46007</v>
      </c>
      <c r="BM1" s="29">
        <v>46008</v>
      </c>
      <c r="BN1" s="29">
        <v>46009</v>
      </c>
      <c r="BO1" s="29">
        <v>46010</v>
      </c>
      <c r="BP1" s="11" t="s">
        <v>15</v>
      </c>
      <c r="BQ1" s="43">
        <v>46013</v>
      </c>
      <c r="BR1" s="29">
        <v>46014</v>
      </c>
      <c r="BS1" s="29">
        <v>46015</v>
      </c>
      <c r="BT1" s="82">
        <v>46016</v>
      </c>
      <c r="BU1" s="29">
        <v>46017</v>
      </c>
      <c r="BV1" s="11" t="s">
        <v>15</v>
      </c>
      <c r="BW1" s="43">
        <v>46020</v>
      </c>
      <c r="BX1" s="29">
        <v>46021</v>
      </c>
      <c r="BY1" s="29">
        <v>46022</v>
      </c>
      <c r="BZ1" s="82">
        <v>46023</v>
      </c>
      <c r="CA1" s="29">
        <v>46024</v>
      </c>
      <c r="CB1" s="11" t="s">
        <v>15</v>
      </c>
    </row>
    <row r="2" spans="1:80" x14ac:dyDescent="0.25">
      <c r="A2" s="54" t="s">
        <v>18</v>
      </c>
      <c r="B2" s="57">
        <v>1</v>
      </c>
      <c r="H2" s="44">
        <f>SUM(C2:G2)</f>
        <v>0</v>
      </c>
      <c r="N2" s="44">
        <f>SUM(I2:M2)</f>
        <v>0</v>
      </c>
      <c r="T2" s="44">
        <f t="shared" ref="T2:T17" si="0">SUM(O2:S2)</f>
        <v>0</v>
      </c>
      <c r="U2" s="24" t="s">
        <v>73</v>
      </c>
      <c r="Z2" s="44">
        <f>SUM(U2:Y2)</f>
        <v>0</v>
      </c>
      <c r="AF2" s="44">
        <f>SUM(AA2:AE2)</f>
        <v>0</v>
      </c>
      <c r="AL2" s="44">
        <f>SUM(AG2:AK2)</f>
        <v>0</v>
      </c>
      <c r="AR2" s="44">
        <f>SUM(AM2:AQ2)</f>
        <v>0</v>
      </c>
      <c r="AX2" s="44">
        <f>SUM(AS2:AW2)</f>
        <v>0</v>
      </c>
      <c r="BD2" s="44">
        <f>SUM(AY2:BC2)</f>
        <v>0</v>
      </c>
      <c r="BJ2" s="44">
        <f>SUM(BE2:BI2)</f>
        <v>0</v>
      </c>
      <c r="BP2" s="44">
        <f>SUM(BK2:BO2)</f>
        <v>0</v>
      </c>
      <c r="BQ2" s="1" t="s">
        <v>191</v>
      </c>
      <c r="BR2" s="1" t="s">
        <v>191</v>
      </c>
      <c r="BS2" s="1" t="s">
        <v>191</v>
      </c>
      <c r="BT2" s="24" t="s">
        <v>73</v>
      </c>
      <c r="BU2" s="1" t="s">
        <v>191</v>
      </c>
      <c r="BV2" s="44">
        <f>SUM(BQ2:BU2)</f>
        <v>0</v>
      </c>
      <c r="BZ2" s="24" t="s">
        <v>73</v>
      </c>
      <c r="CB2" s="44">
        <f>SUM(BW2:CA2)</f>
        <v>0</v>
      </c>
    </row>
    <row r="3" spans="1:80" x14ac:dyDescent="0.25">
      <c r="A3" s="54" t="s">
        <v>0</v>
      </c>
      <c r="B3" s="57">
        <v>2</v>
      </c>
      <c r="H3" s="44">
        <f t="shared" ref="H3:H17" si="1">SUM(C3:G3)</f>
        <v>0</v>
      </c>
      <c r="N3" s="44">
        <f t="shared" ref="N3:N17" si="2">SUM(I3:M3)</f>
        <v>0</v>
      </c>
      <c r="T3" s="44">
        <f t="shared" si="0"/>
        <v>0</v>
      </c>
      <c r="U3" s="24" t="s">
        <v>73</v>
      </c>
      <c r="Z3" s="44">
        <f t="shared" ref="Z3:Z17" si="3">SUM(U3:Y3)</f>
        <v>0</v>
      </c>
      <c r="AF3" s="44">
        <f t="shared" ref="AF3:AF17" si="4">SUM(AA3:AE3)</f>
        <v>0</v>
      </c>
      <c r="AL3" s="44">
        <f t="shared" ref="AL3:AL17" si="5">SUM(AG3:AK3)</f>
        <v>0</v>
      </c>
      <c r="AR3" s="44">
        <f t="shared" ref="AR3:AR17" si="6">SUM(AM3:AQ3)</f>
        <v>0</v>
      </c>
      <c r="AX3" s="44">
        <f t="shared" ref="AX3:AX17" si="7">SUM(AS3:AW3)</f>
        <v>0</v>
      </c>
      <c r="BD3" s="44">
        <f t="shared" ref="BD3:BD17" si="8">SUM(AY3:BC3)</f>
        <v>0</v>
      </c>
      <c r="BJ3" s="44">
        <f t="shared" ref="BJ3:BJ17" si="9">SUM(BE3:BI3)</f>
        <v>0</v>
      </c>
      <c r="BP3" s="44">
        <f t="shared" ref="BP3:BP17" si="10">SUM(BK3:BO3)</f>
        <v>0</v>
      </c>
      <c r="BQ3" s="1" t="s">
        <v>191</v>
      </c>
      <c r="BR3" s="1" t="s">
        <v>191</v>
      </c>
      <c r="BS3" s="1" t="s">
        <v>191</v>
      </c>
      <c r="BT3" s="24" t="s">
        <v>73</v>
      </c>
      <c r="BU3" s="1" t="s">
        <v>191</v>
      </c>
      <c r="BV3" s="44">
        <f t="shared" ref="BV3:BV17" si="11">SUM(BQ3:BU3)</f>
        <v>0</v>
      </c>
      <c r="BZ3" s="24" t="s">
        <v>73</v>
      </c>
      <c r="CB3" s="44">
        <f t="shared" ref="CB3:CB17" si="12">SUM(BW3:CA3)</f>
        <v>0</v>
      </c>
    </row>
    <row r="4" spans="1:80" x14ac:dyDescent="0.25">
      <c r="A4" s="55" t="s">
        <v>17</v>
      </c>
      <c r="B4" s="58">
        <v>3</v>
      </c>
      <c r="H4" s="44">
        <f t="shared" si="1"/>
        <v>0</v>
      </c>
      <c r="N4" s="44">
        <f t="shared" si="2"/>
        <v>0</v>
      </c>
      <c r="T4" s="44">
        <f t="shared" si="0"/>
        <v>0</v>
      </c>
      <c r="U4" s="24" t="s">
        <v>73</v>
      </c>
      <c r="Z4" s="44">
        <f t="shared" si="3"/>
        <v>0</v>
      </c>
      <c r="AF4" s="44">
        <f t="shared" si="4"/>
        <v>0</v>
      </c>
      <c r="AL4" s="44">
        <f t="shared" si="5"/>
        <v>0</v>
      </c>
      <c r="AR4" s="44">
        <f t="shared" si="6"/>
        <v>0</v>
      </c>
      <c r="AX4" s="44">
        <f t="shared" si="7"/>
        <v>0</v>
      </c>
      <c r="BD4" s="44">
        <f t="shared" si="8"/>
        <v>0</v>
      </c>
      <c r="BJ4" s="44">
        <f t="shared" si="9"/>
        <v>0</v>
      </c>
      <c r="BP4" s="44">
        <f t="shared" si="10"/>
        <v>0</v>
      </c>
      <c r="BQ4" s="1" t="s">
        <v>191</v>
      </c>
      <c r="BR4" s="1" t="s">
        <v>191</v>
      </c>
      <c r="BS4" s="1" t="s">
        <v>191</v>
      </c>
      <c r="BT4" s="24" t="s">
        <v>73</v>
      </c>
      <c r="BU4" s="1" t="s">
        <v>191</v>
      </c>
      <c r="BV4" s="44">
        <f t="shared" si="11"/>
        <v>0</v>
      </c>
      <c r="BZ4" s="24" t="s">
        <v>73</v>
      </c>
      <c r="CB4" s="44">
        <f t="shared" si="12"/>
        <v>0</v>
      </c>
    </row>
    <row r="5" spans="1:80" x14ac:dyDescent="0.25">
      <c r="A5" s="55" t="s">
        <v>16</v>
      </c>
      <c r="B5" s="57">
        <v>4</v>
      </c>
      <c r="H5" s="44">
        <f t="shared" si="1"/>
        <v>0</v>
      </c>
      <c r="N5" s="44">
        <f t="shared" si="2"/>
        <v>0</v>
      </c>
      <c r="T5" s="44">
        <f t="shared" si="0"/>
        <v>0</v>
      </c>
      <c r="U5" s="24" t="s">
        <v>73</v>
      </c>
      <c r="Z5" s="44">
        <f t="shared" si="3"/>
        <v>0</v>
      </c>
      <c r="AF5" s="44">
        <f t="shared" si="4"/>
        <v>0</v>
      </c>
      <c r="AL5" s="44">
        <f t="shared" si="5"/>
        <v>0</v>
      </c>
      <c r="AR5" s="44">
        <f t="shared" si="6"/>
        <v>0</v>
      </c>
      <c r="AX5" s="44">
        <f t="shared" si="7"/>
        <v>0</v>
      </c>
      <c r="BD5" s="44">
        <f t="shared" si="8"/>
        <v>0</v>
      </c>
      <c r="BJ5" s="44">
        <f t="shared" si="9"/>
        <v>0</v>
      </c>
      <c r="BP5" s="44">
        <f t="shared" si="10"/>
        <v>0</v>
      </c>
      <c r="BQ5" s="1" t="s">
        <v>191</v>
      </c>
      <c r="BR5" s="1" t="s">
        <v>191</v>
      </c>
      <c r="BS5" s="1" t="s">
        <v>191</v>
      </c>
      <c r="BT5" s="24" t="s">
        <v>73</v>
      </c>
      <c r="BU5" s="1" t="s">
        <v>191</v>
      </c>
      <c r="BV5" s="44">
        <f t="shared" si="11"/>
        <v>0</v>
      </c>
      <c r="BZ5" s="24" t="s">
        <v>73</v>
      </c>
      <c r="CB5" s="44">
        <f t="shared" si="12"/>
        <v>0</v>
      </c>
    </row>
    <row r="6" spans="1:80" x14ac:dyDescent="0.25">
      <c r="A6" s="55" t="s">
        <v>1</v>
      </c>
      <c r="B6" s="57">
        <v>5</v>
      </c>
      <c r="H6" s="44">
        <f t="shared" si="1"/>
        <v>0</v>
      </c>
      <c r="N6" s="44">
        <f t="shared" si="2"/>
        <v>0</v>
      </c>
      <c r="T6" s="44">
        <f t="shared" si="0"/>
        <v>0</v>
      </c>
      <c r="U6" s="24" t="s">
        <v>73</v>
      </c>
      <c r="Z6" s="44">
        <f t="shared" si="3"/>
        <v>0</v>
      </c>
      <c r="AF6" s="44">
        <f t="shared" si="4"/>
        <v>0</v>
      </c>
      <c r="AL6" s="44">
        <f t="shared" si="5"/>
        <v>0</v>
      </c>
      <c r="AR6" s="44">
        <f t="shared" si="6"/>
        <v>0</v>
      </c>
      <c r="AX6" s="44">
        <f t="shared" si="7"/>
        <v>0</v>
      </c>
      <c r="BD6" s="44">
        <f t="shared" si="8"/>
        <v>0</v>
      </c>
      <c r="BJ6" s="44">
        <f t="shared" si="9"/>
        <v>0</v>
      </c>
      <c r="BP6" s="44">
        <f t="shared" si="10"/>
        <v>0</v>
      </c>
      <c r="BQ6" s="1" t="s">
        <v>191</v>
      </c>
      <c r="BR6" s="1" t="s">
        <v>191</v>
      </c>
      <c r="BS6" s="1" t="s">
        <v>191</v>
      </c>
      <c r="BT6" s="24" t="s">
        <v>73</v>
      </c>
      <c r="BU6" s="1" t="s">
        <v>191</v>
      </c>
      <c r="BV6" s="44">
        <f t="shared" si="11"/>
        <v>0</v>
      </c>
      <c r="BZ6" s="24" t="s">
        <v>73</v>
      </c>
      <c r="CB6" s="44">
        <f t="shared" si="12"/>
        <v>0</v>
      </c>
    </row>
    <row r="7" spans="1:80" x14ac:dyDescent="0.25">
      <c r="A7" s="55" t="s">
        <v>2</v>
      </c>
      <c r="B7" s="58">
        <v>6</v>
      </c>
      <c r="H7" s="44">
        <f t="shared" si="1"/>
        <v>0</v>
      </c>
      <c r="N7" s="44">
        <f t="shared" si="2"/>
        <v>0</v>
      </c>
      <c r="T7" s="44">
        <f t="shared" si="0"/>
        <v>0</v>
      </c>
      <c r="U7" s="24" t="s">
        <v>73</v>
      </c>
      <c r="Z7" s="44">
        <f t="shared" si="3"/>
        <v>0</v>
      </c>
      <c r="AF7" s="44">
        <f t="shared" si="4"/>
        <v>0</v>
      </c>
      <c r="AL7" s="44">
        <f t="shared" si="5"/>
        <v>0</v>
      </c>
      <c r="AR7" s="44">
        <f t="shared" si="6"/>
        <v>0</v>
      </c>
      <c r="AX7" s="44">
        <f t="shared" si="7"/>
        <v>0</v>
      </c>
      <c r="BD7" s="44">
        <f t="shared" si="8"/>
        <v>0</v>
      </c>
      <c r="BJ7" s="44">
        <f t="shared" si="9"/>
        <v>0</v>
      </c>
      <c r="BP7" s="44">
        <f t="shared" si="10"/>
        <v>0</v>
      </c>
      <c r="BQ7" s="1" t="s">
        <v>191</v>
      </c>
      <c r="BR7" s="1" t="s">
        <v>191</v>
      </c>
      <c r="BS7" s="1" t="s">
        <v>191</v>
      </c>
      <c r="BT7" s="24" t="s">
        <v>73</v>
      </c>
      <c r="BU7" s="1" t="s">
        <v>191</v>
      </c>
      <c r="BV7" s="44">
        <f t="shared" si="11"/>
        <v>0</v>
      </c>
      <c r="BZ7" s="24" t="s">
        <v>73</v>
      </c>
      <c r="CB7" s="44">
        <f t="shared" si="12"/>
        <v>0</v>
      </c>
    </row>
    <row r="8" spans="1:80" x14ac:dyDescent="0.25">
      <c r="A8" s="55" t="s">
        <v>3</v>
      </c>
      <c r="B8" s="57">
        <v>7</v>
      </c>
      <c r="H8" s="44">
        <f t="shared" si="1"/>
        <v>0</v>
      </c>
      <c r="N8" s="44">
        <f t="shared" si="2"/>
        <v>0</v>
      </c>
      <c r="T8" s="44">
        <f t="shared" si="0"/>
        <v>0</v>
      </c>
      <c r="U8" s="24" t="s">
        <v>73</v>
      </c>
      <c r="Z8" s="44">
        <f t="shared" si="3"/>
        <v>0</v>
      </c>
      <c r="AF8" s="44">
        <f t="shared" si="4"/>
        <v>0</v>
      </c>
      <c r="AL8" s="44">
        <f t="shared" si="5"/>
        <v>0</v>
      </c>
      <c r="AR8" s="44">
        <f t="shared" si="6"/>
        <v>0</v>
      </c>
      <c r="AX8" s="44">
        <f t="shared" si="7"/>
        <v>0</v>
      </c>
      <c r="BD8" s="44">
        <f t="shared" si="8"/>
        <v>0</v>
      </c>
      <c r="BJ8" s="44">
        <f t="shared" si="9"/>
        <v>0</v>
      </c>
      <c r="BP8" s="44">
        <f t="shared" si="10"/>
        <v>0</v>
      </c>
      <c r="BQ8" s="1" t="s">
        <v>191</v>
      </c>
      <c r="BR8" s="1" t="s">
        <v>191</v>
      </c>
      <c r="BS8" s="1" t="s">
        <v>191</v>
      </c>
      <c r="BT8" s="24" t="s">
        <v>73</v>
      </c>
      <c r="BU8" s="1" t="s">
        <v>191</v>
      </c>
      <c r="BV8" s="44">
        <f t="shared" si="11"/>
        <v>0</v>
      </c>
      <c r="BZ8" s="24" t="s">
        <v>73</v>
      </c>
      <c r="CB8" s="44">
        <f t="shared" si="12"/>
        <v>0</v>
      </c>
    </row>
    <row r="9" spans="1:80" x14ac:dyDescent="0.25">
      <c r="A9" s="55" t="s">
        <v>13</v>
      </c>
      <c r="B9" s="57">
        <v>8</v>
      </c>
      <c r="H9" s="44">
        <f t="shared" si="1"/>
        <v>0</v>
      </c>
      <c r="N9" s="44">
        <f t="shared" si="2"/>
        <v>0</v>
      </c>
      <c r="T9" s="44">
        <f t="shared" si="0"/>
        <v>0</v>
      </c>
      <c r="U9" s="24" t="s">
        <v>73</v>
      </c>
      <c r="Z9" s="44">
        <f t="shared" si="3"/>
        <v>0</v>
      </c>
      <c r="AF9" s="44">
        <f t="shared" si="4"/>
        <v>0</v>
      </c>
      <c r="AL9" s="44">
        <f t="shared" si="5"/>
        <v>0</v>
      </c>
      <c r="AR9" s="44">
        <f t="shared" si="6"/>
        <v>0</v>
      </c>
      <c r="AX9" s="44">
        <f t="shared" si="7"/>
        <v>0</v>
      </c>
      <c r="BD9" s="44">
        <f t="shared" si="8"/>
        <v>0</v>
      </c>
      <c r="BJ9" s="44">
        <f t="shared" si="9"/>
        <v>0</v>
      </c>
      <c r="BP9" s="44">
        <f t="shared" si="10"/>
        <v>0</v>
      </c>
      <c r="BQ9" s="1" t="s">
        <v>191</v>
      </c>
      <c r="BR9" s="1" t="s">
        <v>191</v>
      </c>
      <c r="BS9" s="1" t="s">
        <v>191</v>
      </c>
      <c r="BT9" s="24" t="s">
        <v>73</v>
      </c>
      <c r="BU9" s="1" t="s">
        <v>191</v>
      </c>
      <c r="BV9" s="44">
        <f t="shared" si="11"/>
        <v>0</v>
      </c>
      <c r="BZ9" s="24" t="s">
        <v>73</v>
      </c>
      <c r="CB9" s="44">
        <f t="shared" si="12"/>
        <v>0</v>
      </c>
    </row>
    <row r="10" spans="1:80" x14ac:dyDescent="0.25">
      <c r="A10" s="54" t="s">
        <v>12</v>
      </c>
      <c r="B10" s="58">
        <v>9</v>
      </c>
      <c r="H10" s="44">
        <f t="shared" si="1"/>
        <v>0</v>
      </c>
      <c r="N10" s="44">
        <f t="shared" si="2"/>
        <v>0</v>
      </c>
      <c r="T10" s="44">
        <f t="shared" si="0"/>
        <v>0</v>
      </c>
      <c r="U10" s="24" t="s">
        <v>73</v>
      </c>
      <c r="Z10" s="44">
        <f t="shared" si="3"/>
        <v>0</v>
      </c>
      <c r="AF10" s="44">
        <f t="shared" si="4"/>
        <v>0</v>
      </c>
      <c r="AL10" s="44">
        <f t="shared" si="5"/>
        <v>0</v>
      </c>
      <c r="AR10" s="44">
        <f t="shared" si="6"/>
        <v>0</v>
      </c>
      <c r="AX10" s="44">
        <f t="shared" si="7"/>
        <v>0</v>
      </c>
      <c r="BD10" s="44">
        <f t="shared" si="8"/>
        <v>0</v>
      </c>
      <c r="BJ10" s="44">
        <f t="shared" si="9"/>
        <v>0</v>
      </c>
      <c r="BP10" s="44">
        <f t="shared" si="10"/>
        <v>0</v>
      </c>
      <c r="BQ10" s="1" t="s">
        <v>191</v>
      </c>
      <c r="BR10" s="1" t="s">
        <v>191</v>
      </c>
      <c r="BS10" s="1" t="s">
        <v>191</v>
      </c>
      <c r="BT10" s="24" t="s">
        <v>73</v>
      </c>
      <c r="BU10" s="1" t="s">
        <v>191</v>
      </c>
      <c r="BV10" s="44">
        <f t="shared" si="11"/>
        <v>0</v>
      </c>
      <c r="BZ10" s="24" t="s">
        <v>73</v>
      </c>
      <c r="CB10" s="44">
        <f t="shared" si="12"/>
        <v>0</v>
      </c>
    </row>
    <row r="11" spans="1:80" x14ac:dyDescent="0.25">
      <c r="A11" s="55" t="s">
        <v>4</v>
      </c>
      <c r="B11" s="57">
        <v>10</v>
      </c>
      <c r="H11" s="44">
        <f t="shared" si="1"/>
        <v>0</v>
      </c>
      <c r="N11" s="44">
        <f t="shared" si="2"/>
        <v>0</v>
      </c>
      <c r="T11" s="44">
        <f t="shared" si="0"/>
        <v>0</v>
      </c>
      <c r="U11" s="24" t="s">
        <v>73</v>
      </c>
      <c r="Z11" s="44">
        <f t="shared" si="3"/>
        <v>0</v>
      </c>
      <c r="AF11" s="44">
        <f t="shared" si="4"/>
        <v>0</v>
      </c>
      <c r="AL11" s="44">
        <f t="shared" si="5"/>
        <v>0</v>
      </c>
      <c r="AR11" s="44">
        <f t="shared" si="6"/>
        <v>0</v>
      </c>
      <c r="AX11" s="44">
        <f t="shared" si="7"/>
        <v>0</v>
      </c>
      <c r="BD11" s="44">
        <f t="shared" si="8"/>
        <v>0</v>
      </c>
      <c r="BJ11" s="44">
        <f t="shared" si="9"/>
        <v>0</v>
      </c>
      <c r="BP11" s="44">
        <f t="shared" si="10"/>
        <v>0</v>
      </c>
      <c r="BQ11" s="1" t="s">
        <v>191</v>
      </c>
      <c r="BR11" s="1" t="s">
        <v>191</v>
      </c>
      <c r="BS11" s="1" t="s">
        <v>191</v>
      </c>
      <c r="BT11" s="24" t="s">
        <v>73</v>
      </c>
      <c r="BU11" s="1" t="s">
        <v>191</v>
      </c>
      <c r="BV11" s="44">
        <f t="shared" si="11"/>
        <v>0</v>
      </c>
      <c r="BZ11" s="24" t="s">
        <v>73</v>
      </c>
      <c r="CB11" s="44">
        <f t="shared" si="12"/>
        <v>0</v>
      </c>
    </row>
    <row r="12" spans="1:80" x14ac:dyDescent="0.25">
      <c r="A12" s="55" t="s">
        <v>5</v>
      </c>
      <c r="B12" s="57">
        <v>11</v>
      </c>
      <c r="H12" s="44">
        <f t="shared" si="1"/>
        <v>0</v>
      </c>
      <c r="N12" s="44">
        <f t="shared" si="2"/>
        <v>0</v>
      </c>
      <c r="T12" s="44">
        <f t="shared" si="0"/>
        <v>0</v>
      </c>
      <c r="U12" s="24" t="s">
        <v>73</v>
      </c>
      <c r="Z12" s="44">
        <f t="shared" si="3"/>
        <v>0</v>
      </c>
      <c r="AF12" s="44">
        <f t="shared" si="4"/>
        <v>0</v>
      </c>
      <c r="AL12" s="44">
        <f t="shared" si="5"/>
        <v>0</v>
      </c>
      <c r="AR12" s="44">
        <f t="shared" si="6"/>
        <v>0</v>
      </c>
      <c r="AX12" s="44">
        <f t="shared" si="7"/>
        <v>0</v>
      </c>
      <c r="BD12" s="44">
        <f t="shared" si="8"/>
        <v>0</v>
      </c>
      <c r="BJ12" s="44">
        <f t="shared" si="9"/>
        <v>0</v>
      </c>
      <c r="BP12" s="44">
        <f t="shared" si="10"/>
        <v>0</v>
      </c>
      <c r="BQ12" s="1" t="s">
        <v>191</v>
      </c>
      <c r="BR12" s="1" t="s">
        <v>191</v>
      </c>
      <c r="BS12" s="1" t="s">
        <v>191</v>
      </c>
      <c r="BT12" s="24" t="s">
        <v>73</v>
      </c>
      <c r="BU12" s="1" t="s">
        <v>191</v>
      </c>
      <c r="BV12" s="44">
        <f t="shared" si="11"/>
        <v>0</v>
      </c>
      <c r="BZ12" s="24" t="s">
        <v>73</v>
      </c>
      <c r="CB12" s="44">
        <f t="shared" si="12"/>
        <v>0</v>
      </c>
    </row>
    <row r="13" spans="1:80" x14ac:dyDescent="0.25">
      <c r="A13" s="54" t="s">
        <v>8</v>
      </c>
      <c r="B13" s="58">
        <v>12</v>
      </c>
      <c r="H13" s="44">
        <f t="shared" si="1"/>
        <v>0</v>
      </c>
      <c r="N13" s="44">
        <f t="shared" si="2"/>
        <v>0</v>
      </c>
      <c r="T13" s="44">
        <f t="shared" si="0"/>
        <v>0</v>
      </c>
      <c r="U13" s="24" t="s">
        <v>73</v>
      </c>
      <c r="Z13" s="44">
        <f t="shared" si="3"/>
        <v>0</v>
      </c>
      <c r="AF13" s="44">
        <f t="shared" si="4"/>
        <v>0</v>
      </c>
      <c r="AL13" s="44">
        <f t="shared" si="5"/>
        <v>0</v>
      </c>
      <c r="AR13" s="44">
        <f t="shared" si="6"/>
        <v>0</v>
      </c>
      <c r="AX13" s="44">
        <f t="shared" si="7"/>
        <v>0</v>
      </c>
      <c r="BD13" s="44">
        <f t="shared" si="8"/>
        <v>0</v>
      </c>
      <c r="BJ13" s="44">
        <f t="shared" si="9"/>
        <v>0</v>
      </c>
      <c r="BP13" s="44">
        <f t="shared" si="10"/>
        <v>0</v>
      </c>
      <c r="BQ13" s="1" t="s">
        <v>191</v>
      </c>
      <c r="BR13" s="1" t="s">
        <v>191</v>
      </c>
      <c r="BS13" s="1" t="s">
        <v>191</v>
      </c>
      <c r="BT13" s="24" t="s">
        <v>73</v>
      </c>
      <c r="BU13" s="1" t="s">
        <v>191</v>
      </c>
      <c r="BV13" s="44">
        <f t="shared" si="11"/>
        <v>0</v>
      </c>
      <c r="BZ13" s="24" t="s">
        <v>73</v>
      </c>
      <c r="CB13" s="44">
        <f t="shared" si="12"/>
        <v>0</v>
      </c>
    </row>
    <row r="14" spans="1:80" x14ac:dyDescent="0.25">
      <c r="A14" s="55" t="s">
        <v>6</v>
      </c>
      <c r="B14" s="57">
        <v>13</v>
      </c>
      <c r="H14" s="44">
        <f t="shared" si="1"/>
        <v>0</v>
      </c>
      <c r="N14" s="44">
        <f t="shared" si="2"/>
        <v>0</v>
      </c>
      <c r="T14" s="44">
        <f t="shared" si="0"/>
        <v>0</v>
      </c>
      <c r="U14" s="24" t="s">
        <v>73</v>
      </c>
      <c r="Z14" s="44">
        <f t="shared" si="3"/>
        <v>0</v>
      </c>
      <c r="AF14" s="44">
        <f t="shared" si="4"/>
        <v>0</v>
      </c>
      <c r="AL14" s="44">
        <f t="shared" si="5"/>
        <v>0</v>
      </c>
      <c r="AR14" s="44">
        <f t="shared" si="6"/>
        <v>0</v>
      </c>
      <c r="AX14" s="44">
        <f t="shared" si="7"/>
        <v>0</v>
      </c>
      <c r="BD14" s="44">
        <f t="shared" si="8"/>
        <v>0</v>
      </c>
      <c r="BJ14" s="44">
        <f t="shared" si="9"/>
        <v>0</v>
      </c>
      <c r="BP14" s="44">
        <f t="shared" si="10"/>
        <v>0</v>
      </c>
      <c r="BQ14" s="1" t="s">
        <v>191</v>
      </c>
      <c r="BR14" s="1" t="s">
        <v>191</v>
      </c>
      <c r="BS14" s="1" t="s">
        <v>191</v>
      </c>
      <c r="BT14" s="24" t="s">
        <v>73</v>
      </c>
      <c r="BU14" s="1" t="s">
        <v>191</v>
      </c>
      <c r="BV14" s="44">
        <f t="shared" si="11"/>
        <v>0</v>
      </c>
      <c r="BZ14" s="24" t="s">
        <v>73</v>
      </c>
      <c r="CB14" s="44">
        <f t="shared" si="12"/>
        <v>0</v>
      </c>
    </row>
    <row r="15" spans="1:80" x14ac:dyDescent="0.25">
      <c r="A15" s="54" t="s">
        <v>7</v>
      </c>
      <c r="B15" s="57">
        <v>14</v>
      </c>
      <c r="H15" s="44">
        <f t="shared" si="1"/>
        <v>0</v>
      </c>
      <c r="N15" s="44">
        <f t="shared" si="2"/>
        <v>0</v>
      </c>
      <c r="T15" s="44">
        <f t="shared" si="0"/>
        <v>0</v>
      </c>
      <c r="U15" s="24" t="s">
        <v>73</v>
      </c>
      <c r="Z15" s="44">
        <f t="shared" si="3"/>
        <v>0</v>
      </c>
      <c r="AF15" s="44">
        <f t="shared" si="4"/>
        <v>0</v>
      </c>
      <c r="AL15" s="44">
        <f t="shared" si="5"/>
        <v>0</v>
      </c>
      <c r="AM15" s="1">
        <v>100</v>
      </c>
      <c r="AN15" s="1">
        <v>126</v>
      </c>
      <c r="AR15" s="44">
        <f t="shared" si="6"/>
        <v>226</v>
      </c>
      <c r="AX15" s="44">
        <f t="shared" si="7"/>
        <v>0</v>
      </c>
      <c r="BD15" s="44">
        <f t="shared" si="8"/>
        <v>0</v>
      </c>
      <c r="BJ15" s="44">
        <f t="shared" si="9"/>
        <v>0</v>
      </c>
      <c r="BP15" s="44">
        <f t="shared" si="10"/>
        <v>0</v>
      </c>
      <c r="BQ15" s="1" t="s">
        <v>191</v>
      </c>
      <c r="BR15" s="1" t="s">
        <v>191</v>
      </c>
      <c r="BS15" s="1" t="s">
        <v>191</v>
      </c>
      <c r="BT15" s="24" t="s">
        <v>73</v>
      </c>
      <c r="BU15" s="1" t="s">
        <v>191</v>
      </c>
      <c r="BV15" s="44">
        <f t="shared" si="11"/>
        <v>0</v>
      </c>
      <c r="BZ15" s="24" t="s">
        <v>73</v>
      </c>
      <c r="CB15" s="44">
        <f t="shared" si="12"/>
        <v>0</v>
      </c>
    </row>
    <row r="16" spans="1:80" x14ac:dyDescent="0.25">
      <c r="A16" s="2" t="s">
        <v>14</v>
      </c>
      <c r="B16" s="51">
        <v>15</v>
      </c>
      <c r="F16" s="49"/>
      <c r="G16" s="49"/>
      <c r="H16" s="44">
        <f t="shared" si="1"/>
        <v>0</v>
      </c>
      <c r="I16" s="49">
        <v>150</v>
      </c>
      <c r="J16" s="49">
        <v>150</v>
      </c>
      <c r="K16" s="49">
        <v>150</v>
      </c>
      <c r="L16" s="49">
        <v>150</v>
      </c>
      <c r="M16" s="49">
        <v>150</v>
      </c>
      <c r="N16" s="44">
        <f t="shared" si="2"/>
        <v>750</v>
      </c>
      <c r="O16" s="49">
        <v>150</v>
      </c>
      <c r="P16" s="49">
        <v>150</v>
      </c>
      <c r="Q16" s="49">
        <v>150</v>
      </c>
      <c r="R16" s="49">
        <v>150</v>
      </c>
      <c r="S16" s="49">
        <v>150</v>
      </c>
      <c r="T16" s="44">
        <f t="shared" si="0"/>
        <v>750</v>
      </c>
      <c r="U16" s="24" t="s">
        <v>73</v>
      </c>
      <c r="Z16" s="44">
        <f t="shared" si="3"/>
        <v>0</v>
      </c>
      <c r="AF16" s="44">
        <f t="shared" si="4"/>
        <v>0</v>
      </c>
      <c r="AL16" s="44">
        <f t="shared" si="5"/>
        <v>0</v>
      </c>
      <c r="AR16" s="44">
        <f t="shared" si="6"/>
        <v>0</v>
      </c>
      <c r="AS16" s="1">
        <v>20</v>
      </c>
      <c r="AX16" s="44">
        <f t="shared" si="7"/>
        <v>20</v>
      </c>
      <c r="BD16" s="44">
        <f t="shared" si="8"/>
        <v>0</v>
      </c>
      <c r="BJ16" s="44">
        <f t="shared" si="9"/>
        <v>0</v>
      </c>
      <c r="BP16" s="44">
        <f t="shared" si="10"/>
        <v>0</v>
      </c>
      <c r="BQ16" s="1" t="s">
        <v>191</v>
      </c>
      <c r="BR16" s="1" t="s">
        <v>191</v>
      </c>
      <c r="BS16" s="1" t="s">
        <v>191</v>
      </c>
      <c r="BT16" s="24" t="s">
        <v>73</v>
      </c>
      <c r="BU16" s="1" t="s">
        <v>191</v>
      </c>
      <c r="BV16" s="44">
        <f t="shared" si="11"/>
        <v>0</v>
      </c>
      <c r="BZ16" s="24" t="s">
        <v>73</v>
      </c>
      <c r="CB16" s="44">
        <f t="shared" si="12"/>
        <v>0</v>
      </c>
    </row>
    <row r="17" spans="1:80" x14ac:dyDescent="0.25">
      <c r="A17" s="19" t="s">
        <v>100</v>
      </c>
      <c r="B17" s="52">
        <v>16</v>
      </c>
      <c r="C17" s="16"/>
      <c r="D17" s="16"/>
      <c r="E17" s="16"/>
      <c r="F17" s="30"/>
      <c r="G17" s="30"/>
      <c r="H17" s="45">
        <f t="shared" si="1"/>
        <v>0</v>
      </c>
      <c r="I17" s="30"/>
      <c r="J17" s="30"/>
      <c r="K17" s="30"/>
      <c r="L17" s="30"/>
      <c r="M17" s="30"/>
      <c r="N17" s="45">
        <f t="shared" si="2"/>
        <v>0</v>
      </c>
      <c r="O17" s="30"/>
      <c r="P17" s="30"/>
      <c r="Q17" s="30"/>
      <c r="R17" s="30"/>
      <c r="S17" s="30"/>
      <c r="T17" s="45">
        <f t="shared" si="0"/>
        <v>0</v>
      </c>
      <c r="U17" s="17" t="s">
        <v>73</v>
      </c>
      <c r="V17" s="16"/>
      <c r="W17" s="16"/>
      <c r="X17" s="16">
        <v>10</v>
      </c>
      <c r="Y17" s="16">
        <v>10</v>
      </c>
      <c r="Z17" s="45">
        <f t="shared" si="3"/>
        <v>20</v>
      </c>
      <c r="AA17" s="16"/>
      <c r="AB17" s="16"/>
      <c r="AC17" s="16"/>
      <c r="AD17" s="16"/>
      <c r="AE17" s="16"/>
      <c r="AF17" s="45">
        <f t="shared" si="4"/>
        <v>0</v>
      </c>
      <c r="AG17" s="16">
        <v>10</v>
      </c>
      <c r="AH17" s="16">
        <v>10</v>
      </c>
      <c r="AI17" s="16">
        <v>10</v>
      </c>
      <c r="AJ17" s="16"/>
      <c r="AK17" s="16"/>
      <c r="AL17" s="45">
        <f t="shared" si="5"/>
        <v>30</v>
      </c>
      <c r="AM17" s="16"/>
      <c r="AN17" s="16"/>
      <c r="AO17" s="16"/>
      <c r="AP17" s="16"/>
      <c r="AQ17" s="16"/>
      <c r="AR17" s="45">
        <f t="shared" si="6"/>
        <v>0</v>
      </c>
      <c r="AS17" s="16"/>
      <c r="AT17" s="16"/>
      <c r="AU17" s="16"/>
      <c r="AV17" s="16">
        <v>50</v>
      </c>
      <c r="AW17" s="16">
        <v>10</v>
      </c>
      <c r="AX17" s="45">
        <f t="shared" si="7"/>
        <v>60</v>
      </c>
      <c r="AY17" s="16"/>
      <c r="AZ17" s="16">
        <v>11</v>
      </c>
      <c r="BA17" s="16">
        <v>20</v>
      </c>
      <c r="BB17" s="16">
        <v>20</v>
      </c>
      <c r="BC17" s="16">
        <v>20</v>
      </c>
      <c r="BD17" s="45">
        <f t="shared" si="8"/>
        <v>71</v>
      </c>
      <c r="BE17" s="16"/>
      <c r="BF17" s="16"/>
      <c r="BG17" s="16"/>
      <c r="BH17" s="16">
        <v>20</v>
      </c>
      <c r="BI17" s="16">
        <v>20</v>
      </c>
      <c r="BJ17" s="45">
        <f t="shared" si="9"/>
        <v>40</v>
      </c>
      <c r="BK17" s="16">
        <v>20</v>
      </c>
      <c r="BL17" s="16">
        <v>20</v>
      </c>
      <c r="BM17" s="16">
        <v>20</v>
      </c>
      <c r="BN17" s="16">
        <v>20</v>
      </c>
      <c r="BO17" s="16">
        <v>20</v>
      </c>
      <c r="BP17" s="45">
        <f t="shared" si="10"/>
        <v>100</v>
      </c>
      <c r="BQ17" s="16" t="s">
        <v>191</v>
      </c>
      <c r="BR17" s="16" t="s">
        <v>191</v>
      </c>
      <c r="BS17" s="16" t="s">
        <v>191</v>
      </c>
      <c r="BT17" s="17" t="s">
        <v>73</v>
      </c>
      <c r="BU17" s="16" t="s">
        <v>191</v>
      </c>
      <c r="BV17" s="45">
        <f t="shared" si="11"/>
        <v>0</v>
      </c>
      <c r="BW17" s="16">
        <v>20</v>
      </c>
      <c r="BX17" s="16">
        <v>20</v>
      </c>
      <c r="BY17" s="16">
        <v>10</v>
      </c>
      <c r="BZ17" s="17" t="s">
        <v>73</v>
      </c>
      <c r="CA17" s="16"/>
      <c r="CB17" s="45">
        <f t="shared" si="12"/>
        <v>50</v>
      </c>
    </row>
    <row r="18" spans="1:80" ht="105" customHeight="1" x14ac:dyDescent="0.25">
      <c r="A18" s="1" t="s">
        <v>11</v>
      </c>
      <c r="C18" s="4" t="s">
        <v>55</v>
      </c>
      <c r="D18" s="4" t="s">
        <v>55</v>
      </c>
      <c r="E18" s="4" t="s">
        <v>55</v>
      </c>
      <c r="F18" s="4" t="s">
        <v>55</v>
      </c>
      <c r="G18" s="4" t="s">
        <v>55</v>
      </c>
      <c r="H18" s="4"/>
      <c r="I18" s="4" t="s">
        <v>63</v>
      </c>
      <c r="J18" s="4" t="s">
        <v>64</v>
      </c>
      <c r="K18" s="4" t="s">
        <v>64</v>
      </c>
      <c r="L18" s="4" t="s">
        <v>64</v>
      </c>
      <c r="M18" s="4" t="s">
        <v>64</v>
      </c>
      <c r="O18" s="4" t="s">
        <v>64</v>
      </c>
      <c r="P18" s="4" t="s">
        <v>64</v>
      </c>
      <c r="Q18" s="4" t="s">
        <v>64</v>
      </c>
      <c r="R18" s="4" t="s">
        <v>64</v>
      </c>
      <c r="S18" s="4" t="s">
        <v>64</v>
      </c>
      <c r="U18" s="4" t="s">
        <v>73</v>
      </c>
      <c r="V18" s="4" t="s">
        <v>94</v>
      </c>
      <c r="W18" s="4" t="s">
        <v>94</v>
      </c>
      <c r="X18" s="4" t="s">
        <v>90</v>
      </c>
      <c r="Y18" s="4" t="s">
        <v>93</v>
      </c>
      <c r="AA18" s="4" t="s">
        <v>110</v>
      </c>
      <c r="AB18" s="4" t="s">
        <v>108</v>
      </c>
      <c r="AC18" s="4" t="s">
        <v>109</v>
      </c>
      <c r="AD18" s="4" t="s">
        <v>110</v>
      </c>
      <c r="AE18" s="4" t="s">
        <v>111</v>
      </c>
      <c r="AG18" s="4" t="s">
        <v>114</v>
      </c>
      <c r="AH18" s="4" t="s">
        <v>114</v>
      </c>
      <c r="AI18" s="4" t="s">
        <v>114</v>
      </c>
      <c r="AJ18" s="4" t="s">
        <v>131</v>
      </c>
      <c r="AK18" s="4" t="s">
        <v>131</v>
      </c>
      <c r="AM18" s="4" t="s">
        <v>129</v>
      </c>
      <c r="AN18" s="4" t="s">
        <v>130</v>
      </c>
      <c r="AO18" s="4" t="s">
        <v>145</v>
      </c>
      <c r="AP18" s="4" t="s">
        <v>147</v>
      </c>
      <c r="AQ18" s="4" t="s">
        <v>145</v>
      </c>
      <c r="AS18" s="4" t="s">
        <v>148</v>
      </c>
      <c r="AT18" s="4" t="s">
        <v>143</v>
      </c>
      <c r="AU18" s="4" t="s">
        <v>144</v>
      </c>
      <c r="AV18" s="4" t="s">
        <v>155</v>
      </c>
      <c r="AW18" s="4" t="s">
        <v>155</v>
      </c>
      <c r="AY18" s="4" t="s">
        <v>154</v>
      </c>
      <c r="AZ18" s="4" t="s">
        <v>155</v>
      </c>
      <c r="BA18" s="4" t="s">
        <v>155</v>
      </c>
      <c r="BB18" s="4" t="s">
        <v>155</v>
      </c>
      <c r="BC18" s="4" t="s">
        <v>155</v>
      </c>
      <c r="BE18" s="4" t="s">
        <v>165</v>
      </c>
      <c r="BF18" s="4" t="s">
        <v>165</v>
      </c>
      <c r="BG18" s="4" t="s">
        <v>166</v>
      </c>
      <c r="BH18" s="4" t="s">
        <v>155</v>
      </c>
      <c r="BI18" s="4" t="s">
        <v>155</v>
      </c>
      <c r="BK18" s="4" t="s">
        <v>155</v>
      </c>
      <c r="BL18" s="4" t="s">
        <v>155</v>
      </c>
      <c r="BM18" s="4" t="s">
        <v>155</v>
      </c>
      <c r="BN18" s="4" t="s">
        <v>155</v>
      </c>
      <c r="BO18" s="4" t="s">
        <v>155</v>
      </c>
      <c r="BQ18" s="4" t="s">
        <v>189</v>
      </c>
      <c r="BR18" s="4" t="s">
        <v>189</v>
      </c>
      <c r="BS18" s="4" t="s">
        <v>189</v>
      </c>
      <c r="BT18" s="90" t="s">
        <v>195</v>
      </c>
      <c r="BU18" s="4" t="s">
        <v>189</v>
      </c>
      <c r="BW18" s="4" t="s">
        <v>155</v>
      </c>
      <c r="BX18" s="4" t="s">
        <v>155</v>
      </c>
      <c r="BY18" s="4" t="s">
        <v>190</v>
      </c>
      <c r="BZ18" s="90" t="s">
        <v>194</v>
      </c>
    </row>
    <row r="19" spans="1:80" x14ac:dyDescent="0.25">
      <c r="A19" s="1" t="s">
        <v>10</v>
      </c>
      <c r="C19" s="4" t="s">
        <v>57</v>
      </c>
      <c r="F19" s="1" t="s">
        <v>56</v>
      </c>
      <c r="G19" s="1" t="s">
        <v>56</v>
      </c>
      <c r="J19" s="4"/>
      <c r="K19" s="4"/>
      <c r="L19" s="4"/>
      <c r="Q19" s="4"/>
      <c r="U19" s="4"/>
      <c r="W19" s="4"/>
      <c r="X19" s="4"/>
      <c r="Y19" s="4"/>
      <c r="Z19" s="4"/>
      <c r="AA19" s="4"/>
      <c r="AB19" s="4"/>
      <c r="AC19" s="4"/>
      <c r="AD19" s="4"/>
      <c r="AE19" s="4"/>
      <c r="AG19" s="4"/>
      <c r="AH19" s="4"/>
      <c r="AJ19" s="4"/>
      <c r="AK19" s="4"/>
      <c r="AN19" s="4"/>
      <c r="AO19" s="4"/>
      <c r="AP19" s="4"/>
      <c r="AQ19" s="4"/>
      <c r="AT19" s="4"/>
      <c r="AU19" s="4"/>
      <c r="AW19" s="4"/>
      <c r="AY19" s="4"/>
      <c r="AZ19" s="4"/>
      <c r="BA19" s="4"/>
      <c r="BB19" s="4"/>
    </row>
  </sheetData>
  <customSheetViews>
    <customSheetView guid="{9B623083-AA7B-440B-95EA-C33E1AB3D963}" showAutoFilter="1">
      <pane xSplit="1" topLeftCell="BA1" activePane="topRight" state="frozen"/>
      <selection pane="topRight" activeCell="U18" sqref="U18"/>
      <pageMargins left="0.511811024" right="0.511811024" top="0.78740157499999996" bottom="0.78740157499999996" header="0.31496062000000002" footer="0.31496062000000002"/>
      <pageSetup paperSize="9" orientation="portrait" r:id="rId1"/>
      <autoFilter ref="A1:A19" xr:uid="{BCC030EF-BFEC-4018-A382-FA50A7FDF0D5}"/>
    </customSheetView>
    <customSheetView guid="{20CB6D8F-C24D-4D4B-A424-AF380F620455}" showPageBreaks="1" topLeftCell="AR1">
      <selection activeCell="BF18" sqref="BF18"/>
      <pageMargins left="0.511811024" right="0.511811024" top="0.78740157499999996" bottom="0.78740157499999996" header="0.31496062000000002" footer="0.31496062000000002"/>
      <pageSetup paperSize="9" orientation="portrait" r:id="rId2"/>
    </customSheetView>
    <customSheetView guid="{B3CDE377-BA5D-4E06-91D9-3A48E1959BA5}">
      <pane xSplit="1" topLeftCell="BC1" activePane="topRight" state="frozen"/>
      <selection pane="topRight" activeCell="BH18" sqref="BH18:BI18"/>
      <pageMargins left="0.511811024" right="0.511811024" top="0.78740157499999996" bottom="0.78740157499999996" header="0.31496062000000002" footer="0.31496062000000002"/>
    </customSheetView>
    <customSheetView guid="{18A482E0-C8B6-4AA1-9E04-15FA7C9CD5E3}" scale="90">
      <pane xSplit="1" topLeftCell="B1" activePane="topRight" state="frozen"/>
      <selection pane="topRight" activeCell="C1" sqref="C1:CB18"/>
      <pageMargins left="0.511811024" right="0.511811024" top="0.78740157499999996" bottom="0.78740157499999996" header="0.31496062000000002" footer="0.31496062000000002"/>
    </customSheetView>
    <customSheetView guid="{C69767F5-CD39-44C1-AD4B-CE19DC8285A6}">
      <selection activeCell="B16" sqref="B16"/>
      <pageMargins left="0.511811024" right="0.511811024" top="0.78740157499999996" bottom="0.78740157499999996" header="0.31496062000000002" footer="0.31496062000000002"/>
    </customSheetView>
    <customSheetView guid="{552DFCCD-1786-4D75-8B10-27DD730384DD}">
      <pane xSplit="1" topLeftCell="H1" activePane="topRight" state="frozen"/>
      <selection pane="topRight" activeCell="M9" sqref="M9"/>
      <pageMargins left="0.511811024" right="0.511811024" top="0.78740157499999996" bottom="0.78740157499999996" header="0.31496062000000002" footer="0.31496062000000002"/>
    </customSheetView>
    <customSheetView guid="{E3841903-5B68-44FD-8F09-58E03D1025C5}">
      <pane xSplit="1" topLeftCell="BM1" activePane="topRight" state="frozen"/>
      <selection pane="topRight" activeCell="BW18" sqref="BW18"/>
      <pageMargins left="0.511811024" right="0.511811024" top="0.78740157499999996" bottom="0.78740157499999996" header="0.31496062000000002" footer="0.31496062000000002"/>
    </customSheetView>
    <customSheetView guid="{86039CF8-B158-4D70-9A6F-A10C29CBD68A}" topLeftCell="B1">
      <selection activeCell="S1" sqref="S1:S1048576"/>
      <pageMargins left="0.511811024" right="0.511811024" top="0.78740157499999996" bottom="0.78740157499999996" header="0.31496062000000002" footer="0.31496062000000002"/>
    </customSheetView>
    <customSheetView guid="{3D987F8E-A6EA-454D-9537-6BFC5053CB00}">
      <pane xSplit="1" topLeftCell="BQ1" activePane="topRight" state="frozen"/>
      <selection pane="topRight" activeCell="CC18" sqref="CC18"/>
      <pageMargins left="0.511811024" right="0.511811024" top="0.78740157499999996" bottom="0.78740157499999996" header="0.31496062000000002" footer="0.31496062000000002"/>
    </customSheetView>
  </customSheetViews>
  <pageMargins left="0.511811024" right="0.511811024" top="0.78740157499999996" bottom="0.78740157499999996" header="0.31496062000000002" footer="0.31496062000000002"/>
  <pageSetup paperSize="9" orientation="portrait" r:id="rId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B19"/>
  <sheetViews>
    <sheetView zoomScaleNormal="100" workbookViewId="0">
      <selection activeCell="C17" sqref="C17"/>
    </sheetView>
  </sheetViews>
  <sheetFormatPr defaultColWidth="9.140625" defaultRowHeight="15" x14ac:dyDescent="0.25"/>
  <cols>
    <col min="1" max="1" width="77.42578125" style="1" bestFit="1" customWidth="1"/>
    <col min="2" max="2" width="3" style="1" bestFit="1" customWidth="1"/>
    <col min="3" max="5" width="16.85546875" style="1" customWidth="1"/>
    <col min="6" max="6" width="13.28515625" style="1" customWidth="1"/>
    <col min="7" max="7" width="18.140625" style="1" customWidth="1"/>
    <col min="8" max="8" width="14.28515625" style="1" bestFit="1" customWidth="1"/>
    <col min="9" max="13" width="16.85546875" style="1" customWidth="1"/>
    <col min="14" max="14" width="14.28515625" style="1" bestFit="1" customWidth="1"/>
    <col min="15" max="17" width="16.85546875" style="1" customWidth="1"/>
    <col min="18" max="18" width="22.42578125" style="1" customWidth="1"/>
    <col min="19" max="19" width="22.28515625" style="1" customWidth="1"/>
    <col min="20" max="20" width="14.28515625" style="1" bestFit="1" customWidth="1"/>
    <col min="21" max="21" width="9.140625" style="1" customWidth="1"/>
    <col min="22" max="22" width="14" style="1" customWidth="1"/>
    <col min="23" max="23" width="13" style="1" customWidth="1"/>
    <col min="24" max="24" width="16.140625" style="1" customWidth="1"/>
    <col min="25" max="25" width="16.85546875" style="1" customWidth="1"/>
    <col min="26" max="26" width="14.28515625" style="1" bestFit="1" customWidth="1"/>
    <col min="27" max="27" width="15.42578125" style="1" customWidth="1"/>
    <col min="28" max="28" width="25.28515625" style="1" customWidth="1"/>
    <col min="29" max="29" width="15.7109375" style="1" customWidth="1"/>
    <col min="30" max="30" width="18.5703125" style="1" customWidth="1"/>
    <col min="31" max="31" width="19.28515625" style="1" customWidth="1"/>
    <col min="32" max="32" width="13.85546875" style="1" customWidth="1"/>
    <col min="33" max="33" width="12.7109375" style="1" customWidth="1"/>
    <col min="34" max="35" width="12.5703125" style="1" customWidth="1"/>
    <col min="36" max="36" width="10.85546875" style="1" customWidth="1"/>
    <col min="37" max="37" width="11" style="1" customWidth="1"/>
    <col min="38" max="38" width="14.42578125" style="1" customWidth="1"/>
    <col min="39" max="40" width="11.42578125" style="1" customWidth="1"/>
    <col min="41" max="41" width="10.85546875" style="1" customWidth="1"/>
    <col min="42" max="42" width="13.42578125" style="1" customWidth="1"/>
    <col min="43" max="43" width="9.140625" style="1"/>
    <col min="44" max="44" width="14.140625" style="1" customWidth="1"/>
    <col min="45" max="45" width="9.140625" style="1"/>
    <col min="46" max="47" width="13.85546875" style="1" customWidth="1"/>
    <col min="48" max="48" width="14.85546875" style="1" customWidth="1"/>
    <col min="49" max="50" width="14.28515625" style="1" customWidth="1"/>
    <col min="51" max="51" width="12.5703125" style="1" customWidth="1"/>
    <col min="52" max="52" width="9.140625" style="1"/>
    <col min="53" max="53" width="10.7109375" style="1" customWidth="1"/>
    <col min="54" max="54" width="12" style="1" customWidth="1"/>
    <col min="55" max="55" width="11" style="1" customWidth="1"/>
    <col min="56" max="56" width="15.140625" style="1" customWidth="1"/>
    <col min="57" max="58" width="9.140625" style="1"/>
    <col min="59" max="59" width="10.5703125" style="1" customWidth="1"/>
    <col min="60" max="61" width="9.140625" style="1"/>
    <col min="62" max="62" width="14.42578125" style="1" customWidth="1"/>
    <col min="63" max="67" width="9.140625" style="1"/>
    <col min="68" max="68" width="14.28515625" style="1" bestFit="1" customWidth="1"/>
    <col min="69" max="73" width="9.140625" style="1"/>
    <col min="74" max="74" width="14" style="1" customWidth="1"/>
    <col min="75" max="75" width="12.5703125" style="1" customWidth="1"/>
    <col min="76" max="76" width="12" style="1" customWidth="1"/>
    <col min="77" max="77" width="13.140625" style="1" customWidth="1"/>
    <col min="78" max="79" width="9.140625" style="1"/>
    <col min="80" max="80" width="14.5703125" style="1" customWidth="1"/>
    <col min="81" max="16384" width="9.140625" style="1"/>
  </cols>
  <sheetData>
    <row r="1" spans="1:80" x14ac:dyDescent="0.25">
      <c r="A1" s="18" t="s">
        <v>9</v>
      </c>
      <c r="B1" s="56"/>
      <c r="C1" s="43">
        <v>45936</v>
      </c>
      <c r="D1" s="29">
        <v>45937</v>
      </c>
      <c r="E1" s="29">
        <v>45938</v>
      </c>
      <c r="F1" s="29">
        <v>45939</v>
      </c>
      <c r="G1" s="29">
        <v>45940</v>
      </c>
      <c r="H1" s="12" t="s">
        <v>15</v>
      </c>
      <c r="I1" s="43">
        <v>45943</v>
      </c>
      <c r="J1" s="29">
        <v>45944</v>
      </c>
      <c r="K1" s="29">
        <v>45945</v>
      </c>
      <c r="L1" s="29">
        <v>45946</v>
      </c>
      <c r="M1" s="29">
        <v>45947</v>
      </c>
      <c r="N1" s="11" t="s">
        <v>15</v>
      </c>
      <c r="O1" s="43">
        <v>45950</v>
      </c>
      <c r="P1" s="29">
        <v>45951</v>
      </c>
      <c r="Q1" s="29">
        <v>45952</v>
      </c>
      <c r="R1" s="29">
        <v>45953</v>
      </c>
      <c r="S1" s="29">
        <v>45954</v>
      </c>
      <c r="T1" s="11" t="s">
        <v>15</v>
      </c>
      <c r="U1" s="43">
        <v>45957</v>
      </c>
      <c r="V1" s="29">
        <v>45958</v>
      </c>
      <c r="W1" s="29">
        <v>45959</v>
      </c>
      <c r="X1" s="29">
        <v>45960</v>
      </c>
      <c r="Y1" s="29">
        <v>45961</v>
      </c>
      <c r="Z1" s="11" t="s">
        <v>15</v>
      </c>
      <c r="AA1" s="43">
        <v>45964</v>
      </c>
      <c r="AB1" s="29">
        <v>45965</v>
      </c>
      <c r="AC1" s="29">
        <v>45966</v>
      </c>
      <c r="AD1" s="29">
        <v>45967</v>
      </c>
      <c r="AE1" s="29">
        <v>45968</v>
      </c>
      <c r="AF1" s="11" t="s">
        <v>15</v>
      </c>
      <c r="AG1" s="43">
        <v>45971</v>
      </c>
      <c r="AH1" s="29">
        <v>45972</v>
      </c>
      <c r="AI1" s="29">
        <v>45973</v>
      </c>
      <c r="AJ1" s="29">
        <v>45974</v>
      </c>
      <c r="AK1" s="29">
        <v>45975</v>
      </c>
      <c r="AL1" s="11" t="s">
        <v>15</v>
      </c>
      <c r="AM1" s="43">
        <v>45978</v>
      </c>
      <c r="AN1" s="29">
        <v>45979</v>
      </c>
      <c r="AO1" s="29">
        <v>45980</v>
      </c>
      <c r="AP1" s="82">
        <v>45981</v>
      </c>
      <c r="AQ1" s="29">
        <v>45982</v>
      </c>
      <c r="AR1" s="11" t="s">
        <v>15</v>
      </c>
      <c r="AS1" s="43">
        <v>45985</v>
      </c>
      <c r="AT1" s="29">
        <v>45986</v>
      </c>
      <c r="AU1" s="29">
        <v>45987</v>
      </c>
      <c r="AV1" s="29">
        <v>45988</v>
      </c>
      <c r="AW1" s="29">
        <v>45989</v>
      </c>
      <c r="AX1" s="11" t="s">
        <v>15</v>
      </c>
      <c r="AY1" s="43">
        <v>45992</v>
      </c>
      <c r="AZ1" s="29">
        <v>45993</v>
      </c>
      <c r="BA1" s="29">
        <v>45994</v>
      </c>
      <c r="BB1" s="29">
        <v>45995</v>
      </c>
      <c r="BC1" s="29">
        <v>45996</v>
      </c>
      <c r="BD1" s="11" t="s">
        <v>15</v>
      </c>
      <c r="BE1" s="43">
        <v>45999</v>
      </c>
      <c r="BF1" s="29">
        <v>46000</v>
      </c>
      <c r="BG1" s="29">
        <v>46001</v>
      </c>
      <c r="BH1" s="29">
        <v>46002</v>
      </c>
      <c r="BI1" s="29">
        <v>46003</v>
      </c>
      <c r="BJ1" s="11" t="s">
        <v>15</v>
      </c>
      <c r="BK1" s="43">
        <v>46006</v>
      </c>
      <c r="BL1" s="29">
        <v>46007</v>
      </c>
      <c r="BM1" s="29">
        <v>46008</v>
      </c>
      <c r="BN1" s="29">
        <v>46009</v>
      </c>
      <c r="BO1" s="29">
        <v>46010</v>
      </c>
      <c r="BP1" s="11" t="s">
        <v>15</v>
      </c>
      <c r="BQ1" s="43">
        <v>46013</v>
      </c>
      <c r="BR1" s="29">
        <v>46014</v>
      </c>
      <c r="BS1" s="29">
        <v>46015</v>
      </c>
      <c r="BT1" s="82">
        <v>46016</v>
      </c>
      <c r="BU1" s="29">
        <v>46017</v>
      </c>
      <c r="BV1" s="11" t="s">
        <v>15</v>
      </c>
      <c r="BW1" s="43">
        <v>46020</v>
      </c>
      <c r="BX1" s="29">
        <v>46021</v>
      </c>
      <c r="BY1" s="29">
        <v>46022</v>
      </c>
      <c r="BZ1" s="82">
        <v>46023</v>
      </c>
      <c r="CA1" s="29">
        <v>46024</v>
      </c>
      <c r="CB1" s="11" t="s">
        <v>15</v>
      </c>
    </row>
    <row r="2" spans="1:80" x14ac:dyDescent="0.25">
      <c r="A2" s="54" t="s">
        <v>18</v>
      </c>
      <c r="B2" s="57">
        <v>1</v>
      </c>
      <c r="H2" s="44">
        <f>SUM(C2:G2)</f>
        <v>0</v>
      </c>
      <c r="N2" s="44">
        <f>SUM(I2:M2)</f>
        <v>0</v>
      </c>
      <c r="S2" s="1">
        <v>16</v>
      </c>
      <c r="T2" s="44">
        <f t="shared" ref="T2:T16" si="0">SUM(O2:S2)</f>
        <v>16</v>
      </c>
      <c r="U2" s="24" t="s">
        <v>73</v>
      </c>
      <c r="Z2" s="44">
        <f>SUM(U2:Y2)</f>
        <v>0</v>
      </c>
      <c r="AF2" s="44">
        <f>SUM(AA2:AE2)</f>
        <v>0</v>
      </c>
      <c r="AK2" s="1">
        <v>37</v>
      </c>
      <c r="AL2" s="44">
        <f>SUM(AG2:AK2)</f>
        <v>37</v>
      </c>
      <c r="AO2" s="1">
        <v>12</v>
      </c>
      <c r="AP2" s="83" t="s">
        <v>73</v>
      </c>
      <c r="AR2" s="44">
        <f>SUM(AM2:AQ2)</f>
        <v>12</v>
      </c>
      <c r="AX2" s="44">
        <f>SUM(AS2:AW2)</f>
        <v>0</v>
      </c>
      <c r="BD2" s="44">
        <f>SUM(AY2:BC2)</f>
        <v>0</v>
      </c>
      <c r="BJ2" s="44">
        <f>SUM(BE2:BI2)</f>
        <v>0</v>
      </c>
      <c r="BP2" s="44">
        <f>SUM(BK2:BO2)</f>
        <v>0</v>
      </c>
      <c r="BQ2" s="1" t="s">
        <v>191</v>
      </c>
      <c r="BR2" s="1" t="s">
        <v>191</v>
      </c>
      <c r="BS2" s="1" t="s">
        <v>191</v>
      </c>
      <c r="BT2" s="24" t="s">
        <v>73</v>
      </c>
      <c r="BU2" s="1" t="s">
        <v>191</v>
      </c>
      <c r="BV2" s="44">
        <f>SUM(BQ2:BU2)</f>
        <v>0</v>
      </c>
      <c r="BW2" s="18"/>
      <c r="BX2" s="28"/>
      <c r="BY2" s="28"/>
      <c r="BZ2" s="91" t="s">
        <v>73</v>
      </c>
      <c r="CA2" s="6"/>
      <c r="CB2" s="44">
        <f>SUM(BW2:CA2)</f>
        <v>0</v>
      </c>
    </row>
    <row r="3" spans="1:80" x14ac:dyDescent="0.25">
      <c r="A3" s="54" t="s">
        <v>0</v>
      </c>
      <c r="B3" s="57">
        <v>2</v>
      </c>
      <c r="H3" s="44">
        <f t="shared" ref="H3:H16" si="1">SUM(C3:G3)</f>
        <v>0</v>
      </c>
      <c r="N3" s="44">
        <f t="shared" ref="N3:N16" si="2">SUM(I3:M3)</f>
        <v>0</v>
      </c>
      <c r="T3" s="44">
        <f t="shared" si="0"/>
        <v>0</v>
      </c>
      <c r="U3" s="24" t="s">
        <v>73</v>
      </c>
      <c r="Z3" s="44">
        <f t="shared" ref="Z3:Z16" si="3">SUM(U3:Y3)</f>
        <v>0</v>
      </c>
      <c r="AB3" s="1">
        <v>1</v>
      </c>
      <c r="AF3" s="44">
        <f t="shared" ref="AF3:AF16" si="4">SUM(AA3:AE3)</f>
        <v>1</v>
      </c>
      <c r="AL3" s="44">
        <f t="shared" ref="AL3:AL16" si="5">SUM(AG3:AK3)</f>
        <v>0</v>
      </c>
      <c r="AP3" s="83" t="s">
        <v>73</v>
      </c>
      <c r="AR3" s="44">
        <f t="shared" ref="AR3:AR16" si="6">SUM(AM3:AQ3)</f>
        <v>0</v>
      </c>
      <c r="AX3" s="44">
        <f t="shared" ref="AX3:AX16" si="7">SUM(AS3:AW3)</f>
        <v>0</v>
      </c>
      <c r="BD3" s="44">
        <f t="shared" ref="BD3:BD16" si="8">SUM(AY3:BC3)</f>
        <v>0</v>
      </c>
      <c r="BJ3" s="44">
        <f t="shared" ref="BJ3:BJ16" si="9">SUM(BE3:BI3)</f>
        <v>0</v>
      </c>
      <c r="BP3" s="44">
        <f t="shared" ref="BP3:BP16" si="10">SUM(BK3:BO3)</f>
        <v>0</v>
      </c>
      <c r="BQ3" s="1" t="s">
        <v>191</v>
      </c>
      <c r="BR3" s="1" t="s">
        <v>191</v>
      </c>
      <c r="BS3" s="1" t="s">
        <v>191</v>
      </c>
      <c r="BT3" s="24" t="s">
        <v>73</v>
      </c>
      <c r="BU3" s="1" t="s">
        <v>191</v>
      </c>
      <c r="BV3" s="44">
        <f t="shared" ref="BV3:BV16" si="11">SUM(BQ3:BU3)</f>
        <v>0</v>
      </c>
      <c r="BW3" s="13"/>
      <c r="BZ3" s="24" t="s">
        <v>73</v>
      </c>
      <c r="CA3" s="79"/>
      <c r="CB3" s="44">
        <f>SUM(BW3:CA3)</f>
        <v>0</v>
      </c>
    </row>
    <row r="4" spans="1:80" x14ac:dyDescent="0.25">
      <c r="A4" s="55" t="s">
        <v>17</v>
      </c>
      <c r="B4" s="58">
        <v>3</v>
      </c>
      <c r="H4" s="44">
        <f t="shared" si="1"/>
        <v>0</v>
      </c>
      <c r="N4" s="44">
        <f t="shared" si="2"/>
        <v>0</v>
      </c>
      <c r="T4" s="44">
        <f t="shared" si="0"/>
        <v>0</v>
      </c>
      <c r="U4" s="24" t="s">
        <v>73</v>
      </c>
      <c r="Z4" s="44">
        <f t="shared" si="3"/>
        <v>0</v>
      </c>
      <c r="AB4" s="1">
        <v>4</v>
      </c>
      <c r="AC4" s="1">
        <v>7</v>
      </c>
      <c r="AD4" s="1">
        <v>4</v>
      </c>
      <c r="AF4" s="44">
        <f t="shared" si="4"/>
        <v>15</v>
      </c>
      <c r="AL4" s="44">
        <f t="shared" si="5"/>
        <v>0</v>
      </c>
      <c r="AP4" s="83" t="s">
        <v>73</v>
      </c>
      <c r="AR4" s="44">
        <f t="shared" si="6"/>
        <v>0</v>
      </c>
      <c r="AX4" s="44">
        <f t="shared" si="7"/>
        <v>0</v>
      </c>
      <c r="BD4" s="44">
        <f t="shared" si="8"/>
        <v>0</v>
      </c>
      <c r="BJ4" s="44">
        <f t="shared" si="9"/>
        <v>0</v>
      </c>
      <c r="BP4" s="44">
        <f t="shared" si="10"/>
        <v>0</v>
      </c>
      <c r="BQ4" s="1" t="s">
        <v>191</v>
      </c>
      <c r="BR4" s="1" t="s">
        <v>191</v>
      </c>
      <c r="BS4" s="1" t="s">
        <v>191</v>
      </c>
      <c r="BT4" s="24" t="s">
        <v>73</v>
      </c>
      <c r="BU4" s="1" t="s">
        <v>191</v>
      </c>
      <c r="BV4" s="44">
        <f t="shared" si="11"/>
        <v>0</v>
      </c>
      <c r="BW4" s="13"/>
      <c r="BZ4" s="24" t="s">
        <v>73</v>
      </c>
      <c r="CA4" s="79"/>
      <c r="CB4" s="44">
        <f t="shared" ref="CB4:CB16" si="12">SUM(BW4:CA4)</f>
        <v>0</v>
      </c>
    </row>
    <row r="5" spans="1:80" x14ac:dyDescent="0.25">
      <c r="A5" s="55" t="s">
        <v>16</v>
      </c>
      <c r="B5" s="57">
        <v>4</v>
      </c>
      <c r="H5" s="44">
        <f t="shared" si="1"/>
        <v>0</v>
      </c>
      <c r="N5" s="44">
        <f t="shared" si="2"/>
        <v>0</v>
      </c>
      <c r="T5" s="44">
        <f t="shared" si="0"/>
        <v>0</v>
      </c>
      <c r="U5" s="24" t="s">
        <v>73</v>
      </c>
      <c r="Z5" s="44">
        <f t="shared" si="3"/>
        <v>0</v>
      </c>
      <c r="AF5" s="44">
        <f t="shared" si="4"/>
        <v>0</v>
      </c>
      <c r="AL5" s="44">
        <f t="shared" si="5"/>
        <v>0</v>
      </c>
      <c r="AP5" s="83" t="s">
        <v>73</v>
      </c>
      <c r="AR5" s="44">
        <f t="shared" si="6"/>
        <v>0</v>
      </c>
      <c r="AX5" s="44">
        <f t="shared" si="7"/>
        <v>0</v>
      </c>
      <c r="BD5" s="44">
        <f t="shared" si="8"/>
        <v>0</v>
      </c>
      <c r="BJ5" s="44">
        <f t="shared" si="9"/>
        <v>0</v>
      </c>
      <c r="BP5" s="44">
        <f t="shared" si="10"/>
        <v>0</v>
      </c>
      <c r="BQ5" s="1" t="s">
        <v>191</v>
      </c>
      <c r="BR5" s="1" t="s">
        <v>191</v>
      </c>
      <c r="BS5" s="1" t="s">
        <v>191</v>
      </c>
      <c r="BT5" s="24" t="s">
        <v>73</v>
      </c>
      <c r="BU5" s="1" t="s">
        <v>191</v>
      </c>
      <c r="BV5" s="44">
        <f t="shared" si="11"/>
        <v>0</v>
      </c>
      <c r="BW5" s="13"/>
      <c r="BZ5" s="24" t="s">
        <v>73</v>
      </c>
      <c r="CA5" s="79"/>
      <c r="CB5" s="44">
        <f t="shared" si="12"/>
        <v>0</v>
      </c>
    </row>
    <row r="6" spans="1:80" x14ac:dyDescent="0.25">
      <c r="A6" s="55" t="s">
        <v>1</v>
      </c>
      <c r="B6" s="57">
        <v>5</v>
      </c>
      <c r="H6" s="44">
        <f t="shared" si="1"/>
        <v>0</v>
      </c>
      <c r="N6" s="44">
        <f t="shared" si="2"/>
        <v>0</v>
      </c>
      <c r="T6" s="44">
        <f t="shared" si="0"/>
        <v>0</v>
      </c>
      <c r="U6" s="24" t="s">
        <v>73</v>
      </c>
      <c r="Z6" s="44">
        <f t="shared" si="3"/>
        <v>0</v>
      </c>
      <c r="AF6" s="44">
        <f t="shared" si="4"/>
        <v>0</v>
      </c>
      <c r="AL6" s="44">
        <f t="shared" si="5"/>
        <v>0</v>
      </c>
      <c r="AP6" s="83" t="s">
        <v>73</v>
      </c>
      <c r="AR6" s="44">
        <f t="shared" si="6"/>
        <v>0</v>
      </c>
      <c r="AX6" s="44">
        <f t="shared" si="7"/>
        <v>0</v>
      </c>
      <c r="BD6" s="44">
        <f t="shared" si="8"/>
        <v>0</v>
      </c>
      <c r="BJ6" s="44">
        <f t="shared" si="9"/>
        <v>0</v>
      </c>
      <c r="BP6" s="44">
        <f t="shared" si="10"/>
        <v>0</v>
      </c>
      <c r="BQ6" s="1" t="s">
        <v>191</v>
      </c>
      <c r="BR6" s="1" t="s">
        <v>191</v>
      </c>
      <c r="BS6" s="1" t="s">
        <v>191</v>
      </c>
      <c r="BT6" s="24" t="s">
        <v>73</v>
      </c>
      <c r="BU6" s="1" t="s">
        <v>191</v>
      </c>
      <c r="BV6" s="44">
        <f t="shared" si="11"/>
        <v>0</v>
      </c>
      <c r="BW6" s="13"/>
      <c r="BZ6" s="24" t="s">
        <v>73</v>
      </c>
      <c r="CA6" s="79"/>
      <c r="CB6" s="44">
        <f t="shared" si="12"/>
        <v>0</v>
      </c>
    </row>
    <row r="7" spans="1:80" x14ac:dyDescent="0.25">
      <c r="A7" s="55" t="s">
        <v>2</v>
      </c>
      <c r="B7" s="58">
        <v>6</v>
      </c>
      <c r="H7" s="44">
        <f t="shared" si="1"/>
        <v>0</v>
      </c>
      <c r="N7" s="44">
        <f t="shared" si="2"/>
        <v>0</v>
      </c>
      <c r="T7" s="44">
        <f t="shared" si="0"/>
        <v>0</v>
      </c>
      <c r="U7" s="24" t="s">
        <v>73</v>
      </c>
      <c r="Z7" s="44">
        <f t="shared" si="3"/>
        <v>0</v>
      </c>
      <c r="AF7" s="44">
        <f t="shared" si="4"/>
        <v>0</v>
      </c>
      <c r="AL7" s="44">
        <f t="shared" si="5"/>
        <v>0</v>
      </c>
      <c r="AP7" s="83" t="s">
        <v>73</v>
      </c>
      <c r="AR7" s="44">
        <f>SUM(AM7:AQ7)</f>
        <v>0</v>
      </c>
      <c r="AX7" s="44">
        <f t="shared" si="7"/>
        <v>0</v>
      </c>
      <c r="BD7" s="44">
        <f t="shared" si="8"/>
        <v>0</v>
      </c>
      <c r="BJ7" s="44">
        <f t="shared" si="9"/>
        <v>0</v>
      </c>
      <c r="BP7" s="44">
        <f t="shared" si="10"/>
        <v>0</v>
      </c>
      <c r="BQ7" s="1" t="s">
        <v>191</v>
      </c>
      <c r="BR7" s="1" t="s">
        <v>191</v>
      </c>
      <c r="BS7" s="1" t="s">
        <v>191</v>
      </c>
      <c r="BT7" s="24" t="s">
        <v>73</v>
      </c>
      <c r="BU7" s="1" t="s">
        <v>191</v>
      </c>
      <c r="BV7" s="44">
        <f t="shared" si="11"/>
        <v>0</v>
      </c>
      <c r="BW7" s="13"/>
      <c r="BZ7" s="24" t="s">
        <v>73</v>
      </c>
      <c r="CA7" s="79"/>
      <c r="CB7" s="44">
        <f t="shared" si="12"/>
        <v>0</v>
      </c>
    </row>
    <row r="8" spans="1:80" x14ac:dyDescent="0.25">
      <c r="A8" s="55" t="s">
        <v>3</v>
      </c>
      <c r="B8" s="57">
        <v>7</v>
      </c>
      <c r="H8" s="44">
        <f t="shared" si="1"/>
        <v>0</v>
      </c>
      <c r="N8" s="44">
        <f t="shared" si="2"/>
        <v>0</v>
      </c>
      <c r="T8" s="44">
        <f t="shared" si="0"/>
        <v>0</v>
      </c>
      <c r="U8" s="24" t="s">
        <v>73</v>
      </c>
      <c r="Z8" s="44">
        <f t="shared" si="3"/>
        <v>0</v>
      </c>
      <c r="AF8" s="44">
        <f t="shared" si="4"/>
        <v>0</v>
      </c>
      <c r="AL8" s="44">
        <f t="shared" si="5"/>
        <v>0</v>
      </c>
      <c r="AP8" s="83" t="s">
        <v>73</v>
      </c>
      <c r="AR8" s="44">
        <f t="shared" si="6"/>
        <v>0</v>
      </c>
      <c r="AX8" s="44">
        <f t="shared" si="7"/>
        <v>0</v>
      </c>
      <c r="BD8" s="44">
        <f t="shared" si="8"/>
        <v>0</v>
      </c>
      <c r="BJ8" s="44">
        <f t="shared" si="9"/>
        <v>0</v>
      </c>
      <c r="BP8" s="44">
        <f t="shared" si="10"/>
        <v>0</v>
      </c>
      <c r="BQ8" s="1" t="s">
        <v>191</v>
      </c>
      <c r="BR8" s="1" t="s">
        <v>191</v>
      </c>
      <c r="BS8" s="1" t="s">
        <v>191</v>
      </c>
      <c r="BT8" s="24" t="s">
        <v>73</v>
      </c>
      <c r="BU8" s="1" t="s">
        <v>191</v>
      </c>
      <c r="BV8" s="44">
        <f t="shared" si="11"/>
        <v>0</v>
      </c>
      <c r="BW8" s="13"/>
      <c r="BZ8" s="24" t="s">
        <v>73</v>
      </c>
      <c r="CA8" s="79"/>
      <c r="CB8" s="44">
        <f t="shared" si="12"/>
        <v>0</v>
      </c>
    </row>
    <row r="9" spans="1:80" x14ac:dyDescent="0.25">
      <c r="A9" s="55" t="s">
        <v>13</v>
      </c>
      <c r="B9" s="57">
        <v>8</v>
      </c>
      <c r="H9" s="44">
        <f t="shared" si="1"/>
        <v>0</v>
      </c>
      <c r="N9" s="44">
        <f t="shared" si="2"/>
        <v>0</v>
      </c>
      <c r="T9" s="44">
        <f t="shared" si="0"/>
        <v>0</v>
      </c>
      <c r="U9" s="24" t="s">
        <v>73</v>
      </c>
      <c r="Z9" s="44">
        <f t="shared" si="3"/>
        <v>0</v>
      </c>
      <c r="AF9" s="44">
        <f t="shared" si="4"/>
        <v>0</v>
      </c>
      <c r="AL9" s="44">
        <f t="shared" si="5"/>
        <v>0</v>
      </c>
      <c r="AP9" s="83" t="s">
        <v>73</v>
      </c>
      <c r="AR9" s="44">
        <f t="shared" si="6"/>
        <v>0</v>
      </c>
      <c r="AX9" s="44">
        <f t="shared" si="7"/>
        <v>0</v>
      </c>
      <c r="BD9" s="44">
        <f t="shared" si="8"/>
        <v>0</v>
      </c>
      <c r="BJ9" s="44">
        <f t="shared" si="9"/>
        <v>0</v>
      </c>
      <c r="BP9" s="44">
        <f t="shared" si="10"/>
        <v>0</v>
      </c>
      <c r="BQ9" s="1" t="s">
        <v>191</v>
      </c>
      <c r="BR9" s="1" t="s">
        <v>191</v>
      </c>
      <c r="BS9" s="1" t="s">
        <v>191</v>
      </c>
      <c r="BT9" s="24" t="s">
        <v>73</v>
      </c>
      <c r="BU9" s="1" t="s">
        <v>191</v>
      </c>
      <c r="BV9" s="44">
        <f t="shared" si="11"/>
        <v>0</v>
      </c>
      <c r="BW9" s="13"/>
      <c r="BZ9" s="24" t="s">
        <v>73</v>
      </c>
      <c r="CA9" s="79"/>
      <c r="CB9" s="44">
        <f t="shared" si="12"/>
        <v>0</v>
      </c>
    </row>
    <row r="10" spans="1:80" x14ac:dyDescent="0.25">
      <c r="A10" s="54" t="s">
        <v>12</v>
      </c>
      <c r="B10" s="58">
        <v>9</v>
      </c>
      <c r="H10" s="44">
        <f t="shared" si="1"/>
        <v>0</v>
      </c>
      <c r="N10" s="44">
        <f t="shared" si="2"/>
        <v>0</v>
      </c>
      <c r="T10" s="44">
        <f t="shared" si="0"/>
        <v>0</v>
      </c>
      <c r="U10" s="24" t="s">
        <v>73</v>
      </c>
      <c r="Z10" s="44">
        <f t="shared" si="3"/>
        <v>0</v>
      </c>
      <c r="AF10" s="44">
        <f t="shared" si="4"/>
        <v>0</v>
      </c>
      <c r="AL10" s="44">
        <f t="shared" si="5"/>
        <v>0</v>
      </c>
      <c r="AP10" s="83" t="s">
        <v>73</v>
      </c>
      <c r="AR10" s="44">
        <f t="shared" si="6"/>
        <v>0</v>
      </c>
      <c r="AX10" s="44">
        <f t="shared" si="7"/>
        <v>0</v>
      </c>
      <c r="BD10" s="44">
        <f t="shared" si="8"/>
        <v>0</v>
      </c>
      <c r="BJ10" s="44">
        <f t="shared" si="9"/>
        <v>0</v>
      </c>
      <c r="BP10" s="44">
        <f t="shared" si="10"/>
        <v>0</v>
      </c>
      <c r="BQ10" s="1" t="s">
        <v>191</v>
      </c>
      <c r="BR10" s="1" t="s">
        <v>191</v>
      </c>
      <c r="BS10" s="1" t="s">
        <v>191</v>
      </c>
      <c r="BT10" s="24" t="s">
        <v>73</v>
      </c>
      <c r="BU10" s="1" t="s">
        <v>191</v>
      </c>
      <c r="BV10" s="44">
        <f t="shared" si="11"/>
        <v>0</v>
      </c>
      <c r="BW10" s="13"/>
      <c r="BZ10" s="24" t="s">
        <v>73</v>
      </c>
      <c r="CA10" s="79"/>
      <c r="CB10" s="44">
        <f t="shared" si="12"/>
        <v>0</v>
      </c>
    </row>
    <row r="11" spans="1:80" x14ac:dyDescent="0.25">
      <c r="A11" s="55" t="s">
        <v>4</v>
      </c>
      <c r="B11" s="57">
        <v>10</v>
      </c>
      <c r="H11" s="44">
        <f t="shared" si="1"/>
        <v>0</v>
      </c>
      <c r="N11" s="44">
        <f t="shared" si="2"/>
        <v>0</v>
      </c>
      <c r="T11" s="44">
        <f t="shared" si="0"/>
        <v>0</v>
      </c>
      <c r="U11" s="24" t="s">
        <v>73</v>
      </c>
      <c r="Z11" s="44">
        <f t="shared" si="3"/>
        <v>0</v>
      </c>
      <c r="AF11" s="44">
        <f t="shared" si="4"/>
        <v>0</v>
      </c>
      <c r="AL11" s="44">
        <f t="shared" si="5"/>
        <v>0</v>
      </c>
      <c r="AP11" s="83" t="s">
        <v>73</v>
      </c>
      <c r="AR11" s="44">
        <f t="shared" si="6"/>
        <v>0</v>
      </c>
      <c r="AX11" s="44">
        <f t="shared" si="7"/>
        <v>0</v>
      </c>
      <c r="BD11" s="44">
        <f t="shared" si="8"/>
        <v>0</v>
      </c>
      <c r="BJ11" s="44">
        <f t="shared" si="9"/>
        <v>0</v>
      </c>
      <c r="BP11" s="44">
        <f t="shared" si="10"/>
        <v>0</v>
      </c>
      <c r="BQ11" s="1" t="s">
        <v>191</v>
      </c>
      <c r="BR11" s="1" t="s">
        <v>191</v>
      </c>
      <c r="BS11" s="1" t="s">
        <v>191</v>
      </c>
      <c r="BT11" s="24" t="s">
        <v>73</v>
      </c>
      <c r="BU11" s="1" t="s">
        <v>191</v>
      </c>
      <c r="BV11" s="44">
        <f t="shared" si="11"/>
        <v>0</v>
      </c>
      <c r="BW11" s="13"/>
      <c r="BZ11" s="24" t="s">
        <v>73</v>
      </c>
      <c r="CA11" s="79"/>
      <c r="CB11" s="44">
        <f t="shared" si="12"/>
        <v>0</v>
      </c>
    </row>
    <row r="12" spans="1:80" x14ac:dyDescent="0.25">
      <c r="A12" s="55" t="s">
        <v>5</v>
      </c>
      <c r="B12" s="57">
        <v>11</v>
      </c>
      <c r="H12" s="44">
        <f t="shared" si="1"/>
        <v>0</v>
      </c>
      <c r="N12" s="44">
        <f t="shared" si="2"/>
        <v>0</v>
      </c>
      <c r="T12" s="44">
        <f t="shared" si="0"/>
        <v>0</v>
      </c>
      <c r="U12" s="24" t="s">
        <v>73</v>
      </c>
      <c r="Z12" s="44">
        <f t="shared" si="3"/>
        <v>0</v>
      </c>
      <c r="AF12" s="44">
        <f t="shared" si="4"/>
        <v>0</v>
      </c>
      <c r="AL12" s="44">
        <f t="shared" si="5"/>
        <v>0</v>
      </c>
      <c r="AP12" s="83" t="s">
        <v>73</v>
      </c>
      <c r="AR12" s="44">
        <f t="shared" si="6"/>
        <v>0</v>
      </c>
      <c r="AX12" s="44">
        <f t="shared" si="7"/>
        <v>0</v>
      </c>
      <c r="BD12" s="44">
        <f t="shared" si="8"/>
        <v>0</v>
      </c>
      <c r="BJ12" s="44">
        <f t="shared" si="9"/>
        <v>0</v>
      </c>
      <c r="BP12" s="44">
        <f t="shared" si="10"/>
        <v>0</v>
      </c>
      <c r="BQ12" s="1" t="s">
        <v>191</v>
      </c>
      <c r="BR12" s="1" t="s">
        <v>191</v>
      </c>
      <c r="BS12" s="1" t="s">
        <v>191</v>
      </c>
      <c r="BT12" s="24" t="s">
        <v>73</v>
      </c>
      <c r="BU12" s="1" t="s">
        <v>191</v>
      </c>
      <c r="BV12" s="44">
        <f t="shared" si="11"/>
        <v>0</v>
      </c>
      <c r="BW12" s="13"/>
      <c r="BZ12" s="24" t="s">
        <v>73</v>
      </c>
      <c r="CA12" s="79"/>
      <c r="CB12" s="44">
        <f t="shared" si="12"/>
        <v>0</v>
      </c>
    </row>
    <row r="13" spans="1:80" x14ac:dyDescent="0.25">
      <c r="A13" s="54" t="s">
        <v>8</v>
      </c>
      <c r="B13" s="58">
        <v>12</v>
      </c>
      <c r="H13" s="44">
        <f t="shared" si="1"/>
        <v>0</v>
      </c>
      <c r="N13" s="44">
        <f t="shared" si="2"/>
        <v>0</v>
      </c>
      <c r="T13" s="44">
        <f t="shared" si="0"/>
        <v>0</v>
      </c>
      <c r="U13" s="24" t="s">
        <v>73</v>
      </c>
      <c r="Z13" s="44">
        <f t="shared" si="3"/>
        <v>0</v>
      </c>
      <c r="AF13" s="44">
        <f t="shared" si="4"/>
        <v>0</v>
      </c>
      <c r="AJ13" s="1">
        <v>1</v>
      </c>
      <c r="AL13" s="44">
        <f t="shared" si="5"/>
        <v>1</v>
      </c>
      <c r="AP13" s="83" t="s">
        <v>73</v>
      </c>
      <c r="AR13" s="44">
        <f t="shared" si="6"/>
        <v>0</v>
      </c>
      <c r="AS13" s="1">
        <v>1</v>
      </c>
      <c r="AX13" s="44">
        <f t="shared" si="7"/>
        <v>1</v>
      </c>
      <c r="BD13" s="44">
        <f t="shared" si="8"/>
        <v>0</v>
      </c>
      <c r="BJ13" s="44">
        <f t="shared" si="9"/>
        <v>0</v>
      </c>
      <c r="BP13" s="44">
        <f t="shared" si="10"/>
        <v>0</v>
      </c>
      <c r="BQ13" s="1" t="s">
        <v>191</v>
      </c>
      <c r="BR13" s="1" t="s">
        <v>191</v>
      </c>
      <c r="BS13" s="1" t="s">
        <v>191</v>
      </c>
      <c r="BT13" s="24" t="s">
        <v>73</v>
      </c>
      <c r="BU13" s="1" t="s">
        <v>191</v>
      </c>
      <c r="BV13" s="44">
        <f t="shared" si="11"/>
        <v>0</v>
      </c>
      <c r="BW13" s="13"/>
      <c r="BZ13" s="24" t="s">
        <v>73</v>
      </c>
      <c r="CA13" s="79"/>
      <c r="CB13" s="44">
        <f t="shared" si="12"/>
        <v>0</v>
      </c>
    </row>
    <row r="14" spans="1:80" x14ac:dyDescent="0.25">
      <c r="A14" s="55" t="s">
        <v>6</v>
      </c>
      <c r="B14" s="57">
        <v>13</v>
      </c>
      <c r="H14" s="44">
        <f t="shared" si="1"/>
        <v>0</v>
      </c>
      <c r="N14" s="44">
        <f t="shared" si="2"/>
        <v>0</v>
      </c>
      <c r="T14" s="44">
        <f t="shared" si="0"/>
        <v>0</v>
      </c>
      <c r="U14" s="24" t="s">
        <v>73</v>
      </c>
      <c r="Z14" s="44">
        <f t="shared" si="3"/>
        <v>0</v>
      </c>
      <c r="AF14" s="44">
        <f t="shared" si="4"/>
        <v>0</v>
      </c>
      <c r="AL14" s="44">
        <f t="shared" si="5"/>
        <v>0</v>
      </c>
      <c r="AP14" s="83" t="s">
        <v>73</v>
      </c>
      <c r="AR14" s="44">
        <f t="shared" si="6"/>
        <v>0</v>
      </c>
      <c r="AX14" s="44">
        <f t="shared" si="7"/>
        <v>0</v>
      </c>
      <c r="BD14" s="44">
        <f t="shared" si="8"/>
        <v>0</v>
      </c>
      <c r="BJ14" s="44">
        <f t="shared" si="9"/>
        <v>0</v>
      </c>
      <c r="BP14" s="44">
        <f t="shared" si="10"/>
        <v>0</v>
      </c>
      <c r="BQ14" s="1" t="s">
        <v>191</v>
      </c>
      <c r="BR14" s="1" t="s">
        <v>191</v>
      </c>
      <c r="BS14" s="1" t="s">
        <v>191</v>
      </c>
      <c r="BT14" s="24" t="s">
        <v>73</v>
      </c>
      <c r="BU14" s="1" t="s">
        <v>191</v>
      </c>
      <c r="BV14" s="44">
        <f t="shared" si="11"/>
        <v>0</v>
      </c>
      <c r="BW14" s="13"/>
      <c r="BZ14" s="24" t="s">
        <v>73</v>
      </c>
      <c r="CA14" s="79"/>
      <c r="CB14" s="44">
        <f t="shared" si="12"/>
        <v>0</v>
      </c>
    </row>
    <row r="15" spans="1:80" x14ac:dyDescent="0.25">
      <c r="A15" s="54" t="s">
        <v>7</v>
      </c>
      <c r="B15" s="57">
        <v>14</v>
      </c>
      <c r="H15" s="44">
        <f t="shared" si="1"/>
        <v>0</v>
      </c>
      <c r="M15" s="1">
        <v>70</v>
      </c>
      <c r="N15" s="44">
        <f t="shared" si="2"/>
        <v>70</v>
      </c>
      <c r="T15" s="44">
        <f t="shared" si="0"/>
        <v>0</v>
      </c>
      <c r="U15" s="24" t="s">
        <v>73</v>
      </c>
      <c r="Z15" s="44">
        <f t="shared" si="3"/>
        <v>0</v>
      </c>
      <c r="AF15" s="44">
        <f t="shared" si="4"/>
        <v>0</v>
      </c>
      <c r="AL15" s="44">
        <f t="shared" si="5"/>
        <v>0</v>
      </c>
      <c r="AP15" s="83" t="s">
        <v>73</v>
      </c>
      <c r="AR15" s="44">
        <f t="shared" si="6"/>
        <v>0</v>
      </c>
      <c r="AX15" s="44">
        <f t="shared" si="7"/>
        <v>0</v>
      </c>
      <c r="BD15" s="44">
        <f t="shared" si="8"/>
        <v>0</v>
      </c>
      <c r="BJ15" s="44">
        <f t="shared" si="9"/>
        <v>0</v>
      </c>
      <c r="BP15" s="44">
        <f t="shared" si="10"/>
        <v>0</v>
      </c>
      <c r="BQ15" s="1" t="s">
        <v>191</v>
      </c>
      <c r="BR15" s="1" t="s">
        <v>191</v>
      </c>
      <c r="BS15" s="1" t="s">
        <v>191</v>
      </c>
      <c r="BT15" s="24" t="s">
        <v>73</v>
      </c>
      <c r="BU15" s="1" t="s">
        <v>191</v>
      </c>
      <c r="BV15" s="44">
        <f t="shared" si="11"/>
        <v>0</v>
      </c>
      <c r="BW15" s="13"/>
      <c r="BZ15" s="24" t="s">
        <v>73</v>
      </c>
      <c r="CA15" s="79"/>
      <c r="CB15" s="44">
        <f t="shared" si="12"/>
        <v>0</v>
      </c>
    </row>
    <row r="16" spans="1:80" x14ac:dyDescent="0.25">
      <c r="A16" s="2" t="s">
        <v>14</v>
      </c>
      <c r="B16" s="51">
        <v>15</v>
      </c>
      <c r="F16" s="49"/>
      <c r="G16" s="49"/>
      <c r="H16" s="44">
        <f t="shared" si="1"/>
        <v>0</v>
      </c>
      <c r="I16" s="49"/>
      <c r="N16" s="44">
        <f t="shared" si="2"/>
        <v>0</v>
      </c>
      <c r="T16" s="44">
        <f t="shared" si="0"/>
        <v>0</v>
      </c>
      <c r="U16" s="24" t="s">
        <v>73</v>
      </c>
      <c r="Z16" s="44">
        <f t="shared" si="3"/>
        <v>0</v>
      </c>
      <c r="AF16" s="44">
        <f t="shared" si="4"/>
        <v>0</v>
      </c>
      <c r="AL16" s="44">
        <f t="shared" si="5"/>
        <v>0</v>
      </c>
      <c r="AP16" s="83" t="s">
        <v>73</v>
      </c>
      <c r="AR16" s="44">
        <f t="shared" si="6"/>
        <v>0</v>
      </c>
      <c r="AX16" s="44">
        <f t="shared" si="7"/>
        <v>0</v>
      </c>
      <c r="BD16" s="44">
        <f t="shared" si="8"/>
        <v>0</v>
      </c>
      <c r="BI16" s="1">
        <v>3</v>
      </c>
      <c r="BJ16" s="44">
        <f t="shared" si="9"/>
        <v>3</v>
      </c>
      <c r="BP16" s="44">
        <f t="shared" si="10"/>
        <v>0</v>
      </c>
      <c r="BQ16" s="1" t="s">
        <v>191</v>
      </c>
      <c r="BR16" s="1" t="s">
        <v>191</v>
      </c>
      <c r="BS16" s="1" t="s">
        <v>191</v>
      </c>
      <c r="BT16" s="24" t="s">
        <v>73</v>
      </c>
      <c r="BU16" s="1" t="s">
        <v>191</v>
      </c>
      <c r="BV16" s="44">
        <f t="shared" si="11"/>
        <v>0</v>
      </c>
      <c r="BW16" s="13"/>
      <c r="BZ16" s="24" t="s">
        <v>73</v>
      </c>
      <c r="CA16" s="79"/>
      <c r="CB16" s="44">
        <f t="shared" si="12"/>
        <v>0</v>
      </c>
    </row>
    <row r="17" spans="1:80" x14ac:dyDescent="0.25">
      <c r="A17" s="19" t="s">
        <v>100</v>
      </c>
      <c r="B17" s="52">
        <v>16</v>
      </c>
      <c r="C17" s="16"/>
      <c r="D17" s="16"/>
      <c r="E17" s="16"/>
      <c r="F17" s="30"/>
      <c r="G17" s="30"/>
      <c r="H17" s="45">
        <f>SUM(C17:G17)</f>
        <v>0</v>
      </c>
      <c r="I17" s="30"/>
      <c r="J17" s="16"/>
      <c r="K17" s="16"/>
      <c r="L17" s="16"/>
      <c r="M17" s="16"/>
      <c r="N17" s="45">
        <f>SUM(I17:M17)</f>
        <v>0</v>
      </c>
      <c r="O17" s="16"/>
      <c r="P17" s="16"/>
      <c r="Q17" s="16"/>
      <c r="R17" s="16"/>
      <c r="S17" s="16"/>
      <c r="T17" s="45">
        <f>SUM(O17:S17)</f>
        <v>0</v>
      </c>
      <c r="U17" s="17" t="s">
        <v>73</v>
      </c>
      <c r="V17" s="16"/>
      <c r="W17" s="16"/>
      <c r="X17" s="16"/>
      <c r="Y17" s="16"/>
      <c r="Z17" s="45">
        <f>SUM(U17:Y17)</f>
        <v>0</v>
      </c>
      <c r="AA17" s="16"/>
      <c r="AB17" s="16"/>
      <c r="AC17" s="16"/>
      <c r="AD17" s="16"/>
      <c r="AE17" s="16"/>
      <c r="AF17" s="45">
        <f>SUM(AA17:AE17)</f>
        <v>0</v>
      </c>
      <c r="AG17" s="16"/>
      <c r="AH17" s="16"/>
      <c r="AI17" s="16"/>
      <c r="AJ17" s="16"/>
      <c r="AK17" s="16"/>
      <c r="AL17" s="45">
        <f>SUM(AG17:AK17)</f>
        <v>0</v>
      </c>
      <c r="AM17" s="16"/>
      <c r="AN17" s="16"/>
      <c r="AO17" s="16"/>
      <c r="AP17" s="84" t="s">
        <v>73</v>
      </c>
      <c r="AQ17" s="16"/>
      <c r="AR17" s="45">
        <f>SUM(AM17:AQ17)</f>
        <v>0</v>
      </c>
      <c r="AS17" s="16"/>
      <c r="AT17" s="16"/>
      <c r="AU17" s="16"/>
      <c r="AV17" s="16"/>
      <c r="AW17" s="16"/>
      <c r="AX17" s="45">
        <f>SUM(AS17:AW17)</f>
        <v>0</v>
      </c>
      <c r="AY17" s="16"/>
      <c r="AZ17" s="16"/>
      <c r="BA17" s="16"/>
      <c r="BB17" s="16"/>
      <c r="BC17" s="16"/>
      <c r="BD17" s="45">
        <f>SUM(AY17:BC17)</f>
        <v>0</v>
      </c>
      <c r="BE17" s="16"/>
      <c r="BF17" s="16"/>
      <c r="BG17" s="16"/>
      <c r="BH17" s="16"/>
      <c r="BI17" s="16"/>
      <c r="BJ17" s="45">
        <f>SUM(BE17:BI17)</f>
        <v>0</v>
      </c>
      <c r="BK17" s="16"/>
      <c r="BL17" s="16"/>
      <c r="BM17" s="16"/>
      <c r="BN17" s="16"/>
      <c r="BO17" s="16"/>
      <c r="BP17" s="45">
        <f>SUM(BK17:BO17)</f>
        <v>0</v>
      </c>
      <c r="BQ17" s="16" t="s">
        <v>191</v>
      </c>
      <c r="BR17" s="16" t="s">
        <v>191</v>
      </c>
      <c r="BS17" s="16" t="s">
        <v>191</v>
      </c>
      <c r="BT17" s="17" t="s">
        <v>73</v>
      </c>
      <c r="BU17" s="16" t="s">
        <v>191</v>
      </c>
      <c r="BV17" s="45">
        <f>SUM(BQ17:BU17)</f>
        <v>0</v>
      </c>
      <c r="BW17" s="15"/>
      <c r="BX17" s="16"/>
      <c r="BY17" s="16"/>
      <c r="BZ17" s="17" t="s">
        <v>73</v>
      </c>
      <c r="CA17" s="81"/>
      <c r="CB17" s="45">
        <f>SUM(BW17:CA17)</f>
        <v>0</v>
      </c>
    </row>
    <row r="18" spans="1:80" ht="227.25" customHeight="1" x14ac:dyDescent="0.25">
      <c r="A18" s="1" t="s">
        <v>11</v>
      </c>
      <c r="C18" s="4" t="s">
        <v>53</v>
      </c>
      <c r="D18" s="4" t="s">
        <v>53</v>
      </c>
      <c r="E18" s="4" t="s">
        <v>53</v>
      </c>
      <c r="F18" s="4" t="s">
        <v>52</v>
      </c>
      <c r="G18" s="4" t="s">
        <v>54</v>
      </c>
      <c r="H18" s="4"/>
      <c r="I18" s="4" t="s">
        <v>65</v>
      </c>
      <c r="J18" s="4" t="s">
        <v>65</v>
      </c>
      <c r="K18" s="4" t="s">
        <v>65</v>
      </c>
      <c r="L18" s="4" t="s">
        <v>65</v>
      </c>
      <c r="M18" s="4" t="s">
        <v>78</v>
      </c>
      <c r="O18" s="4" t="s">
        <v>65</v>
      </c>
      <c r="P18" s="4" t="s">
        <v>77</v>
      </c>
      <c r="Q18" s="4" t="s">
        <v>77</v>
      </c>
      <c r="R18" s="4" t="s">
        <v>71</v>
      </c>
      <c r="S18" s="4" t="s">
        <v>102</v>
      </c>
      <c r="U18" s="59"/>
      <c r="V18" s="4" t="s">
        <v>84</v>
      </c>
      <c r="W18" s="4" t="s">
        <v>85</v>
      </c>
      <c r="X18" s="4" t="s">
        <v>86</v>
      </c>
      <c r="Y18" s="4" t="s">
        <v>88</v>
      </c>
      <c r="AA18" s="4" t="s">
        <v>88</v>
      </c>
      <c r="AB18" s="4" t="s">
        <v>105</v>
      </c>
      <c r="AC18" s="4" t="s">
        <v>104</v>
      </c>
      <c r="AD18" s="4" t="s">
        <v>106</v>
      </c>
      <c r="AE18" s="4" t="s">
        <v>107</v>
      </c>
      <c r="AG18" s="4" t="s">
        <v>117</v>
      </c>
      <c r="AH18" s="4" t="s">
        <v>117</v>
      </c>
      <c r="AI18" s="4" t="s">
        <v>117</v>
      </c>
      <c r="AJ18" s="4" t="s">
        <v>118</v>
      </c>
      <c r="AK18" s="4" t="s">
        <v>132</v>
      </c>
      <c r="AM18" s="4" t="s">
        <v>133</v>
      </c>
      <c r="AN18" s="4" t="s">
        <v>133</v>
      </c>
      <c r="AO18" s="4" t="s">
        <v>118</v>
      </c>
      <c r="AQ18" s="4" t="s">
        <v>133</v>
      </c>
      <c r="AS18" s="4" t="s">
        <v>133</v>
      </c>
      <c r="AT18" s="4" t="s">
        <v>142</v>
      </c>
      <c r="AU18" s="4" t="s">
        <v>156</v>
      </c>
      <c r="AV18" s="4" t="s">
        <v>156</v>
      </c>
      <c r="AW18" s="4" t="s">
        <v>156</v>
      </c>
      <c r="AY18" s="4" t="s">
        <v>142</v>
      </c>
      <c r="AZ18" s="4" t="s">
        <v>156</v>
      </c>
      <c r="BA18" s="4" t="s">
        <v>171</v>
      </c>
      <c r="BB18" s="4" t="s">
        <v>156</v>
      </c>
      <c r="BC18" s="4" t="s">
        <v>156</v>
      </c>
      <c r="BE18" s="4" t="s">
        <v>156</v>
      </c>
      <c r="BF18" s="4" t="s">
        <v>156</v>
      </c>
      <c r="BG18" s="86" t="s">
        <v>167</v>
      </c>
      <c r="BH18" s="4" t="s">
        <v>170</v>
      </c>
      <c r="BI18" s="4" t="s">
        <v>156</v>
      </c>
      <c r="BK18" s="4" t="s">
        <v>156</v>
      </c>
      <c r="BL18" s="4" t="s">
        <v>156</v>
      </c>
      <c r="BM18" s="4" t="s">
        <v>156</v>
      </c>
      <c r="BN18" s="4" t="s">
        <v>156</v>
      </c>
      <c r="BO18" s="4" t="s">
        <v>156</v>
      </c>
      <c r="BQ18" s="4" t="s">
        <v>189</v>
      </c>
      <c r="BR18" s="4" t="s">
        <v>189</v>
      </c>
      <c r="BS18" s="4" t="s">
        <v>189</v>
      </c>
      <c r="BT18" s="90" t="s">
        <v>195</v>
      </c>
      <c r="BU18" s="4" t="s">
        <v>189</v>
      </c>
      <c r="BW18" s="89" t="s">
        <v>193</v>
      </c>
      <c r="BX18" s="89" t="s">
        <v>193</v>
      </c>
      <c r="BY18" s="89" t="s">
        <v>193</v>
      </c>
      <c r="BZ18" s="90" t="s">
        <v>194</v>
      </c>
      <c r="CA18" s="89" t="s">
        <v>193</v>
      </c>
    </row>
    <row r="19" spans="1:80" ht="60" x14ac:dyDescent="0.25">
      <c r="A19" s="1" t="s">
        <v>10</v>
      </c>
      <c r="C19" s="4"/>
      <c r="J19" s="4"/>
      <c r="K19" s="4"/>
      <c r="L19" s="4"/>
      <c r="Q19" s="4"/>
      <c r="U19" s="4"/>
      <c r="W19" s="4"/>
      <c r="X19" s="4"/>
      <c r="Y19" s="4" t="s">
        <v>87</v>
      </c>
      <c r="Z19" s="4"/>
      <c r="AA19" s="4"/>
      <c r="AB19" s="4"/>
      <c r="AC19" s="4"/>
      <c r="AD19" s="4"/>
      <c r="AE19" s="4"/>
      <c r="AG19" s="4"/>
      <c r="AH19" s="4"/>
      <c r="AJ19" s="4"/>
      <c r="AK19" s="4"/>
      <c r="AN19" s="4"/>
      <c r="AO19" s="4"/>
      <c r="AP19" s="4"/>
      <c r="AQ19" s="4"/>
      <c r="AT19" s="4"/>
      <c r="AU19" s="4"/>
      <c r="AW19" s="4"/>
      <c r="AY19" s="4"/>
      <c r="AZ19" s="4"/>
      <c r="BA19" s="4"/>
      <c r="BB19" s="4"/>
    </row>
  </sheetData>
  <customSheetViews>
    <customSheetView guid="{9B623083-AA7B-440B-95EA-C33E1AB3D963}" showAutoFilter="1">
      <pane xSplit="1" topLeftCell="P1" activePane="topRight" state="frozen"/>
      <selection pane="topRight" activeCell="H19" sqref="H19"/>
      <pageMargins left="0.511811024" right="0.511811024" top="0.78740157499999996" bottom="0.78740157499999996" header="0.31496062000000002" footer="0.31496062000000002"/>
      <pageSetup paperSize="9" orientation="portrait" r:id="rId1"/>
      <autoFilter ref="A1:A19" xr:uid="{916EE1D5-EE98-4B70-B384-4F3E99DF6B11}"/>
    </customSheetView>
    <customSheetView guid="{20CB6D8F-C24D-4D4B-A424-AF380F620455}">
      <selection activeCell="C17" sqref="C17"/>
      <pageMargins left="0.511811024" right="0.511811024" top="0.78740157499999996" bottom="0.78740157499999996" header="0.31496062000000002" footer="0.31496062000000002"/>
    </customSheetView>
    <customSheetView guid="{B3CDE377-BA5D-4E06-91D9-3A48E1959BA5}" topLeftCell="AM1">
      <selection activeCell="E17" sqref="E17"/>
      <pageMargins left="0.511811024" right="0.511811024" top="0.78740157499999996" bottom="0.78740157499999996" header="0.31496062000000002" footer="0.31496062000000002"/>
    </customSheetView>
    <customSheetView guid="{18A482E0-C8B6-4AA1-9E04-15FA7C9CD5E3}">
      <pane xSplit="1" topLeftCell="B1" activePane="topRight" state="frozen"/>
      <selection pane="topRight" activeCell="C1" sqref="C1:CB18"/>
      <pageMargins left="0.511811024" right="0.511811024" top="0.78740157499999996" bottom="0.78740157499999996" header="0.31496062000000002" footer="0.31496062000000002"/>
    </customSheetView>
    <customSheetView guid="{E3841903-5B68-44FD-8F09-58E03D1025C5}" scale="85">
      <selection activeCell="M17" sqref="M17"/>
      <pageMargins left="0.511811024" right="0.511811024" top="0.78740157499999996" bottom="0.78740157499999996" header="0.31496062000000002" footer="0.31496062000000002"/>
    </customSheetView>
    <customSheetView guid="{86039CF8-B158-4D70-9A6F-A10C29CBD68A}">
      <selection activeCell="B6" sqref="B6"/>
      <pageMargins left="0.511811024" right="0.511811024" top="0.78740157499999996" bottom="0.78740157499999996" header="0.31496062000000002" footer="0.31496062000000002"/>
    </customSheetView>
    <customSheetView guid="{3D987F8E-A6EA-454D-9537-6BFC5053CB00}" topLeftCell="A5">
      <pane xSplit="1" topLeftCell="BQ1" activePane="topRight" state="frozen"/>
      <selection pane="topRight" activeCell="CC18" sqref="CC18"/>
      <pageMargins left="0.511811024" right="0.511811024" top="0.78740157499999996" bottom="0.78740157499999996" header="0.31496062000000002" footer="0.31496062000000002"/>
      <pageSetup paperSize="9" orientation="portrait" r:id="rId2"/>
    </customSheetView>
  </customSheetViews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B19"/>
  <sheetViews>
    <sheetView zoomScaleNormal="85" workbookViewId="0">
      <selection activeCell="L10" sqref="L10"/>
    </sheetView>
  </sheetViews>
  <sheetFormatPr defaultColWidth="9.140625" defaultRowHeight="15" x14ac:dyDescent="0.25"/>
  <cols>
    <col min="1" max="1" width="77.42578125" style="1" bestFit="1" customWidth="1"/>
    <col min="2" max="2" width="3" style="1" bestFit="1" customWidth="1"/>
    <col min="3" max="3" width="13.85546875" style="1" customWidth="1"/>
    <col min="4" max="7" width="11.7109375" style="1" customWidth="1"/>
    <col min="8" max="8" width="14.28515625" style="1" bestFit="1" customWidth="1"/>
    <col min="9" max="13" width="9.5703125" style="1" customWidth="1"/>
    <col min="14" max="14" width="14.28515625" style="1" bestFit="1" customWidth="1"/>
    <col min="15" max="16" width="7.140625" style="1" bestFit="1" customWidth="1"/>
    <col min="17" max="17" width="14.5703125" style="1" customWidth="1"/>
    <col min="18" max="18" width="7.140625" style="1" bestFit="1" customWidth="1"/>
    <col min="19" max="19" width="7.5703125" style="1" customWidth="1"/>
    <col min="20" max="20" width="14.28515625" style="1" bestFit="1" customWidth="1"/>
    <col min="21" max="21" width="7.140625" style="1" bestFit="1" customWidth="1"/>
    <col min="22" max="22" width="14" style="1" customWidth="1"/>
    <col min="23" max="23" width="13" style="1" customWidth="1"/>
    <col min="24" max="24" width="16.140625" style="1" customWidth="1"/>
    <col min="25" max="25" width="16.85546875" style="1" customWidth="1"/>
    <col min="26" max="26" width="14.28515625" style="1" bestFit="1" customWidth="1"/>
    <col min="27" max="27" width="13.140625" style="1" customWidth="1"/>
    <col min="28" max="31" width="9.140625" style="1"/>
    <col min="32" max="32" width="15.28515625" style="1" customWidth="1"/>
    <col min="33" max="33" width="19.42578125" style="1" customWidth="1"/>
    <col min="34" max="35" width="9.140625" style="1"/>
    <col min="36" max="36" width="6.85546875" style="1" customWidth="1"/>
    <col min="37" max="37" width="16.5703125" style="1" customWidth="1"/>
    <col min="38" max="38" width="17.42578125" style="1" customWidth="1"/>
    <col min="39" max="40" width="11.42578125" style="1" customWidth="1"/>
    <col min="41" max="41" width="10.85546875" style="1" customWidth="1"/>
    <col min="42" max="42" width="13.42578125" style="1" customWidth="1"/>
    <col min="43" max="43" width="9.140625" style="1"/>
    <col min="44" max="44" width="15.42578125" style="1" customWidth="1"/>
    <col min="45" max="49" width="9.140625" style="1"/>
    <col min="50" max="50" width="15.42578125" style="1" customWidth="1"/>
    <col min="51" max="55" width="9.140625" style="1"/>
    <col min="56" max="56" width="16.140625" style="1" customWidth="1"/>
    <col min="57" max="61" width="9.140625" style="1"/>
    <col min="62" max="62" width="15.140625" style="1" customWidth="1"/>
    <col min="63" max="67" width="9.140625" style="1"/>
    <col min="68" max="68" width="14.5703125" style="1" customWidth="1"/>
    <col min="69" max="73" width="9.140625" style="1"/>
    <col min="74" max="74" width="14" style="1" customWidth="1"/>
    <col min="75" max="79" width="9.140625" style="1"/>
    <col min="80" max="80" width="14.140625" style="1" customWidth="1"/>
    <col min="81" max="16384" width="9.140625" style="1"/>
  </cols>
  <sheetData>
    <row r="1" spans="1:80" x14ac:dyDescent="0.25">
      <c r="A1" s="18" t="s">
        <v>9</v>
      </c>
      <c r="B1" s="56"/>
      <c r="C1" s="43">
        <v>45936</v>
      </c>
      <c r="D1" s="29">
        <v>45937</v>
      </c>
      <c r="E1" s="29">
        <v>45938</v>
      </c>
      <c r="F1" s="29">
        <v>45939</v>
      </c>
      <c r="G1" s="29">
        <v>45940</v>
      </c>
      <c r="H1" s="12" t="s">
        <v>15</v>
      </c>
      <c r="I1" s="43">
        <v>45943</v>
      </c>
      <c r="J1" s="29">
        <v>45944</v>
      </c>
      <c r="K1" s="29">
        <v>45945</v>
      </c>
      <c r="L1" s="29">
        <v>45946</v>
      </c>
      <c r="M1" s="29">
        <v>45947</v>
      </c>
      <c r="N1" s="11" t="s">
        <v>15</v>
      </c>
      <c r="O1" s="43">
        <v>45950</v>
      </c>
      <c r="P1" s="29">
        <v>45951</v>
      </c>
      <c r="Q1" s="29">
        <v>45952</v>
      </c>
      <c r="R1" s="29">
        <v>45953</v>
      </c>
      <c r="S1" s="29">
        <v>45954</v>
      </c>
      <c r="T1" s="11" t="s">
        <v>15</v>
      </c>
      <c r="U1" s="43">
        <v>45957</v>
      </c>
      <c r="V1" s="29">
        <v>45958</v>
      </c>
      <c r="W1" s="29">
        <v>45959</v>
      </c>
      <c r="X1" s="29">
        <v>45960</v>
      </c>
      <c r="Y1" s="29">
        <v>45961</v>
      </c>
      <c r="Z1" s="11" t="s">
        <v>15</v>
      </c>
      <c r="AA1" s="43">
        <v>45964</v>
      </c>
      <c r="AB1" s="29">
        <v>45965</v>
      </c>
      <c r="AC1" s="29">
        <v>45966</v>
      </c>
      <c r="AD1" s="29">
        <v>45967</v>
      </c>
      <c r="AE1" s="29">
        <v>45968</v>
      </c>
      <c r="AF1" s="11" t="s">
        <v>15</v>
      </c>
      <c r="AG1" s="43">
        <v>45971</v>
      </c>
      <c r="AH1" s="29">
        <v>45972</v>
      </c>
      <c r="AI1" s="29">
        <v>45973</v>
      </c>
      <c r="AJ1" s="29">
        <v>45974</v>
      </c>
      <c r="AK1" s="29">
        <v>45975</v>
      </c>
      <c r="AL1" s="11" t="s">
        <v>15</v>
      </c>
      <c r="AM1" s="43">
        <v>45978</v>
      </c>
      <c r="AN1" s="29">
        <v>45979</v>
      </c>
      <c r="AO1" s="29">
        <v>45980</v>
      </c>
      <c r="AP1" s="29">
        <v>45981</v>
      </c>
      <c r="AQ1" s="29">
        <v>45982</v>
      </c>
      <c r="AR1" s="11" t="s">
        <v>15</v>
      </c>
      <c r="AS1" s="43">
        <v>45985</v>
      </c>
      <c r="AT1" s="29">
        <v>45986</v>
      </c>
      <c r="AU1" s="29">
        <v>45987</v>
      </c>
      <c r="AV1" s="29">
        <v>45988</v>
      </c>
      <c r="AW1" s="29">
        <v>45989</v>
      </c>
      <c r="AX1" s="11" t="s">
        <v>15</v>
      </c>
      <c r="AY1" s="43">
        <v>45992</v>
      </c>
      <c r="AZ1" s="29">
        <v>45993</v>
      </c>
      <c r="BA1" s="29">
        <v>45994</v>
      </c>
      <c r="BB1" s="29">
        <v>45995</v>
      </c>
      <c r="BC1" s="29">
        <v>45996</v>
      </c>
      <c r="BD1" s="11" t="s">
        <v>15</v>
      </c>
      <c r="BE1" s="43">
        <v>45999</v>
      </c>
      <c r="BF1" s="29">
        <v>46000</v>
      </c>
      <c r="BG1" s="29">
        <v>46001</v>
      </c>
      <c r="BH1" s="29">
        <v>46002</v>
      </c>
      <c r="BI1" s="29">
        <v>46003</v>
      </c>
      <c r="BJ1" s="11" t="s">
        <v>15</v>
      </c>
      <c r="BK1" s="43">
        <v>46006</v>
      </c>
      <c r="BL1" s="29">
        <v>46007</v>
      </c>
      <c r="BM1" s="29">
        <v>46008</v>
      </c>
      <c r="BN1" s="29">
        <v>46009</v>
      </c>
      <c r="BO1" s="29">
        <v>46010</v>
      </c>
      <c r="BP1" s="11" t="s">
        <v>15</v>
      </c>
      <c r="BQ1" s="29">
        <v>46013</v>
      </c>
      <c r="BR1" s="29">
        <v>46014</v>
      </c>
      <c r="BS1" s="29">
        <v>46015</v>
      </c>
      <c r="BT1" s="29">
        <v>46016</v>
      </c>
      <c r="BU1" s="29">
        <v>46017</v>
      </c>
      <c r="BV1" s="11" t="s">
        <v>15</v>
      </c>
      <c r="BW1" s="29">
        <v>46020</v>
      </c>
      <c r="BX1" s="29">
        <v>46021</v>
      </c>
      <c r="BY1" s="29">
        <v>46022</v>
      </c>
      <c r="BZ1" s="29">
        <v>46023</v>
      </c>
      <c r="CA1" s="29">
        <v>46024</v>
      </c>
      <c r="CB1" s="11" t="s">
        <v>15</v>
      </c>
    </row>
    <row r="2" spans="1:80" x14ac:dyDescent="0.25">
      <c r="A2" s="54" t="s">
        <v>18</v>
      </c>
      <c r="B2" s="57">
        <v>1</v>
      </c>
      <c r="H2" s="44">
        <f>SUM(C2:G2)</f>
        <v>0</v>
      </c>
      <c r="N2" s="44">
        <f>SUM(I2:M2)</f>
        <v>0</v>
      </c>
      <c r="T2" s="44">
        <f t="shared" ref="T2:T16" si="0">SUM(O2:S2)</f>
        <v>0</v>
      </c>
      <c r="Z2" s="44">
        <f>SUM(U2:Y2)</f>
        <v>0</v>
      </c>
      <c r="AF2" s="44">
        <f>SUM(AA2:AE2)</f>
        <v>0</v>
      </c>
      <c r="AL2" s="44">
        <f>SUM(AG2:AK2)</f>
        <v>0</v>
      </c>
      <c r="AR2" s="44">
        <f>SUM(AM2:AQ2)</f>
        <v>0</v>
      </c>
      <c r="AX2" s="44">
        <f>SUM(AS2:AW2)</f>
        <v>0</v>
      </c>
      <c r="BD2" s="44">
        <f>SUM(AY2:BC2)</f>
        <v>0</v>
      </c>
      <c r="BJ2" s="44">
        <f>SUM(BE2:BI2)</f>
        <v>0</v>
      </c>
      <c r="BP2" s="44">
        <f>SUM(BK2:BO2)</f>
        <v>0</v>
      </c>
      <c r="BV2" s="44">
        <f>SUM(BQ2:BU2)</f>
        <v>0</v>
      </c>
      <c r="CB2" s="44">
        <f>SUM(BW2:CA2)</f>
        <v>0</v>
      </c>
    </row>
    <row r="3" spans="1:80" x14ac:dyDescent="0.25">
      <c r="A3" s="54" t="s">
        <v>0</v>
      </c>
      <c r="B3" s="57">
        <v>2</v>
      </c>
      <c r="H3" s="44">
        <f t="shared" ref="H3:H16" si="1">SUM(C3:G3)</f>
        <v>0</v>
      </c>
      <c r="N3" s="44">
        <f t="shared" ref="N3:N16" si="2">SUM(I3:M3)</f>
        <v>0</v>
      </c>
      <c r="T3" s="44">
        <f t="shared" si="0"/>
        <v>0</v>
      </c>
      <c r="Z3" s="44">
        <f t="shared" ref="Z3:Z16" si="3">SUM(U3:Y3)</f>
        <v>0</v>
      </c>
      <c r="AF3" s="44">
        <f t="shared" ref="AF3:AF16" si="4">SUM(AA3:AE3)</f>
        <v>0</v>
      </c>
      <c r="AL3" s="44">
        <f t="shared" ref="AL3:AL16" si="5">SUM(AG3:AK3)</f>
        <v>0</v>
      </c>
      <c r="AR3" s="44">
        <f t="shared" ref="AR3:AR16" si="6">SUM(AM3:AQ3)</f>
        <v>0</v>
      </c>
      <c r="AX3" s="44">
        <f t="shared" ref="AX3:AX16" si="7">SUM(AS3:AW3)</f>
        <v>0</v>
      </c>
      <c r="BD3" s="44">
        <f t="shared" ref="BD3:BD16" si="8">SUM(AY3:BC3)</f>
        <v>0</v>
      </c>
      <c r="BJ3" s="44">
        <f t="shared" ref="BJ3:BJ16" si="9">SUM(BE3:BI3)</f>
        <v>0</v>
      </c>
      <c r="BP3" s="44">
        <f t="shared" ref="BP3:BP16" si="10">SUM(BK3:BO3)</f>
        <v>0</v>
      </c>
      <c r="BV3" s="44">
        <f t="shared" ref="BV3:BV16" si="11">SUM(BQ3:BU3)</f>
        <v>0</v>
      </c>
      <c r="CB3" s="44">
        <f t="shared" ref="CB3:CB16" si="12">SUM(BW3:CA3)</f>
        <v>0</v>
      </c>
    </row>
    <row r="4" spans="1:80" x14ac:dyDescent="0.25">
      <c r="A4" s="55" t="s">
        <v>17</v>
      </c>
      <c r="B4" s="58">
        <v>3</v>
      </c>
      <c r="H4" s="44">
        <f t="shared" si="1"/>
        <v>0</v>
      </c>
      <c r="N4" s="44">
        <f t="shared" si="2"/>
        <v>0</v>
      </c>
      <c r="T4" s="44">
        <f t="shared" si="0"/>
        <v>0</v>
      </c>
      <c r="Z4" s="44">
        <f t="shared" si="3"/>
        <v>0</v>
      </c>
      <c r="AF4" s="44">
        <f t="shared" si="4"/>
        <v>0</v>
      </c>
      <c r="AL4" s="44">
        <f t="shared" si="5"/>
        <v>0</v>
      </c>
      <c r="AR4" s="44">
        <f t="shared" si="6"/>
        <v>0</v>
      </c>
      <c r="AX4" s="44">
        <f t="shared" si="7"/>
        <v>0</v>
      </c>
      <c r="BD4" s="44">
        <f t="shared" si="8"/>
        <v>0</v>
      </c>
      <c r="BJ4" s="44">
        <f t="shared" si="9"/>
        <v>0</v>
      </c>
      <c r="BP4" s="44">
        <f t="shared" si="10"/>
        <v>0</v>
      </c>
      <c r="BV4" s="44">
        <f t="shared" si="11"/>
        <v>0</v>
      </c>
      <c r="CB4" s="44">
        <f t="shared" si="12"/>
        <v>0</v>
      </c>
    </row>
    <row r="5" spans="1:80" x14ac:dyDescent="0.25">
      <c r="A5" s="55" t="s">
        <v>16</v>
      </c>
      <c r="B5" s="57">
        <v>4</v>
      </c>
      <c r="H5" s="44">
        <f t="shared" si="1"/>
        <v>0</v>
      </c>
      <c r="N5" s="44">
        <f t="shared" si="2"/>
        <v>0</v>
      </c>
      <c r="T5" s="44">
        <f t="shared" si="0"/>
        <v>0</v>
      </c>
      <c r="Z5" s="44">
        <f t="shared" si="3"/>
        <v>0</v>
      </c>
      <c r="AF5" s="44">
        <f t="shared" si="4"/>
        <v>0</v>
      </c>
      <c r="AL5" s="44">
        <f t="shared" si="5"/>
        <v>0</v>
      </c>
      <c r="AR5" s="44">
        <f t="shared" si="6"/>
        <v>0</v>
      </c>
      <c r="AX5" s="44">
        <f t="shared" si="7"/>
        <v>0</v>
      </c>
      <c r="BD5" s="44">
        <f t="shared" si="8"/>
        <v>0</v>
      </c>
      <c r="BJ5" s="44">
        <f t="shared" si="9"/>
        <v>0</v>
      </c>
      <c r="BP5" s="44">
        <f t="shared" si="10"/>
        <v>0</v>
      </c>
      <c r="BV5" s="44">
        <f t="shared" si="11"/>
        <v>0</v>
      </c>
      <c r="CB5" s="44">
        <f t="shared" si="12"/>
        <v>0</v>
      </c>
    </row>
    <row r="6" spans="1:80" x14ac:dyDescent="0.25">
      <c r="A6" s="55" t="s">
        <v>1</v>
      </c>
      <c r="B6" s="57">
        <v>5</v>
      </c>
      <c r="H6" s="44">
        <f t="shared" si="1"/>
        <v>0</v>
      </c>
      <c r="N6" s="44">
        <f t="shared" si="2"/>
        <v>0</v>
      </c>
      <c r="T6" s="44">
        <f t="shared" si="0"/>
        <v>0</v>
      </c>
      <c r="Z6" s="44">
        <f t="shared" si="3"/>
        <v>0</v>
      </c>
      <c r="AF6" s="44">
        <f t="shared" si="4"/>
        <v>0</v>
      </c>
      <c r="AL6" s="44">
        <f t="shared" si="5"/>
        <v>0</v>
      </c>
      <c r="AR6" s="44">
        <f t="shared" si="6"/>
        <v>0</v>
      </c>
      <c r="AX6" s="44">
        <f t="shared" si="7"/>
        <v>0</v>
      </c>
      <c r="BD6" s="44">
        <f t="shared" si="8"/>
        <v>0</v>
      </c>
      <c r="BJ6" s="44">
        <f t="shared" si="9"/>
        <v>0</v>
      </c>
      <c r="BP6" s="44">
        <f t="shared" si="10"/>
        <v>0</v>
      </c>
      <c r="BV6" s="44">
        <f t="shared" si="11"/>
        <v>0</v>
      </c>
      <c r="CB6" s="44">
        <f t="shared" si="12"/>
        <v>0</v>
      </c>
    </row>
    <row r="7" spans="1:80" x14ac:dyDescent="0.25">
      <c r="A7" s="55" t="s">
        <v>2</v>
      </c>
      <c r="B7" s="58">
        <v>6</v>
      </c>
      <c r="H7" s="44">
        <f t="shared" si="1"/>
        <v>0</v>
      </c>
      <c r="N7" s="44">
        <f t="shared" si="2"/>
        <v>0</v>
      </c>
      <c r="T7" s="44">
        <f t="shared" si="0"/>
        <v>0</v>
      </c>
      <c r="Z7" s="44">
        <f t="shared" si="3"/>
        <v>0</v>
      </c>
      <c r="AF7" s="44">
        <f t="shared" si="4"/>
        <v>0</v>
      </c>
      <c r="AL7" s="44">
        <f t="shared" si="5"/>
        <v>0</v>
      </c>
      <c r="AR7" s="44">
        <f t="shared" si="6"/>
        <v>0</v>
      </c>
      <c r="AX7" s="44">
        <f t="shared" si="7"/>
        <v>0</v>
      </c>
      <c r="BD7" s="44">
        <f t="shared" si="8"/>
        <v>0</v>
      </c>
      <c r="BJ7" s="44">
        <f t="shared" si="9"/>
        <v>0</v>
      </c>
      <c r="BP7" s="44">
        <f t="shared" si="10"/>
        <v>0</v>
      </c>
      <c r="BV7" s="44">
        <f t="shared" si="11"/>
        <v>0</v>
      </c>
      <c r="CB7" s="44">
        <f t="shared" si="12"/>
        <v>0</v>
      </c>
    </row>
    <row r="8" spans="1:80" x14ac:dyDescent="0.25">
      <c r="A8" s="55" t="s">
        <v>3</v>
      </c>
      <c r="B8" s="57">
        <v>7</v>
      </c>
      <c r="H8" s="44">
        <f t="shared" si="1"/>
        <v>0</v>
      </c>
      <c r="N8" s="44">
        <f t="shared" si="2"/>
        <v>0</v>
      </c>
      <c r="T8" s="44">
        <f t="shared" si="0"/>
        <v>0</v>
      </c>
      <c r="Z8" s="44">
        <f t="shared" si="3"/>
        <v>0</v>
      </c>
      <c r="AF8" s="44">
        <f t="shared" si="4"/>
        <v>0</v>
      </c>
      <c r="AL8" s="44">
        <f t="shared" si="5"/>
        <v>0</v>
      </c>
      <c r="AR8" s="44">
        <f t="shared" si="6"/>
        <v>0</v>
      </c>
      <c r="AX8" s="44">
        <f t="shared" si="7"/>
        <v>0</v>
      </c>
      <c r="BD8" s="44">
        <f t="shared" si="8"/>
        <v>0</v>
      </c>
      <c r="BJ8" s="44">
        <f t="shared" si="9"/>
        <v>0</v>
      </c>
      <c r="BP8" s="44">
        <f t="shared" si="10"/>
        <v>0</v>
      </c>
      <c r="BV8" s="44">
        <f t="shared" si="11"/>
        <v>0</v>
      </c>
      <c r="CB8" s="44">
        <f t="shared" si="12"/>
        <v>0</v>
      </c>
    </row>
    <row r="9" spans="1:80" x14ac:dyDescent="0.25">
      <c r="A9" s="55" t="s">
        <v>13</v>
      </c>
      <c r="B9" s="57">
        <v>8</v>
      </c>
      <c r="H9" s="44">
        <f t="shared" si="1"/>
        <v>0</v>
      </c>
      <c r="N9" s="44">
        <f t="shared" si="2"/>
        <v>0</v>
      </c>
      <c r="T9" s="44">
        <f t="shared" si="0"/>
        <v>0</v>
      </c>
      <c r="Z9" s="44">
        <f t="shared" si="3"/>
        <v>0</v>
      </c>
      <c r="AF9" s="44">
        <f t="shared" si="4"/>
        <v>0</v>
      </c>
      <c r="AL9" s="44">
        <f t="shared" si="5"/>
        <v>0</v>
      </c>
      <c r="AR9" s="44">
        <f t="shared" si="6"/>
        <v>0</v>
      </c>
      <c r="AX9" s="44">
        <f t="shared" si="7"/>
        <v>0</v>
      </c>
      <c r="BD9" s="44">
        <f t="shared" si="8"/>
        <v>0</v>
      </c>
      <c r="BJ9" s="44">
        <f t="shared" si="9"/>
        <v>0</v>
      </c>
      <c r="BP9" s="44">
        <f t="shared" si="10"/>
        <v>0</v>
      </c>
      <c r="BV9" s="44">
        <f t="shared" si="11"/>
        <v>0</v>
      </c>
      <c r="CB9" s="44">
        <f t="shared" si="12"/>
        <v>0</v>
      </c>
    </row>
    <row r="10" spans="1:80" x14ac:dyDescent="0.25">
      <c r="A10" s="54" t="s">
        <v>12</v>
      </c>
      <c r="B10" s="58">
        <v>9</v>
      </c>
      <c r="H10" s="44">
        <f t="shared" si="1"/>
        <v>0</v>
      </c>
      <c r="N10" s="44">
        <f t="shared" si="2"/>
        <v>0</v>
      </c>
      <c r="T10" s="44">
        <f t="shared" si="0"/>
        <v>0</v>
      </c>
      <c r="Z10" s="44">
        <f t="shared" si="3"/>
        <v>0</v>
      </c>
      <c r="AF10" s="44">
        <f t="shared" si="4"/>
        <v>0</v>
      </c>
      <c r="AL10" s="44">
        <f t="shared" si="5"/>
        <v>0</v>
      </c>
      <c r="AR10" s="44">
        <f t="shared" si="6"/>
        <v>0</v>
      </c>
      <c r="AX10" s="44">
        <f t="shared" si="7"/>
        <v>0</v>
      </c>
      <c r="BD10" s="44">
        <f t="shared" si="8"/>
        <v>0</v>
      </c>
      <c r="BJ10" s="44">
        <f t="shared" si="9"/>
        <v>0</v>
      </c>
      <c r="BP10" s="44">
        <f t="shared" si="10"/>
        <v>0</v>
      </c>
      <c r="BV10" s="44">
        <f t="shared" si="11"/>
        <v>0</v>
      </c>
      <c r="CB10" s="44">
        <f t="shared" si="12"/>
        <v>0</v>
      </c>
    </row>
    <row r="11" spans="1:80" x14ac:dyDescent="0.25">
      <c r="A11" s="55" t="s">
        <v>4</v>
      </c>
      <c r="B11" s="57">
        <v>10</v>
      </c>
      <c r="H11" s="44">
        <f t="shared" si="1"/>
        <v>0</v>
      </c>
      <c r="N11" s="44">
        <f t="shared" si="2"/>
        <v>0</v>
      </c>
      <c r="T11" s="44">
        <f t="shared" si="0"/>
        <v>0</v>
      </c>
      <c r="Z11" s="44">
        <f t="shared" si="3"/>
        <v>0</v>
      </c>
      <c r="AF11" s="44">
        <f t="shared" si="4"/>
        <v>0</v>
      </c>
      <c r="AL11" s="44">
        <f t="shared" si="5"/>
        <v>0</v>
      </c>
      <c r="AR11" s="44">
        <f t="shared" si="6"/>
        <v>0</v>
      </c>
      <c r="AX11" s="44">
        <f t="shared" si="7"/>
        <v>0</v>
      </c>
      <c r="BD11" s="44">
        <f t="shared" si="8"/>
        <v>0</v>
      </c>
      <c r="BJ11" s="44">
        <f t="shared" si="9"/>
        <v>0</v>
      </c>
      <c r="BP11" s="44">
        <f t="shared" si="10"/>
        <v>0</v>
      </c>
      <c r="BV11" s="44">
        <f t="shared" si="11"/>
        <v>0</v>
      </c>
      <c r="CB11" s="44">
        <f t="shared" si="12"/>
        <v>0</v>
      </c>
    </row>
    <row r="12" spans="1:80" x14ac:dyDescent="0.25">
      <c r="A12" s="55" t="s">
        <v>5</v>
      </c>
      <c r="B12" s="57">
        <v>11</v>
      </c>
      <c r="H12" s="44">
        <f t="shared" si="1"/>
        <v>0</v>
      </c>
      <c r="N12" s="44">
        <f t="shared" si="2"/>
        <v>0</v>
      </c>
      <c r="T12" s="44">
        <f t="shared" si="0"/>
        <v>0</v>
      </c>
      <c r="Z12" s="44">
        <f t="shared" si="3"/>
        <v>0</v>
      </c>
      <c r="AF12" s="44">
        <f t="shared" si="4"/>
        <v>0</v>
      </c>
      <c r="AL12" s="44">
        <f t="shared" si="5"/>
        <v>0</v>
      </c>
      <c r="AR12" s="44">
        <f t="shared" si="6"/>
        <v>0</v>
      </c>
      <c r="AX12" s="44">
        <f t="shared" si="7"/>
        <v>0</v>
      </c>
      <c r="BD12" s="44">
        <f t="shared" si="8"/>
        <v>0</v>
      </c>
      <c r="BJ12" s="44">
        <f t="shared" si="9"/>
        <v>0</v>
      </c>
      <c r="BP12" s="44">
        <f t="shared" si="10"/>
        <v>0</v>
      </c>
      <c r="BV12" s="44">
        <f t="shared" si="11"/>
        <v>0</v>
      </c>
      <c r="CB12" s="44">
        <f t="shared" si="12"/>
        <v>0</v>
      </c>
    </row>
    <row r="13" spans="1:80" x14ac:dyDescent="0.25">
      <c r="A13" s="54" t="s">
        <v>8</v>
      </c>
      <c r="B13" s="58">
        <v>12</v>
      </c>
      <c r="H13" s="44">
        <f t="shared" si="1"/>
        <v>0</v>
      </c>
      <c r="N13" s="44">
        <f t="shared" si="2"/>
        <v>0</v>
      </c>
      <c r="T13" s="44">
        <f t="shared" si="0"/>
        <v>0</v>
      </c>
      <c r="Z13" s="44">
        <f t="shared" si="3"/>
        <v>0</v>
      </c>
      <c r="AF13" s="44">
        <f t="shared" si="4"/>
        <v>0</v>
      </c>
      <c r="AL13" s="44">
        <f t="shared" si="5"/>
        <v>0</v>
      </c>
      <c r="AR13" s="44">
        <f t="shared" si="6"/>
        <v>0</v>
      </c>
      <c r="AX13" s="44">
        <f t="shared" si="7"/>
        <v>0</v>
      </c>
      <c r="BD13" s="44">
        <f t="shared" si="8"/>
        <v>0</v>
      </c>
      <c r="BJ13" s="44">
        <f t="shared" si="9"/>
        <v>0</v>
      </c>
      <c r="BP13" s="44">
        <f t="shared" si="10"/>
        <v>0</v>
      </c>
      <c r="BV13" s="44">
        <f t="shared" si="11"/>
        <v>0</v>
      </c>
      <c r="CB13" s="44">
        <f t="shared" si="12"/>
        <v>0</v>
      </c>
    </row>
    <row r="14" spans="1:80" x14ac:dyDescent="0.25">
      <c r="A14" s="55" t="s">
        <v>6</v>
      </c>
      <c r="B14" s="57">
        <v>13</v>
      </c>
      <c r="H14" s="44">
        <f t="shared" si="1"/>
        <v>0</v>
      </c>
      <c r="N14" s="44">
        <f t="shared" si="2"/>
        <v>0</v>
      </c>
      <c r="T14" s="44">
        <f t="shared" si="0"/>
        <v>0</v>
      </c>
      <c r="Z14" s="44">
        <f t="shared" si="3"/>
        <v>0</v>
      </c>
      <c r="AF14" s="44">
        <f t="shared" si="4"/>
        <v>0</v>
      </c>
      <c r="AL14" s="44">
        <f t="shared" si="5"/>
        <v>0</v>
      </c>
      <c r="AR14" s="44">
        <f t="shared" si="6"/>
        <v>0</v>
      </c>
      <c r="AX14" s="44">
        <f t="shared" si="7"/>
        <v>0</v>
      </c>
      <c r="BD14" s="44">
        <f t="shared" si="8"/>
        <v>0</v>
      </c>
      <c r="BJ14" s="44">
        <f t="shared" si="9"/>
        <v>0</v>
      </c>
      <c r="BP14" s="44">
        <f t="shared" si="10"/>
        <v>0</v>
      </c>
      <c r="BV14" s="44">
        <f t="shared" si="11"/>
        <v>0</v>
      </c>
      <c r="CB14" s="44">
        <f t="shared" si="12"/>
        <v>0</v>
      </c>
    </row>
    <row r="15" spans="1:80" x14ac:dyDescent="0.25">
      <c r="A15" s="54" t="s">
        <v>7</v>
      </c>
      <c r="B15" s="57">
        <v>14</v>
      </c>
      <c r="H15" s="44">
        <f t="shared" si="1"/>
        <v>0</v>
      </c>
      <c r="N15" s="44">
        <f t="shared" si="2"/>
        <v>0</v>
      </c>
      <c r="T15" s="44">
        <f t="shared" si="0"/>
        <v>0</v>
      </c>
      <c r="Z15" s="44">
        <f t="shared" si="3"/>
        <v>0</v>
      </c>
      <c r="AF15" s="44">
        <f t="shared" si="4"/>
        <v>0</v>
      </c>
      <c r="AL15" s="44">
        <f t="shared" si="5"/>
        <v>0</v>
      </c>
      <c r="AR15" s="44">
        <f t="shared" si="6"/>
        <v>0</v>
      </c>
      <c r="AX15" s="44">
        <f t="shared" si="7"/>
        <v>0</v>
      </c>
      <c r="BD15" s="44">
        <f t="shared" si="8"/>
        <v>0</v>
      </c>
      <c r="BJ15" s="44">
        <f t="shared" si="9"/>
        <v>0</v>
      </c>
      <c r="BP15" s="44">
        <f t="shared" si="10"/>
        <v>0</v>
      </c>
      <c r="BV15" s="44">
        <f t="shared" si="11"/>
        <v>0</v>
      </c>
      <c r="CB15" s="44">
        <f t="shared" si="12"/>
        <v>0</v>
      </c>
    </row>
    <row r="16" spans="1:80" x14ac:dyDescent="0.25">
      <c r="A16" s="54" t="s">
        <v>14</v>
      </c>
      <c r="B16" s="51">
        <v>15</v>
      </c>
      <c r="F16" s="49"/>
      <c r="G16" s="49"/>
      <c r="H16" s="44">
        <f t="shared" si="1"/>
        <v>0</v>
      </c>
      <c r="I16" s="49"/>
      <c r="N16" s="44">
        <f t="shared" si="2"/>
        <v>0</v>
      </c>
      <c r="T16" s="44">
        <f t="shared" si="0"/>
        <v>0</v>
      </c>
      <c r="Z16" s="44">
        <f t="shared" si="3"/>
        <v>0</v>
      </c>
      <c r="AF16" s="44">
        <f t="shared" si="4"/>
        <v>0</v>
      </c>
      <c r="AL16" s="44">
        <f t="shared" si="5"/>
        <v>0</v>
      </c>
      <c r="AR16" s="44">
        <f t="shared" si="6"/>
        <v>0</v>
      </c>
      <c r="AX16" s="44">
        <f t="shared" si="7"/>
        <v>0</v>
      </c>
      <c r="BD16" s="44">
        <f t="shared" si="8"/>
        <v>0</v>
      </c>
      <c r="BJ16" s="44">
        <f t="shared" si="9"/>
        <v>0</v>
      </c>
      <c r="BP16" s="44">
        <f t="shared" si="10"/>
        <v>0</v>
      </c>
      <c r="BV16" s="44">
        <f t="shared" si="11"/>
        <v>0</v>
      </c>
      <c r="CB16" s="44">
        <f t="shared" si="12"/>
        <v>0</v>
      </c>
    </row>
    <row r="17" spans="1:80" x14ac:dyDescent="0.25">
      <c r="A17" s="19" t="s">
        <v>100</v>
      </c>
      <c r="B17" s="52">
        <v>16</v>
      </c>
      <c r="C17" s="16"/>
      <c r="D17" s="16"/>
      <c r="E17" s="16"/>
      <c r="F17" s="30"/>
      <c r="G17" s="30"/>
      <c r="H17" s="45">
        <f>SUM(C17:G17)</f>
        <v>0</v>
      </c>
      <c r="I17" s="30"/>
      <c r="J17" s="16"/>
      <c r="K17" s="16"/>
      <c r="L17" s="16"/>
      <c r="M17" s="16"/>
      <c r="N17" s="45">
        <f>SUM(I17:M17)</f>
        <v>0</v>
      </c>
      <c r="O17" s="16"/>
      <c r="P17" s="16"/>
      <c r="Q17" s="16"/>
      <c r="R17" s="16"/>
      <c r="S17" s="16"/>
      <c r="T17" s="45">
        <f>SUM(O17:S17)</f>
        <v>0</v>
      </c>
      <c r="U17" s="16"/>
      <c r="V17" s="16"/>
      <c r="W17" s="16"/>
      <c r="X17" s="16"/>
      <c r="Y17" s="16"/>
      <c r="Z17" s="45">
        <f>SUM(U17:Y17)</f>
        <v>0</v>
      </c>
      <c r="AA17" s="16"/>
      <c r="AB17" s="16"/>
      <c r="AC17" s="16"/>
      <c r="AD17" s="16"/>
      <c r="AE17" s="16"/>
      <c r="AF17" s="45">
        <f>SUM(AA17:AE17)</f>
        <v>0</v>
      </c>
      <c r="AG17" s="16"/>
      <c r="AH17" s="16"/>
      <c r="AI17" s="16"/>
      <c r="AJ17" s="16"/>
      <c r="AK17" s="16"/>
      <c r="AL17" s="45">
        <f>SUM(AG17:AK17)</f>
        <v>0</v>
      </c>
      <c r="AM17" s="16"/>
      <c r="AN17" s="16"/>
      <c r="AO17" s="16"/>
      <c r="AP17" s="16"/>
      <c r="AQ17" s="16"/>
      <c r="AR17" s="45">
        <f>SUM(AM17:AQ17)</f>
        <v>0</v>
      </c>
      <c r="AS17" s="16"/>
      <c r="AT17" s="16"/>
      <c r="AU17" s="16"/>
      <c r="AV17" s="16"/>
      <c r="AW17" s="16"/>
      <c r="AX17" s="45">
        <f>SUM(AS17:AW17)</f>
        <v>0</v>
      </c>
      <c r="AY17" s="16"/>
      <c r="AZ17" s="16"/>
      <c r="BA17" s="16"/>
      <c r="BB17" s="16"/>
      <c r="BC17" s="16"/>
      <c r="BD17" s="45">
        <f>SUM(AY17:BC17)</f>
        <v>0</v>
      </c>
      <c r="BE17" s="16"/>
      <c r="BF17" s="16"/>
      <c r="BG17" s="16"/>
      <c r="BH17" s="16"/>
      <c r="BI17" s="16"/>
      <c r="BJ17" s="45">
        <f>SUM(BE17:BI17)</f>
        <v>0</v>
      </c>
      <c r="BK17" s="16"/>
      <c r="BL17" s="16"/>
      <c r="BM17" s="16"/>
      <c r="BN17" s="16"/>
      <c r="BO17" s="16"/>
      <c r="BP17" s="45">
        <f>SUM(BK17:BO17)</f>
        <v>0</v>
      </c>
      <c r="BQ17" s="16"/>
      <c r="BR17" s="16"/>
      <c r="BS17" s="16"/>
      <c r="BT17" s="16"/>
      <c r="BU17" s="16"/>
      <c r="BV17" s="45">
        <f>SUM(BQ17:BU17)</f>
        <v>0</v>
      </c>
      <c r="BW17" s="16"/>
      <c r="BX17" s="16"/>
      <c r="BY17" s="16"/>
      <c r="BZ17" s="16"/>
      <c r="CA17" s="16"/>
      <c r="CB17" s="45">
        <f>SUM(BW17:CA17)</f>
        <v>0</v>
      </c>
    </row>
    <row r="18" spans="1:80" x14ac:dyDescent="0.25">
      <c r="A18" s="1" t="s">
        <v>11</v>
      </c>
      <c r="C18" s="4"/>
      <c r="D18" s="4"/>
      <c r="E18" s="4"/>
      <c r="G18" s="4"/>
      <c r="H18" s="4"/>
      <c r="I18" s="4"/>
      <c r="J18" s="4"/>
      <c r="K18" s="4"/>
      <c r="L18" s="4"/>
      <c r="M18" s="4"/>
      <c r="O18" s="4"/>
      <c r="P18" s="4"/>
      <c r="Q18" s="4"/>
      <c r="R18" s="4"/>
      <c r="S18" s="4"/>
      <c r="U18" s="4"/>
      <c r="V18" s="4"/>
      <c r="W18" s="4"/>
      <c r="X18" s="4"/>
      <c r="Y18" s="46"/>
      <c r="AA18" s="4"/>
      <c r="AB18" s="4"/>
      <c r="AC18" s="4"/>
      <c r="AD18" s="4"/>
      <c r="AE18" s="4"/>
      <c r="AG18" s="4"/>
      <c r="AH18" s="4"/>
      <c r="AI18" s="4"/>
      <c r="AJ18" s="4"/>
      <c r="AK18" s="4"/>
      <c r="AM18" s="4"/>
      <c r="AS18" s="4"/>
      <c r="AT18" s="4"/>
      <c r="AV18" s="4"/>
      <c r="AW18" s="4"/>
      <c r="AZ18" s="4"/>
    </row>
    <row r="19" spans="1:80" x14ac:dyDescent="0.25">
      <c r="A19" s="1" t="s">
        <v>10</v>
      </c>
      <c r="C19" s="4"/>
      <c r="J19" s="4"/>
      <c r="K19" s="4"/>
      <c r="L19" s="4"/>
      <c r="Q19" s="4"/>
      <c r="U19" s="4"/>
      <c r="W19" s="4"/>
      <c r="X19" s="4"/>
      <c r="Y19" s="4"/>
      <c r="Z19" s="4"/>
      <c r="AA19" s="4"/>
      <c r="AB19" s="4"/>
      <c r="AC19" s="4"/>
      <c r="AD19" s="4"/>
      <c r="AE19" s="4"/>
      <c r="AG19" s="4"/>
      <c r="AH19" s="4"/>
      <c r="AJ19" s="4"/>
      <c r="AK19" s="4"/>
      <c r="AN19" s="4"/>
      <c r="AO19" s="4"/>
      <c r="AP19" s="4"/>
      <c r="AQ19" s="4"/>
      <c r="AT19" s="4"/>
      <c r="AU19" s="4"/>
      <c r="AW19" s="4"/>
      <c r="AY19" s="4"/>
      <c r="AZ19" s="4"/>
      <c r="BA19" s="4"/>
      <c r="BB19" s="4"/>
    </row>
  </sheetData>
  <customSheetViews>
    <customSheetView guid="{9B623083-AA7B-440B-95EA-C33E1AB3D963}" showAutoFilter="1">
      <pane xSplit="1" topLeftCell="H1" activePane="topRight" state="frozen"/>
      <selection pane="topRight" activeCell="A11" sqref="A11"/>
      <pageMargins left="0.511811024" right="0.511811024" top="0.78740157499999996" bottom="0.78740157499999996" header="0.31496062000000002" footer="0.31496062000000002"/>
      <autoFilter ref="A1:A19" xr:uid="{3A4C9EA7-4C68-4C09-A7B5-66347DF03476}"/>
    </customSheetView>
    <customSheetView guid="{20CB6D8F-C24D-4D4B-A424-AF380F620455}" showPageBreaks="1">
      <selection activeCell="L10" sqref="L10"/>
      <pageMargins left="0.511811024" right="0.511811024" top="0.78740157499999996" bottom="0.78740157499999996" header="0.31496062000000002" footer="0.31496062000000002"/>
      <pageSetup paperSize="9" orientation="portrait" r:id="rId1"/>
    </customSheetView>
    <customSheetView guid="{B3CDE377-BA5D-4E06-91D9-3A48E1959BA5}">
      <pane xSplit="1" topLeftCell="AJ1" activePane="topRight" state="frozen"/>
      <selection pane="topRight" activeCell="A16" sqref="A16:XFD16"/>
      <pageMargins left="0.511811024" right="0.511811024" top="0.78740157499999996" bottom="0.78740157499999996" header="0.31496062000000002" footer="0.31496062000000002"/>
    </customSheetView>
    <customSheetView guid="{18A482E0-C8B6-4AA1-9E04-15FA7C9CD5E3}" scale="90">
      <pane xSplit="1" topLeftCell="B1" activePane="topRight" state="frozen"/>
      <selection pane="topRight" activeCell="B1" sqref="B1"/>
      <pageMargins left="0.511811024" right="0.511811024" top="0.78740157499999996" bottom="0.78740157499999996" header="0.31496062000000002" footer="0.31496062000000002"/>
    </customSheetView>
    <customSheetView guid="{C69767F5-CD39-44C1-AD4B-CE19DC8285A6}">
      <pane xSplit="1" topLeftCell="U1" activePane="topRight" state="frozen"/>
      <selection pane="topRight" activeCell="AE10" sqref="AE10"/>
      <pageMargins left="0.511811024" right="0.511811024" top="0.78740157499999996" bottom="0.78740157499999996" header="0.31496062000000002" footer="0.31496062000000002"/>
    </customSheetView>
    <customSheetView guid="{552DFCCD-1786-4D75-8B10-27DD730384DD}">
      <selection activeCell="C8" sqref="C8"/>
      <pageMargins left="0.511811024" right="0.511811024" top="0.78740157499999996" bottom="0.78740157499999996" header="0.31496062000000002" footer="0.31496062000000002"/>
    </customSheetView>
    <customSheetView guid="{E3841903-5B68-44FD-8F09-58E03D1025C5}">
      <selection activeCell="A8" sqref="A8:XFD8"/>
      <pageMargins left="0.511811024" right="0.511811024" top="0.78740157499999996" bottom="0.78740157499999996" header="0.31496062000000002" footer="0.31496062000000002"/>
    </customSheetView>
    <customSheetView guid="{86039CF8-B158-4D70-9A6F-A10C29CBD68A}">
      <selection activeCell="S1" sqref="S1:S1048576"/>
      <pageMargins left="0.511811024" right="0.511811024" top="0.78740157499999996" bottom="0.78740157499999996" header="0.31496062000000002" footer="0.31496062000000002"/>
    </customSheetView>
    <customSheetView guid="{3D987F8E-A6EA-454D-9537-6BFC5053CB00}" scale="85">
      <pane xSplit="1" topLeftCell="BI1" activePane="topRight" state="frozen"/>
      <selection pane="topRight" activeCell="BO28" sqref="BO28"/>
      <pageMargins left="0.511811024" right="0.511811024" top="0.78740157499999996" bottom="0.78740157499999996" header="0.31496062000000002" footer="0.31496062000000002"/>
    </customSheetView>
  </customSheetViews>
  <pageMargins left="0.511811024" right="0.511811024" top="0.78740157499999996" bottom="0.78740157499999996" header="0.31496062000000002" footer="0.31496062000000002"/>
  <pageSetup paperSize="9" orientation="portrait"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L1:L15"/>
  <sheetViews>
    <sheetView workbookViewId="0">
      <selection activeCell="D4" sqref="D4"/>
    </sheetView>
  </sheetViews>
  <sheetFormatPr defaultRowHeight="15" x14ac:dyDescent="0.25"/>
  <sheetData>
    <row r="1" spans="12:12" x14ac:dyDescent="0.25">
      <c r="L1" s="31"/>
    </row>
    <row r="2" spans="12:12" x14ac:dyDescent="0.25">
      <c r="L2" s="31"/>
    </row>
    <row r="3" spans="12:12" x14ac:dyDescent="0.25">
      <c r="L3" s="31"/>
    </row>
    <row r="4" spans="12:12" x14ac:dyDescent="0.25">
      <c r="L4" s="31"/>
    </row>
    <row r="5" spans="12:12" x14ac:dyDescent="0.25">
      <c r="L5" s="31"/>
    </row>
    <row r="6" spans="12:12" x14ac:dyDescent="0.25">
      <c r="L6" s="31"/>
    </row>
    <row r="7" spans="12:12" x14ac:dyDescent="0.25">
      <c r="L7" s="31"/>
    </row>
    <row r="8" spans="12:12" x14ac:dyDescent="0.25">
      <c r="L8" s="31"/>
    </row>
    <row r="9" spans="12:12" x14ac:dyDescent="0.25">
      <c r="L9" s="31"/>
    </row>
    <row r="10" spans="12:12" x14ac:dyDescent="0.25">
      <c r="L10" s="31"/>
    </row>
    <row r="11" spans="12:12" x14ac:dyDescent="0.25">
      <c r="L11" s="31"/>
    </row>
    <row r="12" spans="12:12" x14ac:dyDescent="0.25">
      <c r="L12" s="31"/>
    </row>
    <row r="13" spans="12:12" x14ac:dyDescent="0.25">
      <c r="L13" s="31"/>
    </row>
    <row r="14" spans="12:12" x14ac:dyDescent="0.25">
      <c r="L14" s="31"/>
    </row>
    <row r="15" spans="12:12" x14ac:dyDescent="0.25">
      <c r="L15" s="31"/>
    </row>
  </sheetData>
  <customSheetViews>
    <customSheetView guid="{9B623083-AA7B-440B-95EA-C33E1AB3D963}" state="hidden">
      <selection activeCell="L15" sqref="L15"/>
      <pageMargins left="0.511811024" right="0.511811024" top="0.78740157499999996" bottom="0.78740157499999996" header="0.31496062000000002" footer="0.31496062000000002"/>
    </customSheetView>
    <customSheetView guid="{20CB6D8F-C24D-4D4B-A424-AF380F620455}">
      <selection activeCell="D4" sqref="D4"/>
      <pageMargins left="0.511811024" right="0.511811024" top="0.78740157499999996" bottom="0.78740157499999996" header="0.31496062000000002" footer="0.31496062000000002"/>
    </customSheetView>
    <customSheetView guid="{B3CDE377-BA5D-4E06-91D9-3A48E1959BA5}">
      <selection activeCell="L15" sqref="L15"/>
      <pageMargins left="0.511811024" right="0.511811024" top="0.78740157499999996" bottom="0.78740157499999996" header="0.31496062000000002" footer="0.31496062000000002"/>
    </customSheetView>
    <customSheetView guid="{18A482E0-C8B6-4AA1-9E04-15FA7C9CD5E3}" state="hidden">
      <selection activeCell="L15" sqref="L15"/>
      <pageMargins left="0.511811024" right="0.511811024" top="0.78740157499999996" bottom="0.78740157499999996" header="0.31496062000000002" footer="0.31496062000000002"/>
    </customSheetView>
    <customSheetView guid="{E3841903-5B68-44FD-8F09-58E03D1025C5}" state="hidden">
      <selection activeCell="L15" sqref="L15"/>
      <pageMargins left="0.511811024" right="0.511811024" top="0.78740157499999996" bottom="0.78740157499999996" header="0.31496062000000002" footer="0.31496062000000002"/>
    </customSheetView>
    <customSheetView guid="{86039CF8-B158-4D70-9A6F-A10C29CBD68A}" state="hidden">
      <selection activeCell="L15" sqref="L15"/>
      <pageMargins left="0.511811024" right="0.511811024" top="0.78740157499999996" bottom="0.78740157499999996" header="0.31496062000000002" footer="0.31496062000000002"/>
    </customSheetView>
    <customSheetView guid="{3D987F8E-A6EA-454D-9537-6BFC5053CB00}" state="hidden">
      <selection activeCell="L15" sqref="L15"/>
      <pageMargins left="0.511811024" right="0.511811024" top="0.78740157499999996" bottom="0.78740157499999996" header="0.31496062000000002" footer="0.31496062000000002"/>
    </customSheetView>
  </customSheetView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12</vt:i4>
      </vt:variant>
    </vt:vector>
  </HeadingPairs>
  <TitlesOfParts>
    <vt:vector size="12" baseType="lpstr">
      <vt:lpstr>GLOSSÁRIO</vt:lpstr>
      <vt:lpstr>Patrícia</vt:lpstr>
      <vt:lpstr>Marcelo</vt:lpstr>
      <vt:lpstr>TOTAL</vt:lpstr>
      <vt:lpstr>Diego</vt:lpstr>
      <vt:lpstr>Aelton</vt:lpstr>
      <vt:lpstr>Leonam</vt:lpstr>
      <vt:lpstr>Danilo</vt:lpstr>
      <vt:lpstr>Marcos</vt:lpstr>
      <vt:lpstr>Alessandro</vt:lpstr>
      <vt:lpstr>Carlos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Marcelo Lucio Saboia Fonseca</dc:creator>
  <cp:lastModifiedBy>Diego Santos de Abreu</cp:lastModifiedBy>
  <dcterms:created xsi:type="dcterms:W3CDTF">2025-02-20T15:04:38Z</dcterms:created>
  <dcterms:modified xsi:type="dcterms:W3CDTF">2026-01-19T18:11:06Z</dcterms:modified>
</cp:coreProperties>
</file>
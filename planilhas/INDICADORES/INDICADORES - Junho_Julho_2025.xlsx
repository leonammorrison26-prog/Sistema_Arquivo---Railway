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90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7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6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Atividade Semanal - Equipe\z INDICADORES - POR DIA\"/>
    </mc:Choice>
  </mc:AlternateContent>
  <xr:revisionPtr revIDLastSave="0" documentId="13_ncr:81_{AC67BC90-C44E-47AD-BEEE-153F595E7C5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GLOSSÁRIO" sheetId="12" r:id="rId1"/>
    <sheet name="Patrícia" sheetId="1" r:id="rId2"/>
    <sheet name="Marcelo" sheetId="2" r:id="rId3"/>
    <sheet name="TOTAL" sheetId="3" r:id="rId4"/>
    <sheet name="Diego" sheetId="4" r:id="rId5"/>
    <sheet name="Aelton" sheetId="5" r:id="rId6"/>
    <sheet name="Leonam" sheetId="6" r:id="rId7"/>
    <sheet name="Danilo" sheetId="7" r:id="rId8"/>
    <sheet name="Marcos" sheetId="8" r:id="rId9"/>
    <sheet name="Carlos" sheetId="9" r:id="rId10"/>
    <sheet name="Alessandro" sheetId="10" r:id="rId11"/>
    <sheet name="Planilha1" sheetId="11" state="hidden" r:id="rId12"/>
  </sheets>
  <definedNames>
    <definedName name="_xlnm._FilterDatabase" localSheetId="5" hidden="1">Aelton!$A$1:$A$18</definedName>
    <definedName name="_xlnm._FilterDatabase" localSheetId="10" hidden="1">Alessandro!$A$1:$A$18</definedName>
    <definedName name="_xlnm._FilterDatabase" localSheetId="9" hidden="1">Carlos!$A$1:$A$18</definedName>
    <definedName name="_xlnm._FilterDatabase" localSheetId="7" hidden="1">Danilo!$A$1:$A$31</definedName>
    <definedName name="_xlnm._FilterDatabase" localSheetId="4" hidden="1">Diego!$A$1:$A$18</definedName>
    <definedName name="_xlnm._FilterDatabase" localSheetId="6" hidden="1">Leonam!$A$1:$BD$18</definedName>
    <definedName name="_xlnm._FilterDatabase" localSheetId="2" hidden="1">Marcelo!$A$1:$A$18</definedName>
    <definedName name="_xlnm._FilterDatabase" localSheetId="8" hidden="1">Marcos!$A$1:$A$18</definedName>
    <definedName name="_xlnm._FilterDatabase" localSheetId="1" hidden="1">Patrícia!$A$1:$A$18</definedName>
    <definedName name="_xlnm._FilterDatabase" localSheetId="3" hidden="1">TOTAL!$A$1:$A$18</definedName>
    <definedName name="_xleta.N" hidden="1">#NAME?</definedName>
    <definedName name="Z_0B55FC46_3C4C_40FA_8D19_F188F3837C28_.wvu.FilterData" localSheetId="8" hidden="1">Marcos!$A$1:$A$18</definedName>
    <definedName name="Z_1510BE18_73CC_483F_9E2C_433AE8548BC0_.wvu.FilterData" localSheetId="9" hidden="1">Carlos!$A$1:$A$18</definedName>
    <definedName name="Z_1510BE18_73CC_483F_9E2C_433AE8548BC0_.wvu.FilterData" localSheetId="4" hidden="1">Diego!$A$1:$A$18</definedName>
    <definedName name="Z_1510BE18_73CC_483F_9E2C_433AE8548BC0_.wvu.FilterData" localSheetId="6" hidden="1">Leonam!$A$1:$BD$18</definedName>
    <definedName name="Z_1510BE18_73CC_483F_9E2C_433AE8548BC0_.wvu.FilterData" localSheetId="8" hidden="1">Marcos!$A$1:$A$18</definedName>
    <definedName name="Z_18A482E0_C8B6_4AA1_9E04_15FA7C9CD5E3_.wvu.FilterData" localSheetId="5" hidden="1">Aelton!$A$1:$A$18</definedName>
    <definedName name="Z_18A482E0_C8B6_4AA1_9E04_15FA7C9CD5E3_.wvu.FilterData" localSheetId="10" hidden="1">Alessandro!$A$1:$A$18</definedName>
    <definedName name="Z_18A482E0_C8B6_4AA1_9E04_15FA7C9CD5E3_.wvu.FilterData" localSheetId="9" hidden="1">Carlos!$A$1:$A$18</definedName>
    <definedName name="Z_18A482E0_C8B6_4AA1_9E04_15FA7C9CD5E3_.wvu.FilterData" localSheetId="7" hidden="1">Danilo!$A$1:$A$31</definedName>
    <definedName name="Z_18A482E0_C8B6_4AA1_9E04_15FA7C9CD5E3_.wvu.FilterData" localSheetId="4" hidden="1">Diego!$A$1:$A$18</definedName>
    <definedName name="Z_18A482E0_C8B6_4AA1_9E04_15FA7C9CD5E3_.wvu.FilterData" localSheetId="6" hidden="1">Leonam!$A$1:$BD$18</definedName>
    <definedName name="Z_18A482E0_C8B6_4AA1_9E04_15FA7C9CD5E3_.wvu.FilterData" localSheetId="2" hidden="1">Marcelo!$A$1:$A$18</definedName>
    <definedName name="Z_18A482E0_C8B6_4AA1_9E04_15FA7C9CD5E3_.wvu.FilterData" localSheetId="8" hidden="1">Marcos!$A$1:$A$18</definedName>
    <definedName name="Z_18A482E0_C8B6_4AA1_9E04_15FA7C9CD5E3_.wvu.FilterData" localSheetId="1" hidden="1">Patrícia!$A$1:$A$18</definedName>
    <definedName name="Z_18A482E0_C8B6_4AA1_9E04_15FA7C9CD5E3_.wvu.FilterData" localSheetId="3" hidden="1">TOTAL!$A$1:$A$18</definedName>
    <definedName name="Z_1BDA250B_2920_4BD7_A433_977E2DD900C8_.wvu.FilterData" localSheetId="7" hidden="1">Danilo!$A$1:$A$31</definedName>
    <definedName name="Z_1BDA250B_2920_4BD7_A433_977E2DD900C8_.wvu.FilterData" localSheetId="8" hidden="1">Marcos!$A$1:$A$18</definedName>
    <definedName name="Z_20CB6D8F_C24D_4D4B_A424_AF380F620455_.wvu.FilterData" localSheetId="5" hidden="1">Aelton!$A$1:$A$18</definedName>
    <definedName name="Z_20CB6D8F_C24D_4D4B_A424_AF380F620455_.wvu.FilterData" localSheetId="10" hidden="1">Alessandro!$A$1:$A$18</definedName>
    <definedName name="Z_20CB6D8F_C24D_4D4B_A424_AF380F620455_.wvu.FilterData" localSheetId="9" hidden="1">Carlos!$A$1:$A$18</definedName>
    <definedName name="Z_20CB6D8F_C24D_4D4B_A424_AF380F620455_.wvu.FilterData" localSheetId="7" hidden="1">Danilo!$A$1:$A$31</definedName>
    <definedName name="Z_20CB6D8F_C24D_4D4B_A424_AF380F620455_.wvu.FilterData" localSheetId="4" hidden="1">Diego!$A$1:$A$18</definedName>
    <definedName name="Z_20CB6D8F_C24D_4D4B_A424_AF380F620455_.wvu.FilterData" localSheetId="6" hidden="1">Leonam!$A$1:$BD$18</definedName>
    <definedName name="Z_20CB6D8F_C24D_4D4B_A424_AF380F620455_.wvu.FilterData" localSheetId="2" hidden="1">Marcelo!$A$1:$A$18</definedName>
    <definedName name="Z_20CB6D8F_C24D_4D4B_A424_AF380F620455_.wvu.FilterData" localSheetId="8" hidden="1">Marcos!$A$1:$A$18</definedName>
    <definedName name="Z_20CB6D8F_C24D_4D4B_A424_AF380F620455_.wvu.FilterData" localSheetId="1" hidden="1">Patrícia!$A$1:$A$18</definedName>
    <definedName name="Z_20CB6D8F_C24D_4D4B_A424_AF380F620455_.wvu.FilterData" localSheetId="3" hidden="1">TOTAL!$A$1:$A$18</definedName>
    <definedName name="Z_26904941_D7A6_4400_A4D4_FC1C61AD552D_.wvu.FilterData" localSheetId="6" hidden="1">Leonam!$A$1:$BD$18</definedName>
    <definedName name="Z_27D1146D_2AA0_4FD6_A294_24C99A5284B4_.wvu.FilterData" localSheetId="10" hidden="1">Alessandro!$A$1:$A$18</definedName>
    <definedName name="Z_3CC06121_2B9B_48D6_95F1_5B29B3ACEAC3_.wvu.FilterData" localSheetId="6" hidden="1">Leonam!$A$1:$BD$18</definedName>
    <definedName name="Z_3D987F8E_A6EA_454D_9537_6BFC5053CB00_.wvu.FilterData" localSheetId="5" hidden="1">Aelton!$A$1:$A$18</definedName>
    <definedName name="Z_3D987F8E_A6EA_454D_9537_6BFC5053CB00_.wvu.FilterData" localSheetId="10" hidden="1">Alessandro!$A$1:$A$18</definedName>
    <definedName name="Z_3D987F8E_A6EA_454D_9537_6BFC5053CB00_.wvu.FilterData" localSheetId="9" hidden="1">Carlos!$A$1:$A$18</definedName>
    <definedName name="Z_3D987F8E_A6EA_454D_9537_6BFC5053CB00_.wvu.FilterData" localSheetId="7" hidden="1">Danilo!$A$1:$A$31</definedName>
    <definedName name="Z_3D987F8E_A6EA_454D_9537_6BFC5053CB00_.wvu.FilterData" localSheetId="4" hidden="1">Diego!$A$1:$A$18</definedName>
    <definedName name="Z_3D987F8E_A6EA_454D_9537_6BFC5053CB00_.wvu.FilterData" localSheetId="6" hidden="1">Leonam!$A$1:$BD$18</definedName>
    <definedName name="Z_3D987F8E_A6EA_454D_9537_6BFC5053CB00_.wvu.FilterData" localSheetId="2" hidden="1">Marcelo!$A$1:$A$18</definedName>
    <definedName name="Z_3D987F8E_A6EA_454D_9537_6BFC5053CB00_.wvu.FilterData" localSheetId="8" hidden="1">Marcos!$A$1:$A$18</definedName>
    <definedName name="Z_3D987F8E_A6EA_454D_9537_6BFC5053CB00_.wvu.FilterData" localSheetId="1" hidden="1">Patrícia!$A$1:$A$18</definedName>
    <definedName name="Z_3D987F8E_A6EA_454D_9537_6BFC5053CB00_.wvu.FilterData" localSheetId="3" hidden="1">TOTAL!$A$1:$A$18</definedName>
    <definedName name="Z_4079B0E0_0C38_4415_85D0_9ADAAD8545C0_.wvu.FilterData" localSheetId="7" hidden="1">Danilo!$A$1:$A$31</definedName>
    <definedName name="Z_4079B0E0_0C38_4415_85D0_9ADAAD8545C0_.wvu.FilterData" localSheetId="4" hidden="1">Diego!$A$1:$A$18</definedName>
    <definedName name="Z_4079B0E0_0C38_4415_85D0_9ADAAD8545C0_.wvu.FilterData" localSheetId="3" hidden="1">TOTAL!$A$1:$A$18</definedName>
    <definedName name="Z_4C2581D1_FB98_41CF_B2FE_518BD27D9442_.wvu.FilterData" localSheetId="5" hidden="1">Aelton!$A$1:$A$18</definedName>
    <definedName name="Z_4C2581D1_FB98_41CF_B2FE_518BD27D9442_.wvu.FilterData" localSheetId="6" hidden="1">Leonam!$A$1:$BD$18</definedName>
    <definedName name="Z_4C2581D1_FB98_41CF_B2FE_518BD27D9442_.wvu.FilterData" localSheetId="8" hidden="1">Marcos!$A$1:$A$18</definedName>
    <definedName name="Z_4E060732_83F8_4DF4_BA69_E86233C09DEB_.wvu.FilterData" localSheetId="4" hidden="1">Diego!$A$1:$A$18</definedName>
    <definedName name="Z_527DBFB3_F830_471C_A755_D892B2B1A236_.wvu.FilterData" localSheetId="8" hidden="1">Marcos!$A$1:$A$18</definedName>
    <definedName name="Z_6192735B_895E_467E_8A7A_A96CA401E8FC_.wvu.FilterData" localSheetId="5" hidden="1">Aelton!$A$1:$A$18</definedName>
    <definedName name="Z_6192735B_895E_467E_8A7A_A96CA401E8FC_.wvu.FilterData" localSheetId="4" hidden="1">Diego!$A$1:$A$18</definedName>
    <definedName name="Z_6192735B_895E_467E_8A7A_A96CA401E8FC_.wvu.FilterData" localSheetId="8" hidden="1">Marcos!$A$1:$A$18</definedName>
    <definedName name="Z_61D1DCE3_0F76_42AD_BA8D_EA23AEA54BEF_.wvu.FilterData" localSheetId="8" hidden="1">Marcos!$A$1:$A$18</definedName>
    <definedName name="Z_63529BB9_7B0C_4CFB_832A_9827D1497A2D_.wvu.FilterData" localSheetId="10" hidden="1">Alessandro!$A$1:$A$18</definedName>
    <definedName name="Z_63529BB9_7B0C_4CFB_832A_9827D1497A2D_.wvu.FilterData" localSheetId="7" hidden="1">Danilo!$A$1:$A$31</definedName>
    <definedName name="Z_738B9F68_9A21_4046_A982_E676530BDBAD_.wvu.FilterData" localSheetId="6" hidden="1">Leonam!$A$1:$BD$18</definedName>
    <definedName name="Z_746A910F_57F7_4BB6_BAEE_91398E13A270_.wvu.FilterData" localSheetId="4" hidden="1">Diego!$A$1:$A$18</definedName>
    <definedName name="Z_82015759_A7A4_4B45_A07B_67FCECB10C26_.wvu.FilterData" localSheetId="7" hidden="1">Danilo!$A$1:$A$31</definedName>
    <definedName name="Z_82015759_A7A4_4B45_A07B_67FCECB10C26_.wvu.FilterData" localSheetId="8" hidden="1">Marcos!$A$1:$A$18</definedName>
    <definedName name="Z_86039CF8_B158_4D70_9A6F_A10C29CBD68A_.wvu.FilterData" localSheetId="5" hidden="1">Aelton!$A$1:$A$18</definedName>
    <definedName name="Z_86039CF8_B158_4D70_9A6F_A10C29CBD68A_.wvu.FilterData" localSheetId="10" hidden="1">Alessandro!$A$1:$A$18</definedName>
    <definedName name="Z_86039CF8_B158_4D70_9A6F_A10C29CBD68A_.wvu.FilterData" localSheetId="9" hidden="1">Carlos!$A$1:$A$18</definedName>
    <definedName name="Z_86039CF8_B158_4D70_9A6F_A10C29CBD68A_.wvu.FilterData" localSheetId="7" hidden="1">Danilo!$A$1:$A$31</definedName>
    <definedName name="Z_86039CF8_B158_4D70_9A6F_A10C29CBD68A_.wvu.FilterData" localSheetId="4" hidden="1">Diego!$A$1:$A$18</definedName>
    <definedName name="Z_86039CF8_B158_4D70_9A6F_A10C29CBD68A_.wvu.FilterData" localSheetId="6" hidden="1">Leonam!$A$1:$BD$18</definedName>
    <definedName name="Z_86039CF8_B158_4D70_9A6F_A10C29CBD68A_.wvu.FilterData" localSheetId="2" hidden="1">Marcelo!$A$1:$A$18</definedName>
    <definedName name="Z_86039CF8_B158_4D70_9A6F_A10C29CBD68A_.wvu.FilterData" localSheetId="8" hidden="1">Marcos!$A$1:$A$18</definedName>
    <definedName name="Z_86039CF8_B158_4D70_9A6F_A10C29CBD68A_.wvu.FilterData" localSheetId="1" hidden="1">Patrícia!$A$1:$A$18</definedName>
    <definedName name="Z_86039CF8_B158_4D70_9A6F_A10C29CBD68A_.wvu.FilterData" localSheetId="3" hidden="1">TOTAL!$A$1:$A$18</definedName>
    <definedName name="Z_8AAB51A6_A0E3_4A5A_83CE_A375636D0BFE_.wvu.FilterData" localSheetId="5" hidden="1">Aelton!$A$1:$A$18</definedName>
    <definedName name="Z_8B8567AE_2A03_4707_8762_CDE0AA44BA28_.wvu.FilterData" localSheetId="5" hidden="1">Aelton!$A$1:$A$18</definedName>
    <definedName name="Z_8B8567AE_2A03_4707_8762_CDE0AA44BA28_.wvu.FilterData" localSheetId="4" hidden="1">Diego!$A$1:$A$18</definedName>
    <definedName name="Z_8B8567AE_2A03_4707_8762_CDE0AA44BA28_.wvu.FilterData" localSheetId="8" hidden="1">Marcos!$A$1:$A$18</definedName>
    <definedName name="Z_931E1DCD_AE31_4DFC_AEE0_716590C2FB18_.wvu.FilterData" localSheetId="3" hidden="1">TOTAL!$A$1:$A$18</definedName>
    <definedName name="Z_983ADA86_E669_487C_9992_26F9F57FF6A8_.wvu.FilterData" localSheetId="4" hidden="1">Diego!$A$1:$A$18</definedName>
    <definedName name="Z_9B623083_AA7B_440B_95EA_C33E1AB3D963_.wvu.FilterData" localSheetId="5" hidden="1">Aelton!$A$1:$A$18</definedName>
    <definedName name="Z_9B623083_AA7B_440B_95EA_C33E1AB3D963_.wvu.FilterData" localSheetId="10" hidden="1">Alessandro!$A$1:$A$18</definedName>
    <definedName name="Z_9B623083_AA7B_440B_95EA_C33E1AB3D963_.wvu.FilterData" localSheetId="9" hidden="1">Carlos!$A$1:$A$18</definedName>
    <definedName name="Z_9B623083_AA7B_440B_95EA_C33E1AB3D963_.wvu.FilterData" localSheetId="7" hidden="1">Danilo!$A$1:$A$31</definedName>
    <definedName name="Z_9B623083_AA7B_440B_95EA_C33E1AB3D963_.wvu.FilterData" localSheetId="4" hidden="1">Diego!$A$1:$A$18</definedName>
    <definedName name="Z_9B623083_AA7B_440B_95EA_C33E1AB3D963_.wvu.FilterData" localSheetId="6" hidden="1">Leonam!$A$1:$BD$18</definedName>
    <definedName name="Z_9B623083_AA7B_440B_95EA_C33E1AB3D963_.wvu.FilterData" localSheetId="2" hidden="1">Marcelo!$A$1:$A$18</definedName>
    <definedName name="Z_9B623083_AA7B_440B_95EA_C33E1AB3D963_.wvu.FilterData" localSheetId="8" hidden="1">Marcos!$A$1:$A$18</definedName>
    <definedName name="Z_9B623083_AA7B_440B_95EA_C33E1AB3D963_.wvu.FilterData" localSheetId="1" hidden="1">Patrícia!$A$1:$A$18</definedName>
    <definedName name="Z_9B623083_AA7B_440B_95EA_C33E1AB3D963_.wvu.FilterData" localSheetId="3" hidden="1">TOTAL!$A$1:$A$18</definedName>
    <definedName name="Z_B3CDE377_BA5D_4E06_91D9_3A48E1959BA5_.wvu.FilterData" localSheetId="5" hidden="1">Aelton!$A$1:$A$18</definedName>
    <definedName name="Z_B3CDE377_BA5D_4E06_91D9_3A48E1959BA5_.wvu.FilterData" localSheetId="10" hidden="1">Alessandro!$A$1:$A$18</definedName>
    <definedName name="Z_B3CDE377_BA5D_4E06_91D9_3A48E1959BA5_.wvu.FilterData" localSheetId="9" hidden="1">Carlos!$A$1:$A$18</definedName>
    <definedName name="Z_B3CDE377_BA5D_4E06_91D9_3A48E1959BA5_.wvu.FilterData" localSheetId="7" hidden="1">Danilo!$A$1:$A$31</definedName>
    <definedName name="Z_B3CDE377_BA5D_4E06_91D9_3A48E1959BA5_.wvu.FilterData" localSheetId="4" hidden="1">Diego!$A$1:$A$18</definedName>
    <definedName name="Z_B3CDE377_BA5D_4E06_91D9_3A48E1959BA5_.wvu.FilterData" localSheetId="6" hidden="1">Leonam!$A$1:$BD$18</definedName>
    <definedName name="Z_B3CDE377_BA5D_4E06_91D9_3A48E1959BA5_.wvu.FilterData" localSheetId="2" hidden="1">Marcelo!$A$1:$A$18</definedName>
    <definedName name="Z_B3CDE377_BA5D_4E06_91D9_3A48E1959BA5_.wvu.FilterData" localSheetId="8" hidden="1">Marcos!$A$1:$A$18</definedName>
    <definedName name="Z_B3CDE377_BA5D_4E06_91D9_3A48E1959BA5_.wvu.FilterData" localSheetId="1" hidden="1">Patrícia!$A$1:$A$18</definedName>
    <definedName name="Z_B3CDE377_BA5D_4E06_91D9_3A48E1959BA5_.wvu.FilterData" localSheetId="3" hidden="1">TOTAL!$A$1:$A$18</definedName>
    <definedName name="Z_C1ADD972_3048_4C11_83EA_7D7DA864B713_.wvu.FilterData" localSheetId="5" hidden="1">Aelton!$A$1:$A$18</definedName>
    <definedName name="Z_C1ADD972_3048_4C11_83EA_7D7DA864B713_.wvu.FilterData" localSheetId="4" hidden="1">Diego!$A$1:$A$18</definedName>
    <definedName name="Z_C1ADD972_3048_4C11_83EA_7D7DA864B713_.wvu.FilterData" localSheetId="6" hidden="1">Leonam!$A$1:$BD$18</definedName>
    <definedName name="Z_C1ADD972_3048_4C11_83EA_7D7DA864B713_.wvu.FilterData" localSheetId="8" hidden="1">Marcos!$A$1:$A$18</definedName>
    <definedName name="Z_C9005B68_77F0_401C_8512_BE258B93D9F2_.wvu.FilterData" localSheetId="4" hidden="1">Diego!$A$1:$A$18</definedName>
    <definedName name="Z_CE4DE222_11C2_412F_9CD7_EACF481F4CE0_.wvu.FilterData" localSheetId="8" hidden="1">Marcos!$A$1:$A$18</definedName>
    <definedName name="Z_D053F25B_24B7_4DEA_9B1C_24248F2011C5_.wvu.FilterData" localSheetId="5" hidden="1">Aelton!$A$1:$A$18</definedName>
    <definedName name="Z_D52625D1_E6F2_417B_8A99_DF0FDA1E26C0_.wvu.FilterData" localSheetId="5" hidden="1">Aelton!$A$1:$A$18</definedName>
    <definedName name="Z_D52625D1_E6F2_417B_8A99_DF0FDA1E26C0_.wvu.FilterData" localSheetId="6" hidden="1">Leonam!$A$1:$BD$18</definedName>
    <definedName name="Z_D52625D1_E6F2_417B_8A99_DF0FDA1E26C0_.wvu.FilterData" localSheetId="3" hidden="1">TOTAL!$A$1:$A$18</definedName>
    <definedName name="Z_DC414A74_72F4_4549_81B1_CAD9C736E1BE_.wvu.FilterData" localSheetId="10" hidden="1">Alessandro!$A$1:$A$18</definedName>
    <definedName name="Z_DC414A74_72F4_4549_81B1_CAD9C736E1BE_.wvu.FilterData" localSheetId="4" hidden="1">Diego!$A$1:$A$18</definedName>
    <definedName name="Z_DC414A74_72F4_4549_81B1_CAD9C736E1BE_.wvu.FilterData" localSheetId="6" hidden="1">Leonam!$A$1:$BD$18</definedName>
    <definedName name="Z_E0978B37_608F_4A77_B1C8_D080ABC76CC9_.wvu.FilterData" localSheetId="5" hidden="1">Aelton!$A$1:$A$18</definedName>
    <definedName name="Z_E0978B37_608F_4A77_B1C8_D080ABC76CC9_.wvu.FilterData" localSheetId="7" hidden="1">Danilo!$A$1:$A$31</definedName>
    <definedName name="Z_E0978B37_608F_4A77_B1C8_D080ABC76CC9_.wvu.FilterData" localSheetId="4" hidden="1">Diego!$A$1:$A$18</definedName>
    <definedName name="Z_E0978B37_608F_4A77_B1C8_D080ABC76CC9_.wvu.FilterData" localSheetId="6" hidden="1">Leonam!$A$1:$BD$18</definedName>
    <definedName name="Z_E2C6012C_29C5_476E_8662_2FBB90014003_.wvu.FilterData" localSheetId="9" hidden="1">Carlos!$A$1:$A$18</definedName>
    <definedName name="Z_E2C6012C_29C5_476E_8662_2FBB90014003_.wvu.FilterData" localSheetId="7" hidden="1">Danilo!$A$1:$A$31</definedName>
    <definedName name="Z_E2C6012C_29C5_476E_8662_2FBB90014003_.wvu.FilterData" localSheetId="6" hidden="1">Leonam!$A$1:$BD$18</definedName>
    <definedName name="Z_E2C6012C_29C5_476E_8662_2FBB90014003_.wvu.FilterData" localSheetId="8" hidden="1">Marcos!$A$1:$A$18</definedName>
    <definedName name="Z_E3841903_5B68_44FD_8F09_58E03D1025C5_.wvu.FilterData" localSheetId="5" hidden="1">Aelton!$A$1:$A$18</definedName>
    <definedName name="Z_E3841903_5B68_44FD_8F09_58E03D1025C5_.wvu.FilterData" localSheetId="10" hidden="1">Alessandro!$A$1:$A$18</definedName>
    <definedName name="Z_E3841903_5B68_44FD_8F09_58E03D1025C5_.wvu.FilterData" localSheetId="9" hidden="1">Carlos!$A$1:$A$18</definedName>
    <definedName name="Z_E3841903_5B68_44FD_8F09_58E03D1025C5_.wvu.FilterData" localSheetId="7" hidden="1">Danilo!$A$1:$A$31</definedName>
    <definedName name="Z_E3841903_5B68_44FD_8F09_58E03D1025C5_.wvu.FilterData" localSheetId="4" hidden="1">Diego!$A$1:$A$18</definedName>
    <definedName name="Z_E3841903_5B68_44FD_8F09_58E03D1025C5_.wvu.FilterData" localSheetId="6" hidden="1">Leonam!$A$1:$BD$18</definedName>
    <definedName name="Z_E3841903_5B68_44FD_8F09_58E03D1025C5_.wvu.FilterData" localSheetId="2" hidden="1">Marcelo!$A$1:$A$18</definedName>
    <definedName name="Z_E3841903_5B68_44FD_8F09_58E03D1025C5_.wvu.FilterData" localSheetId="8" hidden="1">Marcos!$A$1:$A$18</definedName>
    <definedName name="Z_E3841903_5B68_44FD_8F09_58E03D1025C5_.wvu.FilterData" localSheetId="1" hidden="1">Patrícia!$A$1:$A$18</definedName>
    <definedName name="Z_E3841903_5B68_44FD_8F09_58E03D1025C5_.wvu.FilterData" localSheetId="3" hidden="1">TOTAL!$A$1:$A$18</definedName>
    <definedName name="Z_E3BDEF0F_8CAB_47D6_8677_524136F6334A_.wvu.FilterData" localSheetId="5" hidden="1">Aelton!$A$1:$A$18</definedName>
    <definedName name="Z_E3BDEF0F_8CAB_47D6_8677_524136F6334A_.wvu.FilterData" localSheetId="8" hidden="1">Marcos!$A$1:$A$18</definedName>
    <definedName name="Z_F2A70F1D_FC6F_4CDB_909A_694615A9BAA7_.wvu.FilterData" localSheetId="6" hidden="1">Leonam!$A$1:$BD$18</definedName>
    <definedName name="Z_F746DF90_E320_4742_9A38_81866CC9E10D_.wvu.FilterData" localSheetId="4" hidden="1">Diego!$A$1:$A$18</definedName>
  </definedNames>
  <calcPr calcId="191029"/>
  <customWorkbookViews>
    <customWorkbookView name="Alessandro Borges de Araújo - Modo de exibição pessoal" guid="{3D987F8E-A6EA-454D-9537-6BFC5053CB00}" mergeInterval="0" personalView="1" maximized="1" xWindow="-8" yWindow="-8" windowWidth="1936" windowHeight="1056" activeSheetId="3"/>
    <customWorkbookView name="Marcos Neves de Almeida - Modo de exibição pessoal" guid="{E3841903-5B68-44FD-8F09-58E03D1025C5}" mergeInterval="0" personalView="1" maximized="1" xWindow="-8" yWindow="-8" windowWidth="1616" windowHeight="876" activeSheetId="8"/>
    <customWorkbookView name="Leonam Morrison Monteiro de Oliveira - Modo de exibição pessoal" guid="{9B623083-AA7B-440B-95EA-C33E1AB3D963}" autoUpdate="1" mergeInterval="15" personalView="1" maximized="1" xWindow="-8" yWindow="-8" windowWidth="1616" windowHeight="876" activeSheetId="6"/>
    <customWorkbookView name="Patrícia Ferreira Costa Alves - Modo de exibição pessoal" guid="{552DFCCD-1786-4D75-8B10-27DD730384DD}" mergeInterval="0" personalView="1" xWindow="2175" yWindow="114" windowWidth="1440" windowHeight="759" activeSheetId="1"/>
    <customWorkbookView name="Carlos da Silva Dias - Modo de exibição pessoal" guid="{C69767F5-CD39-44C1-AD4B-CE19DC8285A6}" mergeInterval="0" personalView="1" maximized="1" xWindow="-8" yWindow="-8" windowWidth="1616" windowHeight="876" activeSheetId="9"/>
    <customWorkbookView name="Marcelo Lucio Saboia Fonseca - Modo de exibição pessoal" guid="{18A482E0-C8B6-4AA1-9E04-15FA7C9CD5E3}" mergeInterval="0" personalView="1" maximized="1" xWindow="-8" yWindow="-8" windowWidth="1696" windowHeight="1026" activeSheetId="3"/>
    <customWorkbookView name="Diego Santos de Abreu - Modo de exibição pessoal" guid="{20CB6D8F-C24D-4D4B-A424-AF380F620455}" mergeInterval="0" personalView="1" maximized="1" xWindow="1592" yWindow="-8" windowWidth="1616" windowHeight="876" activeSheetId="4"/>
    <customWorkbookView name="Danilo Rafael Basilio da Silva - Modo de exibição pessoal" guid="{B3CDE377-BA5D-4E06-91D9-3A48E1959BA5}" mergeInterval="0" personalView="1" maximized="1" xWindow="-8" yWindow="-8" windowWidth="1616" windowHeight="876" activeSheetId="7"/>
    <customWorkbookView name="Aelton de Jesus Nunes - Modo de exibição pessoal" guid="{86039CF8-B158-4D70-9A6F-A10C29CBD68A}" mergeInterval="0" personalView="1" maximized="1" xWindow="-8" yWindow="-8" windowWidth="1616" windowHeight="876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3" l="1"/>
  <c r="K15" i="3"/>
  <c r="K14" i="3"/>
  <c r="K13" i="3"/>
  <c r="K12" i="3"/>
  <c r="K11" i="3"/>
  <c r="K10" i="3"/>
  <c r="K9" i="3"/>
  <c r="K8" i="3"/>
  <c r="K6" i="3"/>
  <c r="K5" i="3"/>
  <c r="K4" i="3"/>
  <c r="K3" i="3"/>
  <c r="K2" i="3"/>
  <c r="J16" i="3"/>
  <c r="J15" i="3"/>
  <c r="J14" i="3"/>
  <c r="J13" i="3"/>
  <c r="J12" i="3"/>
  <c r="J11" i="3"/>
  <c r="J10" i="3"/>
  <c r="J9" i="3"/>
  <c r="J8" i="3"/>
  <c r="J7" i="3"/>
  <c r="J6" i="3"/>
  <c r="J4" i="3"/>
  <c r="J3" i="3"/>
  <c r="J2" i="3"/>
  <c r="I11" i="3"/>
  <c r="I16" i="3"/>
  <c r="I14" i="3"/>
  <c r="I13" i="3"/>
  <c r="I12" i="3"/>
  <c r="I10" i="3"/>
  <c r="I9" i="3"/>
  <c r="I8" i="3"/>
  <c r="I7" i="3"/>
  <c r="I6" i="3"/>
  <c r="I5" i="3"/>
  <c r="H15" i="3"/>
  <c r="H13" i="3"/>
  <c r="T2" i="6"/>
  <c r="F13" i="3"/>
  <c r="F12" i="3"/>
  <c r="F11" i="3"/>
  <c r="Z11" i="8"/>
  <c r="E13" i="3"/>
  <c r="E14" i="3"/>
  <c r="C15" i="3"/>
  <c r="C16" i="3"/>
  <c r="D14" i="3"/>
  <c r="E10" i="3"/>
  <c r="E15" i="3"/>
  <c r="D5" i="3"/>
  <c r="D2" i="3"/>
  <c r="C6" i="3"/>
  <c r="G16" i="3"/>
  <c r="F16" i="3"/>
  <c r="H16" i="4"/>
  <c r="C3" i="3"/>
  <c r="C2" i="3"/>
  <c r="BP16" i="5"/>
  <c r="BP15" i="5"/>
  <c r="BP14" i="5"/>
  <c r="BP13" i="5"/>
  <c r="BP12" i="5"/>
  <c r="BP11" i="5"/>
  <c r="BP10" i="5"/>
  <c r="BP9" i="5"/>
  <c r="BP8" i="5"/>
  <c r="BP7" i="5"/>
  <c r="BP6" i="5"/>
  <c r="BP5" i="5"/>
  <c r="BP4" i="5"/>
  <c r="BP3" i="5"/>
  <c r="BP2" i="5"/>
  <c r="BJ16" i="5"/>
  <c r="BJ15" i="5"/>
  <c r="BJ14" i="5"/>
  <c r="BJ13" i="5"/>
  <c r="BJ12" i="5"/>
  <c r="BJ11" i="5"/>
  <c r="BJ10" i="5"/>
  <c r="BJ9" i="5"/>
  <c r="BJ8" i="5"/>
  <c r="BJ7" i="5"/>
  <c r="BJ6" i="5"/>
  <c r="BJ5" i="5"/>
  <c r="BJ4" i="5"/>
  <c r="BJ3" i="5"/>
  <c r="BJ2" i="5"/>
  <c r="AL15" i="7"/>
  <c r="AX15" i="7"/>
  <c r="AX12" i="7"/>
  <c r="I3" i="3"/>
  <c r="I4" i="3"/>
  <c r="BD16" i="1"/>
  <c r="AX16" i="1"/>
  <c r="AR16" i="1"/>
  <c r="AL16" i="1"/>
  <c r="AF16" i="1"/>
  <c r="Z16" i="1"/>
  <c r="T16" i="1"/>
  <c r="N16" i="1"/>
  <c r="H16" i="1"/>
  <c r="BD15" i="1"/>
  <c r="AX15" i="1"/>
  <c r="AR15" i="1"/>
  <c r="AL15" i="1"/>
  <c r="AF15" i="1"/>
  <c r="Z15" i="1"/>
  <c r="T15" i="1"/>
  <c r="N15" i="1"/>
  <c r="H15" i="1"/>
  <c r="BD14" i="1"/>
  <c r="AX14" i="1"/>
  <c r="AR14" i="1"/>
  <c r="AL14" i="1"/>
  <c r="AF14" i="1"/>
  <c r="Z14" i="1"/>
  <c r="T14" i="1"/>
  <c r="N14" i="1"/>
  <c r="H14" i="1"/>
  <c r="BD13" i="1"/>
  <c r="AX13" i="1"/>
  <c r="AR13" i="1"/>
  <c r="AL13" i="1"/>
  <c r="AF13" i="1"/>
  <c r="Z13" i="1"/>
  <c r="T13" i="1"/>
  <c r="N13" i="1"/>
  <c r="H13" i="1"/>
  <c r="BD12" i="1"/>
  <c r="AX12" i="1"/>
  <c r="AR12" i="1"/>
  <c r="AL12" i="1"/>
  <c r="AF12" i="1"/>
  <c r="Z12" i="1"/>
  <c r="T12" i="1"/>
  <c r="N12" i="1"/>
  <c r="H12" i="1"/>
  <c r="BD11" i="1"/>
  <c r="AX11" i="1"/>
  <c r="AR11" i="1"/>
  <c r="AL11" i="1"/>
  <c r="AF11" i="1"/>
  <c r="Z11" i="1"/>
  <c r="T11" i="1"/>
  <c r="N11" i="1"/>
  <c r="H11" i="1"/>
  <c r="BD10" i="1"/>
  <c r="AX10" i="1"/>
  <c r="AR10" i="1"/>
  <c r="AL10" i="1"/>
  <c r="AF10" i="1"/>
  <c r="Z10" i="1"/>
  <c r="T10" i="1"/>
  <c r="N10" i="1"/>
  <c r="H10" i="1"/>
  <c r="BD9" i="1"/>
  <c r="AX9" i="1"/>
  <c r="AR9" i="1"/>
  <c r="AL9" i="1"/>
  <c r="AF9" i="1"/>
  <c r="Z9" i="1"/>
  <c r="T9" i="1"/>
  <c r="N9" i="1"/>
  <c r="H9" i="1"/>
  <c r="BD8" i="1"/>
  <c r="AX8" i="1"/>
  <c r="AR8" i="1"/>
  <c r="AL8" i="1"/>
  <c r="AF8" i="1"/>
  <c r="Z8" i="1"/>
  <c r="T8" i="1"/>
  <c r="N8" i="1"/>
  <c r="H8" i="1"/>
  <c r="BD7" i="1"/>
  <c r="AX7" i="1"/>
  <c r="AR7" i="1"/>
  <c r="AL7" i="1"/>
  <c r="AF7" i="1"/>
  <c r="Z7" i="1"/>
  <c r="T7" i="1"/>
  <c r="N7" i="1"/>
  <c r="H7" i="1"/>
  <c r="BD6" i="1"/>
  <c r="AX6" i="1"/>
  <c r="AR6" i="1"/>
  <c r="AL6" i="1"/>
  <c r="AF6" i="1"/>
  <c r="Z6" i="1"/>
  <c r="T6" i="1"/>
  <c r="N6" i="1"/>
  <c r="H6" i="1"/>
  <c r="BD5" i="1"/>
  <c r="AX5" i="1"/>
  <c r="AR5" i="1"/>
  <c r="AL5" i="1"/>
  <c r="AF5" i="1"/>
  <c r="Z5" i="1"/>
  <c r="T5" i="1"/>
  <c r="N5" i="1"/>
  <c r="H5" i="1"/>
  <c r="BD4" i="1"/>
  <c r="AX4" i="1"/>
  <c r="AR4" i="1"/>
  <c r="AL4" i="1"/>
  <c r="AF4" i="1"/>
  <c r="Z4" i="1"/>
  <c r="T4" i="1"/>
  <c r="N4" i="1"/>
  <c r="H4" i="1"/>
  <c r="BD3" i="1"/>
  <c r="AX3" i="1"/>
  <c r="AR3" i="1"/>
  <c r="AL3" i="1"/>
  <c r="AF3" i="1"/>
  <c r="Z3" i="1"/>
  <c r="T3" i="1"/>
  <c r="N3" i="1"/>
  <c r="H3" i="1"/>
  <c r="BD2" i="1"/>
  <c r="AX2" i="1"/>
  <c r="AR2" i="1"/>
  <c r="AL2" i="1"/>
  <c r="AF2" i="1"/>
  <c r="Z2" i="1"/>
  <c r="T2" i="1"/>
  <c r="N2" i="1"/>
  <c r="H2" i="1"/>
  <c r="BD16" i="2"/>
  <c r="AX16" i="2"/>
  <c r="AR16" i="2"/>
  <c r="AL16" i="2"/>
  <c r="AF16" i="2"/>
  <c r="Z16" i="2"/>
  <c r="T16" i="2"/>
  <c r="N16" i="2"/>
  <c r="H16" i="2"/>
  <c r="BD15" i="2"/>
  <c r="AX15" i="2"/>
  <c r="AR15" i="2"/>
  <c r="AL15" i="2"/>
  <c r="AF15" i="2"/>
  <c r="Z15" i="2"/>
  <c r="T15" i="2"/>
  <c r="N15" i="2"/>
  <c r="H15" i="2"/>
  <c r="BD14" i="2"/>
  <c r="AX14" i="2"/>
  <c r="AR14" i="2"/>
  <c r="AL14" i="2"/>
  <c r="AF14" i="2"/>
  <c r="Z14" i="2"/>
  <c r="T14" i="2"/>
  <c r="N14" i="2"/>
  <c r="H14" i="2"/>
  <c r="BD13" i="2"/>
  <c r="AX13" i="2"/>
  <c r="AR13" i="2"/>
  <c r="AL13" i="2"/>
  <c r="AF13" i="2"/>
  <c r="Z13" i="2"/>
  <c r="T13" i="2"/>
  <c r="N13" i="2"/>
  <c r="H13" i="2"/>
  <c r="BD12" i="2"/>
  <c r="AX12" i="2"/>
  <c r="AR12" i="2"/>
  <c r="AL12" i="2"/>
  <c r="AF12" i="2"/>
  <c r="Z12" i="2"/>
  <c r="T12" i="2"/>
  <c r="N12" i="2"/>
  <c r="H12" i="2"/>
  <c r="BD11" i="2"/>
  <c r="AX11" i="2"/>
  <c r="AR11" i="2"/>
  <c r="AL11" i="2"/>
  <c r="AF11" i="2"/>
  <c r="Z11" i="2"/>
  <c r="T11" i="2"/>
  <c r="N11" i="2"/>
  <c r="H11" i="2"/>
  <c r="BD10" i="2"/>
  <c r="AX10" i="2"/>
  <c r="AR10" i="2"/>
  <c r="AL10" i="2"/>
  <c r="AF10" i="2"/>
  <c r="Z10" i="2"/>
  <c r="T10" i="2"/>
  <c r="N10" i="2"/>
  <c r="H10" i="2"/>
  <c r="BD9" i="2"/>
  <c r="AX9" i="2"/>
  <c r="AR9" i="2"/>
  <c r="AL9" i="2"/>
  <c r="AF9" i="2"/>
  <c r="Z9" i="2"/>
  <c r="T9" i="2"/>
  <c r="N9" i="2"/>
  <c r="H9" i="2"/>
  <c r="BD8" i="2"/>
  <c r="AX8" i="2"/>
  <c r="AR8" i="2"/>
  <c r="AL8" i="2"/>
  <c r="AF8" i="2"/>
  <c r="Z8" i="2"/>
  <c r="T8" i="2"/>
  <c r="N8" i="2"/>
  <c r="H8" i="2"/>
  <c r="BD7" i="2"/>
  <c r="AX7" i="2"/>
  <c r="AR7" i="2"/>
  <c r="AL7" i="2"/>
  <c r="AF7" i="2"/>
  <c r="Z7" i="2"/>
  <c r="T7" i="2"/>
  <c r="N7" i="2"/>
  <c r="H7" i="2"/>
  <c r="BD6" i="2"/>
  <c r="AX6" i="2"/>
  <c r="AR6" i="2"/>
  <c r="AL6" i="2"/>
  <c r="AF6" i="2"/>
  <c r="Z6" i="2"/>
  <c r="T6" i="2"/>
  <c r="N6" i="2"/>
  <c r="H6" i="2"/>
  <c r="BD5" i="2"/>
  <c r="AX5" i="2"/>
  <c r="AR5" i="2"/>
  <c r="AL5" i="2"/>
  <c r="AF5" i="2"/>
  <c r="Z5" i="2"/>
  <c r="T5" i="2"/>
  <c r="N5" i="2"/>
  <c r="H5" i="2"/>
  <c r="BD4" i="2"/>
  <c r="AX4" i="2"/>
  <c r="AR4" i="2"/>
  <c r="AL4" i="2"/>
  <c r="AF4" i="2"/>
  <c r="Z4" i="2"/>
  <c r="T4" i="2"/>
  <c r="N4" i="2"/>
  <c r="H4" i="2"/>
  <c r="BD3" i="2"/>
  <c r="AX3" i="2"/>
  <c r="AR3" i="2"/>
  <c r="AL3" i="2"/>
  <c r="AF3" i="2"/>
  <c r="Z3" i="2"/>
  <c r="T3" i="2"/>
  <c r="N3" i="2"/>
  <c r="H3" i="2"/>
  <c r="BD2" i="2"/>
  <c r="AX2" i="2"/>
  <c r="AR2" i="2"/>
  <c r="AL2" i="2"/>
  <c r="AF2" i="2"/>
  <c r="Z2" i="2"/>
  <c r="T2" i="2"/>
  <c r="N2" i="2"/>
  <c r="H2" i="2"/>
  <c r="BD16" i="4"/>
  <c r="AX16" i="4"/>
  <c r="AR16" i="4"/>
  <c r="AL16" i="4"/>
  <c r="AF16" i="4"/>
  <c r="Z16" i="4"/>
  <c r="T16" i="4"/>
  <c r="N16" i="4"/>
  <c r="BD15" i="4"/>
  <c r="AX15" i="4"/>
  <c r="AR15" i="4"/>
  <c r="AL15" i="4"/>
  <c r="AF15" i="4"/>
  <c r="Z15" i="4"/>
  <c r="T15" i="4"/>
  <c r="N15" i="4"/>
  <c r="H15" i="4"/>
  <c r="BD14" i="4"/>
  <c r="AX14" i="4"/>
  <c r="AR14" i="4"/>
  <c r="AL14" i="4"/>
  <c r="AF14" i="4"/>
  <c r="Z14" i="4"/>
  <c r="T14" i="4"/>
  <c r="N14" i="4"/>
  <c r="H14" i="4"/>
  <c r="BD13" i="4"/>
  <c r="AX13" i="4"/>
  <c r="AR13" i="4"/>
  <c r="AL13" i="4"/>
  <c r="AF13" i="4"/>
  <c r="Z13" i="4"/>
  <c r="T13" i="4"/>
  <c r="N13" i="4"/>
  <c r="H13" i="4"/>
  <c r="BD12" i="4"/>
  <c r="AX12" i="4"/>
  <c r="AR12" i="4"/>
  <c r="AL12" i="4"/>
  <c r="AF12" i="4"/>
  <c r="Z12" i="4"/>
  <c r="T12" i="4"/>
  <c r="N12" i="4"/>
  <c r="H12" i="4"/>
  <c r="BD11" i="4"/>
  <c r="AX11" i="4"/>
  <c r="AR11" i="4"/>
  <c r="AL11" i="4"/>
  <c r="AF11" i="4"/>
  <c r="Z11" i="4"/>
  <c r="T11" i="4"/>
  <c r="N11" i="4"/>
  <c r="H11" i="4"/>
  <c r="BD10" i="4"/>
  <c r="AX10" i="4"/>
  <c r="AR10" i="4"/>
  <c r="AL10" i="4"/>
  <c r="AF10" i="4"/>
  <c r="Z10" i="4"/>
  <c r="T10" i="4"/>
  <c r="N10" i="4"/>
  <c r="H10" i="4"/>
  <c r="BD9" i="4"/>
  <c r="AX9" i="4"/>
  <c r="AR9" i="4"/>
  <c r="AL9" i="4"/>
  <c r="AF9" i="4"/>
  <c r="Z9" i="4"/>
  <c r="T9" i="4"/>
  <c r="N9" i="4"/>
  <c r="H9" i="4"/>
  <c r="BD8" i="4"/>
  <c r="AX8" i="4"/>
  <c r="AR8" i="4"/>
  <c r="AL8" i="4"/>
  <c r="AF8" i="4"/>
  <c r="Z8" i="4"/>
  <c r="T8" i="4"/>
  <c r="N8" i="4"/>
  <c r="H8" i="4"/>
  <c r="BD7" i="4"/>
  <c r="AX7" i="4"/>
  <c r="AR7" i="4"/>
  <c r="AL7" i="4"/>
  <c r="AF7" i="4"/>
  <c r="Z7" i="4"/>
  <c r="T7" i="4"/>
  <c r="N7" i="4"/>
  <c r="H7" i="4"/>
  <c r="BD6" i="4"/>
  <c r="AX6" i="4"/>
  <c r="AR6" i="4"/>
  <c r="AL6" i="4"/>
  <c r="AF6" i="4"/>
  <c r="Z6" i="4"/>
  <c r="T6" i="4"/>
  <c r="N6" i="4"/>
  <c r="H6" i="4"/>
  <c r="BD5" i="4"/>
  <c r="AX5" i="4"/>
  <c r="AR5" i="4"/>
  <c r="AL5" i="4"/>
  <c r="AF5" i="4"/>
  <c r="Z5" i="4"/>
  <c r="T5" i="4"/>
  <c r="N5" i="4"/>
  <c r="H5" i="4"/>
  <c r="BD4" i="4"/>
  <c r="AX4" i="4"/>
  <c r="AR4" i="4"/>
  <c r="AL4" i="4"/>
  <c r="AF4" i="4"/>
  <c r="Z4" i="4"/>
  <c r="T4" i="4"/>
  <c r="N4" i="4"/>
  <c r="H4" i="4"/>
  <c r="BD3" i="4"/>
  <c r="AX3" i="4"/>
  <c r="AR3" i="4"/>
  <c r="AL3" i="4"/>
  <c r="AF3" i="4"/>
  <c r="Z3" i="4"/>
  <c r="T3" i="4"/>
  <c r="N3" i="4"/>
  <c r="H3" i="4"/>
  <c r="BD2" i="4"/>
  <c r="AX2" i="4"/>
  <c r="AR2" i="4"/>
  <c r="AL2" i="4"/>
  <c r="AF2" i="4"/>
  <c r="Z2" i="4"/>
  <c r="T2" i="4"/>
  <c r="N2" i="4"/>
  <c r="H2" i="4"/>
  <c r="BD16" i="5"/>
  <c r="AX16" i="5"/>
  <c r="AR16" i="5"/>
  <c r="AL16" i="5"/>
  <c r="AF16" i="5"/>
  <c r="Z16" i="5"/>
  <c r="T16" i="5"/>
  <c r="N16" i="5"/>
  <c r="H16" i="5"/>
  <c r="BD15" i="5"/>
  <c r="AX15" i="5"/>
  <c r="AR15" i="5"/>
  <c r="AL15" i="5"/>
  <c r="AF15" i="5"/>
  <c r="Z15" i="5"/>
  <c r="T15" i="5"/>
  <c r="N15" i="5"/>
  <c r="H15" i="5"/>
  <c r="BD14" i="5"/>
  <c r="AX14" i="5"/>
  <c r="AR14" i="5"/>
  <c r="AL14" i="5"/>
  <c r="AF14" i="5"/>
  <c r="Z14" i="5"/>
  <c r="T14" i="5"/>
  <c r="N14" i="5"/>
  <c r="H14" i="5"/>
  <c r="BD13" i="5"/>
  <c r="AX13" i="5"/>
  <c r="AR13" i="5"/>
  <c r="AL13" i="5"/>
  <c r="AF13" i="5"/>
  <c r="Z13" i="5"/>
  <c r="T13" i="5"/>
  <c r="N13" i="5"/>
  <c r="H13" i="5"/>
  <c r="BD12" i="5"/>
  <c r="AX12" i="5"/>
  <c r="AR12" i="5"/>
  <c r="AL12" i="5"/>
  <c r="AF12" i="5"/>
  <c r="Z12" i="5"/>
  <c r="T12" i="5"/>
  <c r="N12" i="5"/>
  <c r="H12" i="5"/>
  <c r="BD11" i="5"/>
  <c r="AX11" i="5"/>
  <c r="AR11" i="5"/>
  <c r="AL11" i="5"/>
  <c r="AF11" i="5"/>
  <c r="Z11" i="5"/>
  <c r="T11" i="5"/>
  <c r="N11" i="5"/>
  <c r="H11" i="5"/>
  <c r="BD10" i="5"/>
  <c r="AX10" i="5"/>
  <c r="AR10" i="5"/>
  <c r="AL10" i="5"/>
  <c r="AF10" i="5"/>
  <c r="Z10" i="5"/>
  <c r="T10" i="5"/>
  <c r="N10" i="5"/>
  <c r="H10" i="5"/>
  <c r="BD9" i="5"/>
  <c r="AX9" i="5"/>
  <c r="AR9" i="5"/>
  <c r="AL9" i="5"/>
  <c r="AF9" i="5"/>
  <c r="Z9" i="5"/>
  <c r="T9" i="5"/>
  <c r="N9" i="5"/>
  <c r="H9" i="5"/>
  <c r="BD8" i="5"/>
  <c r="AX8" i="5"/>
  <c r="AR8" i="5"/>
  <c r="AL8" i="5"/>
  <c r="AF8" i="5"/>
  <c r="Z8" i="5"/>
  <c r="T8" i="5"/>
  <c r="N8" i="5"/>
  <c r="H8" i="5"/>
  <c r="BD7" i="5"/>
  <c r="AX7" i="5"/>
  <c r="AR7" i="5"/>
  <c r="AL7" i="5"/>
  <c r="AF7" i="5"/>
  <c r="Z7" i="5"/>
  <c r="T7" i="5"/>
  <c r="N7" i="5"/>
  <c r="H7" i="5"/>
  <c r="BD6" i="5"/>
  <c r="AX6" i="5"/>
  <c r="AR6" i="5"/>
  <c r="AL6" i="5"/>
  <c r="AF6" i="5"/>
  <c r="Z6" i="5"/>
  <c r="T6" i="5"/>
  <c r="N6" i="5"/>
  <c r="H6" i="5"/>
  <c r="BD5" i="5"/>
  <c r="AX5" i="5"/>
  <c r="AR5" i="5"/>
  <c r="AL5" i="5"/>
  <c r="AF5" i="5"/>
  <c r="Z5" i="5"/>
  <c r="T5" i="5"/>
  <c r="N5" i="5"/>
  <c r="H5" i="5"/>
  <c r="BD4" i="5"/>
  <c r="AX4" i="5"/>
  <c r="AR4" i="5"/>
  <c r="AL4" i="5"/>
  <c r="AF4" i="5"/>
  <c r="Z4" i="5"/>
  <c r="T4" i="5"/>
  <c r="N4" i="5"/>
  <c r="H4" i="5"/>
  <c r="BD3" i="5"/>
  <c r="AX3" i="5"/>
  <c r="AR3" i="5"/>
  <c r="AL3" i="5"/>
  <c r="AF3" i="5"/>
  <c r="Z3" i="5"/>
  <c r="T3" i="5"/>
  <c r="N3" i="5"/>
  <c r="H3" i="5"/>
  <c r="BD2" i="5"/>
  <c r="AX2" i="5"/>
  <c r="AR2" i="5"/>
  <c r="AL2" i="5"/>
  <c r="AF2" i="5"/>
  <c r="Z2" i="5"/>
  <c r="T2" i="5"/>
  <c r="N2" i="5"/>
  <c r="H2" i="5"/>
  <c r="BD16" i="6"/>
  <c r="AX16" i="6"/>
  <c r="AR16" i="6"/>
  <c r="AL16" i="6"/>
  <c r="AF16" i="6"/>
  <c r="Z16" i="6"/>
  <c r="T16" i="6"/>
  <c r="N16" i="6"/>
  <c r="H16" i="6"/>
  <c r="BD15" i="6"/>
  <c r="AX15" i="6"/>
  <c r="AR15" i="6"/>
  <c r="AL15" i="6"/>
  <c r="AF15" i="6"/>
  <c r="Z15" i="6"/>
  <c r="T15" i="6"/>
  <c r="N15" i="6"/>
  <c r="H15" i="6"/>
  <c r="BD14" i="6"/>
  <c r="AX14" i="6"/>
  <c r="AR14" i="6"/>
  <c r="AL14" i="6"/>
  <c r="AF14" i="6"/>
  <c r="Z14" i="6"/>
  <c r="T14" i="6"/>
  <c r="N14" i="6"/>
  <c r="H14" i="6"/>
  <c r="BD13" i="6"/>
  <c r="AX13" i="6"/>
  <c r="AR13" i="6"/>
  <c r="AL13" i="6"/>
  <c r="AF13" i="6"/>
  <c r="Z13" i="6"/>
  <c r="T13" i="6"/>
  <c r="N13" i="6"/>
  <c r="H13" i="6"/>
  <c r="BD12" i="6"/>
  <c r="AX12" i="6"/>
  <c r="AR12" i="6"/>
  <c r="AL12" i="6"/>
  <c r="AF12" i="6"/>
  <c r="Z12" i="6"/>
  <c r="T12" i="6"/>
  <c r="N12" i="6"/>
  <c r="H12" i="6"/>
  <c r="BD11" i="6"/>
  <c r="AX11" i="6"/>
  <c r="AR11" i="6"/>
  <c r="AL11" i="6"/>
  <c r="AF11" i="6"/>
  <c r="Z11" i="6"/>
  <c r="T11" i="6"/>
  <c r="N11" i="6"/>
  <c r="H11" i="6"/>
  <c r="BD10" i="6"/>
  <c r="AX10" i="6"/>
  <c r="AR10" i="6"/>
  <c r="AL10" i="6"/>
  <c r="AF10" i="6"/>
  <c r="Z10" i="6"/>
  <c r="T10" i="6"/>
  <c r="N10" i="6"/>
  <c r="H10" i="6"/>
  <c r="BD9" i="6"/>
  <c r="AX9" i="6"/>
  <c r="AR9" i="6"/>
  <c r="AL9" i="6"/>
  <c r="AF9" i="6"/>
  <c r="Z9" i="6"/>
  <c r="T9" i="6"/>
  <c r="N9" i="6"/>
  <c r="H9" i="6"/>
  <c r="BD8" i="6"/>
  <c r="AX8" i="6"/>
  <c r="AR8" i="6"/>
  <c r="AL8" i="6"/>
  <c r="AF8" i="6"/>
  <c r="Z8" i="6"/>
  <c r="T8" i="6"/>
  <c r="N8" i="6"/>
  <c r="H8" i="6"/>
  <c r="BD7" i="6"/>
  <c r="AX7" i="6"/>
  <c r="AR7" i="6"/>
  <c r="AL7" i="6"/>
  <c r="AF7" i="6"/>
  <c r="Z7" i="6"/>
  <c r="T7" i="6"/>
  <c r="N7" i="6"/>
  <c r="H7" i="6"/>
  <c r="BD6" i="6"/>
  <c r="AX6" i="6"/>
  <c r="AR6" i="6"/>
  <c r="AL6" i="6"/>
  <c r="AF6" i="6"/>
  <c r="Z6" i="6"/>
  <c r="T6" i="6"/>
  <c r="N6" i="6"/>
  <c r="H6" i="6"/>
  <c r="BD5" i="6"/>
  <c r="AX5" i="6"/>
  <c r="AR5" i="6"/>
  <c r="AL5" i="6"/>
  <c r="AF5" i="6"/>
  <c r="Z5" i="6"/>
  <c r="T5" i="6"/>
  <c r="N5" i="6"/>
  <c r="H5" i="6"/>
  <c r="BD4" i="6"/>
  <c r="AX4" i="6"/>
  <c r="AR4" i="6"/>
  <c r="AL4" i="6"/>
  <c r="AF4" i="6"/>
  <c r="Z4" i="6"/>
  <c r="T4" i="6"/>
  <c r="N4" i="6"/>
  <c r="H4" i="6"/>
  <c r="BD3" i="6"/>
  <c r="AX3" i="6"/>
  <c r="AR3" i="6"/>
  <c r="AL3" i="6"/>
  <c r="AF3" i="6"/>
  <c r="Z3" i="6"/>
  <c r="T3" i="6"/>
  <c r="N3" i="6"/>
  <c r="H3" i="6"/>
  <c r="BD2" i="6"/>
  <c r="AX2" i="6"/>
  <c r="AR2" i="6"/>
  <c r="AL2" i="6"/>
  <c r="AF2" i="6"/>
  <c r="Z2" i="6"/>
  <c r="N2" i="6"/>
  <c r="H2" i="6"/>
  <c r="BD16" i="7"/>
  <c r="AX16" i="7"/>
  <c r="AR16" i="7"/>
  <c r="AL16" i="7"/>
  <c r="AF16" i="7"/>
  <c r="Z16" i="7"/>
  <c r="T16" i="7"/>
  <c r="N16" i="7"/>
  <c r="H16" i="7"/>
  <c r="BD15" i="7"/>
  <c r="AR15" i="7"/>
  <c r="AF15" i="7"/>
  <c r="Z15" i="7"/>
  <c r="T15" i="7"/>
  <c r="N15" i="7"/>
  <c r="H15" i="7"/>
  <c r="BD14" i="7"/>
  <c r="AX14" i="7"/>
  <c r="AR14" i="7"/>
  <c r="AL14" i="7"/>
  <c r="AF14" i="7"/>
  <c r="Z14" i="7"/>
  <c r="T14" i="7"/>
  <c r="N14" i="7"/>
  <c r="H14" i="7"/>
  <c r="BD13" i="7"/>
  <c r="AX13" i="7"/>
  <c r="AR13" i="7"/>
  <c r="AL13" i="7"/>
  <c r="AF13" i="7"/>
  <c r="Z13" i="7"/>
  <c r="T13" i="7"/>
  <c r="N13" i="7"/>
  <c r="H13" i="7"/>
  <c r="BD12" i="7"/>
  <c r="AR12" i="7"/>
  <c r="AL12" i="7"/>
  <c r="AF12" i="7"/>
  <c r="Z12" i="7"/>
  <c r="T12" i="7"/>
  <c r="N12" i="7"/>
  <c r="H12" i="7"/>
  <c r="BD11" i="7"/>
  <c r="AX11" i="7"/>
  <c r="AR11" i="7"/>
  <c r="AL11" i="7"/>
  <c r="AF11" i="7"/>
  <c r="Z11" i="7"/>
  <c r="T11" i="7"/>
  <c r="N11" i="7"/>
  <c r="H11" i="7"/>
  <c r="BD10" i="7"/>
  <c r="AX10" i="7"/>
  <c r="AR10" i="7"/>
  <c r="AL10" i="7"/>
  <c r="AF10" i="7"/>
  <c r="Z10" i="7"/>
  <c r="T10" i="7"/>
  <c r="N10" i="7"/>
  <c r="H10" i="7"/>
  <c r="BD9" i="7"/>
  <c r="AX9" i="7"/>
  <c r="AR9" i="7"/>
  <c r="AL9" i="7"/>
  <c r="AF9" i="7"/>
  <c r="Z9" i="7"/>
  <c r="T9" i="7"/>
  <c r="N9" i="7"/>
  <c r="H9" i="7"/>
  <c r="BD8" i="7"/>
  <c r="AX8" i="7"/>
  <c r="AR8" i="7"/>
  <c r="AL8" i="7"/>
  <c r="AF8" i="7"/>
  <c r="Z8" i="7"/>
  <c r="T8" i="7"/>
  <c r="N8" i="7"/>
  <c r="H8" i="7"/>
  <c r="BD7" i="7"/>
  <c r="AX7" i="7"/>
  <c r="AR7" i="7"/>
  <c r="AL7" i="7"/>
  <c r="AF7" i="7"/>
  <c r="Z7" i="7"/>
  <c r="T7" i="7"/>
  <c r="N7" i="7"/>
  <c r="H7" i="7"/>
  <c r="BD6" i="7"/>
  <c r="AX6" i="7"/>
  <c r="AR6" i="7"/>
  <c r="AL6" i="7"/>
  <c r="AF6" i="7"/>
  <c r="Z6" i="7"/>
  <c r="T6" i="7"/>
  <c r="N6" i="7"/>
  <c r="H6" i="7"/>
  <c r="BD5" i="7"/>
  <c r="AX5" i="7"/>
  <c r="AR5" i="7"/>
  <c r="AL5" i="7"/>
  <c r="AF5" i="7"/>
  <c r="Z5" i="7"/>
  <c r="T5" i="7"/>
  <c r="N5" i="7"/>
  <c r="H5" i="7"/>
  <c r="BD4" i="7"/>
  <c r="AX4" i="7"/>
  <c r="AR4" i="7"/>
  <c r="AL4" i="7"/>
  <c r="AF4" i="7"/>
  <c r="Z4" i="7"/>
  <c r="T4" i="7"/>
  <c r="N4" i="7"/>
  <c r="H4" i="7"/>
  <c r="BD3" i="7"/>
  <c r="AX3" i="7"/>
  <c r="AR3" i="7"/>
  <c r="AL3" i="7"/>
  <c r="AF3" i="7"/>
  <c r="Z3" i="7"/>
  <c r="T3" i="7"/>
  <c r="N3" i="7"/>
  <c r="H3" i="7"/>
  <c r="BD2" i="7"/>
  <c r="AX2" i="7"/>
  <c r="AR2" i="7"/>
  <c r="AL2" i="7"/>
  <c r="AF2" i="7"/>
  <c r="Z2" i="7"/>
  <c r="T2" i="7"/>
  <c r="N2" i="7"/>
  <c r="H2" i="7"/>
  <c r="BD16" i="8"/>
  <c r="AX16" i="8"/>
  <c r="AR16" i="8"/>
  <c r="AL16" i="8"/>
  <c r="AF16" i="8"/>
  <c r="Z16" i="8"/>
  <c r="T16" i="8"/>
  <c r="N16" i="8"/>
  <c r="H16" i="8"/>
  <c r="BD15" i="8"/>
  <c r="AX15" i="8"/>
  <c r="AR15" i="8"/>
  <c r="AL15" i="8"/>
  <c r="AF15" i="8"/>
  <c r="Z15" i="8"/>
  <c r="T15" i="8"/>
  <c r="N15" i="8"/>
  <c r="H15" i="8"/>
  <c r="BD14" i="8"/>
  <c r="AX14" i="8"/>
  <c r="AR14" i="8"/>
  <c r="AL14" i="8"/>
  <c r="AF14" i="8"/>
  <c r="Z14" i="8"/>
  <c r="T14" i="8"/>
  <c r="N14" i="8"/>
  <c r="H14" i="8"/>
  <c r="BD13" i="8"/>
  <c r="AX13" i="8"/>
  <c r="AR13" i="8"/>
  <c r="AL13" i="8"/>
  <c r="AF13" i="8"/>
  <c r="Z13" i="8"/>
  <c r="T13" i="8"/>
  <c r="N13" i="8"/>
  <c r="H13" i="8"/>
  <c r="BD12" i="8"/>
  <c r="AX12" i="8"/>
  <c r="AR12" i="8"/>
  <c r="AL12" i="8"/>
  <c r="AF12" i="8"/>
  <c r="Z12" i="8"/>
  <c r="T12" i="8"/>
  <c r="N12" i="8"/>
  <c r="H12" i="8"/>
  <c r="BD11" i="8"/>
  <c r="AX11" i="8"/>
  <c r="AR11" i="8"/>
  <c r="AL11" i="8"/>
  <c r="AF11" i="8"/>
  <c r="T11" i="8"/>
  <c r="N11" i="8"/>
  <c r="H11" i="8"/>
  <c r="BD10" i="8"/>
  <c r="AX10" i="8"/>
  <c r="AR10" i="8"/>
  <c r="AL10" i="8"/>
  <c r="AF10" i="8"/>
  <c r="Z10" i="8"/>
  <c r="T10" i="8"/>
  <c r="N10" i="8"/>
  <c r="H10" i="8"/>
  <c r="BD9" i="8"/>
  <c r="AX9" i="8"/>
  <c r="AR9" i="8"/>
  <c r="AL9" i="8"/>
  <c r="AF9" i="8"/>
  <c r="Z9" i="8"/>
  <c r="T9" i="8"/>
  <c r="N9" i="8"/>
  <c r="H9" i="8"/>
  <c r="BD8" i="8"/>
  <c r="AX8" i="8"/>
  <c r="AR8" i="8"/>
  <c r="AL8" i="8"/>
  <c r="AF8" i="8"/>
  <c r="Z8" i="8"/>
  <c r="T8" i="8"/>
  <c r="N8" i="8"/>
  <c r="H8" i="8"/>
  <c r="BD7" i="8"/>
  <c r="AX7" i="8"/>
  <c r="AR7" i="8"/>
  <c r="AL7" i="8"/>
  <c r="AF7" i="8"/>
  <c r="Z7" i="8"/>
  <c r="T7" i="8"/>
  <c r="N7" i="8"/>
  <c r="H7" i="8"/>
  <c r="BD6" i="8"/>
  <c r="AX6" i="8"/>
  <c r="AR6" i="8"/>
  <c r="AL6" i="8"/>
  <c r="AF6" i="8"/>
  <c r="Z6" i="8"/>
  <c r="T6" i="8"/>
  <c r="N6" i="8"/>
  <c r="H6" i="8"/>
  <c r="BD5" i="8"/>
  <c r="AX5" i="8"/>
  <c r="AR5" i="8"/>
  <c r="AL5" i="8"/>
  <c r="AF5" i="8"/>
  <c r="Z5" i="8"/>
  <c r="T5" i="8"/>
  <c r="N5" i="8"/>
  <c r="H5" i="8"/>
  <c r="BD4" i="8"/>
  <c r="AX4" i="8"/>
  <c r="AR4" i="8"/>
  <c r="AL4" i="8"/>
  <c r="AF4" i="8"/>
  <c r="Z4" i="8"/>
  <c r="T4" i="8"/>
  <c r="N4" i="8"/>
  <c r="H4" i="8"/>
  <c r="BD3" i="8"/>
  <c r="AX3" i="8"/>
  <c r="AR3" i="8"/>
  <c r="AL3" i="8"/>
  <c r="AF3" i="8"/>
  <c r="Z3" i="8"/>
  <c r="T3" i="8"/>
  <c r="N3" i="8"/>
  <c r="H3" i="8"/>
  <c r="BD2" i="8"/>
  <c r="AX2" i="8"/>
  <c r="AR2" i="8"/>
  <c r="AL2" i="8"/>
  <c r="AF2" i="8"/>
  <c r="Z2" i="8"/>
  <c r="T2" i="8"/>
  <c r="N2" i="8"/>
  <c r="H2" i="8"/>
  <c r="BD16" i="9"/>
  <c r="AX16" i="9"/>
  <c r="AR16" i="9"/>
  <c r="AL16" i="9"/>
  <c r="AF16" i="9"/>
  <c r="Z16" i="9"/>
  <c r="T16" i="9"/>
  <c r="N16" i="9"/>
  <c r="H16" i="9"/>
  <c r="BD15" i="9"/>
  <c r="AX15" i="9"/>
  <c r="AR15" i="9"/>
  <c r="AL15" i="9"/>
  <c r="AF15" i="9"/>
  <c r="Z15" i="9"/>
  <c r="T15" i="9"/>
  <c r="N15" i="9"/>
  <c r="H15" i="9"/>
  <c r="BD14" i="9"/>
  <c r="AX14" i="9"/>
  <c r="AR14" i="9"/>
  <c r="AL14" i="9"/>
  <c r="AF14" i="9"/>
  <c r="Z14" i="9"/>
  <c r="T14" i="9"/>
  <c r="N14" i="9"/>
  <c r="H14" i="9"/>
  <c r="BD13" i="9"/>
  <c r="AX13" i="9"/>
  <c r="AR13" i="9"/>
  <c r="AL13" i="9"/>
  <c r="AF13" i="9"/>
  <c r="Z13" i="9"/>
  <c r="T13" i="9"/>
  <c r="N13" i="9"/>
  <c r="H13" i="9"/>
  <c r="BD12" i="9"/>
  <c r="AX12" i="9"/>
  <c r="AR12" i="9"/>
  <c r="AL12" i="9"/>
  <c r="AF12" i="9"/>
  <c r="Z12" i="9"/>
  <c r="T12" i="9"/>
  <c r="N12" i="9"/>
  <c r="H12" i="9"/>
  <c r="BD11" i="9"/>
  <c r="AX11" i="9"/>
  <c r="AR11" i="9"/>
  <c r="AL11" i="9"/>
  <c r="AF11" i="9"/>
  <c r="Z11" i="9"/>
  <c r="T11" i="9"/>
  <c r="N11" i="9"/>
  <c r="H11" i="9"/>
  <c r="BD10" i="9"/>
  <c r="AX10" i="9"/>
  <c r="AR10" i="9"/>
  <c r="AL10" i="9"/>
  <c r="AF10" i="9"/>
  <c r="Z10" i="9"/>
  <c r="T10" i="9"/>
  <c r="N10" i="9"/>
  <c r="H10" i="9"/>
  <c r="BD9" i="9"/>
  <c r="AX9" i="9"/>
  <c r="AR9" i="9"/>
  <c r="AL9" i="9"/>
  <c r="AF9" i="9"/>
  <c r="Z9" i="9"/>
  <c r="T9" i="9"/>
  <c r="N9" i="9"/>
  <c r="H9" i="9"/>
  <c r="BD8" i="9"/>
  <c r="AX8" i="9"/>
  <c r="AR8" i="9"/>
  <c r="AL8" i="9"/>
  <c r="AF8" i="9"/>
  <c r="Z8" i="9"/>
  <c r="T8" i="9"/>
  <c r="N8" i="9"/>
  <c r="H8" i="9"/>
  <c r="BD7" i="9"/>
  <c r="AX7" i="9"/>
  <c r="AR7" i="9"/>
  <c r="AL7" i="9"/>
  <c r="AF7" i="9"/>
  <c r="Z7" i="9"/>
  <c r="T7" i="9"/>
  <c r="N7" i="9"/>
  <c r="H7" i="9"/>
  <c r="BD6" i="9"/>
  <c r="AX6" i="9"/>
  <c r="AR6" i="9"/>
  <c r="AL6" i="9"/>
  <c r="AF6" i="9"/>
  <c r="Z6" i="9"/>
  <c r="T6" i="9"/>
  <c r="N6" i="9"/>
  <c r="H6" i="9"/>
  <c r="BD5" i="9"/>
  <c r="AX5" i="9"/>
  <c r="AR5" i="9"/>
  <c r="AL5" i="9"/>
  <c r="AF5" i="9"/>
  <c r="Z5" i="9"/>
  <c r="T5" i="9"/>
  <c r="N5" i="9"/>
  <c r="H5" i="9"/>
  <c r="BD4" i="9"/>
  <c r="AX4" i="9"/>
  <c r="AR4" i="9"/>
  <c r="AL4" i="9"/>
  <c r="AF4" i="9"/>
  <c r="Z4" i="9"/>
  <c r="T4" i="9"/>
  <c r="N4" i="9"/>
  <c r="H4" i="9"/>
  <c r="BD3" i="9"/>
  <c r="AX3" i="9"/>
  <c r="AR3" i="9"/>
  <c r="AL3" i="9"/>
  <c r="AF3" i="9"/>
  <c r="Z3" i="9"/>
  <c r="T3" i="9"/>
  <c r="N3" i="9"/>
  <c r="H3" i="9"/>
  <c r="BD2" i="9"/>
  <c r="AX2" i="9"/>
  <c r="AR2" i="9"/>
  <c r="AL2" i="9"/>
  <c r="AF2" i="9"/>
  <c r="Z2" i="9"/>
  <c r="T2" i="9"/>
  <c r="N2" i="9"/>
  <c r="H2" i="9"/>
  <c r="BD16" i="10"/>
  <c r="BD15" i="10"/>
  <c r="BD14" i="10"/>
  <c r="BD13" i="10"/>
  <c r="BD12" i="10"/>
  <c r="BD11" i="10"/>
  <c r="BD10" i="10"/>
  <c r="BD9" i="10"/>
  <c r="BD8" i="10"/>
  <c r="BD7" i="10"/>
  <c r="BD6" i="10"/>
  <c r="BD5" i="10"/>
  <c r="BD4" i="10"/>
  <c r="BD3" i="10"/>
  <c r="BD2" i="10"/>
  <c r="AX16" i="10"/>
  <c r="AX15" i="10"/>
  <c r="AX14" i="10"/>
  <c r="AX13" i="10"/>
  <c r="AX12" i="10"/>
  <c r="AX11" i="10"/>
  <c r="AX10" i="10"/>
  <c r="AX9" i="10"/>
  <c r="AX8" i="10"/>
  <c r="AX7" i="10"/>
  <c r="AX6" i="10"/>
  <c r="AX5" i="10"/>
  <c r="AX4" i="10"/>
  <c r="AX3" i="10"/>
  <c r="AX2" i="10"/>
  <c r="AR16" i="10"/>
  <c r="AR15" i="10"/>
  <c r="AR14" i="10"/>
  <c r="AR13" i="10"/>
  <c r="AR12" i="10"/>
  <c r="AR11" i="10"/>
  <c r="AR10" i="10"/>
  <c r="AR9" i="10"/>
  <c r="AR8" i="10"/>
  <c r="AR7" i="10"/>
  <c r="AR6" i="10"/>
  <c r="AR5" i="10"/>
  <c r="AR4" i="10"/>
  <c r="AR3" i="10"/>
  <c r="AR2" i="10"/>
  <c r="AL16" i="10"/>
  <c r="AL3" i="10"/>
  <c r="AL4" i="10"/>
  <c r="AL5" i="10"/>
  <c r="AL6" i="10"/>
  <c r="AL7" i="10"/>
  <c r="AL8" i="10"/>
  <c r="AL9" i="10"/>
  <c r="AL10" i="10"/>
  <c r="AL11" i="10"/>
  <c r="AL12" i="10"/>
  <c r="AL13" i="10"/>
  <c r="AL14" i="10"/>
  <c r="AL15" i="10"/>
  <c r="AL2" i="10"/>
  <c r="J5" i="3" l="1"/>
  <c r="H9" i="3"/>
  <c r="H8" i="3"/>
  <c r="H16" i="3"/>
  <c r="I2" i="3"/>
  <c r="H2" i="3"/>
  <c r="K7" i="3"/>
  <c r="H10" i="3"/>
  <c r="H3" i="3"/>
  <c r="H11" i="3"/>
  <c r="H4" i="3"/>
  <c r="H12" i="3"/>
  <c r="H5" i="3"/>
  <c r="H6" i="3"/>
  <c r="H14" i="3"/>
  <c r="H7" i="3"/>
  <c r="AF16" i="10"/>
  <c r="Z16" i="10"/>
  <c r="T16" i="10"/>
  <c r="E16" i="3" s="1"/>
  <c r="N16" i="10"/>
  <c r="D16" i="3" s="1"/>
  <c r="H16" i="10"/>
  <c r="AF15" i="10"/>
  <c r="G15" i="3" s="1"/>
  <c r="Z15" i="10"/>
  <c r="F15" i="3" s="1"/>
  <c r="T15" i="10"/>
  <c r="N15" i="10"/>
  <c r="D15" i="3" s="1"/>
  <c r="H15" i="10"/>
  <c r="AF14" i="10"/>
  <c r="G14" i="3" s="1"/>
  <c r="Z14" i="10"/>
  <c r="F14" i="3" s="1"/>
  <c r="T14" i="10"/>
  <c r="N14" i="10"/>
  <c r="H14" i="10"/>
  <c r="C14" i="3" s="1"/>
  <c r="AF13" i="10"/>
  <c r="G13" i="3" s="1"/>
  <c r="Z13" i="10"/>
  <c r="T13" i="10"/>
  <c r="N13" i="10"/>
  <c r="D13" i="3" s="1"/>
  <c r="H13" i="10"/>
  <c r="C13" i="3" s="1"/>
  <c r="AF12" i="10"/>
  <c r="G12" i="3" s="1"/>
  <c r="Z12" i="10"/>
  <c r="T12" i="10"/>
  <c r="E12" i="3" s="1"/>
  <c r="N12" i="10"/>
  <c r="D12" i="3" s="1"/>
  <c r="H12" i="10"/>
  <c r="C12" i="3" s="1"/>
  <c r="AF11" i="10"/>
  <c r="G11" i="3" s="1"/>
  <c r="Z11" i="10"/>
  <c r="T11" i="10"/>
  <c r="E11" i="3" s="1"/>
  <c r="N11" i="10"/>
  <c r="D11" i="3" s="1"/>
  <c r="H11" i="10"/>
  <c r="C11" i="3" s="1"/>
  <c r="AF10" i="10"/>
  <c r="G10" i="3" s="1"/>
  <c r="Z10" i="10"/>
  <c r="F10" i="3" s="1"/>
  <c r="T10" i="10"/>
  <c r="N10" i="10"/>
  <c r="D10" i="3" s="1"/>
  <c r="H10" i="10"/>
  <c r="C10" i="3" s="1"/>
  <c r="AF9" i="10"/>
  <c r="G9" i="3" s="1"/>
  <c r="Z9" i="10"/>
  <c r="F9" i="3" s="1"/>
  <c r="T9" i="10"/>
  <c r="E9" i="3" s="1"/>
  <c r="N9" i="10"/>
  <c r="D9" i="3" s="1"/>
  <c r="H9" i="10"/>
  <c r="C9" i="3" s="1"/>
  <c r="AF8" i="10"/>
  <c r="G8" i="3" s="1"/>
  <c r="Z8" i="10"/>
  <c r="F8" i="3" s="1"/>
  <c r="T8" i="10"/>
  <c r="E8" i="3" s="1"/>
  <c r="N8" i="10"/>
  <c r="D8" i="3" s="1"/>
  <c r="H8" i="10"/>
  <c r="C8" i="3" s="1"/>
  <c r="AF7" i="10"/>
  <c r="G7" i="3" s="1"/>
  <c r="Z7" i="10"/>
  <c r="F7" i="3" s="1"/>
  <c r="T7" i="10"/>
  <c r="E7" i="3" s="1"/>
  <c r="N7" i="10"/>
  <c r="D7" i="3" s="1"/>
  <c r="H7" i="10"/>
  <c r="C7" i="3" s="1"/>
  <c r="AF6" i="10"/>
  <c r="G6" i="3" s="1"/>
  <c r="Z6" i="10"/>
  <c r="F6" i="3" s="1"/>
  <c r="T6" i="10"/>
  <c r="E6" i="3" s="1"/>
  <c r="N6" i="10"/>
  <c r="D6" i="3" s="1"/>
  <c r="H6" i="10"/>
  <c r="AF5" i="10"/>
  <c r="G5" i="3" s="1"/>
  <c r="Z5" i="10"/>
  <c r="F5" i="3" s="1"/>
  <c r="T5" i="10"/>
  <c r="E5" i="3" s="1"/>
  <c r="N5" i="10"/>
  <c r="H5" i="10"/>
  <c r="C5" i="3" s="1"/>
  <c r="AF4" i="10"/>
  <c r="G4" i="3" s="1"/>
  <c r="Z4" i="10"/>
  <c r="F4" i="3" s="1"/>
  <c r="T4" i="10"/>
  <c r="E4" i="3" s="1"/>
  <c r="N4" i="10"/>
  <c r="D4" i="3" s="1"/>
  <c r="H4" i="10"/>
  <c r="C4" i="3" s="1"/>
  <c r="AF3" i="10"/>
  <c r="G3" i="3" s="1"/>
  <c r="Z3" i="10"/>
  <c r="F3" i="3" s="1"/>
  <c r="T3" i="10"/>
  <c r="E3" i="3" s="1"/>
  <c r="N3" i="10"/>
  <c r="D3" i="3" s="1"/>
  <c r="H3" i="10"/>
  <c r="AF2" i="10"/>
  <c r="G2" i="3" s="1"/>
  <c r="Z2" i="10"/>
  <c r="F2" i="3" s="1"/>
  <c r="T2" i="10"/>
  <c r="E2" i="3" s="1"/>
  <c r="N2" i="10"/>
  <c r="H2" i="10"/>
</calcChain>
</file>

<file path=xl/sharedStrings.xml><?xml version="1.0" encoding="utf-8"?>
<sst xmlns="http://schemas.openxmlformats.org/spreadsheetml/2006/main" count="605" uniqueCount="171">
  <si>
    <t>Caixas consultadas em pesquisa de desarquivamento</t>
  </si>
  <si>
    <t>Caixas separadas para classificação</t>
  </si>
  <si>
    <t>Processos/Documentos classificados</t>
  </si>
  <si>
    <t>Caixas separadas para eliminação</t>
  </si>
  <si>
    <t>Caixas inventariadas</t>
  </si>
  <si>
    <t>Processos/documentos inventariados</t>
  </si>
  <si>
    <t>Orientação técnica / atendimentos realizados</t>
  </si>
  <si>
    <t>Caixas remanejadas</t>
  </si>
  <si>
    <t>Documentos administrativos produzidos (Despacho, Nota Técnica, minutas diversas)</t>
  </si>
  <si>
    <t>INDICADORES</t>
  </si>
  <si>
    <t>OBSERVAÇÃO</t>
  </si>
  <si>
    <t xml:space="preserve">OUTRA ATIVIDADE. QUAL? </t>
  </si>
  <si>
    <t>Processos/Documentos listados para eliminação</t>
  </si>
  <si>
    <t>Caixas listadas para eliminação</t>
  </si>
  <si>
    <t>Caixas conferidas</t>
  </si>
  <si>
    <t>TOTAL SEMANA</t>
  </si>
  <si>
    <t>Recebimento de Documentos - Guia de Transferência</t>
  </si>
  <si>
    <t>Retorno de Processos/Documentos Desarquivados</t>
  </si>
  <si>
    <t>Desarquivamento de Processos/Documentos - Saída de Guia Fora</t>
  </si>
  <si>
    <t>Caixas remanejada</t>
  </si>
  <si>
    <t>Fonte</t>
  </si>
  <si>
    <t>SEI</t>
  </si>
  <si>
    <t>CONTAGEM INDIVIDUAL (das caixas abertas para verificação de conteúdo em contexto de pesquisa para desarquivamento)</t>
  </si>
  <si>
    <t>CONTAGEM INDIVIDUAL (das caixas  "puxadas" nas estantes como uma pré-seleção para classificação)</t>
  </si>
  <si>
    <t>PLANILHA</t>
  </si>
  <si>
    <t>CONTAGEM INDIVIDUAL (das caixas "puxadas" nas estantes como uma pré-seleção para eliminação)</t>
  </si>
  <si>
    <t xml:space="preserve">Caixas listadas para eliminação </t>
  </si>
  <si>
    <t>SEI, E-MAIL, TELEFONE</t>
  </si>
  <si>
    <t>CONTAGEM INDIVIDUAL (de caixas deslocadas visando reorganização temporária ou permanente)</t>
  </si>
  <si>
    <t>CONTAGEM INDIVIDUAL (de caixas para simples conferência de quantitativo ou do conteúdo do espelho em atividades diversas)</t>
  </si>
  <si>
    <t xml:space="preserve">1. Listando filmes da LBA -DNIT, Sl. 4.47.
2. Procura da localização das caixas LBA para o pesquisador Prof. Dr. Bruno Sanches. Solicitação e-mail de 24/04/2025.
</t>
  </si>
  <si>
    <t xml:space="preserve">PROCURANDO CAIXAS PARA ELIMINAÇÃO </t>
  </si>
  <si>
    <t>Listando filmes da LBA -DNIT, Sl. 4.47</t>
  </si>
  <si>
    <t>lanche na sala nova a CDA</t>
  </si>
  <si>
    <t>1. Procura da localização das caixas LBA para o pesquisador Prof. Dr. Bruno Sanches. Solicitação e-mail de 24/04/2025.
2. Pesquisa e busca dos processos
 23132.000386/1996-21
23132.000139/1995-51</t>
  </si>
  <si>
    <t>1. Atualização da planilha das caixas LBA para o pesquisador Prof. Dr. Bruno Sanches.
2. Caixas remanejadas para a sala 3.11, para o pesquisador prof. Dr. Bruno Sanches analisar.</t>
  </si>
  <si>
    <t>acompanhano a instalação do ponto de rede e tomada na 4.47</t>
  </si>
  <si>
    <t xml:space="preserve">LANCHE DA TARDE NA DIPRO </t>
  </si>
  <si>
    <t>Doação de sangue e acompanhado instalação de tomadas na sala 3.11 DNIT</t>
  </si>
  <si>
    <t>Fazendo palletes</t>
  </si>
  <si>
    <r>
      <t xml:space="preserve">Separação das 13 caixas da LBA, </t>
    </r>
    <r>
      <rPr>
        <b/>
        <sz val="11"/>
        <color theme="1"/>
        <rFont val="Aptos Narrow"/>
        <family val="2"/>
        <scheme val="minor"/>
      </rPr>
      <t>conferindo o conteúdo de cada caixa</t>
    </r>
    <r>
      <rPr>
        <sz val="11"/>
        <color theme="1"/>
        <rFont val="Aptos Narrow"/>
        <family val="2"/>
        <scheme val="minor"/>
      </rPr>
      <t>, no Bloco A - Sala G-15, para o pesquisador Prof. Dr. Bruno Sanches. Solicitação e-mail de 24/04/2025.</t>
    </r>
  </si>
  <si>
    <t>Acompanhando, no Bloco A - Sala G-15, o pesquisador Prof. Dr. Bruno Sanches em sua pesquisa.</t>
  </si>
  <si>
    <t>Lanche apresentação sala DIPRO</t>
  </si>
  <si>
    <t>Ajuda na procura processo no Acervo do MESP</t>
  </si>
  <si>
    <r>
      <t xml:space="preserve">1. </t>
    </r>
    <r>
      <rPr>
        <b/>
        <sz val="11"/>
        <color theme="1"/>
        <rFont val="Aptos Narrow"/>
        <family val="2"/>
        <scheme val="minor"/>
      </rPr>
      <t>Movimentação de 31 documentos</t>
    </r>
    <r>
      <rPr>
        <sz val="11"/>
        <color theme="1"/>
        <rFont val="Aptos Narrow"/>
        <family val="2"/>
        <scheme val="minor"/>
      </rPr>
      <t xml:space="preserve"> de  que estavam na sala 4.47 fora da caixa correspondente.
2. </t>
    </r>
    <r>
      <rPr>
        <b/>
        <sz val="11"/>
        <color theme="1"/>
        <rFont val="Aptos Narrow"/>
        <family val="2"/>
        <scheme val="minor"/>
      </rPr>
      <t>Movimentação de 10 processos</t>
    </r>
    <r>
      <rPr>
        <sz val="11"/>
        <color theme="1"/>
        <rFont val="Aptos Narrow"/>
        <family val="2"/>
        <scheme val="minor"/>
      </rPr>
      <t xml:space="preserve"> que estavam na sala 4.47 fora da caixa correspondente.</t>
    </r>
  </si>
  <si>
    <t>FAZENDO PALETES</t>
  </si>
  <si>
    <t xml:space="preserve">Pesquisando e reunindo o  material da LBA, para digitalização, buscando localização, solicitado pela professora Gracyelle - Email de 12/02/2025. </t>
  </si>
  <si>
    <t xml:space="preserve">FAZENDO PALETES 80 CAIXAS PRA CADA </t>
  </si>
  <si>
    <t>15 CAIXAS SEPARADAS LBA</t>
  </si>
  <si>
    <t>REUNIÃO NA SALA DA DIPRO DNIT</t>
  </si>
  <si>
    <t xml:space="preserve">1. Acompanhando, no DNIT - Sala 1S 3.11, o pesquisador Prof. Dr. Bruno Sanches em sua pesquisa.
2. Pesquisa para o prof. Bruno Saches sobre uma creche "A Casa da Criança" de Londrina Paraná.
Encontrado no Relatório Paraná 1955.
3. Digitalização material da LBA, solicitado pela professora Gracyelle - Email de 12/02/2025. </t>
  </si>
  <si>
    <t xml:space="preserve">Digitalização material da LBA, solicitado pela professora Gracyelle - Email de 12/02/2025. </t>
  </si>
  <si>
    <t>FERIADO</t>
  </si>
  <si>
    <t>PONTO FACULTATIVO</t>
  </si>
  <si>
    <t>DIGITALIZANDO LIVROS DA LBA</t>
  </si>
  <si>
    <t xml:space="preserve">ALMOÇO PELA PARTE DA TARDE </t>
  </si>
  <si>
    <t>1. Digitalização material da LBA, solicitado pela professora Gracyelle - Email de 12/02/2025.
2. À tarde fui levar minha filha ao dentista.</t>
  </si>
  <si>
    <t>MUDANÇA NO PERÍODO DA MANHA PARA 2° ANDAR</t>
  </si>
  <si>
    <t xml:space="preserve">02/06 a 06/06/2025 </t>
  </si>
  <si>
    <t xml:space="preserve">09/06 a 13/06/2025 </t>
  </si>
  <si>
    <t xml:space="preserve">16/06 a 20/06/2025 </t>
  </si>
  <si>
    <t xml:space="preserve">23/06 a 27/06/2025 </t>
  </si>
  <si>
    <t xml:space="preserve">30/06 a 04/07/2025 </t>
  </si>
  <si>
    <t xml:space="preserve">07/07 a 11/07/2025 </t>
  </si>
  <si>
    <t xml:space="preserve">14/07 a 18/07/2025 </t>
  </si>
  <si>
    <t xml:space="preserve">21/07 a 25/07/2025 </t>
  </si>
  <si>
    <t xml:space="preserve">28/07 a 1/08/2025 </t>
  </si>
  <si>
    <t>ALMOÇO COM A EQUIPE</t>
  </si>
  <si>
    <t xml:space="preserve">1. Pela manhã - Nossa mudança do subsolo sala 1S 3.11 para o 2º andar sala 24.32.
2. Digitalização material da LBA, solicitado pela professora Gracyelle - Email de 12/02/2025. </t>
  </si>
  <si>
    <t xml:space="preserve"> 1. Digitalização material da LBA, solicitado pela professora Gracyelle - Email de 12/02/2025. 
2. Ajuda na pesquisa do documento averbação da servidora MARILUZA PORTELA RIOS VIEIRA. 
</t>
  </si>
  <si>
    <t xml:space="preserve"> Pela manhã - Nossa mudança do subsolo sala 1S 3.11 para o 2º andar sala 24.32.</t>
  </si>
  <si>
    <t xml:space="preserve"> Inventário microfilmes:
4 Caixas
138 microfilmes.</t>
  </si>
  <si>
    <r>
      <t xml:space="preserve">1. Ajuda na pesquisa do documento averbação da servidora MARILUZA PORTELA RIOS VIEIRA. 
</t>
    </r>
    <r>
      <rPr>
        <sz val="11"/>
        <color rgb="FFFF0000"/>
        <rFont val="Aptos Narrow"/>
        <family val="2"/>
      </rPr>
      <t>Encontrado apenas no SEI (0500971).</t>
    </r>
    <r>
      <rPr>
        <sz val="11"/>
        <color theme="1"/>
        <rFont val="Aptos Narrow"/>
        <family val="2"/>
      </rPr>
      <t xml:space="preserve">
2. Inventário microfilmes:
2 Caixas
67 microfilmes.</t>
    </r>
  </si>
  <si>
    <t xml:space="preserve">78 FITAS DE MICRO FILMES NUMERADAS </t>
  </si>
  <si>
    <t xml:space="preserve">72 FITAS DE MICRO FILMES NUMERADAS </t>
  </si>
  <si>
    <t xml:space="preserve">144  FITAS DE MICRO FILMES NUMERADAS </t>
  </si>
  <si>
    <t xml:space="preserve">78  FITAS DE MICRO FILMES NUMERADAS </t>
  </si>
  <si>
    <t xml:space="preserve"> Inventário microfilmes:
4 Caixas
140 microfilmes.</t>
  </si>
  <si>
    <t xml:space="preserve"> Inventário microfilmes:
4 Caixas
139 microfilmes.</t>
  </si>
  <si>
    <t xml:space="preserve">96 FITAS DE MICRO FILMES NUMERADAS </t>
  </si>
  <si>
    <t xml:space="preserve">Digitalização material da LBA, solicitado pela professora Gracyelle - Email de 12/02/2025. Inventário microfilmes:
2 Caixas 70 microfilmes. </t>
  </si>
  <si>
    <t xml:space="preserve"> Procurando caixas para eleiminação p/ Sr. Carlos 12 cxs. Inventário microfilmes:
3 Caixas
105 microfilmes.</t>
  </si>
  <si>
    <t xml:space="preserve">fazendo etiquetas para os micros-filmes </t>
  </si>
  <si>
    <t>Almoço com a Equipe</t>
  </si>
  <si>
    <t>RECESSO</t>
  </si>
  <si>
    <t xml:space="preserve">1. Inventário microfilmes.
3 Caixas
102 microfilmes
2. Ajuda na pesquisa do documento averbação da servidora MARILUZA PORTELA RIOS VIEIRA. </t>
  </si>
  <si>
    <r>
      <t xml:space="preserve">Ajuda na pesquisa do documento </t>
    </r>
    <r>
      <rPr>
        <b/>
        <sz val="11"/>
        <color theme="1"/>
        <rFont val="Aptos Narrow"/>
        <family val="2"/>
      </rPr>
      <t>averbação</t>
    </r>
    <r>
      <rPr>
        <sz val="11"/>
        <color theme="1"/>
        <rFont val="Aptos Narrow"/>
        <family val="2"/>
      </rPr>
      <t xml:space="preserve"> da servidora MARILUZA PORTELA RIOS VIEIRA. </t>
    </r>
  </si>
  <si>
    <t xml:space="preserve">97 FITAS DE MICRO FILMES NUMERADAS </t>
  </si>
  <si>
    <t xml:space="preserve"> Inventário microfilmes:
4 Caixas
137 microfilmes.</t>
  </si>
  <si>
    <t xml:space="preserve">PROCURANDO CAIXAS DA CGEOF/SESAN </t>
  </si>
  <si>
    <t>2 PROCESSOS COM 34 VOLUMES</t>
  </si>
  <si>
    <t xml:space="preserve">3 caixas digitalizadas da folhas para a planilha 103 filmes </t>
  </si>
  <si>
    <t xml:space="preserve"> 1. Pesquisa do documento averbação da servidora
 MARILUZA PORTELA RIOS VIEIRA.
2. Inventário microfilmes.
1 Caixa
30 microfilmes.</t>
  </si>
  <si>
    <t>1. Inventário microfilmes.
1 Caixa
30 microfilmes.
2. Envio de 70 caixas para DAP/CGPC.
3. Recebimento de 70 caixas para DAP/CGPC.</t>
  </si>
  <si>
    <t xml:space="preserve">PROCURANDO CAIXAS PARA ELIMINAÇÃO PRA SEU CARLOS </t>
  </si>
  <si>
    <t>RECEBIMENTO DE 70 CAIXAS DA CGPC E MANDANDO MAIS 70 CAIXAS PARA CGPC</t>
  </si>
  <si>
    <t>Consolidação da Planilha do ARCEM
(Em andamento)</t>
  </si>
  <si>
    <t>Conferência das caixas da 
CGPC/DEFNAS.</t>
  </si>
  <si>
    <t>1. Ida ao Bloco A com os chefes, Patrícia e Marcelo, para ver localização dos microfilmes para inventáriá-los. 
2.  Ida ao Bloco A para localização e análise das prováveis caixas onde possa estar o processo do FUNDESPORTE.</t>
  </si>
  <si>
    <t>Envio de 70 caixas para DAP/CGPC. Recebimento de 70 caixas para DAP/CGPC</t>
  </si>
  <si>
    <t xml:space="preserve">confatrenização da festa junina </t>
  </si>
  <si>
    <t xml:space="preserve">fazendo curso </t>
  </si>
  <si>
    <t>passando a planilha escrita dos micros-filmes para planilha digital</t>
  </si>
  <si>
    <t xml:space="preserve">Separando caixas para eliminação </t>
  </si>
  <si>
    <t>11/07/2025
Atestado Médico</t>
  </si>
  <si>
    <t>ATESTADO MÉDICO</t>
  </si>
  <si>
    <t xml:space="preserve">4 caixas digitalizadas da folhas para a planilha 139 filmes </t>
  </si>
  <si>
    <t>CAFÉ DA MANHÃ CGLA</t>
  </si>
  <si>
    <t>fazendo curso / café da manhã CGLA</t>
  </si>
  <si>
    <t xml:space="preserve">4 caixas digitalizadas da folhas para a planilha 137 filmes </t>
  </si>
  <si>
    <t xml:space="preserve">3 caixas digitalizadas da folhas para a planilha 73 filmes </t>
  </si>
  <si>
    <t xml:space="preserve">3 caixas digitalizadas da folhas para a planilha 81 filmes </t>
  </si>
  <si>
    <t>Inventário microfilmes.
2 Caixas
70 microfilmes</t>
  </si>
  <si>
    <t>Inventário microfilmes.
2 Caixas
68 microfilmes</t>
  </si>
  <si>
    <t>Inventário microfilmes.
2 Caixas
66 microfilmes</t>
  </si>
  <si>
    <t>Inventário microfilmes.
2 Caixas
63 microfilmes</t>
  </si>
  <si>
    <t xml:space="preserve">3 caixas digitalizadas da folhas para a planilha 68 filmes </t>
  </si>
  <si>
    <t>atestado</t>
  </si>
  <si>
    <t>01-fazendo etiquetas para os micros-filmes                   02- passando a planilha escrita dos micros-filmes para planilha digital</t>
  </si>
  <si>
    <t>01-procurando caixas para eliminação para seu Carlos                   02- passando a planilha escrita dos micros-filmes para planilha digital</t>
  </si>
  <si>
    <t>EVENTO
FESTA 
JULINA</t>
  </si>
  <si>
    <t xml:space="preserve">PROCURANDO CAIXA PARA SEU CARLOS E 2 CAIXAS DIGITALIZADAS DA FOLHA PARA PLANILHA 66 FILMES    </t>
  </si>
  <si>
    <t xml:space="preserve">PROCURANDO CAIXA PARA SEU CARLOS E 1 CAIXAS DIGITALIZADAS DA FOLHA PARA PLANILHA 33 FILMES    </t>
  </si>
  <si>
    <t xml:space="preserve">Falta comunicada a chefia </t>
  </si>
  <si>
    <t xml:space="preserve">Procurando caixas de fitas de VHS e 1 caixas digitalizadas da folhas para a planilha 11 fitas VHS,  </t>
  </si>
  <si>
    <t>Inventário microfilmes.
7 Caixas
34 VHS e 2 DVD</t>
  </si>
  <si>
    <t>Preenchimento Planilha
 Inventário audiovisuais LBA.</t>
  </si>
  <si>
    <t>1. Preenchimento Planilha
 Inventário audiovisuais LBA.
2. Guarda e remanejamento das caixas  LBA que o professor Bruno pesquisou.
Total 13 caixas.</t>
  </si>
  <si>
    <t>REVISANDO PLANILHA DE MICRO FILMES LBA</t>
  </si>
  <si>
    <t>PROCURANDO CAIXAS DE VHS</t>
  </si>
  <si>
    <t>PLANILHANDO FITAS VHS</t>
  </si>
  <si>
    <t>FOLGA</t>
  </si>
  <si>
    <t xml:space="preserve">  Pesquisa e busca por processo 
referente ao  214/95 (SIAFI nº 138116)
FUNDESPORTE.
23132.000438/95-22.
Total: 13 caixas.
</t>
  </si>
  <si>
    <t>09/JU</t>
  </si>
  <si>
    <t>FONTE</t>
  </si>
  <si>
    <t>SEI (Depachos ou Ofícios assinados na unidade Diarq)</t>
  </si>
  <si>
    <t>CONTAGEM INDIVIDUAL (Caixas abertas para verificação de conteúdo em contexto de pesquisa para desarquivamento)</t>
  </si>
  <si>
    <t>SEI  (Depachos ou Ofícios assinados na unidade Diarq)</t>
  </si>
  <si>
    <t>CONTAGEM INDIVIDUAL (Caixas  "puxadas" nas estantes como uma pré-seleção para classificação)</t>
  </si>
  <si>
    <t>CONTAGEM INDIVIDUAL (Caixas "puxadas" nas estantes como uma pré-seleção para eliminação)</t>
  </si>
  <si>
    <t>CONTAGEM INDIVIDUAL (Caixas deslocadas/movimentadas visando reorganização temporária ou permanente)</t>
  </si>
  <si>
    <t>CONTAGEM INDIVIDUAL (Caixas consultadas para simples 'conferência de quantitativo' ou do 'conteúdo do espelho' em atividades diversas)</t>
  </si>
  <si>
    <t>SEI (Depachos, Ofícios ou outros documentos assinados na unidade Diarq)</t>
  </si>
  <si>
    <t>Preenchimento de planilha com inventário de microfilmes/audiovisual</t>
  </si>
  <si>
    <t>caixa remanejadas pra identificação se faz parte Microfilmagens/LBA
E
Preenchimento de planilha com inventário de microfilmes/audiovisual</t>
  </si>
  <si>
    <t>PROCURANDO CAIXAS PARA ELIMINAÇÃO PARA SR. CARLOS</t>
  </si>
  <si>
    <t xml:space="preserve">Olhando tds a salas na parte da tarde com a  CPMT  </t>
  </si>
  <si>
    <r>
      <t>Continuação Revisão planilha do Inventário do</t>
    </r>
    <r>
      <rPr>
        <b/>
        <sz val="11"/>
        <color theme="1"/>
        <rFont val="Aptos Narrow"/>
        <family val="2"/>
        <scheme val="minor"/>
      </rPr>
      <t xml:space="preserve"> ARCEN</t>
    </r>
    <r>
      <rPr>
        <sz val="11"/>
        <color theme="1"/>
        <rFont val="Aptos Narrow"/>
        <family val="2"/>
        <scheme val="minor"/>
      </rPr>
      <t xml:space="preserve">
e Consolidação auxílio do Marcelo</t>
    </r>
  </si>
  <si>
    <r>
      <t xml:space="preserve">Revisão planilha do Inventário do </t>
    </r>
    <r>
      <rPr>
        <b/>
        <sz val="11"/>
        <color theme="1"/>
        <rFont val="Aptos Narrow"/>
        <family val="2"/>
        <scheme val="minor"/>
      </rPr>
      <t>ARCEN</t>
    </r>
  </si>
  <si>
    <t>CONTAGEM DE ESPAÇO VAGOS NOS MODULOS E ESTANTES SALA 4.47</t>
  </si>
  <si>
    <t>CONTAGEM DE ESPAÇO VAGOS NOS MODULOS E ESTANTES SALA 3.60</t>
  </si>
  <si>
    <t>CONTAGEM DE ESPAÇO VAGOS NOS MODULOS E ESTANTES SALA 3.35 e 3.61</t>
  </si>
  <si>
    <t xml:space="preserve">procurando caixas de eliminação p/ o Carlos </t>
  </si>
  <si>
    <r>
      <t>Continuação Revisão planilha do Inventário do</t>
    </r>
    <r>
      <rPr>
        <b/>
        <sz val="11"/>
        <color theme="1"/>
        <rFont val="Aptos Narrow"/>
        <family val="2"/>
      </rPr>
      <t xml:space="preserve"> ARCEN</t>
    </r>
    <r>
      <rPr>
        <sz val="11"/>
        <color theme="1"/>
        <rFont val="Aptos Narrow"/>
        <family val="2"/>
      </rPr>
      <t xml:space="preserve">
e Consolidação auxílio do Marcelo</t>
    </r>
  </si>
  <si>
    <t xml:space="preserve">PROCURANDO CAIXAS PARA ELIMINAÇÃO NO TOTAL OLHEI 3000 MIL CAIXAS  </t>
  </si>
  <si>
    <t>1. Busca e conferência de caixas de microfilmes LBA.
Total: 4 caixas, sendo 1 de fita k-7.
2. Aguardando o pessoal para retirar as 6 baias da sala 3.11.</t>
  </si>
  <si>
    <t>1. Aguardando o pessoal para retirar as 6 baias da sala 3.11.
2. Reunião às 10h da manhã com a chefe Patrícia.
3. Inventário fitas k-7 LBA.
Total: 21</t>
  </si>
  <si>
    <t>Levantamento de espaços de caixa nos Arquivos - DNIT.</t>
  </si>
  <si>
    <t>Alimentação planilha Espaços em Aberto de caixa nos Arquivos - DNIT.</t>
  </si>
  <si>
    <r>
      <t xml:space="preserve">Levantamento de espaços de caixa nos Arquivos - DNIT.
</t>
    </r>
    <r>
      <rPr>
        <b/>
        <sz val="11"/>
        <color theme="1"/>
        <rFont val="Aptos Narrow"/>
        <family val="2"/>
      </rPr>
      <t>Total de espaços: 1604.</t>
    </r>
  </si>
  <si>
    <t>1. Procura de caixas para eliminação.
2. Acompanhamento da conferência dos parimônios no Bloco A, sala G-15</t>
  </si>
  <si>
    <t xml:space="preserve"> Procura de caixas para 
eliminação.</t>
  </si>
  <si>
    <t>Palestra no Arquivo Nacional
Fomos liberados do Ponto Eletrônico.</t>
  </si>
  <si>
    <t xml:space="preserve"> Pesquisa e busca pelo processo
71000.004542/2005-12 (SESAN)</t>
  </si>
  <si>
    <r>
      <t xml:space="preserve"> Pesquisa e busca pelo processo
71000.004542/2005-12 (SESAN)
</t>
    </r>
    <r>
      <rPr>
        <sz val="11"/>
        <color rgb="FFFF0000"/>
        <rFont val="Aptos Narrow"/>
        <family val="2"/>
        <scheme val="minor"/>
      </rPr>
      <t>Não encontrado registro de entrada neste arquivo.</t>
    </r>
  </si>
  <si>
    <t xml:space="preserve">1. E-mail de orientação de desarquivamento para o Wederson da CGPC.
2. Pesquisa e busca pelo processo  44000.006180/1997-51 </t>
  </si>
  <si>
    <t>1. Pesquisa e busca pelo processo  44000.006180/1997-51.
2. Pesquisa e busca pela pasta funcional - DYLENY TEIXEIRA ALVES DA SILVA</t>
  </si>
  <si>
    <t xml:space="preserve"> 1. Pesquisa e busca pelo processo  44000.006180/1997-51.
2. Inventário de fotos LBA.</t>
  </si>
  <si>
    <t>Inventário de Fotos LBA.</t>
  </si>
  <si>
    <t>1. Pesquisa do documento averbação da servidora MARILUZA PORTELA RIOS VIEIRA.
2.  Pesquisa e busca processos: 00070.002379/2003-10 00070.007055/2003-78
3. Inventário microfilmes.
1 Caixa
35 microfilmes</t>
  </si>
  <si>
    <t>Recebimento/Caixas remanejadas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</si>
</sst>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18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2F2F2"/>
        <bgColor rgb="FFDDDD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DDDD"/>
      </patternFill>
    </fill>
    <fill>
      <patternFill patternType="solid">
        <fgColor rgb="FFFFFF00"/>
        <bgColor rgb="FFEDEDED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0" fillId="4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16" fontId="0" fillId="0" borderId="12" xfId="0" applyNumberFormat="1" applyBorder="1" applyAlignment="1">
      <alignment horizontal="center" vertical="center"/>
    </xf>
    <xf numFmtId="16" fontId="0" fillId="4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3" fontId="0" fillId="5" borderId="4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 textRotation="255"/>
    </xf>
    <xf numFmtId="0" fontId="0" fillId="0" borderId="0" xfId="0" applyAlignment="1">
      <alignment horizontal="center" textRotation="255" wrapText="1" readingOrder="2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6" fontId="0" fillId="13" borderId="12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textRotation="180"/>
    </xf>
    <xf numFmtId="0" fontId="2" fillId="9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7" borderId="4" xfId="0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right" vertical="center" wrapText="1"/>
    </xf>
    <xf numFmtId="0" fontId="14" fillId="6" borderId="4" xfId="0" applyFont="1" applyFill="1" applyBorder="1" applyAlignment="1">
      <alignment horizontal="right" vertical="center" wrapText="1"/>
    </xf>
    <xf numFmtId="0" fontId="14" fillId="3" borderId="4" xfId="0" applyFont="1" applyFill="1" applyBorder="1" applyAlignment="1">
      <alignment horizontal="right" vertical="center" wrapText="1"/>
    </xf>
    <xf numFmtId="0" fontId="12" fillId="5" borderId="4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0" fillId="14" borderId="0" xfId="0" applyFill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138" Type="http://schemas.openxmlformats.org/officeDocument/2006/relationships/revisionLog" Target="revisionLog137.xml"/><Relationship Id="rId63" Type="http://schemas.openxmlformats.org/officeDocument/2006/relationships/revisionLog" Target="revisionLog63.xml"/><Relationship Id="rId84" Type="http://schemas.openxmlformats.org/officeDocument/2006/relationships/revisionLog" Target="revisionLog84.xml"/><Relationship Id="rId159" Type="http://schemas.openxmlformats.org/officeDocument/2006/relationships/revisionLog" Target="revisionLog16.xml"/><Relationship Id="rId170" Type="http://schemas.openxmlformats.org/officeDocument/2006/relationships/revisionLog" Target="revisionLog27.xml"/><Relationship Id="rId191" Type="http://schemas.openxmlformats.org/officeDocument/2006/relationships/revisionLog" Target="revisionLog48.xml"/><Relationship Id="rId205" Type="http://schemas.openxmlformats.org/officeDocument/2006/relationships/revisionLog" Target="revisionLog151.xml"/><Relationship Id="rId226" Type="http://schemas.openxmlformats.org/officeDocument/2006/relationships/revisionLog" Target="revisionLog172.xml"/><Relationship Id="rId107" Type="http://schemas.openxmlformats.org/officeDocument/2006/relationships/revisionLog" Target="revisionLog107.xml"/><Relationship Id="rId149" Type="http://schemas.openxmlformats.org/officeDocument/2006/relationships/revisionLog" Target="revisionLog143.xml"/><Relationship Id="rId128" Type="http://schemas.openxmlformats.org/officeDocument/2006/relationships/revisionLog" Target="revisionLog1.xml"/><Relationship Id="rId74" Type="http://schemas.openxmlformats.org/officeDocument/2006/relationships/revisionLog" Target="revisionLog74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7.xml"/><Relationship Id="rId181" Type="http://schemas.openxmlformats.org/officeDocument/2006/relationships/revisionLog" Target="revisionLog38.xml"/><Relationship Id="rId216" Type="http://schemas.openxmlformats.org/officeDocument/2006/relationships/revisionLog" Target="revisionLog162.xml"/><Relationship Id="rId237" Type="http://schemas.openxmlformats.org/officeDocument/2006/relationships/revisionLog" Target="revisionLog183.xml"/><Relationship Id="rId139" Type="http://schemas.openxmlformats.org/officeDocument/2006/relationships/revisionLog" Target="revisionLog138.xml"/><Relationship Id="rId118" Type="http://schemas.openxmlformats.org/officeDocument/2006/relationships/revisionLog" Target="revisionLog118.xml"/><Relationship Id="rId64" Type="http://schemas.openxmlformats.org/officeDocument/2006/relationships/revisionLog" Target="revisionLog64.xml"/><Relationship Id="rId85" Type="http://schemas.openxmlformats.org/officeDocument/2006/relationships/revisionLog" Target="revisionLog85.xml"/><Relationship Id="rId150" Type="http://schemas.openxmlformats.org/officeDocument/2006/relationships/revisionLog" Target="revisionLog7.xml"/><Relationship Id="rId171" Type="http://schemas.openxmlformats.org/officeDocument/2006/relationships/revisionLog" Target="revisionLog28.xml"/><Relationship Id="rId192" Type="http://schemas.openxmlformats.org/officeDocument/2006/relationships/revisionLog" Target="revisionLog49.xml"/><Relationship Id="rId206" Type="http://schemas.openxmlformats.org/officeDocument/2006/relationships/revisionLog" Target="revisionLog152.xml"/><Relationship Id="rId227" Type="http://schemas.openxmlformats.org/officeDocument/2006/relationships/revisionLog" Target="revisionLog173.xml"/><Relationship Id="rId129" Type="http://schemas.openxmlformats.org/officeDocument/2006/relationships/revisionLog" Target="revisionLog128.xml"/><Relationship Id="rId108" Type="http://schemas.openxmlformats.org/officeDocument/2006/relationships/revisionLog" Target="revisionLog108.xml"/><Relationship Id="rId75" Type="http://schemas.openxmlformats.org/officeDocument/2006/relationships/revisionLog" Target="revisionLog75.xml"/><Relationship Id="rId96" Type="http://schemas.openxmlformats.org/officeDocument/2006/relationships/revisionLog" Target="revisionLog96.xml"/><Relationship Id="rId140" Type="http://schemas.openxmlformats.org/officeDocument/2006/relationships/revisionLog" Target="revisionLog139.xml"/><Relationship Id="rId161" Type="http://schemas.openxmlformats.org/officeDocument/2006/relationships/revisionLog" Target="revisionLog18.xml"/><Relationship Id="rId182" Type="http://schemas.openxmlformats.org/officeDocument/2006/relationships/revisionLog" Target="revisionLog39.xml"/><Relationship Id="rId217" Type="http://schemas.openxmlformats.org/officeDocument/2006/relationships/revisionLog" Target="revisionLog163.xml"/><Relationship Id="rId238" Type="http://schemas.openxmlformats.org/officeDocument/2006/relationships/revisionLog" Target="revisionLog184.xml"/><Relationship Id="rId119" Type="http://schemas.openxmlformats.org/officeDocument/2006/relationships/revisionLog" Target="revisionLog119.xml"/><Relationship Id="rId65" Type="http://schemas.openxmlformats.org/officeDocument/2006/relationships/revisionLog" Target="revisionLog65.xml"/><Relationship Id="rId86" Type="http://schemas.openxmlformats.org/officeDocument/2006/relationships/revisionLog" Target="revisionLog86.xml"/><Relationship Id="rId130" Type="http://schemas.openxmlformats.org/officeDocument/2006/relationships/revisionLog" Target="revisionLog129.xml"/><Relationship Id="rId151" Type="http://schemas.openxmlformats.org/officeDocument/2006/relationships/revisionLog" Target="revisionLog8.xml"/><Relationship Id="rId172" Type="http://schemas.openxmlformats.org/officeDocument/2006/relationships/revisionLog" Target="revisionLog29.xml"/><Relationship Id="rId193" Type="http://schemas.openxmlformats.org/officeDocument/2006/relationships/revisionLog" Target="revisionLog50.xml"/><Relationship Id="rId207" Type="http://schemas.openxmlformats.org/officeDocument/2006/relationships/revisionLog" Target="revisionLog153.xml"/><Relationship Id="rId228" Type="http://schemas.openxmlformats.org/officeDocument/2006/relationships/revisionLog" Target="revisionLog174.xml"/><Relationship Id="rId109" Type="http://schemas.openxmlformats.org/officeDocument/2006/relationships/revisionLog" Target="revisionLog109.xml"/><Relationship Id="rId146" Type="http://schemas.openxmlformats.org/officeDocument/2006/relationships/revisionLog" Target="revisionLog6.xml"/><Relationship Id="rId141" Type="http://schemas.openxmlformats.org/officeDocument/2006/relationships/revisionLog" Target="revisionLog140.xml"/><Relationship Id="rId55" Type="http://schemas.openxmlformats.org/officeDocument/2006/relationships/revisionLog" Target="revisionLog55.xml"/><Relationship Id="rId76" Type="http://schemas.openxmlformats.org/officeDocument/2006/relationships/revisionLog" Target="revisionLog76.xml"/><Relationship Id="rId97" Type="http://schemas.openxmlformats.org/officeDocument/2006/relationships/revisionLog" Target="revisionLog97.xml"/><Relationship Id="rId104" Type="http://schemas.openxmlformats.org/officeDocument/2006/relationships/revisionLog" Target="revisionLog104.xml"/><Relationship Id="rId120" Type="http://schemas.openxmlformats.org/officeDocument/2006/relationships/revisionLog" Target="revisionLog120.xml"/><Relationship Id="rId125" Type="http://schemas.openxmlformats.org/officeDocument/2006/relationships/revisionLog" Target="revisionLog125.xml"/><Relationship Id="rId167" Type="http://schemas.openxmlformats.org/officeDocument/2006/relationships/revisionLog" Target="revisionLog24.xml"/><Relationship Id="rId188" Type="http://schemas.openxmlformats.org/officeDocument/2006/relationships/revisionLog" Target="revisionLog45.xml"/><Relationship Id="rId92" Type="http://schemas.openxmlformats.org/officeDocument/2006/relationships/revisionLog" Target="revisionLog92.xml"/><Relationship Id="rId71" Type="http://schemas.openxmlformats.org/officeDocument/2006/relationships/revisionLog" Target="revisionLog71.xml"/><Relationship Id="rId162" Type="http://schemas.openxmlformats.org/officeDocument/2006/relationships/revisionLog" Target="revisionLog19.xml"/><Relationship Id="rId183" Type="http://schemas.openxmlformats.org/officeDocument/2006/relationships/revisionLog" Target="revisionLog40.xml"/><Relationship Id="rId213" Type="http://schemas.openxmlformats.org/officeDocument/2006/relationships/revisionLog" Target="revisionLog159.xml"/><Relationship Id="rId218" Type="http://schemas.openxmlformats.org/officeDocument/2006/relationships/revisionLog" Target="revisionLog164.xml"/><Relationship Id="rId234" Type="http://schemas.openxmlformats.org/officeDocument/2006/relationships/revisionLog" Target="revisionLog180.xml"/><Relationship Id="rId239" Type="http://schemas.openxmlformats.org/officeDocument/2006/relationships/revisionLog" Target="revisionLog185.xml"/><Relationship Id="rId136" Type="http://schemas.openxmlformats.org/officeDocument/2006/relationships/revisionLog" Target="revisionLog135.xml"/><Relationship Id="rId131" Type="http://schemas.openxmlformats.org/officeDocument/2006/relationships/revisionLog" Target="revisionLog130.xml"/><Relationship Id="rId157" Type="http://schemas.openxmlformats.org/officeDocument/2006/relationships/revisionLog" Target="revisionLog14.xml"/><Relationship Id="rId66" Type="http://schemas.openxmlformats.org/officeDocument/2006/relationships/revisionLog" Target="revisionLog66.xml"/><Relationship Id="rId87" Type="http://schemas.openxmlformats.org/officeDocument/2006/relationships/revisionLog" Target="revisionLog87.xml"/><Relationship Id="rId110" Type="http://schemas.openxmlformats.org/officeDocument/2006/relationships/revisionLog" Target="revisionLog110.xml"/><Relationship Id="rId115" Type="http://schemas.openxmlformats.org/officeDocument/2006/relationships/revisionLog" Target="revisionLog115.xml"/><Relationship Id="rId178" Type="http://schemas.openxmlformats.org/officeDocument/2006/relationships/revisionLog" Target="revisionLog35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52" Type="http://schemas.openxmlformats.org/officeDocument/2006/relationships/revisionLog" Target="revisionLog9.xml"/><Relationship Id="rId173" Type="http://schemas.openxmlformats.org/officeDocument/2006/relationships/revisionLog" Target="revisionLog30.xml"/><Relationship Id="rId194" Type="http://schemas.openxmlformats.org/officeDocument/2006/relationships/revisionLog" Target="revisionLog51.xml"/><Relationship Id="rId199" Type="http://schemas.openxmlformats.org/officeDocument/2006/relationships/revisionLog" Target="revisionLog145.xml"/><Relationship Id="rId203" Type="http://schemas.openxmlformats.org/officeDocument/2006/relationships/revisionLog" Target="revisionLog149.xml"/><Relationship Id="rId208" Type="http://schemas.openxmlformats.org/officeDocument/2006/relationships/revisionLog" Target="revisionLog154.xml"/><Relationship Id="rId229" Type="http://schemas.openxmlformats.org/officeDocument/2006/relationships/revisionLog" Target="revisionLog175.xml"/><Relationship Id="rId224" Type="http://schemas.openxmlformats.org/officeDocument/2006/relationships/revisionLog" Target="revisionLog170.xml"/><Relationship Id="rId240" Type="http://schemas.openxmlformats.org/officeDocument/2006/relationships/revisionLog" Target="revisionLog186.xml"/><Relationship Id="rId147" Type="http://schemas.openxmlformats.org/officeDocument/2006/relationships/revisionLog" Target="revisionLog141.xml"/><Relationship Id="rId126" Type="http://schemas.openxmlformats.org/officeDocument/2006/relationships/revisionLog" Target="revisionLog126.xml"/><Relationship Id="rId105" Type="http://schemas.openxmlformats.org/officeDocument/2006/relationships/revisionLog" Target="revisionLog105.xml"/><Relationship Id="rId56" Type="http://schemas.openxmlformats.org/officeDocument/2006/relationships/revisionLog" Target="revisionLog56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168" Type="http://schemas.openxmlformats.org/officeDocument/2006/relationships/revisionLog" Target="revisionLog25.xml"/><Relationship Id="rId142" Type="http://schemas.openxmlformats.org/officeDocument/2006/relationships/revisionLog" Target="revisionLog2.xml"/><Relationship Id="rId163" Type="http://schemas.openxmlformats.org/officeDocument/2006/relationships/revisionLog" Target="revisionLog20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98" Type="http://schemas.openxmlformats.org/officeDocument/2006/relationships/revisionLog" Target="revisionLog98.xml"/><Relationship Id="rId121" Type="http://schemas.openxmlformats.org/officeDocument/2006/relationships/revisionLog" Target="revisionLog121.xml"/><Relationship Id="rId184" Type="http://schemas.openxmlformats.org/officeDocument/2006/relationships/revisionLog" Target="revisionLog41.xml"/><Relationship Id="rId189" Type="http://schemas.openxmlformats.org/officeDocument/2006/relationships/revisionLog" Target="revisionLog46.xml"/><Relationship Id="rId219" Type="http://schemas.openxmlformats.org/officeDocument/2006/relationships/revisionLog" Target="revisionLog165.xml"/><Relationship Id="rId214" Type="http://schemas.openxmlformats.org/officeDocument/2006/relationships/revisionLog" Target="revisionLog160.xml"/><Relationship Id="rId230" Type="http://schemas.openxmlformats.org/officeDocument/2006/relationships/revisionLog" Target="revisionLog176.xml"/><Relationship Id="rId235" Type="http://schemas.openxmlformats.org/officeDocument/2006/relationships/revisionLog" Target="revisionLog181.xml"/><Relationship Id="rId137" Type="http://schemas.openxmlformats.org/officeDocument/2006/relationships/revisionLog" Target="revisionLog136.xml"/><Relationship Id="rId158" Type="http://schemas.openxmlformats.org/officeDocument/2006/relationships/revisionLog" Target="revisionLog15.xml"/><Relationship Id="rId67" Type="http://schemas.openxmlformats.org/officeDocument/2006/relationships/revisionLog" Target="revisionLog67.xml"/><Relationship Id="rId116" Type="http://schemas.openxmlformats.org/officeDocument/2006/relationships/revisionLog" Target="revisionLog116.xml"/><Relationship Id="rId132" Type="http://schemas.openxmlformats.org/officeDocument/2006/relationships/revisionLog" Target="revisionLog131.xml"/><Relationship Id="rId111" Type="http://schemas.openxmlformats.org/officeDocument/2006/relationships/revisionLog" Target="revisionLog111.xml"/><Relationship Id="rId62" Type="http://schemas.openxmlformats.org/officeDocument/2006/relationships/revisionLog" Target="revisionLog62.xml"/><Relationship Id="rId83" Type="http://schemas.openxmlformats.org/officeDocument/2006/relationships/revisionLog" Target="revisionLog83.xml"/><Relationship Id="rId88" Type="http://schemas.openxmlformats.org/officeDocument/2006/relationships/revisionLog" Target="revisionLog88.xml"/><Relationship Id="rId153" Type="http://schemas.openxmlformats.org/officeDocument/2006/relationships/revisionLog" Target="revisionLog10.xml"/><Relationship Id="rId174" Type="http://schemas.openxmlformats.org/officeDocument/2006/relationships/revisionLog" Target="revisionLog31.xml"/><Relationship Id="rId179" Type="http://schemas.openxmlformats.org/officeDocument/2006/relationships/revisionLog" Target="revisionLog36.xml"/><Relationship Id="rId195" Type="http://schemas.openxmlformats.org/officeDocument/2006/relationships/revisionLog" Target="revisionLog52.xml"/><Relationship Id="rId209" Type="http://schemas.openxmlformats.org/officeDocument/2006/relationships/revisionLog" Target="revisionLog155.xml"/><Relationship Id="rId190" Type="http://schemas.openxmlformats.org/officeDocument/2006/relationships/revisionLog" Target="revisionLog47.xml"/><Relationship Id="rId204" Type="http://schemas.openxmlformats.org/officeDocument/2006/relationships/revisionLog" Target="revisionLog150.xml"/><Relationship Id="rId220" Type="http://schemas.openxmlformats.org/officeDocument/2006/relationships/revisionLog" Target="revisionLog166.xml"/><Relationship Id="rId225" Type="http://schemas.openxmlformats.org/officeDocument/2006/relationships/revisionLog" Target="revisionLog171.xml"/><Relationship Id="rId241" Type="http://schemas.openxmlformats.org/officeDocument/2006/relationships/revisionLog" Target="revisionLog187.xml"/><Relationship Id="rId127" Type="http://schemas.openxmlformats.org/officeDocument/2006/relationships/revisionLog" Target="revisionLog127.xml"/><Relationship Id="rId106" Type="http://schemas.openxmlformats.org/officeDocument/2006/relationships/revisionLog" Target="revisionLog106.xml"/><Relationship Id="rId57" Type="http://schemas.openxmlformats.org/officeDocument/2006/relationships/revisionLog" Target="revisionLog57.xml"/><Relationship Id="rId148" Type="http://schemas.openxmlformats.org/officeDocument/2006/relationships/revisionLog" Target="revisionLog142.xml"/><Relationship Id="rId143" Type="http://schemas.openxmlformats.org/officeDocument/2006/relationships/revisionLog" Target="revisionLog3.xml"/><Relationship Id="rId164" Type="http://schemas.openxmlformats.org/officeDocument/2006/relationships/revisionLog" Target="revisionLog21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94" Type="http://schemas.openxmlformats.org/officeDocument/2006/relationships/revisionLog" Target="revisionLog94.xml"/><Relationship Id="rId99" Type="http://schemas.openxmlformats.org/officeDocument/2006/relationships/revisionLog" Target="revisionLog99.xml"/><Relationship Id="rId101" Type="http://schemas.openxmlformats.org/officeDocument/2006/relationships/revisionLog" Target="revisionLog101.xml"/><Relationship Id="rId122" Type="http://schemas.openxmlformats.org/officeDocument/2006/relationships/revisionLog" Target="revisionLog122.xml"/><Relationship Id="rId169" Type="http://schemas.openxmlformats.org/officeDocument/2006/relationships/revisionLog" Target="revisionLog26.xml"/><Relationship Id="rId185" Type="http://schemas.openxmlformats.org/officeDocument/2006/relationships/revisionLog" Target="revisionLog42.xml"/><Relationship Id="rId180" Type="http://schemas.openxmlformats.org/officeDocument/2006/relationships/revisionLog" Target="revisionLog37.xml"/><Relationship Id="rId210" Type="http://schemas.openxmlformats.org/officeDocument/2006/relationships/revisionLog" Target="revisionLog156.xml"/><Relationship Id="rId215" Type="http://schemas.openxmlformats.org/officeDocument/2006/relationships/revisionLog" Target="revisionLog161.xml"/><Relationship Id="rId236" Type="http://schemas.openxmlformats.org/officeDocument/2006/relationships/revisionLog" Target="revisionLog182.xml"/><Relationship Id="rId231" Type="http://schemas.openxmlformats.org/officeDocument/2006/relationships/revisionLog" Target="revisionLog177.xml"/><Relationship Id="rId133" Type="http://schemas.openxmlformats.org/officeDocument/2006/relationships/revisionLog" Target="revisionLog132.xml"/><Relationship Id="rId68" Type="http://schemas.openxmlformats.org/officeDocument/2006/relationships/revisionLog" Target="revisionLog68.xml"/><Relationship Id="rId89" Type="http://schemas.openxmlformats.org/officeDocument/2006/relationships/revisionLog" Target="revisionLog89.xml"/><Relationship Id="rId112" Type="http://schemas.openxmlformats.org/officeDocument/2006/relationships/revisionLog" Target="revisionLog112.xml"/><Relationship Id="rId154" Type="http://schemas.openxmlformats.org/officeDocument/2006/relationships/revisionLog" Target="revisionLog11.xml"/><Relationship Id="rId175" Type="http://schemas.openxmlformats.org/officeDocument/2006/relationships/revisionLog" Target="revisionLog32.xml"/><Relationship Id="rId196" Type="http://schemas.openxmlformats.org/officeDocument/2006/relationships/revisionLog" Target="revisionLog53.xml"/><Relationship Id="rId200" Type="http://schemas.openxmlformats.org/officeDocument/2006/relationships/revisionLog" Target="revisionLog146.xml"/><Relationship Id="rId221" Type="http://schemas.openxmlformats.org/officeDocument/2006/relationships/revisionLog" Target="revisionLog167.xml"/><Relationship Id="rId242" Type="http://schemas.openxmlformats.org/officeDocument/2006/relationships/revisionLog" Target="revisionLog188.xml"/><Relationship Id="rId144" Type="http://schemas.openxmlformats.org/officeDocument/2006/relationships/revisionLog" Target="revisionLog4.xml"/><Relationship Id="rId123" Type="http://schemas.openxmlformats.org/officeDocument/2006/relationships/revisionLog" Target="revisionLog123.xml"/><Relationship Id="rId58" Type="http://schemas.openxmlformats.org/officeDocument/2006/relationships/revisionLog" Target="revisionLog58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90" Type="http://schemas.openxmlformats.org/officeDocument/2006/relationships/revisionLog" Target="revisionLog90.xml"/><Relationship Id="rId165" Type="http://schemas.openxmlformats.org/officeDocument/2006/relationships/revisionLog" Target="revisionLog22.xml"/><Relationship Id="rId186" Type="http://schemas.openxmlformats.org/officeDocument/2006/relationships/revisionLog" Target="revisionLog43.xml"/><Relationship Id="rId211" Type="http://schemas.openxmlformats.org/officeDocument/2006/relationships/revisionLog" Target="revisionLog157.xml"/><Relationship Id="rId232" Type="http://schemas.openxmlformats.org/officeDocument/2006/relationships/revisionLog" Target="revisionLog178.xml"/><Relationship Id="rId134" Type="http://schemas.openxmlformats.org/officeDocument/2006/relationships/revisionLog" Target="revisionLog133.xml"/><Relationship Id="rId113" Type="http://schemas.openxmlformats.org/officeDocument/2006/relationships/revisionLog" Target="revisionLog113.xml"/><Relationship Id="rId69" Type="http://schemas.openxmlformats.org/officeDocument/2006/relationships/revisionLog" Target="revisionLog69.xml"/><Relationship Id="rId80" Type="http://schemas.openxmlformats.org/officeDocument/2006/relationships/revisionLog" Target="revisionLog80.xml"/><Relationship Id="rId155" Type="http://schemas.openxmlformats.org/officeDocument/2006/relationships/revisionLog" Target="revisionLog12.xml"/><Relationship Id="rId176" Type="http://schemas.openxmlformats.org/officeDocument/2006/relationships/revisionLog" Target="revisionLog33.xml"/><Relationship Id="rId197" Type="http://schemas.openxmlformats.org/officeDocument/2006/relationships/revisionLog" Target="revisionLog54.xml"/><Relationship Id="rId201" Type="http://schemas.openxmlformats.org/officeDocument/2006/relationships/revisionLog" Target="revisionLog147.xml"/><Relationship Id="rId222" Type="http://schemas.openxmlformats.org/officeDocument/2006/relationships/revisionLog" Target="revisionLog168.xml"/><Relationship Id="rId243" Type="http://schemas.openxmlformats.org/officeDocument/2006/relationships/revisionLog" Target="revisionLog189.xml"/><Relationship Id="rId124" Type="http://schemas.openxmlformats.org/officeDocument/2006/relationships/revisionLog" Target="revisionLog124.xml"/><Relationship Id="rId103" Type="http://schemas.openxmlformats.org/officeDocument/2006/relationships/revisionLog" Target="revisionLog103.xml"/><Relationship Id="rId59" Type="http://schemas.openxmlformats.org/officeDocument/2006/relationships/revisionLog" Target="revisionLog59.xml"/><Relationship Id="rId166" Type="http://schemas.openxmlformats.org/officeDocument/2006/relationships/revisionLog" Target="revisionLog23.xml"/><Relationship Id="rId70" Type="http://schemas.openxmlformats.org/officeDocument/2006/relationships/revisionLog" Target="revisionLog70.xml"/><Relationship Id="rId91" Type="http://schemas.openxmlformats.org/officeDocument/2006/relationships/revisionLog" Target="revisionLog91.xml"/><Relationship Id="rId145" Type="http://schemas.openxmlformats.org/officeDocument/2006/relationships/revisionLog" Target="revisionLog5.xml"/><Relationship Id="rId187" Type="http://schemas.openxmlformats.org/officeDocument/2006/relationships/revisionLog" Target="revisionLog44.xml"/><Relationship Id="rId212" Type="http://schemas.openxmlformats.org/officeDocument/2006/relationships/revisionLog" Target="revisionLog158.xml"/><Relationship Id="rId233" Type="http://schemas.openxmlformats.org/officeDocument/2006/relationships/revisionLog" Target="revisionLog179.xml"/><Relationship Id="rId114" Type="http://schemas.openxmlformats.org/officeDocument/2006/relationships/revisionLog" Target="revisionLog114.xml"/><Relationship Id="rId156" Type="http://schemas.openxmlformats.org/officeDocument/2006/relationships/revisionLog" Target="revisionLog13.xml"/><Relationship Id="rId60" Type="http://schemas.openxmlformats.org/officeDocument/2006/relationships/revisionLog" Target="revisionLog60.xml"/><Relationship Id="rId81" Type="http://schemas.openxmlformats.org/officeDocument/2006/relationships/revisionLog" Target="revisionLog81.xml"/><Relationship Id="rId135" Type="http://schemas.openxmlformats.org/officeDocument/2006/relationships/revisionLog" Target="revisionLog134.xml"/><Relationship Id="rId177" Type="http://schemas.openxmlformats.org/officeDocument/2006/relationships/revisionLog" Target="revisionLog34.xml"/><Relationship Id="rId198" Type="http://schemas.openxmlformats.org/officeDocument/2006/relationships/revisionLog" Target="revisionLog144.xml"/><Relationship Id="rId202" Type="http://schemas.openxmlformats.org/officeDocument/2006/relationships/revisionLog" Target="revisionLog148.xml"/><Relationship Id="rId223" Type="http://schemas.openxmlformats.org/officeDocument/2006/relationships/revisionLog" Target="revisionLog169.xml"/><Relationship Id="rId244" Type="http://schemas.openxmlformats.org/officeDocument/2006/relationships/revisionLog" Target="revisionLog190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9BAB1CD-BA35-45A1-8253-EE4EF5FC9C8B}" diskRevisions="1" revisionId="2794" version="244">
  <header guid="{C2A20258-9F99-4BA6-8D33-29922802D4E5}" dateTime="2025-06-17T10:35:39" maxSheetId="11" userName="Diego Santos de Abreu" r:id="rId55" minRId="40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8AB6974-7EDB-45FA-9C7D-C7C33D208ED2}" dateTime="2025-06-17T14:21:29" maxSheetId="11" userName="Aelton de Jesus Nunes" r:id="rId56" minRId="41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FC4A4AA-C513-4499-87A2-17BE513D072E}" dateTime="2025-06-17T16:29:51" maxSheetId="11" userName="Alessandro Borges de Araújo" r:id="rId57" minRId="42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D211863-7B01-42AE-ABC7-9F594F675E90}" dateTime="2025-06-18T09:37:40" maxSheetId="11" userName="Aelton de Jesus Nunes" r:id="rId58" minRId="42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AED8AEA-6E7B-4628-99EB-4E0905F51807}" dateTime="2025-06-18T09:38:11" maxSheetId="11" userName="Aelton de Jesus Nunes" r:id="rId5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7CAA7D8-C811-4D71-925B-5E6001EC62C3}" dateTime="2025-06-18T11:47:51" maxSheetId="11" userName="Aelton de Jesus Nunes" r:id="rId60" minRId="44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6060BCB-0942-4B32-8304-71D61CB4501D}" dateTime="2025-06-23T09:06:05" maxSheetId="11" userName="Diego Santos de Abreu" r:id="rId61" minRId="444" maxRId="44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738F86D-A203-4323-AB0F-6A3FF0764D5D}" dateTime="2025-06-23T09:06:57" maxSheetId="11" userName="Diego Santos de Abreu" r:id="rId62" minRId="456" maxRId="45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E85D1D3-6685-423E-B6C2-BE713FEA6AD0}" dateTime="2025-06-23T09:30:23" maxSheetId="11" userName="Aelton de Jesus Nunes" r:id="rId63" minRId="46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C2DE769-E122-4EA6-9D26-1EAC9385BF1B}" dateTime="2025-06-23T11:08:23" maxSheetId="11" userName="Marcos Neves de Almeida" r:id="rId64" minRId="479" maxRId="48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BA62815-17E3-4ACE-9956-12B3C216B36C}" dateTime="2025-06-23T11:55:39" maxSheetId="11" userName="Aelton de Jesus Nunes" r:id="rId6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1AF84EC-32E5-47CB-8451-6AA07EDE80EB}" dateTime="2025-06-23T14:26:56" maxSheetId="11" userName="Marcos Neves de Almeida" r:id="rId66" minRId="502" maxRId="50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C178EE0-458C-4BA3-BCA4-7C9EC117678C}" dateTime="2025-06-23T14:39:04" maxSheetId="11" userName="Marcelo Lucio Saboia Fonseca" r:id="rId67" minRId="514" maxRId="65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41475EE-9C72-495F-ABDD-637FB86B2DFE}" dateTime="2025-06-23T14:39:56" maxSheetId="11" userName="Marcelo Lucio Saboia Fonseca" r:id="rId68" minRId="668" maxRId="76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733585E-D972-4E38-BA2E-428D853B915F}" dateTime="2025-06-23T14:43:01" maxSheetId="11" userName="Marcelo Lucio Saboia Fonseca" r:id="rId69" minRId="767" maxRId="81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B1EA82C-7CC1-447D-8CA1-7FC8D4D2AEC8}" dateTime="2025-06-23T14:55:42" maxSheetId="11" userName="Marcelo Lucio Saboia Fonseca" r:id="rId70" minRId="823" maxRId="88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5728835-9EE6-43F1-A7E4-DD4A0655F141}" dateTime="2025-06-23T14:56:36" maxSheetId="11" userName="Marcelo Lucio Saboia Fonseca" r:id="rId71" minRId="883" maxRId="94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C2BF7C2-EF06-4828-9BD7-A525B059DC37}" dateTime="2025-06-23T15:55:14" maxSheetId="11" userName="Marcos Neves de Almeida" r:id="rId72" minRId="955" maxRId="95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73623C34-6BB4-4B62-A588-F1539C727C0F}" dateTime="2025-06-23T16:13:14" maxSheetId="11" userName="Danilo Rafael Basilio da Silva" r:id="rId73" minRId="957" maxRId="96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DE7F9F2-B9D2-4A2F-9677-5B418716B24A}" dateTime="2025-06-23T16:14:34" maxSheetId="11" userName="Danilo Rafael Basilio da Silva" r:id="rId74" minRId="973" maxRId="97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D35917B6-584C-46EA-B41F-AF7D167CC4CD}" dateTime="2025-06-23T16:22:04" maxSheetId="11" userName="Danilo Rafael Basilio da Silva" r:id="rId75" minRId="976" maxRId="97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16A085C-DDA2-46F4-B994-A3F75C001AC1}" dateTime="2025-06-23T16:22:57" maxSheetId="11" userName="Danilo Rafael Basilio da Silva" r:id="rId76" minRId="979" maxRId="98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7061076B-CCC6-4801-8FB8-D383CACB00B6}" dateTime="2025-06-24T14:11:48" maxSheetId="11" userName="Aelton de Jesus Nunes" r:id="rId77" minRId="982" maxRId="98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BB41796-97F8-46A5-B16F-6725533D5BD5}" dateTime="2025-06-24T14:12:01" maxSheetId="11" userName="Aelton de Jesus Nunes" r:id="rId78" minRId="99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607D3AC-E4CA-4739-8695-02BEE3BC0EFC}" dateTime="2025-06-24T14:21:44" maxSheetId="11" userName="Marcos Neves de Almeida" r:id="rId79" minRId="99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72717AA-4920-4D9F-B021-CEF53A0CE841}" dateTime="2025-06-25T08:48:27" maxSheetId="11" userName="Diego Santos de Abreu" r:id="rId80" minRId="99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98DCC24-B2DE-471B-A357-42D61F98E566}" dateTime="2025-06-25T09:06:04" maxSheetId="11" userName="Aelton de Jesus Nunes" r:id="rId81" minRId="100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2B12844F-6836-4C07-9484-18EC49F3C63D}" dateTime="2025-06-25T09:07:29" maxSheetId="11" userName="Aelton de Jesus Nunes" r:id="rId8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4D2C02F-668D-4E49-B5B0-57BE23DFCBF4}" dateTime="2025-06-27T08:44:50" maxSheetId="11" userName="Aelton de Jesus Nunes" r:id="rId83" minRId="1028" maxRId="102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BD581DE-482F-4717-BC75-8ED5FF195969}" dateTime="2025-06-27T08:46:00" maxSheetId="11" userName="Aelton de Jesus Nunes" r:id="rId84" minRId="103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0061F5A-B321-4195-B7F7-D69326FFD281}" dateTime="2025-06-27T08:46:12" maxSheetId="11" userName="Aelton de Jesus Nunes" r:id="rId85" minRId="1031" maxRId="103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DCB6D322-A23B-40EA-8373-87ACE44DA04A}" dateTime="2025-06-27T08:46:37" maxSheetId="11" userName="Aelton de Jesus Nunes" r:id="rId86" minRId="103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B2D9A6A-22BE-4AB7-9721-3CAFC5D72514}" dateTime="2025-06-30T14:46:25" maxSheetId="11" userName="Leonam Morrison Monteiro de Oliveira" r:id="rId87" minRId="1044" maxRId="104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B8491E4-EECE-47C7-8CD9-94EC4A42CAD4}" dateTime="2025-06-30T14:51:50" maxSheetId="11" userName="Leonam Morrison Monteiro de Oliveira" r:id="rId88" minRId="1059" maxRId="106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D12D7E9-F1AA-45BA-85A4-AB591BF34ACE}" dateTime="2025-06-30T16:23:23" maxSheetId="11" userName="Marcelo Lucio Saboia Fonseca" r:id="rId89" minRId="1067" maxRId="108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71769EA-C438-4939-B0E7-BCF68E4551D8}" dateTime="2025-06-30T17:02:42" maxSheetId="11" userName="Aelton de Jesus Nunes" r:id="rId90" minRId="1081" maxRId="108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C6E65B04-48EE-4DA9-8B0C-1E5203118E3E}" dateTime="2025-06-30T17:10:29" maxSheetId="11" userName="Aelton de Jesus Nunes" r:id="rId91" minRId="1094" maxRId="109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F9D9B8B-1089-48CC-93BB-EBFC1DCCDFE8}" dateTime="2025-07-01T08:06:53" maxSheetId="11" userName="Diego Santos de Abreu" r:id="rId92" minRId="1096" maxRId="109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E3DC30A-B4FB-426F-8868-B99823AB0285}" dateTime="2025-07-01T08:11:34" maxSheetId="11" userName="Marcos Neves de Almeida" r:id="rId93" minRId="1098" maxRId="110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1DB94A4-46E9-4332-B4E8-72856882E069}" dateTime="2025-07-01T08:12:39" maxSheetId="11" userName="Diego Santos de Abreu" r:id="rId94" minRId="1114" maxRId="112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0AED98A-17CB-404E-AE3F-8AE3CA3A66F5}" dateTime="2025-07-01T08:13:05" maxSheetId="11" userName="Marcos Neves de Almeida" r:id="rId95" minRId="1132" maxRId="113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CB44729-EC22-431D-9C70-BD3FAAC317C1}" dateTime="2025-07-01T08:13:34" maxSheetId="11" userName="Marcos Neves de Almeida" r:id="rId96" minRId="1137" maxRId="113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D22F57B-EEAF-40E3-BD9F-5646C6BC91F5}" dateTime="2025-07-01T08:48:41" maxSheetId="11" userName="Danilo Rafael Basilio da Silva" r:id="rId97" minRId="1139" maxRId="114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233BD1B5-A3DB-4A71-9BE1-4018D718EA4E}" dateTime="2025-07-01T08:56:12" maxSheetId="11" userName="Danilo Rafael Basilio da Silva" r:id="rId98" minRId="1153" maxRId="115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4D68C41-1E87-414F-BC79-B94A59D5363B}" dateTime="2025-07-01T08:56:23" maxSheetId="11" userName="Danilo Rafael Basilio da Silva" r:id="rId99" minRId="1159" maxRId="116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17E9AE9-F670-4C22-8D4D-1CC83C482CE6}" dateTime="2025-07-02T08:11:51" maxSheetId="11" userName="Marcos Neves de Almeida" r:id="rId100" minRId="1161" maxRId="116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6E35AF3-5CF6-4AFA-97CB-3185885EBBCE}" dateTime="2025-07-02T08:14:49" maxSheetId="11" userName="Diego Santos de Abreu" r:id="rId101" minRId="1174" maxRId="117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44AAE0E-3E58-481F-BABB-1CDAF1259B8E}" dateTime="2025-07-02T08:32:09" maxSheetId="11" userName="Leonam Morrison Monteiro de Oliveira" r:id="rId102" minRId="1177" maxRId="117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7273D63-CE7C-4AD5-B03E-B2EFF0645817}" dateTime="2025-07-02T08:33:19" maxSheetId="11" userName="Leonam Morrison Monteiro de Oliveira" r:id="rId103" minRId="1179" maxRId="118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336DFCB-D222-473B-8951-7795B20C560F}" dateTime="2025-07-02T12:03:09" maxSheetId="12" userName="Alessandro Borges de Araújo" r:id="rId104" minRId="1182" maxRId="121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4F9DB1A-3600-4E88-9276-FAA03CD33852}" dateTime="2025-07-02T12:05:30" maxSheetId="12" userName="Alessandro Borges de Araújo" r:id="rId105" minRId="1226" maxRId="122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BD1CD35-87F3-4234-92C1-46B5BD699A6E}" dateTime="2025-07-02T12:21:55" maxSheetId="12" userName="Alessandro Borges de Araújo" r:id="rId106" minRId="1230" maxRId="123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48922DC-F892-40A6-9740-2F152A5F296B}" dateTime="2025-07-02T12:24:56" maxSheetId="12" userName="Alessandro Borges de Araújo" r:id="rId107" minRId="1237" maxRId="124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82757E6-C895-4657-BA2E-2D23F7E1AA1B}" dateTime="2025-07-02T12:27:40" maxSheetId="12" userName="Alessandro Borges de Araújo" r:id="rId108" minRId="1241" maxRId="124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83F52A6-C665-4DC5-A45F-C5664BE7D784}" dateTime="2025-07-02T12:41:49" maxSheetId="12" userName="Alessandro Borges de Araújo" r:id="rId109" minRId="1245" maxRId="127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84CB48D-B056-4A93-B7BF-2956053BF1BB}" dateTime="2025-07-02T15:20:39" maxSheetId="12" userName="Marcelo Lucio Saboia Fonseca" r:id="rId11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BB3BDF2-6720-4667-AE68-ADB3B4D5D42D}" dateTime="2025-07-02T16:51:39" maxSheetId="12" userName="Alessandro Borges de Araújo" r:id="rId11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6F322B1-24FD-4330-B7B9-A08B56A2333B}" dateTime="2025-07-02T17:04:33" maxSheetId="12" userName="Aelton de Jesus Nunes" r:id="rId112" minRId="1293" maxRId="129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D957AFC-A7D8-4FBC-A874-0ECB5755F0D4}" dateTime="2025-07-03T08:17:44" maxSheetId="12" userName="Diego Santos de Abreu" r:id="rId113" minRId="1306" maxRId="130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4EF0178-72E6-49D8-A92E-0F4BD3C8AEE9}" dateTime="2025-07-03T08:35:30" maxSheetId="12" userName="Marcos Neves de Almeida" r:id="rId114" minRId="1318" maxRId="131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B071BC7-BF4A-49C0-8607-3B6DF5F7B594}" dateTime="2025-07-03T10:18:22" maxSheetId="12" userName="Marcelo Lucio Saboia Fonseca" r:id="rId115" minRId="1320" maxRId="132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A0432D1-B842-4893-B375-E1C9B47D1C73}" dateTime="2025-07-03T14:06:33" maxSheetId="12" userName="Leonam Morrison Monteiro de Oliveira" r:id="rId116" minRId="1327" maxRId="133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6D778D4-834E-465E-A864-B9D77DB6CD8C}" dateTime="2025-07-04T08:17:02" maxSheetId="12" userName="Marcos Neves de Almeida" r:id="rId11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8765B11-DB09-40FC-BAD5-43E039B12C16}" dateTime="2025-07-04T08:24:34" maxSheetId="12" userName="Leonam Morrison Monteiro de Oliveira" r:id="rId118" minRId="1356" maxRId="136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DE627E2-429D-4C2B-90D8-B454DCC95361}" dateTime="2025-07-04T08:24:41" maxSheetId="12" userName="Diego Santos de Abreu" r:id="rId119" minRId="1371" maxRId="1373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7927210-1037-4367-B4CB-742C1ECD0470}" dateTime="2025-07-04T08:26:55" maxSheetId="12" userName="Diego Santos de Abreu" r:id="rId120" minRId="138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33EF6C6-1769-4CED-AF65-EAE074E270E4}" dateTime="2025-07-04T08:28:13" maxSheetId="12" userName="Diego Santos de Abreu" r:id="rId121" minRId="1385" maxRId="138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7B2323B-7A57-4E41-8643-03BEC73E7A5C}" dateTime="2025-07-04T08:35:43" maxSheetId="12" userName="Leonam Morrison Monteiro de Oliveira" r:id="rId122" minRId="1387" maxRId="138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FC6B015-0E1F-4EE2-B768-B877C103DECE}" dateTime="2025-07-04T08:46:21" maxSheetId="12" userName="Aelton de Jesus Nunes" r:id="rId123" minRId="1389" maxRId="139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2793C3D-ECD7-4002-9EC3-FE9A23D9C109}" dateTime="2025-07-04T08:48:45" maxSheetId="12" userName="Aelton de Jesus Nunes" r:id="rId124" minRId="140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B3B6EEE-F3B1-481C-BC28-7C9A0669A8D4}" dateTime="2025-07-04T08:50:28" maxSheetId="12" userName="Aelton de Jesus Nunes" r:id="rId125" minRId="141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414C00A-8591-436E-ACE7-8F963CECEC45}" dateTime="2025-07-04T08:51:00" maxSheetId="12" userName="Aelton de Jesus Nunes" r:id="rId12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DA37686-3FE7-4B6C-BB56-6FA32C0B5DDC}" dateTime="2025-07-04T14:04:01" maxSheetId="12" userName="Marcos Neves de Almeida" r:id="rId127" minRId="1433" maxRId="143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EB64982-3361-476D-93A4-405DF6BD3D45}" dateTime="2025-07-07T13:47:58" maxSheetId="12" userName="Leonam Morrison Monteiro de Oliveira" r:id="rId128" minRId="144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65CBC1D-0FC6-48AF-B8D6-00CB776B93CD}" dateTime="2025-07-07T16:52:10" maxSheetId="12" userName="Aelton de Jesus Nunes" r:id="rId129" minRId="145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B3A73D5-5754-45C0-BB41-1B6381367915}" dateTime="2025-07-07T16:52:18" maxSheetId="12" userName="Aelton de Jesus Nunes" r:id="rId130" minRId="146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E40EFBD-213C-40AE-A066-931F1EC4F524}" dateTime="2025-07-07T16:53:26" maxSheetId="12" userName="Aelton de Jesus Nunes" r:id="rId13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EBA2687-C2B6-4D86-8625-54BDD5FE3E4E}" dateTime="2025-07-07T17:00:49" maxSheetId="12" userName="Aelton de Jesus Nunes" r:id="rId132" minRId="147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80AB304-7D79-4B21-BA9D-D3DE7EEAB853}" dateTime="2025-07-07T17:06:10" maxSheetId="12" userName="Aelton de Jesus Nunes" r:id="rId133" minRId="1480" maxRId="148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3B7888E-71C1-4149-BB47-31529F67C0ED}" dateTime="2025-07-08T07:33:35" maxSheetId="12" userName="Diego Santos de Abreu" r:id="rId134" minRId="1493" maxRId="149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336F9F2-0643-41D7-84E1-6C5F80B6A6F6}" dateTime="2025-07-08T07:34:16" maxSheetId="12" userName="Diego Santos de Abreu" r:id="rId135" minRId="151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AE0A615-A07F-40C8-B1C3-F10021169B19}" dateTime="2025-07-08T07:35:14" maxSheetId="12" userName="Diego Santos de Abreu" r:id="rId136" minRId="151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C7AC174-A991-414F-9066-34FB3BBB60FA}" dateTime="2025-07-08T09:02:10" maxSheetId="12" userName="Danilo Rafael Basilio da Silva" r:id="rId137" minRId="1512" maxRId="151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B6D03F7-AEFB-4777-8DF3-6C01A199BB43}" dateTime="2025-07-08T10:19:14" maxSheetId="12" userName="Alessandro Borges de Araújo" r:id="rId138" minRId="1530" maxRId="154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42F65B8-8C22-459C-AB33-8545736869C3}" dateTime="2025-07-08T10:27:05" maxSheetId="12" userName="Alessandro Borges de Araújo" r:id="rId139" minRId="1553" maxRId="155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A4ECC90-1D88-41AE-968D-9B4AF7F258EF}" dateTime="2025-07-08T10:31:09" maxSheetId="12" userName="Alessandro Borges de Araújo" r:id="rId140" minRId="155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96BCFEC-8975-40BE-9FD1-7C302405B573}" dateTime="2025-07-09T07:11:10" maxSheetId="12" userName="Diego Santos de Abreu" r:id="rId141" minRId="1559" maxRId="156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225C906-2E17-476C-9030-C2208D3E1773}" dateTime="2025-07-09T17:51:22" maxSheetId="12" userName="Aelton de Jesus Nunes" r:id="rId142" minRId="1561" maxRId="156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BFFFAB9-E3B5-4F95-89A6-58D105A7B6BE}" dateTime="2025-07-09T17:52:42" maxSheetId="12" userName="Aelton de Jesus Nunes" r:id="rId143" minRId="1573" maxRId="157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68B5FC0-31B9-423D-B97A-9142552E8320}" dateTime="2025-07-10T07:47:19" maxSheetId="12" userName="Diego Santos de Abreu" r:id="rId144" minRId="158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75F8921-B831-44C0-9C1D-6CA402D99E2F}" dateTime="2025-07-10T10:15:45" maxSheetId="12" userName="Marcelo Lucio Saboia Fonseca" r:id="rId14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4DA70BD-4D53-4481-9F49-BCF561C35078}" dateTime="2025-07-10T10:59:29" maxSheetId="12" userName="Danilo Rafael Basilio da Silva" r:id="rId146" minRId="1598" maxRId="160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ED2A9A1-9876-4104-8892-DA3349DEE470}" dateTime="2025-07-10T16:57:21" maxSheetId="12" userName="Aelton de Jesus Nunes" r:id="rId147" minRId="1617" maxRId="161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D9B5513-83FF-4845-81E7-DA7B1DC60461}" dateTime="2025-07-10T16:57:48" maxSheetId="12" userName="Aelton de Jesus Nunes" r:id="rId14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2BD85202-9697-4E06-B3C7-4CB08A44C07E}" dateTime="2025-07-14T08:53:25" maxSheetId="12" userName="Leonam Morrison Monteiro de Oliveira" r:id="rId149" minRId="1639" maxRId="165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198617A-E83E-4250-9205-AE1B7884AEBA}" dateTime="2025-07-14T09:23:07" maxSheetId="12" userName="Marcos Neves de Almeida" r:id="rId150" minRId="166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EC3309C-AAE7-418A-A3C4-C5D8EEAC8FC3}" dateTime="2025-07-14T09:33:25" maxSheetId="12" userName="Diego Santos de Abreu" r:id="rId151" minRId="1673" maxRId="167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0157FDE-1F06-4320-BD71-E5AAA8B61947}" dateTime="2025-07-14T09:34:17" maxSheetId="12" userName="Marcos Neves de Almeida" r:id="rId15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CA5C498-4029-4F15-9A80-824B30748959}" dateTime="2025-07-14T14:22:17" maxSheetId="12" userName="Aelton de Jesus Nunes" r:id="rId153" minRId="169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F2EDA826-BE51-4873-B19E-CE31A076224A}" dateTime="2025-07-14T14:25:56" maxSheetId="12" userName="Aelton de Jesus Nunes" r:id="rId15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40375A3-4AA4-4131-BE5F-BAEFC30E8B0E}" dateTime="2025-07-14T14:53:58" maxSheetId="12" userName="Marcos Neves de Almeida" r:id="rId155" minRId="1717" maxRId="172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4CE3E6C-A55A-4DA6-A3DE-80809BDCD81D}" dateTime="2025-07-14T14:54:34" maxSheetId="12" userName="Marcos Neves de Almeida" r:id="rId15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05555E9-04FC-4857-88CE-A3AF5FCB5B00}" dateTime="2025-07-14T14:58:07" maxSheetId="12" userName="Aelton de Jesus Nunes" r:id="rId15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FB0AA51-2A56-4A90-BD8D-A93A1675FAB0}" dateTime="2025-07-14T16:33:29" maxSheetId="12" userName="Leonam Morrison Monteiro de Oliveira" r:id="rId158" minRId="1742" maxRId="174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1EB0D1B-6669-41E7-A18C-2D07D40E6D64}" dateTime="2025-07-15T08:37:51" maxSheetId="12" userName="Marcos Neves de Almeida" r:id="rId159" minRId="175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E175AA6-42CF-4C2B-BDD0-9665BDCE73F1}" dateTime="2025-07-15T08:41:24" maxSheetId="12" userName="Diego Santos de Abreu" r:id="rId160" minRId="1766" maxRId="176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FD043B8-4983-4EAB-B476-8002D4F2A05C}" dateTime="2025-07-15T08:41:45" maxSheetId="12" userName="Marcos Neves de Almeida" r:id="rId161" minRId="1778" maxRId="177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F9CB36B-082E-4199-B0BC-0276E896CD81}" dateTime="2025-07-15T09:39:26" maxSheetId="12" userName="Danilo Rafael Basilio da Silva" r:id="rId162" minRId="1780" maxRId="178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D44FD89-0FC6-477E-A360-A41B7942AC84}" dateTime="2025-07-15T10:25:57" maxSheetId="12" userName="Marcelo Lucio Saboia Fonseca" r:id="rId163" minRId="1785" maxRId="179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7A1924A-F4F5-4836-85E9-54C0904D7B69}" dateTime="2025-07-15T14:54:31" maxSheetId="12" userName="Marcos Neves de Almeida" r:id="rId164" minRId="179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D604176-F694-453C-A202-56BA2BC872C7}" dateTime="2025-07-16T08:39:31" maxSheetId="12" userName="Diego Santos de Abreu" r:id="rId165" minRId="1802" maxRId="180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3B5F709-4A55-4883-92E4-231EA90D43A4}" dateTime="2025-07-17T09:04:42" maxSheetId="12" userName="Diego Santos de Abreu" r:id="rId166" minRId="181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2932EDA-9E18-499E-AF91-4B02EF059A54}" dateTime="2025-07-17T10:30:45" maxSheetId="12" userName="Marcos Neves de Almeida" r:id="rId167" minRId="1826" maxRId="182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FBBB3DB-F483-481C-A76B-FE43766462D9}" dateTime="2025-07-17T15:48:45" maxSheetId="12" userName="Diego Santos de Abreu" r:id="rId168" minRId="1829" maxRId="183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6C487A5-2CCD-49A6-A2FC-173DE8CC1839}" dateTime="2025-07-18T10:27:02" maxSheetId="12" userName="Marcos Neves de Almeida" r:id="rId169" minRId="183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BC85DB1-45FF-4C54-BE3A-6E97783A38B8}" dateTime="2025-07-18T12:56:54" maxSheetId="12" userName="Aelton de Jesus Nunes" r:id="rId170" minRId="1842" maxRId="185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1EFB9D8-2F13-4F5C-A64C-EC46B506B5A6}" dateTime="2025-07-18T15:10:43" maxSheetId="12" userName="Marcos Neves de Almeida" r:id="rId171" minRId="186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3DF7BE6-0DBA-4D51-906D-0EE3177325E2}" dateTime="2025-07-18T15:47:26" maxSheetId="12" userName="Diego Santos de Abreu" r:id="rId172" minRId="1873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E81EC7F-954D-4345-A192-E513067E427B}" dateTime="2025-07-21T14:37:33" maxSheetId="12" userName="Leonam Morrison Monteiro de Oliveira" r:id="rId173" minRId="1874" maxRId="188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3479FD7-DBE2-41AF-831E-3C1AE0BD04CF}" dateTime="2025-07-21T17:11:30" maxSheetId="12" userName="Alessandro Borges de Araújo" r:id="rId174" minRId="1893" maxRId="189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EEA310A-44ED-4144-9DFF-505668B4AF1E}" dateTime="2025-07-21T17:28:58" maxSheetId="12" userName="Alessandro Borges de Araújo" r:id="rId175" minRId="190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5B1B346-27BD-4D99-A522-9B1256D469B2}" dateTime="2025-07-21T17:35:42" maxSheetId="12" userName="Alessandro Borges de Araújo" r:id="rId176" minRId="1907" maxRId="192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1679073-B184-4069-9AF8-4C8D916C26E4}" dateTime="2025-07-22T09:35:24" maxSheetId="12" userName="Marcos Neves de Almeida" r:id="rId177" minRId="193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236D26CA-8265-4DEF-9F8F-52453BE94300}" dateTime="2025-07-22T11:06:21" maxSheetId="12" userName="Danilo Rafael Basilio da Silva" r:id="rId178" minRId="1943" maxRId="195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7152681-3D32-4CF6-8401-F02FA7A957A5}" dateTime="2025-07-22T14:29:21" maxSheetId="12" userName="Leonam Morrison Monteiro de Oliveira" r:id="rId179" minRId="1961" maxRId="196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5C1F1BD-CC0F-4096-90D5-A314B4751CB2}" dateTime="2025-07-22T15:40:59" maxSheetId="12" userName="Marcos Neves de Almeida" r:id="rId180" minRId="1973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D6B5A80-BD36-4BA5-BB75-9DAEE1F19CC2}" dateTime="2025-07-23T08:46:32" maxSheetId="12" userName="Diego Santos de Abreu" r:id="rId181" minRId="1984" maxRId="198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9B11DF2-AA61-47F0-98D6-EDB1A9F3DC7E}" dateTime="2025-07-24T08:44:24" maxSheetId="12" userName="Diego Santos de Abreu" r:id="rId182" minRId="199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72FF11C-218B-4C14-8680-ED9E9BD36CDD}" dateTime="2025-07-24T09:15:24" maxSheetId="12" userName="Leonam Morrison Monteiro de Oliveira" r:id="rId183" minRId="2008" maxRId="201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1111141-B88A-4907-87B6-5DC696638B0C}" dateTime="2025-07-24T14:21:18" maxSheetId="12" userName="Marcos Neves de Almeida" r:id="rId184" minRId="202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BFBBFD4-1A1F-4928-A0C2-526B83A01C21}" dateTime="2025-07-25T13:58:00" maxSheetId="12" userName="Marcos Neves de Almeida" r:id="rId185" minRId="2033" maxRId="204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2E64F331-A301-447D-9AE1-AF917ABCFBF2}" dateTime="2025-07-25T14:26:28" maxSheetId="12" userName="Aelton de Jesus Nunes" r:id="rId186" minRId="2047" maxRId="205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74BC1C4-1028-495F-933A-15A305133D29}" dateTime="2025-07-25T14:27:19" maxSheetId="12" userName="Aelton de Jesus Nunes" r:id="rId18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0C96B8C-429E-451D-BD59-0C2E8AAA1737}" dateTime="2025-07-25T14:30:45" maxSheetId="12" userName="Marcos Neves de Almeida" r:id="rId188" minRId="2075" maxRId="207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E552CD0-BE16-47CC-858D-01284F9EC131}" dateTime="2025-07-25T14:32:57" maxSheetId="12" userName="Marcos Neves de Almeida" r:id="rId189" minRId="2089" maxRId="209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7FA5DC2-34AE-4623-8FA3-3B07CE4A6E78}" dateTime="2025-07-25T14:37:35" maxSheetId="12" userName="Diego Santos de Abreu" r:id="rId190" minRId="2091" maxRId="210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4FDE012-1682-45A8-9481-5E77AC2C2266}" dateTime="2025-07-25T14:37:48" maxSheetId="12" userName="Aelton de Jesus Nunes" r:id="rId191" minRId="211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E6B3FC0-93C1-4B61-8B77-CDDD9AF5CB3E}" dateTime="2025-07-25T14:38:19" maxSheetId="12" userName="Aelton de Jesus Nunes" r:id="rId19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29313CDA-ADCD-42AC-89D0-FF7321B0743F}" dateTime="2025-07-25T14:41:14" maxSheetId="12" userName="Diego Santos de Abreu" r:id="rId193" minRId="212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4ACE0C8-E943-4C0F-83BC-0063ED092B89}" dateTime="2025-07-25T14:43:59" maxSheetId="12" userName="Diego Santos de Abreu" r:id="rId194" minRId="2127" maxRId="214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4D1FDD7-477D-4DAB-9065-E4E63944C382}" dateTime="2025-07-25T15:28:52" maxSheetId="12" userName="Danilo Rafael Basilio da Silva" r:id="rId195" minRId="2152" maxRId="216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E7C99F3-53D5-45C6-8759-CEE281BC21FC}" dateTime="2025-07-25T15:30:50" maxSheetId="12" userName="Danilo Rafael Basilio da Silva" r:id="rId196" minRId="2170" maxRId="217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3E3117F-4C77-4800-8451-BBBBBA88B8DB}" dateTime="2025-07-28T12:42:17" maxSheetId="12" userName="Leonam Morrison Monteiro de Oliveira" r:id="rId197" minRId="2177" maxRId="218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F20B9CC-837B-48AC-8E0F-66F9CFB28C71}" dateTime="2025-07-28T14:24:19" maxSheetId="13" userName="Marcelo Lucio Saboia Fonseca" r:id="rId198" minRId="2192" maxRId="222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AF8A8F2-4855-4580-8C18-AD33068A23EB}" dateTime="2025-07-28T14:30:05" maxSheetId="13" userName="Marcelo Lucio Saboia Fonseca" r:id="rId199" minRId="2225" maxRId="224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4F03647-3A0F-4836-A971-F9EDC970FE6A}" dateTime="2025-07-28T15:06:54" maxSheetId="13" userName="Marcelo Lucio Saboia Fonseca" r:id="rId200" minRId="2242" maxRId="2263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9ADB692-44C3-410D-8B9E-CB9D2B8ADA2A}" dateTime="2025-07-28T15:53:27" maxSheetId="13" userName="Diego Santos de Abreu" r:id="rId201" minRId="2264" maxRId="226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B0A5DD0-52B7-4853-B769-EEC1F17BEFD9}" dateTime="2025-07-28T16:20:17" maxSheetId="13" userName="Alessandro Borges de Araújo" r:id="rId202" minRId="2278" maxRId="228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F1920C4-45C2-4C32-8C42-13073B887826}" dateTime="2025-07-28T16:21:54" maxSheetId="13" userName="Alessandro Borges de Araújo" r:id="rId203" minRId="2288" maxRId="2303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7231BE5-C4C9-4276-A25A-F8AA8ACFB4AE}" dateTime="2025-07-29T09:13:16" maxSheetId="13" userName="Marcos Neves de Almeida" r:id="rId204" minRId="231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4A9F66E-9194-4193-AA84-29092AF78BC3}" dateTime="2025-07-29T15:50:04" maxSheetId="13" userName="Diego Santos de Abreu" r:id="rId205" minRId="2325" maxRId="232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A6FBBD2-6B3E-45ED-AD3F-08E43883B40E}" dateTime="2025-07-30T12:38:30" maxSheetId="13" userName="Alessandro Borges de Araújo" r:id="rId206" minRId="2338" maxRId="233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5496B0F-BFB0-48A4-9330-501CCA9D732D}" dateTime="2025-07-31T08:12:06" maxSheetId="13" userName="Marcos Neves de Almeida" r:id="rId207" minRId="235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3B69941-77E3-4590-8FC6-FD32D97E6E79}" dateTime="2025-07-31T08:15:16" maxSheetId="13" userName="Marcos Neves de Almeida" r:id="rId208" minRId="2361" maxRId="236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11E8F78-7545-46F4-AD6D-9BB4489D0E48}" dateTime="2025-07-31T08:16:12" maxSheetId="13" userName="Marcos Neves de Almeida" r:id="rId209" minRId="2365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31EAEBF-B2FA-4C72-A705-69DEEF005ABF}" dateTime="2025-07-31T14:27:40" maxSheetId="13" userName="Leonam Morrison Monteiro de Oliveira" r:id="rId210" minRId="2366" maxRId="237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50F02C7-1454-4104-BDCD-89700ECB9E6B}" dateTime="2025-07-31T16:53:44" maxSheetId="13" userName="Alessandro Borges de Araújo" r:id="rId211" minRId="2390" maxRId="239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C98C081-0588-4B5C-B9E0-0976823FA023}" dateTime="2025-08-01T08:21:03" maxSheetId="13" userName="Diego Santos de Abreu" r:id="rId212" minRId="2402" maxRId="240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51087AD-FFA2-4A00-8ADC-F1ACC6D1209F}" dateTime="2025-08-01T08:21:10" maxSheetId="13" userName="Marcos Neves de Almeida" r:id="rId213" minRId="2407" maxRId="241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8A189D5-01F7-411B-8460-A35EE3662084}" dateTime="2025-08-01T08:53:15" maxSheetId="13" userName="Danilo Rafael Basilio da Silva" r:id="rId214" minRId="241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812C86C-7781-4FDA-8A53-4DF43E3421E1}" dateTime="2025-08-01T10:04:51" maxSheetId="13" userName="Leonam Morrison Monteiro de Oliveira" r:id="rId215" minRId="2423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C291BC1-9E0E-4F17-AE94-26453A1B3787}" dateTime="2025-08-01T10:52:58" maxSheetId="13" userName="Aelton de Jesus Nunes" r:id="rId216" minRId="2434" maxRId="244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EC4C029-7614-41C5-874C-7DCEEF34950F}" dateTime="2025-08-01T10:53:26" maxSheetId="13" userName="Aelton de Jesus Nunes" r:id="rId21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F1677DF-203A-4468-B429-BA604C8CCD40}" dateTime="2025-08-01T11:14:01" maxSheetId="13" userName="Diego Santos de Abreu" r:id="rId218" minRId="246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EB227E7-B774-4D6E-A62A-7175F0877B52}" dateTime="2025-08-01T13:32:33" maxSheetId="13" userName="Aelton de Jesus Nunes" r:id="rId219" minRId="247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AE3DF47-C871-427F-B723-40831DD724C5}" dateTime="2025-08-01T14:04:40" maxSheetId="13" userName="Marcos Neves de Almeida" r:id="rId220" minRId="2473" maxRId="247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74E5801-FD68-48E8-9E2C-AB5F5288E5B4}" dateTime="2025-08-01T14:31:39" maxSheetId="13" userName="Leonam Morrison Monteiro de Oliveira" r:id="rId221" minRId="2485" maxRId="248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DE7F404-4446-4163-BA90-E595EF95D9FD}" dateTime="2025-08-04T09:03:37" maxSheetId="13" userName="Danilo Rafael Basilio da Silva" r:id="rId22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2F8670C2-8A39-4B10-8F1D-74FA2BB9E709}" dateTime="2025-08-04T09:11:01" maxSheetId="13" userName="Danilo Rafael Basilio da Silva" r:id="rId223" minRId="2507" maxRId="251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B1D8139-EDEC-4F1C-A1BE-460AA21A239E}" dateTime="2025-08-04T09:11:19" maxSheetId="13" userName="Danilo Rafael Basilio da Silva" r:id="rId224" minRId="2515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4178AF7-1B69-4644-80E6-84C7A3101801}" dateTime="2025-08-05T08:48:43" maxSheetId="13" userName="Aelton de Jesus Nunes" r:id="rId225" minRId="2516" maxRId="253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2E9E516-ECCA-41E3-A41C-607F2D07EB7B}" dateTime="2025-08-05T08:49:13" maxSheetId="13" userName="Aelton de Jesus Nunes" r:id="rId226" minRId="254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1397A03-2492-464C-981B-9CFF72BF5ABC}" dateTime="2025-08-05T14:06:57" maxSheetId="13" userName="Aelton de Jesus Nunes" r:id="rId22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E26D4B2-5C1A-4651-AA8C-88FA2A31492D}" dateTime="2025-08-05T16:17:28" maxSheetId="13" userName="Aelton de Jesus Nunes" r:id="rId228" minRId="256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DDFBC5A-01CC-4DE8-AE2F-1D1B300DF5A2}" dateTime="2025-08-08T14:18:02" maxSheetId="13" userName="Aelton de Jesus Nunes" r:id="rId229" minRId="2570" maxRId="257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97C1F4A-65F5-4796-B2BD-11E48B3F763B}" dateTime="2025-08-08T14:18:41" maxSheetId="13" userName="Aelton de Jesus Nunes" r:id="rId23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8748154-3646-473B-A66E-52A09CE7F068}" dateTime="2025-08-08T14:21:56" maxSheetId="13" userName="Aelton de Jesus Nunes" r:id="rId231" minRId="257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E6B5D8A-3D90-4D03-854F-D9B13E607682}" dateTime="2025-08-13T10:17:55" maxSheetId="13" userName="Marcos Neves de Almeida" r:id="rId232" minRId="2583" maxRId="2595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E7B51E9-2847-4F37-A37B-327EC4369D3D}" dateTime="2025-08-13T10:18:05" maxSheetId="13" userName="Marcos Neves de Almeida" r:id="rId233" minRId="260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2F6B190-F2AD-4339-8A62-9FFB390FBD9C}" dateTime="2025-08-14T08:22:19" maxSheetId="13" userName="Marcos Neves de Almeida" r:id="rId234" minRId="2607" maxRId="260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124F073-60D0-40E3-9302-F36C346FFD6F}" dateTime="2025-08-15T09:21:48" maxSheetId="13" userName="Aelton de Jesus Nunes" r:id="rId235" minRId="2610" maxRId="263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89EA2D9-0516-4A1E-8BCA-080F5E75D027}" dateTime="2025-08-15T17:18:42" maxSheetId="13" userName="Aelton de Jesus Nunes" r:id="rId236" minRId="2647" maxRId="264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440AFEA-93BF-4DD0-978F-DC6B3D985EEA}" dateTime="2025-08-19T12:14:44" maxSheetId="13" userName="Alessandro Borges de Araújo" r:id="rId237" minRId="264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21DB07B-D2F4-4FBB-AB54-8D5E35458E9C}" dateTime="2025-08-19T12:26:09" maxSheetId="13" userName="Alessandro Borges de Araújo" r:id="rId23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5BCEF66-DFA7-4012-A244-AD622921C850}" dateTime="2025-08-19T14:03:51" maxSheetId="13" userName="Marcos Neves de Almeida" r:id="rId23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0687089-8C48-4D6E-BE44-499844E3356F}" dateTime="2025-08-25T09:06:26" maxSheetId="13" userName="Marcos Neves de Almeida" r:id="rId240" minRId="2680" maxRId="268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8556E9A-726C-4BE6-BD4F-8C8534D84FD3}" dateTime="2025-10-21T09:01:54" maxSheetId="13" userName="Alessandro Borges de Araújo" r:id="rId24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01D87CD-4C18-4DC9-B1B2-9F243600A071}" dateTime="2025-10-29T11:59:09" maxSheetId="13" userName="Alessandro Borges de Araújo" r:id="rId242" minRId="2699" maxRId="275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9648C4C-0297-45BF-9C3F-0002F3DE7C56}" dateTime="2025-10-29T15:24:02" maxSheetId="13" userName="Alessandro Borges de Araújo" r:id="rId243" minRId="2752" maxRId="277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9BAB1CD-BA35-45A1-8253-EE4EF5FC9C8B}" dateTime="2025-10-29T16:54:33" maxSheetId="13" userName="Alessandro Borges de Araújo" r:id="rId244" minRId="2789" maxRId="279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6" sId="8">
    <nc r="AE17" t="inlineStr">
      <is>
        <t xml:space="preserve">3 caixas digitalizadas da folhas para a planilha 103 filmes </t>
      </is>
    </nc>
  </rcc>
  <rfmt sheetId="8" sqref="AF17">
    <dxf>
      <alignment wrapText="1"/>
    </dxf>
  </rfmt>
  <rfmt sheetId="8" sqref="AE17">
    <dxf>
      <alignment wrapText="1"/>
    </dxf>
  </rfmt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1" sId="5" odxf="1" dxf="1">
    <nc r="AI16">
      <v>30</v>
    </nc>
    <odxf>
      <border outline="0">
        <bottom style="thin">
          <color indexed="64"/>
        </bottom>
      </border>
    </odxf>
    <ndxf>
      <border outline="0">
        <bottom/>
      </border>
    </ndxf>
  </rcc>
  <rcc rId="1562" sId="5" odxf="1" dxf="1">
    <nc r="AI17" t="inlineStr">
      <is>
        <t>Conferência das caixas da 
CGPC/DEFNAS.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3" sId="5">
    <nc r="AH2">
      <v>1</v>
    </nc>
  </rcc>
  <rcc rId="1574" sId="5">
    <nc r="AH4">
      <v>1</v>
    </nc>
  </rcc>
  <rcc rId="1575" sId="5">
    <nc r="AH13">
      <v>1</v>
    </nc>
  </rcc>
  <rfmt sheetId="5" sqref="AH16" start="0" length="0">
    <dxf>
      <border outline="0">
        <bottom/>
      </border>
    </dxf>
  </rfmt>
  <rcc rId="1576" sId="5" odxf="1" dxf="1">
    <nc r="AH17" t="inlineStr">
      <is>
        <t>1. Ida ao Bloco A com os chefes, Patrícia e Marcelo, para ver localização dos microfilmes para inventáriá-los. 
2.  Ida ao Bloco A para localização e análise das prováveis caixas onde possa estar o processo do FUNDESPORTE.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7" sId="4">
    <nc r="AI15">
      <v>51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B2:B16" start="0" length="2147483647">
    <dxf>
      <font>
        <sz val="10"/>
      </font>
    </dxf>
  </rfmt>
  <rfmt sheetId="3" sqref="B2:B16" start="0" length="2147483647">
    <dxf>
      <font>
        <sz val="9"/>
      </font>
    </dxf>
  </rfmt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Danilo!$A$1:$A$31</formula>
    <oldFormula>Danilo!$A$1:$A$31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9" customView="1" name="Z_18A482E0_C8B6_4AA1_9E04_15FA7C9CD5E3_.wvu.FilterData" hidden="1" oldHidden="1">
    <formula>Carlos!$A$1:$A$18</formula>
    <oldFormula>Carlos!$A$1:$A$18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cv guid="{18A482E0-C8B6-4AA1-9E04-15FA7C9CD5E3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xfDxf="1" sqref="AG17" start="0" length="0">
    <dxf>
      <alignment horizontal="center" vertical="center"/>
    </dxf>
  </rfmt>
  <rfmt sheetId="7" xfDxf="1" sqref="AG18" start="0" length="0">
    <dxf>
      <alignment horizontal="center" vertical="center"/>
    </dxf>
  </rfmt>
  <rfmt sheetId="7" sqref="AG17:AG18">
    <dxf>
      <alignment wrapText="1"/>
    </dxf>
  </rfmt>
  <rfmt sheetId="7" xfDxf="1" sqref="AG17" start="0" length="0">
    <dxf>
      <alignment horizontal="center" vertical="center" wrapText="1"/>
    </dxf>
  </rfmt>
  <rfmt sheetId="7" xfDxf="1" sqref="AG18" start="0" length="0">
    <dxf>
      <alignment horizontal="center" vertical="center" wrapText="1"/>
    </dxf>
  </rfmt>
  <rcc rId="1598" sId="7">
    <nc r="AG17" t="inlineStr">
      <is>
        <t>Envio de 70 caixas para DAP/CGPC. Recebimento de 70 caixas para DAP/CGPC</t>
      </is>
    </nc>
  </rcc>
  <rcc rId="1599" sId="7">
    <nc r="AJ17" t="inlineStr">
      <is>
        <t xml:space="preserve"> </t>
      </is>
    </nc>
  </rcc>
  <rm rId="1600" sheetId="7" source="AH3" destination="AH2" sourceSheetId="7">
    <rfmt sheetId="7" sqref="AH2" start="0" length="0">
      <dxf>
        <alignment horizontal="center" vertical="center"/>
      </dxf>
    </rfmt>
  </rm>
  <rcc rId="1601" sId="7">
    <nc r="AH11">
      <v>3</v>
    </nc>
  </rcc>
  <rcc rId="1602" sId="7">
    <nc r="AH12">
      <v>108</v>
    </nc>
  </rcc>
  <rcc rId="1603" sId="7">
    <nc r="AI15">
      <v>51</v>
    </nc>
  </rcc>
  <rcc rId="1604" sId="7">
    <nc r="AG18" t="inlineStr">
      <is>
        <t xml:space="preserve">PROCURANDO CAIXAS PARA ELIMINAÇÃO PRA SEU CARLOS </t>
      </is>
    </nc>
  </rcc>
  <rcc rId="1605" sId="7">
    <nc r="AG6">
      <v>10</v>
    </nc>
  </rcc>
  <rcc rId="1606" sId="7">
    <nc r="AG8">
      <v>10</v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2" sId="8">
    <nc r="AG18" t="inlineStr">
      <is>
        <t xml:space="preserve">ATESTADO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3" sId="4" odxf="1" dxf="1">
    <nc r="AJ18" t="inlineStr">
      <is>
        <t>passando a planilha escrita dos micros-filmes para planilha digital</t>
      </is>
    </nc>
    <odxf>
      <alignment wrapText="0"/>
    </odxf>
    <ndxf>
      <alignment wrapText="1"/>
    </ndxf>
  </rcc>
  <rcc rId="1674" sId="4" odxf="1" dxf="1">
    <nc r="AK18" t="inlineStr">
      <is>
        <t>passando a planilha escrita dos micros-filmes para planilha digital</t>
      </is>
    </nc>
    <odxf>
      <alignment wrapText="0"/>
    </odxf>
    <ndxf>
      <alignment wrapText="1"/>
    </ndxf>
  </rcc>
  <rcc rId="1675" sId="4" odxf="1" dxf="1">
    <nc r="AK17" t="inlineStr">
      <is>
        <t xml:space="preserve">confatrenização da festa junina 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6" sId="5" odxf="1" dxf="1" numFmtId="21">
    <oc r="AK1">
      <v>45849</v>
    </oc>
    <nc r="AK1" t="inlineStr">
      <is>
        <t>11/07/2025
Atestado Médico</t>
      </is>
    </nc>
    <odxf>
      <alignment wrapText="0"/>
    </odxf>
    <ndxf>
      <alignment wrapText="1"/>
    </ndxf>
  </rcc>
  <rfmt sheetId="5" sqref="AK1">
    <dxf>
      <fill>
        <patternFill patternType="solid">
          <bgColor theme="9" tint="0.79998168889431442"/>
        </patternFill>
      </fill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7" sId="8">
    <oc r="AG18" t="inlineStr">
      <is>
        <t xml:space="preserve">ATESTADO </t>
      </is>
    </oc>
    <nc r="AG18" t="inlineStr">
      <is>
        <t>ATESTADO MÉDICO</t>
      </is>
    </nc>
  </rcc>
  <rcc rId="1718" sId="8">
    <nc r="AH18" t="inlineStr">
      <is>
        <t>ATESTADO MÉDICO</t>
      </is>
    </nc>
  </rcc>
  <rcc rId="1719" sId="8">
    <nc r="AI18" t="inlineStr">
      <is>
        <t>ATESTADO MÉDICO</t>
      </is>
    </nc>
  </rcc>
  <rcc rId="1720" sId="8">
    <nc r="AJ18" t="inlineStr">
      <is>
        <t>ATESTADO MÉDICO</t>
      </is>
    </nc>
  </rcc>
  <rfmt sheetId="8" sqref="AM18" start="0" length="0">
    <dxf>
      <alignment wrapText="1"/>
    </dxf>
  </rfmt>
  <rcc rId="1721" sId="8">
    <nc r="AM18" t="inlineStr">
      <is>
        <t xml:space="preserve">4 caixas digitalizadas da folhas para a planilha 141 filmes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F18">
    <dxf>
      <alignment textRotation="255"/>
    </dxf>
  </rfmt>
  <rfmt sheetId="8" sqref="AF18">
    <dxf>
      <alignment textRotation="180"/>
    </dxf>
  </rfmt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2" sId="6" odxf="1" dxf="1">
    <nc r="AM17" t="inlineStr">
      <is>
        <t xml:space="preserve">fazendo etiquetas para os micros-filmes </t>
      </is>
    </nc>
    <odxf>
      <alignment wrapText="0"/>
    </odxf>
    <ndxf>
      <alignment wrapText="1"/>
    </ndxf>
  </rcc>
  <rcc rId="1743" sId="6">
    <nc r="AM16">
      <v>10</v>
    </nc>
  </rcc>
  <rcc rId="1744" sId="6">
    <nc r="AM5">
      <v>1</v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G18">
    <dxf>
      <alignment vertical="top"/>
    </dxf>
  </rfmt>
  <rfmt sheetId="8" sqref="AG18">
    <dxf>
      <alignment vertical="center"/>
    </dxf>
  </rfmt>
  <rfmt sheetId="8" sqref="AG18">
    <dxf>
      <alignment wrapText="1"/>
    </dxf>
  </rfmt>
  <rfmt sheetId="8" sqref="AH18">
    <dxf>
      <alignment wrapText="1"/>
    </dxf>
  </rfmt>
  <rfmt sheetId="8" sqref="AI18">
    <dxf>
      <alignment wrapText="1"/>
    </dxf>
  </rfmt>
  <rfmt sheetId="8" sqref="AJ18">
    <dxf>
      <alignment wrapText="1"/>
    </dxf>
  </rfmt>
  <rcc rId="1755" sId="8">
    <nc r="AK18" t="inlineStr">
      <is>
        <t>ATESTADO MÉDICO</t>
      </is>
    </nc>
  </rcc>
  <rfmt sheetId="8" sqref="AK18">
    <dxf>
      <alignment wrapText="1"/>
    </dxf>
  </rfmt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6" sId="4">
    <nc r="AM15">
      <v>40</v>
    </nc>
  </rcc>
  <rcc rId="1767" sId="4">
    <nc r="AM17" t="inlineStr">
      <is>
        <t xml:space="preserve">Separando caixas para eliminação </t>
      </is>
    </nc>
  </rcc>
  <rfmt sheetId="4" sqref="AM17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M17" start="0" length="0">
    <dxf>
      <alignment wrapText="1"/>
    </dxf>
  </rfmt>
  <rcc rId="1778" sId="8">
    <nc r="AM17" t="inlineStr">
      <is>
        <t xml:space="preserve">4 caixas digitalizadas da folhas para a planilha 139 filmes </t>
      </is>
    </nc>
  </rcc>
  <rcc rId="1779" sId="8">
    <oc r="AM18" t="inlineStr">
      <is>
        <t xml:space="preserve">4 caixas digitalizadas da folhas para a planilha 141 filmes </t>
      </is>
    </oc>
    <nc r="AM18" t="inlineStr">
      <is>
        <t xml:space="preserve">4 caixas digitalizadas da folhas para a planilha 139 filmes 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0" sId="7" odxf="1" dxf="1">
    <nc r="AI17" t="inlineStr">
      <is>
        <t>passando a planilha escrita dos micros-filmes para planilha digital</t>
      </is>
    </nc>
    <odxf>
      <alignment wrapText="0"/>
    </odxf>
    <ndxf>
      <alignment wrapText="1"/>
    </ndxf>
  </rcc>
  <rcc rId="1781" sId="7" odxf="1" dxf="1">
    <oc r="AJ17" t="inlineStr">
      <is>
        <t xml:space="preserve"> </t>
      </is>
    </oc>
    <nc r="AJ17" t="inlineStr">
      <is>
        <t>passando a planilha escrita dos micros-filmes para planilha digital</t>
      </is>
    </nc>
    <odxf>
      <alignment wrapText="0"/>
    </odxf>
    <ndxf>
      <alignment wrapText="1"/>
    </ndxf>
  </rcc>
  <rcc rId="1782" sId="7" odxf="1" dxf="1">
    <nc r="AK17" t="inlineStr">
      <is>
        <t xml:space="preserve">confatrenização da festa junina </t>
      </is>
    </nc>
    <odxf>
      <alignment wrapText="0"/>
    </odxf>
    <ndxf>
      <alignment wrapText="1"/>
    </ndxf>
  </rcc>
  <rfmt sheetId="7" sqref="AI18">
    <dxf>
      <alignment wrapText="1"/>
    </dxf>
  </rfmt>
  <rcc rId="1783" sId="7">
    <nc r="AJ18" t="inlineStr">
      <is>
        <t>CAFÉ DA MANHÃ CGLA</t>
      </is>
    </nc>
  </rcc>
  <rfmt sheetId="7" sqref="AJ18">
    <dxf>
      <alignment wrapText="1"/>
    </dxf>
  </rfmt>
  <rcc rId="1784" sId="6">
    <oc r="AJ18" t="inlineStr">
      <is>
        <t xml:space="preserve">fazendo curso </t>
      </is>
    </oc>
    <nc r="AJ18" t="inlineStr">
      <is>
        <t>fazendo curso / café da manhã CGLA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5" sId="9">
    <nc r="W12">
      <v>5</v>
    </nc>
  </rcc>
  <rcc rId="1786" sId="9">
    <nc r="W11">
      <v>4</v>
    </nc>
  </rcc>
  <rcc rId="1787" sId="9">
    <nc r="AB12">
      <v>12</v>
    </nc>
  </rcc>
  <rcc rId="1788" sId="9">
    <nc r="AB11">
      <v>12</v>
    </nc>
  </rcc>
  <rcc rId="1789" sId="9">
    <nc r="AH12">
      <v>14</v>
    </nc>
  </rcc>
  <rcc rId="1790" sId="9">
    <nc r="AH11">
      <v>14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N17" start="0" length="0">
    <dxf>
      <alignment wrapText="1"/>
    </dxf>
  </rfmt>
  <rcc rId="1791" sId="8">
    <nc r="AN17" t="inlineStr">
      <is>
        <t xml:space="preserve">4 caixas digitalizadas da folhas para a planilha 137 filmes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2" sId="4">
    <nc r="AN15">
      <v>20</v>
    </nc>
  </rcc>
  <rcc rId="1803" sId="4" odxf="1" dxf="1">
    <nc r="AN18" t="inlineStr">
      <is>
        <t>passando a planilha escrita dos micros-filmes para planilha digital</t>
      </is>
    </nc>
    <odxf>
      <alignment wrapText="0"/>
    </odxf>
    <ndxf>
      <alignment wrapText="1"/>
    </ndxf>
  </rcc>
  <rcc rId="1804" sId="4">
    <nc r="AN5">
      <v>7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5" sId="4" odxf="1" dxf="1">
    <nc r="AO18" t="inlineStr">
      <is>
        <t>passando a planilha escrita dos micros-filmes para planilha digital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6" sId="8">
    <nc r="AO13">
      <v>1</v>
    </nc>
  </rcc>
  <rcc rId="1827" sId="8">
    <nc r="AO12">
      <v>1</v>
    </nc>
  </rcc>
  <rfmt sheetId="8" sqref="AO17" start="0" length="0">
    <dxf>
      <alignment wrapText="1"/>
    </dxf>
  </rfmt>
  <rcc rId="1828" sId="8">
    <nc r="AO17" t="inlineStr">
      <is>
        <t xml:space="preserve">3 caixas digitalizadas da folhas para a planilha 73 filmes 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9" sId="4">
    <nc r="AP15">
      <v>11</v>
    </nc>
  </rcc>
  <rcc rId="1830" sId="4" odxf="1" dxf="1">
    <nc r="AP18" t="inlineStr">
      <is>
        <t>passando a planilha escrita dos micros-filmes para planilha digital</t>
      </is>
    </nc>
    <odxf>
      <alignment wrapText="0"/>
    </odxf>
    <ndxf>
      <alignment wrapText="1"/>
    </ndxf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P17" start="0" length="0">
    <dxf>
      <alignment wrapText="1"/>
    </dxf>
  </rfmt>
  <rcc rId="1831" sId="8">
    <nc r="AP17" t="inlineStr">
      <is>
        <t xml:space="preserve">3 caixas digitalizadas da folhas para a planilha 81 filmes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2" sId="5">
    <nc r="AM12">
      <v>70</v>
    </nc>
  </rcc>
  <rcc rId="1843" sId="5">
    <nc r="AN12">
      <v>68</v>
    </nc>
  </rcc>
  <rcc rId="1844" sId="5">
    <nc r="AO12">
      <v>66</v>
    </nc>
  </rcc>
  <rcc rId="1845" sId="5">
    <nc r="AP12">
      <v>63</v>
    </nc>
  </rcc>
  <rcc rId="1846" sId="5">
    <nc r="AQ12">
      <v>70</v>
    </nc>
  </rcc>
  <rfmt sheetId="5" sqref="AM16" start="0" length="0">
    <dxf>
      <border outline="0">
        <bottom/>
      </border>
    </dxf>
  </rfmt>
  <rfmt sheetId="5" sqref="AN16" start="0" length="0">
    <dxf>
      <border outline="0">
        <bottom/>
      </border>
    </dxf>
  </rfmt>
  <rfmt sheetId="5" sqref="AO16" start="0" length="0">
    <dxf>
      <border outline="0">
        <bottom/>
      </border>
    </dxf>
  </rfmt>
  <rfmt sheetId="5" sqref="AP16" start="0" length="0">
    <dxf>
      <border outline="0">
        <bottom/>
      </border>
    </dxf>
  </rfmt>
  <rfmt sheetId="5" sqref="AQ16" start="0" length="0">
    <dxf>
      <border outline="0">
        <bottom/>
      </border>
    </dxf>
  </rfmt>
  <rcc rId="1847" sId="5" odxf="1" dxf="1">
    <nc r="AM17" t="inlineStr">
      <is>
        <t>Inventário microfilmes.
2 Caixas
70 microfilmes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848" sId="5" odxf="1" dxf="1">
    <nc r="AN17" t="inlineStr">
      <is>
        <t>Inventário microfilmes.
2 Caixas
68 microfilmes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849" sId="5" odxf="1" dxf="1">
    <nc r="AO17" t="inlineStr">
      <is>
        <t>Inventário microfilmes.
2 Caixas
66 microfilmes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850" sId="5" odxf="1" dxf="1">
    <nc r="AP17" t="inlineStr">
      <is>
        <t>Inventário microfilmes.
2 Caixas
63 microfilmes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851" sId="5" odxf="1" dxf="1">
    <nc r="AQ17" t="inlineStr">
      <is>
        <t>Inventário microfilmes.
2 Caixas
70 microfilmes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Q17" start="0" length="0">
    <dxf>
      <alignment wrapText="1"/>
    </dxf>
  </rfmt>
  <rcc rId="1862" sId="8">
    <nc r="AQ17" t="inlineStr">
      <is>
        <t xml:space="preserve">3 caixas digitalizadas da folhas para a planilha 68 filmes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3" sId="4" odxf="1" dxf="1">
    <nc r="AQ18" t="inlineStr">
      <is>
        <t>passando a planilha escrita dos micros-filmes para planilha digital</t>
      </is>
    </nc>
    <odxf>
      <alignment wrapText="0"/>
    </odxf>
    <ndxf>
      <alignment wrapText="1"/>
    </ndxf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4" sId="6">
    <nc r="AO17" t="inlineStr">
      <is>
        <t>atestado</t>
      </is>
    </nc>
  </rcc>
  <rcc rId="1875" sId="6">
    <nc r="AP17" t="inlineStr">
      <is>
        <t>atestado</t>
      </is>
    </nc>
  </rcc>
  <rcc rId="1876" sId="6">
    <nc r="AQ17" t="inlineStr">
      <is>
        <t>atestado</t>
      </is>
    </nc>
  </rcc>
  <rcc rId="1877" sId="6" odxf="1" dxf="1">
    <nc r="AM18" t="inlineStr">
      <is>
        <t xml:space="preserve">fazendo curso </t>
      </is>
    </nc>
    <odxf>
      <alignment wrapText="0"/>
    </odxf>
    <ndxf>
      <alignment wrapText="1"/>
    </ndxf>
  </rcc>
  <rcc rId="1878" sId="6" odxf="1" dxf="1">
    <nc r="AN18" t="inlineStr">
      <is>
        <t xml:space="preserve">fazendo curso </t>
      </is>
    </nc>
    <odxf>
      <alignment wrapText="0"/>
    </odxf>
    <ndxf>
      <alignment wrapText="1"/>
    </ndxf>
  </rcc>
  <rcc rId="1879" sId="6" odxf="1" dxf="1">
    <nc r="AN17" t="inlineStr">
      <is>
        <t>passando a planilha escrita dos micros-filmes para planilha digital</t>
      </is>
    </nc>
    <odxf>
      <alignment wrapText="0"/>
    </odxf>
    <ndxf>
      <alignment wrapText="1"/>
    </ndxf>
  </rcc>
  <rcc rId="1880" sId="6">
    <oc r="AM17" t="inlineStr">
      <is>
        <t xml:space="preserve">fazendo etiquetas para os micros-filmes </t>
      </is>
    </oc>
    <nc r="AM17" t="inlineStr">
      <is>
        <t>01-fazendo etiquetas para os micros-filmes                   02- passando a planilha escrita dos micros-filmes para planilha digital</t>
      </is>
    </nc>
  </rcc>
  <rfmt sheetId="6" sqref="AS17" start="0" length="0">
    <dxf>
      <alignment wrapText="1"/>
    </dxf>
  </rfmt>
  <rcc rId="1881" sId="6" odxf="1" dxf="1">
    <nc r="AS18" t="inlineStr">
      <is>
        <t xml:space="preserve">fazendo curso </t>
      </is>
    </nc>
    <odxf>
      <alignment wrapText="0"/>
    </odxf>
    <ndxf>
      <alignment wrapText="1"/>
    </ndxf>
  </rcc>
  <rcc rId="1882" sId="6">
    <nc r="AS17" t="inlineStr">
      <is>
        <t>01-procurando caixas para eliminação para seu Carlos                   02- passando a planilha escrita dos micros-filmes para planilha digital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3" sId="10" odxf="1" dxf="1">
    <nc r="AH17" t="inlineStr">
      <is>
        <t>Consolidação da Planilha do ARCEM
(Em andamento)</t>
      </is>
    </nc>
    <odxf>
      <alignment wrapText="0" readingOrder="0"/>
    </odxf>
    <ndxf>
      <alignment wrapText="1" readingOrder="0"/>
    </ndxf>
  </rcc>
  <rcc rId="1894" sId="10" odxf="1" dxf="1">
    <nc r="AI17" t="inlineStr">
      <is>
        <t>Consolidação da Planilha do ARCEM
(Em andamento)</t>
      </is>
    </nc>
    <odxf>
      <alignment wrapText="0" readingOrder="0"/>
    </odxf>
    <ndxf>
      <alignment wrapText="1" readingOrder="0"/>
    </ndxf>
  </rcc>
  <rcc rId="1895" sId="10" odxf="1" dxf="1">
    <nc r="AJ17" t="inlineStr">
      <is>
        <t>Consolidação da Planilha do ARCEM
(Em andamento)</t>
      </is>
    </nc>
    <odxf>
      <alignment wrapText="0" readingOrder="0"/>
    </odxf>
    <ndxf>
      <alignment wrapText="1" readingOrder="0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6" sId="10">
    <nc r="AJ13">
      <v>1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7" sId="10" odxf="1" dxf="1">
    <nc r="AK17" t="inlineStr">
      <is>
        <t>EVENTO
FESTA 
JULINA</t>
      </is>
    </nc>
    <odxf>
      <alignment wrapText="0" readingOrder="0"/>
    </odxf>
    <ndxf>
      <alignment wrapText="1" readingOrder="0"/>
    </ndxf>
  </rcc>
  <rcc rId="1908" sId="10">
    <nc r="AM11">
      <v>3</v>
    </nc>
  </rcc>
  <rcc rId="1909" sId="10">
    <nc r="AN11">
      <v>3</v>
    </nc>
  </rcc>
  <rcc rId="1910" sId="10">
    <nc r="AO11">
      <v>3</v>
    </nc>
  </rcc>
  <rcc rId="1911" sId="10">
    <nc r="AP11">
      <v>3</v>
    </nc>
  </rcc>
  <rcc rId="1912" sId="10">
    <nc r="AM12">
      <v>78</v>
    </nc>
  </rcc>
  <rcc rId="1913" sId="10">
    <nc r="AN12">
      <v>43</v>
    </nc>
  </rcc>
  <rcc rId="1914" sId="10">
    <nc r="AO12">
      <v>31</v>
    </nc>
  </rcc>
  <rcc rId="1915" sId="10">
    <nc r="AP12">
      <v>40</v>
    </nc>
  </rcc>
  <rcc rId="1916" sId="10">
    <nc r="AO15">
      <v>227</v>
    </nc>
  </rcc>
  <rcc rId="1917" sId="10">
    <nc r="AP15">
      <v>264</v>
    </nc>
  </rcc>
  <rcc rId="1918" sId="10">
    <nc r="AQ15">
      <v>1235</v>
    </nc>
  </rcc>
  <rcc rId="1919" sId="10">
    <nc r="AO17" t="inlineStr">
      <is>
        <t>caixa remanejadas pra identificação se faz parte Microfilmagens/LBA</t>
      </is>
    </nc>
  </rcc>
  <rfmt sheetId="10" sqref="AO17">
    <dxf>
      <alignment wrapText="1" readingOrder="0"/>
    </dxf>
  </rfmt>
  <rcc rId="1920" sId="10" odxf="1" dxf="1">
    <nc r="AP17" t="inlineStr">
      <is>
        <t>caixa remanejadas pra identificação se faz parte Microfilmagens/LBA</t>
      </is>
    </nc>
    <odxf>
      <alignment wrapText="0" readingOrder="0"/>
    </odxf>
    <ndxf>
      <alignment wrapText="1" readingOrder="0"/>
    </ndxf>
  </rcc>
  <rcc rId="1921" sId="10" odxf="1" dxf="1">
    <nc r="AQ17" t="inlineStr">
      <is>
        <t>caixa remanejadas pra identificação se faz parte Microfilmagens/LBA</t>
      </is>
    </nc>
    <odxf>
      <alignment wrapText="0" readingOrder="0"/>
    </odxf>
    <ndxf>
      <alignment wrapText="1" readingOrder="0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S17">
    <dxf>
      <alignment wrapText="1"/>
    </dxf>
  </rfmt>
  <rcc rId="1932" sId="8">
    <nc r="AS17" t="inlineStr">
      <is>
        <t xml:space="preserve">PROCURANDO CAIXA PARA SEU CARLOS E 2 CAIXAS DIGITALIZADAS DA FOLHA PARA PLANILHA 66 FILMES   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3" sId="7">
    <nc r="AM15">
      <v>40</v>
    </nc>
  </rcc>
  <rcc rId="1944" sId="7">
    <nc r="AN15">
      <v>20</v>
    </nc>
  </rcc>
  <rcc rId="1945" sId="7">
    <nc r="AP15">
      <v>11</v>
    </nc>
  </rcc>
  <rcc rId="1946" sId="7" odxf="1" dxf="1">
    <nc r="AM17" t="inlineStr">
      <is>
        <t xml:space="preserve">Separando caixas para eliminação </t>
      </is>
    </nc>
    <odxf>
      <alignment wrapText="0"/>
    </odxf>
    <ndxf>
      <alignment wrapText="1"/>
    </ndxf>
  </rcc>
  <rcc rId="1947" sId="7" odxf="1" dxf="1">
    <nc r="AN18" t="inlineStr">
      <is>
        <t>passando a planilha escrita dos micros-filmes para planilha digital</t>
      </is>
    </nc>
    <odxf>
      <alignment wrapText="0"/>
    </odxf>
    <ndxf>
      <alignment wrapText="1"/>
    </ndxf>
  </rcc>
  <rcc rId="1948" sId="7" odxf="1" dxf="1">
    <nc r="AO18" t="inlineStr">
      <is>
        <t>passando a planilha escrita dos micros-filmes para planilha digital</t>
      </is>
    </nc>
    <odxf>
      <alignment wrapText="0"/>
    </odxf>
    <ndxf>
      <alignment wrapText="1"/>
    </ndxf>
  </rcc>
  <rcc rId="1949" sId="7" odxf="1" dxf="1">
    <nc r="AP18" t="inlineStr">
      <is>
        <t>passando a planilha escrita dos micros-filmes para planilha digital</t>
      </is>
    </nc>
    <odxf>
      <alignment wrapText="0"/>
    </odxf>
    <ndxf>
      <alignment wrapText="1"/>
    </ndxf>
  </rcc>
  <rcc rId="1950" sId="7" odxf="1" dxf="1">
    <nc r="AQ18" t="inlineStr">
      <is>
        <t>passando a planilha escrita dos micros-filmes para planilha digital</t>
      </is>
    </nc>
    <odxf>
      <alignment wrapText="0"/>
    </odxf>
    <ndxf>
      <alignment wrapText="1"/>
    </ndxf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1" sId="6" odxf="1" dxf="1">
    <nc r="AT17" t="inlineStr">
      <is>
        <t>01-procurando caixas para eliminação para seu Carlos                   02- passando a planilha escrita dos micros-filmes para planilha digital</t>
      </is>
    </nc>
    <odxf>
      <alignment wrapText="0"/>
    </odxf>
    <ndxf>
      <alignment wrapText="1"/>
    </ndxf>
  </rcc>
  <rcc rId="1962" sId="6" odxf="1" dxf="1">
    <nc r="AT18" t="inlineStr">
      <is>
        <t xml:space="preserve">fazendo curso 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T17" start="0" length="0">
    <dxf>
      <alignment wrapText="1"/>
    </dxf>
  </rfmt>
  <rcc rId="1973" sId="8">
    <nc r="AT17" t="inlineStr">
      <is>
        <t xml:space="preserve">PROCURANDO CAIXA PARA SEU CARLOS E 1 CAIXAS DIGITALIZADAS DA FOLHA PARA PLANILHA 33 FILMES   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4" sId="4" odxf="1" dxf="1">
    <nc r="AT17" t="inlineStr">
      <is>
        <t xml:space="preserve">Separando caixas para eliminação </t>
      </is>
    </nc>
    <odxf>
      <alignment wrapText="0"/>
    </odxf>
    <ndxf>
      <alignment wrapText="1"/>
    </ndxf>
  </rcc>
  <rcc rId="1985" sId="4" odxf="1" dxf="1">
    <nc r="AT18" t="inlineStr">
      <is>
        <t>passando a planilha escrita dos micros-filmes para planilha digital</t>
      </is>
    </nc>
    <odxf>
      <alignment wrapText="0"/>
    </odxf>
    <ndxf>
      <alignment wrapText="1"/>
    </ndxf>
  </rcc>
  <rcc rId="1986" sId="4">
    <nc r="AS17" t="inlineStr">
      <is>
        <t xml:space="preserve">Falta comunicada a chefia </t>
      </is>
    </nc>
  </rcc>
  <rfmt sheetId="4" sqref="AS17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7" sId="4" odxf="1" dxf="1">
    <nc r="AU18" t="inlineStr">
      <is>
        <t>passando a planilha escrita dos micros-filmes para planilha digital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8" sId="6" xfDxf="1" dxf="1">
    <nc r="AU17" t="inlineStr">
      <is>
        <t>passando a planilha escrita dos micros-filmes para planilha digital</t>
      </is>
    </nc>
    <ndxf>
      <alignment horizontal="center" vertical="center"/>
    </ndxf>
  </rcc>
  <rcc rId="2009" sId="6" xfDxf="1" dxf="1">
    <nc r="AV17" t="inlineStr">
      <is>
        <t>passando a planilha escrita dos micros-filmes para planilha digital</t>
      </is>
    </nc>
    <ndxf>
      <alignment horizontal="center" vertical="center"/>
    </ndxf>
  </rcc>
  <rfmt sheetId="6" sqref="AU17:AV17">
    <dxf>
      <alignment wrapText="1"/>
    </dxf>
  </rfmt>
  <rcc rId="2010" sId="6" odxf="1" dxf="1">
    <nc r="AU18" t="inlineStr">
      <is>
        <t xml:space="preserve">fazendo curso </t>
      </is>
    </nc>
    <odxf>
      <alignment wrapText="0"/>
    </odxf>
    <ndxf>
      <alignment wrapText="1"/>
    </ndxf>
  </rcc>
  <rcc rId="2011" sId="6" odxf="1" dxf="1">
    <nc r="AV18" t="inlineStr">
      <is>
        <t xml:space="preserve">fazendo curso 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2" sId="8">
    <nc r="AU17" t="inlineStr">
      <is>
        <t>REVISANDO PLANILHA DE MICROFILMES LBA</t>
      </is>
    </nc>
  </rcc>
  <rfmt sheetId="8" sqref="AU17">
    <dxf>
      <alignment wrapText="1"/>
    </dxf>
  </rfmt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3" sId="8">
    <nc r="AM11">
      <v>4</v>
    </nc>
  </rcc>
  <rcc rId="2034" sId="8">
    <nc r="AM12">
      <v>139</v>
    </nc>
  </rcc>
  <rcc rId="2035" sId="8">
    <nc r="AN11">
      <v>4</v>
    </nc>
  </rcc>
  <rcc rId="2036" sId="8">
    <nc r="AN12">
      <v>137</v>
    </nc>
  </rcc>
  <rcc rId="2037" sId="8">
    <nc r="AO11">
      <v>3</v>
    </nc>
  </rcc>
  <rcc rId="2038" sId="8">
    <oc r="AO12">
      <v>1</v>
    </oc>
    <nc r="AO12">
      <v>74</v>
    </nc>
  </rcc>
  <rcc rId="2039" sId="8">
    <nc r="AP11">
      <v>3</v>
    </nc>
  </rcc>
  <rcc rId="2040" sId="8">
    <nc r="AP12">
      <v>81</v>
    </nc>
  </rcc>
  <rcc rId="2041" sId="8">
    <nc r="AQ11">
      <v>3</v>
    </nc>
  </rcc>
  <rcc rId="2042" sId="8">
    <nc r="AQ12">
      <v>68</v>
    </nc>
  </rcc>
  <rcc rId="2043" sId="8" odxf="1" dxf="1">
    <nc r="AV17" t="inlineStr">
      <is>
        <t>REVISANDO PLANILHA DE MICROFILMES LBA</t>
      </is>
    </nc>
    <odxf>
      <alignment wrapText="0"/>
    </odxf>
    <ndxf>
      <alignment wrapText="1"/>
    </ndxf>
  </rcc>
  <rcc rId="2044" sId="8">
    <nc r="AW11">
      <v>1</v>
    </nc>
  </rcc>
  <rcc rId="2045" sId="8">
    <nc r="AW12">
      <v>11</v>
    </nc>
  </rcc>
  <rfmt sheetId="8" sqref="AW17" start="0" length="0">
    <dxf>
      <alignment wrapText="1"/>
    </dxf>
  </rfmt>
  <rcc rId="2046" sId="8">
    <nc r="AW17" t="inlineStr">
      <is>
        <t xml:space="preserve">Procurando caixas de fitas de VHS e 1 caixas digitalizadas da folhas para a planilha 11 fitas VHS,  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7" sId="5">
    <nc r="AS12">
      <v>36</v>
    </nc>
  </rcc>
  <rcc rId="2048" sId="5">
    <nc r="AV15">
      <v>6</v>
    </nc>
  </rcc>
  <rfmt sheetId="5" sqref="AS16" start="0" length="0">
    <dxf>
      <border outline="0">
        <bottom/>
      </border>
    </dxf>
  </rfmt>
  <rfmt sheetId="5" sqref="AT16" start="0" length="0">
    <dxf>
      <border outline="0">
        <bottom/>
      </border>
    </dxf>
  </rfmt>
  <rfmt sheetId="5" sqref="AU16" start="0" length="0">
    <dxf>
      <border outline="0">
        <bottom/>
      </border>
    </dxf>
  </rfmt>
  <rfmt sheetId="5" sqref="AV16" start="0" length="0">
    <dxf>
      <border outline="0">
        <bottom/>
      </border>
    </dxf>
  </rfmt>
  <rcc rId="2049" sId="5" odxf="1" dxf="1">
    <nc r="AW16">
      <v>7</v>
    </nc>
    <odxf>
      <border outline="0">
        <bottom style="thin">
          <color indexed="64"/>
        </bottom>
      </border>
    </odxf>
    <ndxf>
      <border outline="0">
        <bottom/>
      </border>
    </ndxf>
  </rcc>
  <rcc rId="2050" sId="5" odxf="1" dxf="1">
    <nc r="AS17" t="inlineStr">
      <is>
        <t>Inventário microfilmes.
7 Caixas
34 VHS e 2 DVD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051" sId="5" odxf="1" dxf="1">
    <nc r="AT17" t="inlineStr">
      <is>
        <t>Preenchimento Planilha
 Inventário audiovisuais LBA.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052" sId="5" odxf="1" dxf="1">
    <nc r="AU17" t="inlineStr">
      <is>
        <t>Preenchimento Planilha
 Inventário audiovisuais LBA.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053" sId="5" odxf="1" dxf="1">
    <nc r="AV17" t="inlineStr">
      <is>
        <t>1. Preenchimento Planilha
 Inventário audiovisuais LBA.
2. Guarda e remanejamento das caixas  LBA que o professor Bruno pesquisou.
Total 13 caixas.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054" sId="5" odxf="1" dxf="1">
    <nc r="AW17" t="inlineStr">
      <is>
        <t xml:space="preserve">  Pesquisa e busca por processo 
referente ao  214/95 (SIAFI nº 138116)
FUNDESPORTE.
23132.000438/95-22.
Total: 13
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" sId="8">
    <nc r="AS11">
      <v>2</v>
    </nc>
  </rcc>
  <rcc rId="2076" sId="8">
    <nc r="AS12">
      <v>66</v>
    </nc>
  </rcc>
  <rcc rId="2077" sId="8">
    <nc r="AT11">
      <v>1</v>
    </nc>
  </rcc>
  <rcc rId="2078" sId="8">
    <nc r="AT12">
      <v>33</v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9" sId="8">
    <oc r="AU17" t="inlineStr">
      <is>
        <t>REVISANDO PLANILHA DE MICROFILMES LBA</t>
      </is>
    </oc>
    <nc r="AU17" t="inlineStr">
      <is>
        <t>REVISANDO PLANILHA DE MICRO FILMES LBA</t>
      </is>
    </nc>
  </rcc>
  <rcc rId="2090" sId="8">
    <oc r="AV17" t="inlineStr">
      <is>
        <t>REVISANDO PLANILHA DE MICROFILMES LBA</t>
      </is>
    </oc>
    <nc r="AV17" t="inlineStr">
      <is>
        <t>REVISANDO PLANILHA DE MICRO FILMES LBA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1" sId="4">
    <nc r="AJ12">
      <v>34</v>
    </nc>
  </rcc>
  <rcc rId="2092" sId="4">
    <nc r="AK12">
      <v>30</v>
    </nc>
  </rcc>
  <rcc rId="2093" sId="4">
    <nc r="AN11">
      <v>26</v>
    </nc>
  </rcc>
  <rcc rId="2094" sId="4">
    <nc r="AO11">
      <v>53</v>
    </nc>
  </rcc>
  <rcc rId="2095" sId="4">
    <nc r="AP11">
      <v>47</v>
    </nc>
  </rcc>
  <rcc rId="2096" sId="4">
    <nc r="AQ11">
      <v>52</v>
    </nc>
  </rcc>
  <rcc rId="2097" sId="4">
    <nc r="AT11">
      <v>52</v>
    </nc>
  </rcc>
  <rcc rId="2098" sId="4">
    <nc r="AU11">
      <v>43</v>
    </nc>
  </rcc>
  <rcc rId="2099" sId="4">
    <nc r="AV11">
      <v>35</v>
    </nc>
  </rcc>
  <rcc rId="2100" sId="4">
    <nc r="AV15">
      <v>15</v>
    </nc>
  </rcc>
  <rcc rId="2101" sId="4">
    <nc r="AV17" t="inlineStr">
      <is>
        <t xml:space="preserve">PROCURANDO CAIXAS PARA ELIMINAÇÃO </t>
      </is>
    </nc>
  </rcc>
  <rfmt sheetId="4" sqref="AV17">
    <dxf>
      <alignment wrapText="1"/>
    </dxf>
  </rfmt>
  <rcc rId="2102" sId="4">
    <nc r="AW17" t="inlineStr">
      <is>
        <t>PROCURANDO CAIXAS DE VHS</t>
      </is>
    </nc>
  </rcc>
  <rcc rId="2103" sId="4">
    <nc r="AW18" t="inlineStr">
      <is>
        <t>PLANILHANDO FITAS VHS</t>
      </is>
    </nc>
  </rcc>
  <rfmt sheetId="4" sqref="AW18">
    <dxf>
      <alignment wrapText="1"/>
    </dxf>
  </rfmt>
  <rfmt sheetId="4" sqref="AW17">
    <dxf>
      <alignment wrapText="1"/>
    </dxf>
  </rfmt>
  <rcc rId="2104" sId="4">
    <nc r="AS11" t="inlineStr">
      <is>
        <t>FOLGA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5" sId="5">
    <oc r="AW17" t="inlineStr">
      <is>
        <t xml:space="preserve">  Pesquisa e busca por processo 
referente ao  214/95 (SIAFI nº 138116)
FUNDESPORTE.
23132.000438/95-22.
Total: 13
</t>
      </is>
    </oc>
    <nc r="AW17" t="inlineStr">
      <is>
        <t xml:space="preserve">  Pesquisa e busca por processo 
referente ao  214/95 (SIAFI nº 138116)
FUNDESPORTE.
23132.000438/95-22.
Total: 13 caixas.
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6" sId="4">
    <oc r="AN11">
      <v>26</v>
    </oc>
    <nc r="AN11">
      <v>52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7" sId="4">
    <oc r="AI1">
      <v>45847</v>
    </oc>
    <nc r="AI1" t="inlineStr">
      <is>
        <t>09/JU</t>
      </is>
    </nc>
  </rcc>
  <rcc rId="2128" sId="4">
    <nc r="AN12">
      <v>52</v>
    </nc>
  </rcc>
  <rcc rId="2129" sId="4">
    <oc r="AN11">
      <v>52</v>
    </oc>
    <nc r="AN11"/>
  </rcc>
  <rcc rId="2130" sId="4">
    <nc r="AO12">
      <v>53</v>
    </nc>
  </rcc>
  <rcc rId="2131" sId="4">
    <oc r="AO11">
      <v>53</v>
    </oc>
    <nc r="AO11"/>
  </rcc>
  <rcc rId="2132" sId="4">
    <nc r="AP12">
      <v>47</v>
    </nc>
  </rcc>
  <rcc rId="2133" sId="4">
    <oc r="AP11">
      <v>47</v>
    </oc>
    <nc r="AP11"/>
  </rcc>
  <rcc rId="2134" sId="4">
    <nc r="AQ12">
      <v>52</v>
    </nc>
  </rcc>
  <rcc rId="2135" sId="4">
    <oc r="AQ11">
      <v>52</v>
    </oc>
    <nc r="AQ11"/>
  </rcc>
  <rcc rId="2136" sId="4">
    <nc r="AT12">
      <v>52</v>
    </nc>
  </rcc>
  <rcc rId="2137" sId="4">
    <oc r="AT11">
      <v>52</v>
    </oc>
    <nc r="AT11"/>
  </rcc>
  <rcc rId="2138" sId="4">
    <nc r="AU12">
      <v>43</v>
    </nc>
  </rcc>
  <rcc rId="2139" sId="4">
    <oc r="AU11">
      <v>43</v>
    </oc>
    <nc r="AU11"/>
  </rcc>
  <rcc rId="2140" sId="4">
    <nc r="AV12">
      <v>35</v>
    </nc>
  </rcc>
  <rcc rId="2141" sId="4">
    <oc r="AV11">
      <v>35</v>
    </oc>
    <nc r="AV11"/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2" sId="7">
    <nc r="AU12">
      <v>43</v>
    </nc>
  </rcc>
  <rcc rId="2153" sId="7">
    <nc r="AV15">
      <v>15</v>
    </nc>
  </rcc>
  <rcc rId="2154" sId="7" odxf="1" dxf="1">
    <nc r="AT17" t="inlineStr">
      <is>
        <t xml:space="preserve">Separando caixas para eliminação </t>
      </is>
    </nc>
    <odxf>
      <alignment wrapText="0"/>
    </odxf>
    <ndxf>
      <alignment wrapText="1"/>
    </ndxf>
  </rcc>
  <rcc rId="2155" sId="7" odxf="1" dxf="1">
    <nc r="AV17" t="inlineStr">
      <is>
        <t xml:space="preserve">PROCURANDO CAIXAS PARA ELIMINAÇÃO </t>
      </is>
    </nc>
    <odxf>
      <alignment wrapText="0"/>
    </odxf>
    <ndxf>
      <alignment wrapText="1"/>
    </ndxf>
  </rcc>
  <rcc rId="2156" sId="7" odxf="1" dxf="1">
    <nc r="AW17" t="inlineStr">
      <is>
        <t>PROCURANDO CAIXAS DE VHS</t>
      </is>
    </nc>
    <odxf>
      <alignment wrapText="0"/>
    </odxf>
    <ndxf>
      <alignment wrapText="1"/>
    </ndxf>
  </rcc>
  <rcc rId="2157" sId="7" odxf="1" dxf="1">
    <nc r="AT18" t="inlineStr">
      <is>
        <t>passando a planilha escrita dos micros-filmes para planilha digital</t>
      </is>
    </nc>
    <odxf>
      <alignment wrapText="0"/>
    </odxf>
    <ndxf>
      <alignment wrapText="1"/>
    </ndxf>
  </rcc>
  <rcc rId="2158" sId="7" odxf="1" dxf="1">
    <nc r="AU18" t="inlineStr">
      <is>
        <t>passando a planilha escrita dos micros-filmes para planilha digital</t>
      </is>
    </nc>
    <odxf>
      <alignment wrapText="0"/>
    </odxf>
    <ndxf>
      <alignment wrapText="1"/>
    </ndxf>
  </rcc>
  <rfmt sheetId="7" sqref="AW18" start="0" length="0">
    <dxf>
      <alignment wrapText="1"/>
    </dxf>
  </rfmt>
  <rcc rId="2159" sId="7">
    <nc r="AN12">
      <v>60</v>
    </nc>
  </rcc>
  <rcc rId="2160" sId="7">
    <nc r="AO12">
      <v>63</v>
    </nc>
  </rcc>
  <rcc rId="2161" sId="7">
    <nc r="AP12">
      <v>54</v>
    </nc>
  </rcc>
  <rcc rId="2162" sId="7">
    <nc r="AQ12">
      <v>63</v>
    </nc>
  </rcc>
  <rcc rId="2163" sId="7">
    <nc r="AW12">
      <v>30</v>
    </nc>
  </rcc>
  <rcc rId="2164" sId="7">
    <nc r="AV12">
      <v>25</v>
    </nc>
  </rcc>
  <rcc rId="2165" sId="7">
    <nc r="AT12">
      <v>40</v>
    </nc>
  </rcc>
  <rcc rId="2166" sId="7">
    <nc r="AS12">
      <v>62</v>
    </nc>
  </rcc>
  <rcc rId="2167" sId="7" odxf="1" dxf="1">
    <nc r="AS18" t="inlineStr">
      <is>
        <t>passando a planilha escrita dos micros-filmes para planilha digital</t>
      </is>
    </nc>
    <odxf>
      <alignment wrapText="0"/>
    </odxf>
    <ndxf>
      <alignment wrapText="1"/>
    </ndxf>
  </rcc>
  <rcc rId="2168" sId="7" odxf="1" dxf="1">
    <nc r="AV18" t="inlineStr">
      <is>
        <t>passando a planilha escrita dos micros-filmes para planilha digital</t>
      </is>
    </nc>
    <ndxf>
      <alignment wrapText="1"/>
    </ndxf>
  </rcc>
  <rcc rId="2169" sId="7">
    <nc r="AW18" t="inlineStr">
      <is>
        <t>passando a planilha escrita dos micros-filmes para planilha digital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0" sId="7">
    <oc r="AT12">
      <v>40</v>
    </oc>
    <nc r="AT12">
      <v>60</v>
    </nc>
  </rcc>
  <rcc rId="2171" sId="7">
    <oc r="AS12">
      <v>62</v>
    </oc>
    <nc r="AS12">
      <v>65</v>
    </nc>
  </rcc>
  <rcc rId="2172" sId="7">
    <oc r="AV12">
      <v>25</v>
    </oc>
    <nc r="AV12">
      <v>45</v>
    </nc>
  </rcc>
  <rcc rId="2173" sId="7">
    <oc r="AW12">
      <v>30</v>
    </oc>
    <nc r="AW12">
      <v>40</v>
    </nc>
  </rcc>
  <rcc rId="2174" sId="7">
    <oc r="AU12">
      <v>43</v>
    </oc>
    <nc r="AU12">
      <v>50</v>
    </nc>
  </rcc>
  <rcc rId="2175" sId="7">
    <nc r="AM12">
      <v>40</v>
    </nc>
  </rcc>
  <rcc rId="2176" sId="7" odxf="1" dxf="1">
    <nc r="AM18" t="inlineStr">
      <is>
        <t>passando a planilha escrita dos micros-filmes para planilha digital</t>
      </is>
    </nc>
    <odxf>
      <alignment wrapText="0"/>
    </odxf>
    <ndxf>
      <alignment wrapText="1"/>
    </ndxf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7" sId="6">
    <nc r="AS15">
      <v>40</v>
    </nc>
  </rcc>
  <rcc rId="2178" sId="6">
    <nc r="AT15">
      <v>20</v>
    </nc>
  </rcc>
  <rcc rId="2179" sId="6">
    <nc r="AV15">
      <v>11</v>
    </nc>
  </rcc>
  <rcc rId="2180" sId="6" odxf="1" dxf="1">
    <nc r="AW18" t="inlineStr">
      <is>
        <t xml:space="preserve">fazendo curso </t>
      </is>
    </nc>
    <odxf>
      <alignment wrapText="0"/>
    </odxf>
    <ndxf>
      <alignment wrapText="1"/>
    </ndxf>
  </rcc>
  <rcc rId="2181" sId="6" odxf="1" dxf="1">
    <nc r="AW17" t="inlineStr">
      <is>
        <t>passando a planilha escrita dos micros-filmes para planilha digital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9" sId="4">
    <nc r="P15">
      <v>11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0" sId="5" odxf="1" dxf="1">
    <nc r="P17" t="inlineStr">
      <is>
        <t xml:space="preserve">Digitalização material da LBA, solicitado pela professora Gracyelle - Email de 12/02/2025. 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1" sId="7">
    <nc r="S15">
      <v>5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2" sId="5" odxf="1" dxf="1">
    <nc r="Q17" t="inlineStr">
      <is>
        <t xml:space="preserve">Digitalização material da LBA, solicitado pela professora Gracyelle - Email de 12/02/2025. 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3" sId="5">
    <nc r="Q4">
      <v>6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" sId="4">
    <nc r="Q17" t="inlineStr">
      <is>
        <t>DIGITALIZANDO LIVROS DA LBA</t>
      </is>
    </nc>
  </rcc>
  <rfmt sheetId="4" sqref="Q17">
    <dxf>
      <alignment wrapText="1"/>
    </dxf>
  </rfmt>
  <rcc rId="445" sId="4">
    <nc r="Q18" t="inlineStr">
      <is>
        <t xml:space="preserve">ALMOÇO PELA PARTE DA TARDE </t>
      </is>
    </nc>
  </rcc>
  <rfmt sheetId="4" sqref="Q18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6" sId="8" odxf="1" dxf="1">
    <nc r="Q17" t="inlineStr">
      <is>
        <t>DIGITALIZANDO LIVROS DA LBA</t>
      </is>
    </nc>
    <odxf>
      <alignment wrapText="0"/>
    </odxf>
    <ndxf>
      <alignment wrapText="1"/>
    </ndxf>
  </rcc>
  <rcc rId="457" sId="8" odxf="1" dxf="1">
    <nc r="Q18" t="inlineStr">
      <is>
        <t xml:space="preserve">ALMOÇO PELA PARTE DA TARDE 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Q16" start="0" length="0">
    <dxf>
      <border outline="0">
        <bottom/>
      </border>
    </dxf>
  </rfmt>
  <rcc rId="468" sId="5">
    <oc r="Q17" t="inlineStr">
      <is>
        <t xml:space="preserve">Digitalização material da LBA, solicitado pela professora Gracyelle - Email de 12/02/2025. </t>
      </is>
    </oc>
    <nc r="Q17" t="inlineStr">
      <is>
        <t>1. Digitalização material da LBA, solicitado pela professora Gracyelle - Email de 12/02/2025.
2. À tarde fui levar minha filha ao dentista.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" sId="4">
    <nc r="R15" t="inlineStr">
      <is>
        <t>FER</t>
      </is>
    </nc>
  </rcc>
  <rcc rId="480" sId="4">
    <nc r="R17" t="inlineStr">
      <is>
        <t>FERIADO</t>
      </is>
    </nc>
  </rcc>
  <rfmt sheetId="4" sqref="R17">
    <dxf>
      <alignment wrapText="1"/>
    </dxf>
  </rfmt>
  <rfmt sheetId="4" sqref="S17">
    <dxf>
      <alignment wrapText="0"/>
    </dxf>
  </rfmt>
  <rfmt sheetId="4" sqref="S17">
    <dxf>
      <alignment wrapText="1"/>
    </dxf>
  </rfmt>
  <rcc rId="481" sId="4">
    <nc r="S17" t="inlineStr">
      <is>
        <t>FERIADO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2" sId="4">
    <oc r="R15" t="inlineStr">
      <is>
        <t>FER</t>
      </is>
    </oc>
    <nc r="R15"/>
  </rcc>
  <rcc rId="503" sId="4">
    <oc r="S17" t="inlineStr">
      <is>
        <t>FERIADO</t>
      </is>
    </oc>
    <nc r="S17" t="inlineStr">
      <is>
        <t>PONTO FACULTATIVO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4" sId="3">
    <oc r="C1" t="inlineStr">
      <is>
        <t xml:space="preserve">03/06 a 06/06/2025 </t>
      </is>
    </oc>
    <nc r="C1" t="inlineStr">
      <is>
        <t xml:space="preserve">02/06 a 06/06/2025 </t>
      </is>
    </nc>
  </rcc>
  <rcc rId="515" sId="3" odxf="1" dxf="1">
    <nc r="D1" t="inlineStr">
      <is>
        <t xml:space="preserve">09/06 a 13/06/2025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6" sId="3" odxf="1" dxf="1">
    <nc r="E1" t="inlineStr">
      <is>
        <t xml:space="preserve">16/06 a 20/06/2025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7" sId="3" odxf="1" dxf="1">
    <nc r="F1" t="inlineStr">
      <is>
        <t xml:space="preserve">23/06 a 27/06/2025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8" sId="3" odxf="1" dxf="1">
    <nc r="G1" t="inlineStr">
      <is>
        <t xml:space="preserve">30/06 a 04/07/2025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9" sId="3" odxf="1" dxf="1">
    <nc r="H1" t="inlineStr">
      <is>
        <t xml:space="preserve">07/07 a 11/07/2025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0" sId="3" odxf="1" dxf="1">
    <nc r="I1" t="inlineStr">
      <is>
        <t xml:space="preserve">14/07 a 18/07/2025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1" sId="3" odxf="1" dxf="1">
    <nc r="J1" t="inlineStr">
      <is>
        <t xml:space="preserve">21/07 a 25/07/2025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2" sId="3" odxf="1" dxf="1">
    <nc r="K1" t="inlineStr">
      <is>
        <t xml:space="preserve">28/07 a 1/08/2025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2" start="0" length="0">
    <dxf>
      <numFmt numFmtId="3" formatCode="#,##0"/>
    </dxf>
  </rfmt>
  <rfmt sheetId="3" sqref="D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23" sId="3" odxf="1" dxf="1">
    <nc r="G2">
      <f>'C:\Users\marcelo.saboia\Documents\backup - diarq - 13.06.25\Atividade Semanal - Equipe\z. INDICADORES - POR DIA\[INDICADORES - Junho-Julho_2025_backup.xlsx]Diego'!AF2+'C:\Users\marcelo.saboia\Documents\backup - diarq - 13.06.25\Atividade Semanal - Equipe\z. INDICADORES - POR DIA\[INDICADORES - Junho-Julho_2025_backup.xlsx]Aelton'!AF2+'C:\Users\marcelo.saboia\Documents\backup - diarq - 13.06.25\Atividade Semanal - Equipe\z. INDICADORES - POR DIA\[INDICADORES - Junho-Julho_2025_backup.xlsx]Leonam'!AF2+'C:\Users\marcelo.saboia\Documents\backup - diarq - 13.06.25\Atividade Semanal - Equipe\z. INDICADORES - POR DIA\[INDICADORES - Junho-Julho_2025_backup.xlsx]Danilo'!AF2+'C:\Users\marcelo.saboia\Documents\backup - diarq - 13.06.25\Atividade Semanal - Equipe\z. INDICADORES - POR DIA\[INDICADORES - Junho-Julho_2025_backup.xlsx]Marcos'!AF2+'C:\Users\marcelo.saboia\Documents\backup - diarq - 13.06.25\Atividade Semanal - Equipe\z. INDICADORES - POR DIA\[INDICADORES - Junho-Julho_2025_backup.xlsx]Carlos'!AF2+'C:\Users\marcelo.saboia\Documents\backup - diarq - 13.06.25\Atividade Semanal - Equipe\z. INDICADORES - POR DIA\[INDICADORES - Junho-Julho_2025_backup.xlsx]Alessandro'!AF2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4" sId="3" odxf="1" dxf="1">
    <nc r="H2">
      <f>'C:\Users\marcelo.saboia\Documents\backup - diarq - 13.06.25\Atividade Semanal - Equipe\z. INDICADORES - POR DIA\[INDICADORES - Junho-Julho_2025_backup.xlsx]Diego'!AL2+'C:\Users\marcelo.saboia\Documents\backup - diarq - 13.06.25\Atividade Semanal - Equipe\z. INDICADORES - POR DIA\[INDICADORES - Junho-Julho_2025_backup.xlsx]Aelton'!AL2+'C:\Users\marcelo.saboia\Documents\backup - diarq - 13.06.25\Atividade Semanal - Equipe\z. INDICADORES - POR DIA\[INDICADORES - Junho-Julho_2025_backup.xlsx]Leonam'!AL2+'C:\Users\marcelo.saboia\Documents\backup - diarq - 13.06.25\Atividade Semanal - Equipe\z. INDICADORES - POR DIA\[INDICADORES - Junho-Julho_2025_backup.xlsx]Danilo'!AL2+'C:\Users\marcelo.saboia\Documents\backup - diarq - 13.06.25\Atividade Semanal - Equipe\z. INDICADORES - POR DIA\[INDICADORES - Junho-Julho_2025_backup.xlsx]Marcos'!AL2+'C:\Users\marcelo.saboia\Documents\backup - diarq - 13.06.25\Atividade Semanal - Equipe\z. INDICADORES - POR DIA\[INDICADORES - Junho-Julho_2025_backup.xlsx]Carlos'!AL2+'C:\Users\marcelo.saboia\Documents\backup - diarq - 13.06.25\Atividade Semanal - Equipe\z. INDICADORES - POR DIA\[INDICADORES - Junho-Julho_2025_backup.xlsx]Alessandro'!AL2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5" sId="3" odxf="1" dxf="1">
    <nc r="I2">
      <f>'C:\Users\marcelo.saboia\Documents\backup - diarq - 13.06.25\Atividade Semanal - Equipe\z. INDICADORES - POR DIA\[INDICADORES - Junho-Julho_2025_backup.xlsx]Diego'!AR2+'C:\Users\marcelo.saboia\Documents\backup - diarq - 13.06.25\Atividade Semanal - Equipe\z. INDICADORES - POR DIA\[INDICADORES - Junho-Julho_2025_backup.xlsx]Aelton'!AR2+'C:\Users\marcelo.saboia\Documents\backup - diarq - 13.06.25\Atividade Semanal - Equipe\z. INDICADORES - POR DIA\[INDICADORES - Junho-Julho_2025_backup.xlsx]Leonam'!AR2+'C:\Users\marcelo.saboia\Documents\backup - diarq - 13.06.25\Atividade Semanal - Equipe\z. INDICADORES - POR DIA\[INDICADORES - Junho-Julho_2025_backup.xlsx]Danilo'!AR2+'C:\Users\marcelo.saboia\Documents\backup - diarq - 13.06.25\Atividade Semanal - Equipe\z. INDICADORES - POR DIA\[INDICADORES - Junho-Julho_2025_backup.xlsx]Marcos'!AR2+'C:\Users\marcelo.saboia\Documents\backup - diarq - 13.06.25\Atividade Semanal - Equipe\z. INDICADORES - POR DIA\[INDICADORES - Junho-Julho_2025_backup.xlsx]Carlos'!AR2+'C:\Users\marcelo.saboia\Documents\backup - diarq - 13.06.25\Atividade Semanal - Equipe\z. INDICADORES - POR DIA\[INDICADORES - Junho-Julho_2025_backup.xlsx]Alessandro'!AR2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6" sId="3" odxf="1" dxf="1">
    <nc r="J2">
      <f>'C:\Users\marcelo.saboia\Documents\backup - diarq - 13.06.25\Atividade Semanal - Equipe\z. INDICADORES - POR DIA\[INDICADORES - Junho-Julho_2025_backup.xlsx]Diego'!AX2+'C:\Users\marcelo.saboia\Documents\backup - diarq - 13.06.25\Atividade Semanal - Equipe\z. INDICADORES - POR DIA\[INDICADORES - Junho-Julho_2025_backup.xlsx]Aelton'!AX2+'C:\Users\marcelo.saboia\Documents\backup - diarq - 13.06.25\Atividade Semanal - Equipe\z. INDICADORES - POR DIA\[INDICADORES - Junho-Julho_2025_backup.xlsx]Leonam'!AX2+'C:\Users\marcelo.saboia\Documents\backup - diarq - 13.06.25\Atividade Semanal - Equipe\z. INDICADORES - POR DIA\[INDICADORES - Junho-Julho_2025_backup.xlsx]Danilo'!AX2+'C:\Users\marcelo.saboia\Documents\backup - diarq - 13.06.25\Atividade Semanal - Equipe\z. INDICADORES - POR DIA\[INDICADORES - Junho-Julho_2025_backup.xlsx]Marcos'!AX2+'C:\Users\marcelo.saboia\Documents\backup - diarq - 13.06.25\Atividade Semanal - Equipe\z. INDICADORES - POR DIA\[INDICADORES - Junho-Julho_2025_backup.xlsx]Carlos'!AX2+'C:\Users\marcelo.saboia\Documents\backup - diarq - 13.06.25\Atividade Semanal - Equipe\z. INDICADORES - POR DIA\[INDICADORES - Junho-Julho_2025_backup.xlsx]Alessandro'!AX2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7" sId="3" odxf="1" dxf="1">
    <nc r="K2">
      <f>'C:\Users\marcelo.saboia\Documents\backup - diarq - 13.06.25\Atividade Semanal - Equipe\z. INDICADORES - POR DIA\[INDICADORES - Junho-Julho_2025_backup.xlsx]Diego'!BD2+'C:\Users\marcelo.saboia\Documents\backup - diarq - 13.06.25\Atividade Semanal - Equipe\z. INDICADORES - POR DIA\[INDICADORES - Junho-Julho_2025_backup.xlsx]Aelton'!BD2+'C:\Users\marcelo.saboia\Documents\backup - diarq - 13.06.25\Atividade Semanal - Equipe\z. INDICADORES - POR DIA\[INDICADORES - Junho-Julho_2025_backup.xlsx]Leonam'!BD2+'C:\Users\marcelo.saboia\Documents\backup - diarq - 13.06.25\Atividade Semanal - Equipe\z. INDICADORES - POR DIA\[INDICADORES - Junho-Julho_2025_backup.xlsx]Danilo'!BD2+'C:\Users\marcelo.saboia\Documents\backup - diarq - 13.06.25\Atividade Semanal - Equipe\z. INDICADORES - POR DIA\[INDICADORES - Junho-Julho_2025_backup.xlsx]Marcos'!BD2+'C:\Users\marcelo.saboia\Documents\backup - diarq - 13.06.25\Atividade Semanal - Equipe\z. INDICADORES - POR DIA\[INDICADORES - Junho-Julho_2025_backup.xlsx]Carlos'!BD2+'C:\Users\marcelo.saboia\Documents\backup - diarq - 13.06.25\Atividade Semanal - Equipe\z. INDICADORES - POR DIA\[INDICADORES - Junho-Julho_2025_backup.xlsx]Alessandro'!BD2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28" sId="3" odxf="1" dxf="1">
    <nc r="G3">
      <f>'C:\Users\marcelo.saboia\Documents\backup - diarq - 13.06.25\Atividade Semanal - Equipe\z. INDICADORES - POR DIA\[INDICADORES - Junho-Julho_2025_backup.xlsx]Diego'!AF3+'C:\Users\marcelo.saboia\Documents\backup - diarq - 13.06.25\Atividade Semanal - Equipe\z. INDICADORES - POR DIA\[INDICADORES - Junho-Julho_2025_backup.xlsx]Aelton'!AF3+'C:\Users\marcelo.saboia\Documents\backup - diarq - 13.06.25\Atividade Semanal - Equipe\z. INDICADORES - POR DIA\[INDICADORES - Junho-Julho_2025_backup.xlsx]Leonam'!AF3+'C:\Users\marcelo.saboia\Documents\backup - diarq - 13.06.25\Atividade Semanal - Equipe\z. INDICADORES - POR DIA\[INDICADORES - Junho-Julho_2025_backup.xlsx]Danilo'!AF3+'C:\Users\marcelo.saboia\Documents\backup - diarq - 13.06.25\Atividade Semanal - Equipe\z. INDICADORES - POR DIA\[INDICADORES - Junho-Julho_2025_backup.xlsx]Marcos'!AF3+'C:\Users\marcelo.saboia\Documents\backup - diarq - 13.06.25\Atividade Semanal - Equipe\z. INDICADORES - POR DIA\[INDICADORES - Junho-Julho_2025_backup.xlsx]Carlos'!AF3+'C:\Users\marcelo.saboia\Documents\backup - diarq - 13.06.25\Atividade Semanal - Equipe\z. INDICADORES - POR DIA\[INDICADORES - Junho-Julho_2025_backup.xlsx]Alessandro'!AF3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9" sId="3" odxf="1" dxf="1">
    <nc r="H3">
      <f>'C:\Users\marcelo.saboia\Documents\backup - diarq - 13.06.25\Atividade Semanal - Equipe\z. INDICADORES - POR DIA\[INDICADORES - Junho-Julho_2025_backup.xlsx]Diego'!AL3+'C:\Users\marcelo.saboia\Documents\backup - diarq - 13.06.25\Atividade Semanal - Equipe\z. INDICADORES - POR DIA\[INDICADORES - Junho-Julho_2025_backup.xlsx]Aelton'!AL3+'C:\Users\marcelo.saboia\Documents\backup - diarq - 13.06.25\Atividade Semanal - Equipe\z. INDICADORES - POR DIA\[INDICADORES - Junho-Julho_2025_backup.xlsx]Leonam'!AL3+'C:\Users\marcelo.saboia\Documents\backup - diarq - 13.06.25\Atividade Semanal - Equipe\z. INDICADORES - POR DIA\[INDICADORES - Junho-Julho_2025_backup.xlsx]Danilo'!AL3+'C:\Users\marcelo.saboia\Documents\backup - diarq - 13.06.25\Atividade Semanal - Equipe\z. INDICADORES - POR DIA\[INDICADORES - Junho-Julho_2025_backup.xlsx]Marcos'!AL3+'C:\Users\marcelo.saboia\Documents\backup - diarq - 13.06.25\Atividade Semanal - Equipe\z. INDICADORES - POR DIA\[INDICADORES - Junho-Julho_2025_backup.xlsx]Carlos'!AL3+'C:\Users\marcelo.saboia\Documents\backup - diarq - 13.06.25\Atividade Semanal - Equipe\z. INDICADORES - POR DIA\[INDICADORES - Junho-Julho_2025_backup.xlsx]Alessandro'!AL3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0" sId="3" odxf="1" dxf="1">
    <nc r="I3">
      <f>'C:\Users\marcelo.saboia\Documents\backup - diarq - 13.06.25\Atividade Semanal - Equipe\z. INDICADORES - POR DIA\[INDICADORES - Junho-Julho_2025_backup.xlsx]Diego'!AR3+'C:\Users\marcelo.saboia\Documents\backup - diarq - 13.06.25\Atividade Semanal - Equipe\z. INDICADORES - POR DIA\[INDICADORES - Junho-Julho_2025_backup.xlsx]Aelton'!AR3+'C:\Users\marcelo.saboia\Documents\backup - diarq - 13.06.25\Atividade Semanal - Equipe\z. INDICADORES - POR DIA\[INDICADORES - Junho-Julho_2025_backup.xlsx]Leonam'!AR3+'C:\Users\marcelo.saboia\Documents\backup - diarq - 13.06.25\Atividade Semanal - Equipe\z. INDICADORES - POR DIA\[INDICADORES - Junho-Julho_2025_backup.xlsx]Danilo'!AR3+'C:\Users\marcelo.saboia\Documents\backup - diarq - 13.06.25\Atividade Semanal - Equipe\z. INDICADORES - POR DIA\[INDICADORES - Junho-Julho_2025_backup.xlsx]Marcos'!AR3+'C:\Users\marcelo.saboia\Documents\backup - diarq - 13.06.25\Atividade Semanal - Equipe\z. INDICADORES - POR DIA\[INDICADORES - Junho-Julho_2025_backup.xlsx]Carlos'!AR3+'C:\Users\marcelo.saboia\Documents\backup - diarq - 13.06.25\Atividade Semanal - Equipe\z. INDICADORES - POR DIA\[INDICADORES - Junho-Julho_2025_backup.xlsx]Alessandro'!AR3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1" sId="3" odxf="1" dxf="1">
    <nc r="J3">
      <f>'C:\Users\marcelo.saboia\Documents\backup - diarq - 13.06.25\Atividade Semanal - Equipe\z. INDICADORES - POR DIA\[INDICADORES - Junho-Julho_2025_backup.xlsx]Diego'!AX3+'C:\Users\marcelo.saboia\Documents\backup - diarq - 13.06.25\Atividade Semanal - Equipe\z. INDICADORES - POR DIA\[INDICADORES - Junho-Julho_2025_backup.xlsx]Aelton'!AX3+'C:\Users\marcelo.saboia\Documents\backup - diarq - 13.06.25\Atividade Semanal - Equipe\z. INDICADORES - POR DIA\[INDICADORES - Junho-Julho_2025_backup.xlsx]Leonam'!AX3+'C:\Users\marcelo.saboia\Documents\backup - diarq - 13.06.25\Atividade Semanal - Equipe\z. INDICADORES - POR DIA\[INDICADORES - Junho-Julho_2025_backup.xlsx]Danilo'!AX3+'C:\Users\marcelo.saboia\Documents\backup - diarq - 13.06.25\Atividade Semanal - Equipe\z. INDICADORES - POR DIA\[INDICADORES - Junho-Julho_2025_backup.xlsx]Marcos'!AX3+'C:\Users\marcelo.saboia\Documents\backup - diarq - 13.06.25\Atividade Semanal - Equipe\z. INDICADORES - POR DIA\[INDICADORES - Junho-Julho_2025_backup.xlsx]Carlos'!AX3+'C:\Users\marcelo.saboia\Documents\backup - diarq - 13.06.25\Atividade Semanal - Equipe\z. INDICADORES - POR DIA\[INDICADORES - Junho-Julho_2025_backup.xlsx]Alessandro'!AX3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2" sId="3" odxf="1" dxf="1">
    <nc r="K3">
      <f>'C:\Users\marcelo.saboia\Documents\backup - diarq - 13.06.25\Atividade Semanal - Equipe\z. INDICADORES - POR DIA\[INDICADORES - Junho-Julho_2025_backup.xlsx]Diego'!BD3+'C:\Users\marcelo.saboia\Documents\backup - diarq - 13.06.25\Atividade Semanal - Equipe\z. INDICADORES - POR DIA\[INDICADORES - Junho-Julho_2025_backup.xlsx]Aelton'!BD3+'C:\Users\marcelo.saboia\Documents\backup - diarq - 13.06.25\Atividade Semanal - Equipe\z. INDICADORES - POR DIA\[INDICADORES - Junho-Julho_2025_backup.xlsx]Leonam'!BD3+'C:\Users\marcelo.saboia\Documents\backup - diarq - 13.06.25\Atividade Semanal - Equipe\z. INDICADORES - POR DIA\[INDICADORES - Junho-Julho_2025_backup.xlsx]Danilo'!BD3+'C:\Users\marcelo.saboia\Documents\backup - diarq - 13.06.25\Atividade Semanal - Equipe\z. INDICADORES - POR DIA\[INDICADORES - Junho-Julho_2025_backup.xlsx]Marcos'!BD3+'C:\Users\marcelo.saboia\Documents\backup - diarq - 13.06.25\Atividade Semanal - Equipe\z. INDICADORES - POR DIA\[INDICADORES - Junho-Julho_2025_backup.xlsx]Carlos'!BD3+'C:\Users\marcelo.saboia\Documents\backup - diarq - 13.06.25\Atividade Semanal - Equipe\z. INDICADORES - POR DIA\[INDICADORES - Junho-Julho_2025_backup.xlsx]Alessandro'!BD3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4" start="0" length="0">
    <dxf>
      <numFmt numFmtId="3" formatCode="#,##0"/>
    </dxf>
  </rfmt>
  <rfmt sheetId="3" sqref="D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33" sId="3" odxf="1" dxf="1">
    <nc r="G4">
      <f>'C:\Users\marcelo.saboia\Documents\backup - diarq - 13.06.25\Atividade Semanal - Equipe\z. INDICADORES - POR DIA\[INDICADORES - Junho-Julho_2025_backup.xlsx]Diego'!AF4+'C:\Users\marcelo.saboia\Documents\backup - diarq - 13.06.25\Atividade Semanal - Equipe\z. INDICADORES - POR DIA\[INDICADORES - Junho-Julho_2025_backup.xlsx]Aelton'!AF4+'C:\Users\marcelo.saboia\Documents\backup - diarq - 13.06.25\Atividade Semanal - Equipe\z. INDICADORES - POR DIA\[INDICADORES - Junho-Julho_2025_backup.xlsx]Leonam'!AF4+'C:\Users\marcelo.saboia\Documents\backup - diarq - 13.06.25\Atividade Semanal - Equipe\z. INDICADORES - POR DIA\[INDICADORES - Junho-Julho_2025_backup.xlsx]Danilo'!AF4+'C:\Users\marcelo.saboia\Documents\backup - diarq - 13.06.25\Atividade Semanal - Equipe\z. INDICADORES - POR DIA\[INDICADORES - Junho-Julho_2025_backup.xlsx]Marcos'!AF4+'C:\Users\marcelo.saboia\Documents\backup - diarq - 13.06.25\Atividade Semanal - Equipe\z. INDICADORES - POR DIA\[INDICADORES - Junho-Julho_2025_backup.xlsx]Carlos'!AF4+'C:\Users\marcelo.saboia\Documents\backup - diarq - 13.06.25\Atividade Semanal - Equipe\z. INDICADORES - POR DIA\[INDICADORES - Junho-Julho_2025_backup.xlsx]Alessandro'!AF4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4" sId="3" odxf="1" dxf="1">
    <nc r="H4">
      <f>'C:\Users\marcelo.saboia\Documents\backup - diarq - 13.06.25\Atividade Semanal - Equipe\z. INDICADORES - POR DIA\[INDICADORES - Junho-Julho_2025_backup.xlsx]Diego'!AL4+'C:\Users\marcelo.saboia\Documents\backup - diarq - 13.06.25\Atividade Semanal - Equipe\z. INDICADORES - POR DIA\[INDICADORES - Junho-Julho_2025_backup.xlsx]Aelton'!AL4+'C:\Users\marcelo.saboia\Documents\backup - diarq - 13.06.25\Atividade Semanal - Equipe\z. INDICADORES - POR DIA\[INDICADORES - Junho-Julho_2025_backup.xlsx]Leonam'!AL4+'C:\Users\marcelo.saboia\Documents\backup - diarq - 13.06.25\Atividade Semanal - Equipe\z. INDICADORES - POR DIA\[INDICADORES - Junho-Julho_2025_backup.xlsx]Danilo'!AL4+'C:\Users\marcelo.saboia\Documents\backup - diarq - 13.06.25\Atividade Semanal - Equipe\z. INDICADORES - POR DIA\[INDICADORES - Junho-Julho_2025_backup.xlsx]Marcos'!AL4+'C:\Users\marcelo.saboia\Documents\backup - diarq - 13.06.25\Atividade Semanal - Equipe\z. INDICADORES - POR DIA\[INDICADORES - Junho-Julho_2025_backup.xlsx]Carlos'!AL4+'C:\Users\marcelo.saboia\Documents\backup - diarq - 13.06.25\Atividade Semanal - Equipe\z. INDICADORES - POR DIA\[INDICADORES - Junho-Julho_2025_backup.xlsx]Alessandro'!AL4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5" sId="3" odxf="1" dxf="1">
    <nc r="I4">
      <f>'C:\Users\marcelo.saboia\Documents\backup - diarq - 13.06.25\Atividade Semanal - Equipe\z. INDICADORES - POR DIA\[INDICADORES - Junho-Julho_2025_backup.xlsx]Diego'!AR4+'C:\Users\marcelo.saboia\Documents\backup - diarq - 13.06.25\Atividade Semanal - Equipe\z. INDICADORES - POR DIA\[INDICADORES - Junho-Julho_2025_backup.xlsx]Aelton'!AR4+'C:\Users\marcelo.saboia\Documents\backup - diarq - 13.06.25\Atividade Semanal - Equipe\z. INDICADORES - POR DIA\[INDICADORES - Junho-Julho_2025_backup.xlsx]Leonam'!AR4+'C:\Users\marcelo.saboia\Documents\backup - diarq - 13.06.25\Atividade Semanal - Equipe\z. INDICADORES - POR DIA\[INDICADORES - Junho-Julho_2025_backup.xlsx]Danilo'!AR4+'C:\Users\marcelo.saboia\Documents\backup - diarq - 13.06.25\Atividade Semanal - Equipe\z. INDICADORES - POR DIA\[INDICADORES - Junho-Julho_2025_backup.xlsx]Marcos'!AR4+'C:\Users\marcelo.saboia\Documents\backup - diarq - 13.06.25\Atividade Semanal - Equipe\z. INDICADORES - POR DIA\[INDICADORES - Junho-Julho_2025_backup.xlsx]Carlos'!AR4+'C:\Users\marcelo.saboia\Documents\backup - diarq - 13.06.25\Atividade Semanal - Equipe\z. INDICADORES - POR DIA\[INDICADORES - Junho-Julho_2025_backup.xlsx]Alessandro'!AR4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6" sId="3" odxf="1" dxf="1">
    <nc r="J4">
      <f>'C:\Users\marcelo.saboia\Documents\backup - diarq - 13.06.25\Atividade Semanal - Equipe\z. INDICADORES - POR DIA\[INDICADORES - Junho-Julho_2025_backup.xlsx]Diego'!AX4+'C:\Users\marcelo.saboia\Documents\backup - diarq - 13.06.25\Atividade Semanal - Equipe\z. INDICADORES - POR DIA\[INDICADORES - Junho-Julho_2025_backup.xlsx]Aelton'!AX4+'C:\Users\marcelo.saboia\Documents\backup - diarq - 13.06.25\Atividade Semanal - Equipe\z. INDICADORES - POR DIA\[INDICADORES - Junho-Julho_2025_backup.xlsx]Leonam'!AX4+'C:\Users\marcelo.saboia\Documents\backup - diarq - 13.06.25\Atividade Semanal - Equipe\z. INDICADORES - POR DIA\[INDICADORES - Junho-Julho_2025_backup.xlsx]Danilo'!AX4+'C:\Users\marcelo.saboia\Documents\backup - diarq - 13.06.25\Atividade Semanal - Equipe\z. INDICADORES - POR DIA\[INDICADORES - Junho-Julho_2025_backup.xlsx]Marcos'!AX4+'C:\Users\marcelo.saboia\Documents\backup - diarq - 13.06.25\Atividade Semanal - Equipe\z. INDICADORES - POR DIA\[INDICADORES - Junho-Julho_2025_backup.xlsx]Carlos'!AX4+'C:\Users\marcelo.saboia\Documents\backup - diarq - 13.06.25\Atividade Semanal - Equipe\z. INDICADORES - POR DIA\[INDICADORES - Junho-Julho_2025_backup.xlsx]Alessandro'!AX4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7" sId="3" odxf="1" dxf="1">
    <nc r="K4">
      <f>'C:\Users\marcelo.saboia\Documents\backup - diarq - 13.06.25\Atividade Semanal - Equipe\z. INDICADORES - POR DIA\[INDICADORES - Junho-Julho_2025_backup.xlsx]Diego'!BD4+'C:\Users\marcelo.saboia\Documents\backup - diarq - 13.06.25\Atividade Semanal - Equipe\z. INDICADORES - POR DIA\[INDICADORES - Junho-Julho_2025_backup.xlsx]Aelton'!BD4+'C:\Users\marcelo.saboia\Documents\backup - diarq - 13.06.25\Atividade Semanal - Equipe\z. INDICADORES - POR DIA\[INDICADORES - Junho-Julho_2025_backup.xlsx]Leonam'!BD4+'C:\Users\marcelo.saboia\Documents\backup - diarq - 13.06.25\Atividade Semanal - Equipe\z. INDICADORES - POR DIA\[INDICADORES - Junho-Julho_2025_backup.xlsx]Danilo'!BD4+'C:\Users\marcelo.saboia\Documents\backup - diarq - 13.06.25\Atividade Semanal - Equipe\z. INDICADORES - POR DIA\[INDICADORES - Junho-Julho_2025_backup.xlsx]Marcos'!BD4+'C:\Users\marcelo.saboia\Documents\backup - diarq - 13.06.25\Atividade Semanal - Equipe\z. INDICADORES - POR DIA\[INDICADORES - Junho-Julho_2025_backup.xlsx]Carlos'!BD4+'C:\Users\marcelo.saboia\Documents\backup - diarq - 13.06.25\Atividade Semanal - Equipe\z. INDICADORES - POR DIA\[INDICADORES - Junho-Julho_2025_backup.xlsx]Alessandro'!BD4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38" sId="3" odxf="1" dxf="1">
    <nc r="G5">
      <f>'C:\Users\marcelo.saboia\Documents\backup - diarq - 13.06.25\Atividade Semanal - Equipe\z. INDICADORES - POR DIA\[INDICADORES - Junho-Julho_2025_backup.xlsx]Diego'!AF5+'C:\Users\marcelo.saboia\Documents\backup - diarq - 13.06.25\Atividade Semanal - Equipe\z. INDICADORES - POR DIA\[INDICADORES - Junho-Julho_2025_backup.xlsx]Aelton'!AF5+'C:\Users\marcelo.saboia\Documents\backup - diarq - 13.06.25\Atividade Semanal - Equipe\z. INDICADORES - POR DIA\[INDICADORES - Junho-Julho_2025_backup.xlsx]Leonam'!AF5+'C:\Users\marcelo.saboia\Documents\backup - diarq - 13.06.25\Atividade Semanal - Equipe\z. INDICADORES - POR DIA\[INDICADORES - Junho-Julho_2025_backup.xlsx]Danilo'!AF5+'C:\Users\marcelo.saboia\Documents\backup - diarq - 13.06.25\Atividade Semanal - Equipe\z. INDICADORES - POR DIA\[INDICADORES - Junho-Julho_2025_backup.xlsx]Marcos'!AF5+'C:\Users\marcelo.saboia\Documents\backup - diarq - 13.06.25\Atividade Semanal - Equipe\z. INDICADORES - POR DIA\[INDICADORES - Junho-Julho_2025_backup.xlsx]Carlos'!AF5+'C:\Users\marcelo.saboia\Documents\backup - diarq - 13.06.25\Atividade Semanal - Equipe\z. INDICADORES - POR DIA\[INDICADORES - Junho-Julho_2025_backup.xlsx]Alessandro'!AF5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9" sId="3" odxf="1" dxf="1">
    <nc r="H5">
      <f>'C:\Users\marcelo.saboia\Documents\backup - diarq - 13.06.25\Atividade Semanal - Equipe\z. INDICADORES - POR DIA\[INDICADORES - Junho-Julho_2025_backup.xlsx]Diego'!AL5+'C:\Users\marcelo.saboia\Documents\backup - diarq - 13.06.25\Atividade Semanal - Equipe\z. INDICADORES - POR DIA\[INDICADORES - Junho-Julho_2025_backup.xlsx]Aelton'!AL5+'C:\Users\marcelo.saboia\Documents\backup - diarq - 13.06.25\Atividade Semanal - Equipe\z. INDICADORES - POR DIA\[INDICADORES - Junho-Julho_2025_backup.xlsx]Leonam'!AL5+'C:\Users\marcelo.saboia\Documents\backup - diarq - 13.06.25\Atividade Semanal - Equipe\z. INDICADORES - POR DIA\[INDICADORES - Junho-Julho_2025_backup.xlsx]Danilo'!AL5+'C:\Users\marcelo.saboia\Documents\backup - diarq - 13.06.25\Atividade Semanal - Equipe\z. INDICADORES - POR DIA\[INDICADORES - Junho-Julho_2025_backup.xlsx]Marcos'!AL5+'C:\Users\marcelo.saboia\Documents\backup - diarq - 13.06.25\Atividade Semanal - Equipe\z. INDICADORES - POR DIA\[INDICADORES - Junho-Julho_2025_backup.xlsx]Carlos'!AL5+'C:\Users\marcelo.saboia\Documents\backup - diarq - 13.06.25\Atividade Semanal - Equipe\z. INDICADORES - POR DIA\[INDICADORES - Junho-Julho_2025_backup.xlsx]Alessandro'!AL5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0" sId="3" odxf="1" dxf="1">
    <nc r="I5">
      <f>'C:\Users\marcelo.saboia\Documents\backup - diarq - 13.06.25\Atividade Semanal - Equipe\z. INDICADORES - POR DIA\[INDICADORES - Junho-Julho_2025_backup.xlsx]Diego'!AR5+'C:\Users\marcelo.saboia\Documents\backup - diarq - 13.06.25\Atividade Semanal - Equipe\z. INDICADORES - POR DIA\[INDICADORES - Junho-Julho_2025_backup.xlsx]Aelton'!AR5+'C:\Users\marcelo.saboia\Documents\backup - diarq - 13.06.25\Atividade Semanal - Equipe\z. INDICADORES - POR DIA\[INDICADORES - Junho-Julho_2025_backup.xlsx]Leonam'!AR5+'C:\Users\marcelo.saboia\Documents\backup - diarq - 13.06.25\Atividade Semanal - Equipe\z. INDICADORES - POR DIA\[INDICADORES - Junho-Julho_2025_backup.xlsx]Danilo'!AR5+'C:\Users\marcelo.saboia\Documents\backup - diarq - 13.06.25\Atividade Semanal - Equipe\z. INDICADORES - POR DIA\[INDICADORES - Junho-Julho_2025_backup.xlsx]Marcos'!AR5+'C:\Users\marcelo.saboia\Documents\backup - diarq - 13.06.25\Atividade Semanal - Equipe\z. INDICADORES - POR DIA\[INDICADORES - Junho-Julho_2025_backup.xlsx]Carlos'!AR5+'C:\Users\marcelo.saboia\Documents\backup - diarq - 13.06.25\Atividade Semanal - Equipe\z. INDICADORES - POR DIA\[INDICADORES - Junho-Julho_2025_backup.xlsx]Alessandro'!AR5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1" sId="3" odxf="1" dxf="1">
    <nc r="J5">
      <f>'C:\Users\marcelo.saboia\Documents\backup - diarq - 13.06.25\Atividade Semanal - Equipe\z. INDICADORES - POR DIA\[INDICADORES - Junho-Julho_2025_backup.xlsx]Diego'!AX5+'C:\Users\marcelo.saboia\Documents\backup - diarq - 13.06.25\Atividade Semanal - Equipe\z. INDICADORES - POR DIA\[INDICADORES - Junho-Julho_2025_backup.xlsx]Aelton'!AX5+'C:\Users\marcelo.saboia\Documents\backup - diarq - 13.06.25\Atividade Semanal - Equipe\z. INDICADORES - POR DIA\[INDICADORES - Junho-Julho_2025_backup.xlsx]Leonam'!AX5+'C:\Users\marcelo.saboia\Documents\backup - diarq - 13.06.25\Atividade Semanal - Equipe\z. INDICADORES - POR DIA\[INDICADORES - Junho-Julho_2025_backup.xlsx]Danilo'!AX5+'C:\Users\marcelo.saboia\Documents\backup - diarq - 13.06.25\Atividade Semanal - Equipe\z. INDICADORES - POR DIA\[INDICADORES - Junho-Julho_2025_backup.xlsx]Marcos'!AX5+'C:\Users\marcelo.saboia\Documents\backup - diarq - 13.06.25\Atividade Semanal - Equipe\z. INDICADORES - POR DIA\[INDICADORES - Junho-Julho_2025_backup.xlsx]Carlos'!AX5+'C:\Users\marcelo.saboia\Documents\backup - diarq - 13.06.25\Atividade Semanal - Equipe\z. INDICADORES - POR DIA\[INDICADORES - Junho-Julho_2025_backup.xlsx]Alessandro'!AX5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2" sId="3" odxf="1" dxf="1">
    <nc r="K5">
      <f>'C:\Users\marcelo.saboia\Documents\backup - diarq - 13.06.25\Atividade Semanal - Equipe\z. INDICADORES - POR DIA\[INDICADORES - Junho-Julho_2025_backup.xlsx]Diego'!BD5+'C:\Users\marcelo.saboia\Documents\backup - diarq - 13.06.25\Atividade Semanal - Equipe\z. INDICADORES - POR DIA\[INDICADORES - Junho-Julho_2025_backup.xlsx]Aelton'!BD5+'C:\Users\marcelo.saboia\Documents\backup - diarq - 13.06.25\Atividade Semanal - Equipe\z. INDICADORES - POR DIA\[INDICADORES - Junho-Julho_2025_backup.xlsx]Leonam'!BD5+'C:\Users\marcelo.saboia\Documents\backup - diarq - 13.06.25\Atividade Semanal - Equipe\z. INDICADORES - POR DIA\[INDICADORES - Junho-Julho_2025_backup.xlsx]Danilo'!BD5+'C:\Users\marcelo.saboia\Documents\backup - diarq - 13.06.25\Atividade Semanal - Equipe\z. INDICADORES - POR DIA\[INDICADORES - Junho-Julho_2025_backup.xlsx]Marcos'!BD5+'C:\Users\marcelo.saboia\Documents\backup - diarq - 13.06.25\Atividade Semanal - Equipe\z. INDICADORES - POR DIA\[INDICADORES - Junho-Julho_2025_backup.xlsx]Carlos'!BD5+'C:\Users\marcelo.saboia\Documents\backup - diarq - 13.06.25\Atividade Semanal - Equipe\z. INDICADORES - POR DIA\[INDICADORES - Junho-Julho_2025_backup.xlsx]Alessandro'!BD5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6" start="0" length="0">
    <dxf>
      <numFmt numFmtId="3" formatCode="#,##0"/>
    </dxf>
  </rfmt>
  <rfmt sheetId="3" sqref="D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43" sId="3" odxf="1" dxf="1">
    <nc r="G6">
      <f>'C:\Users\marcelo.saboia\Documents\backup - diarq - 13.06.25\Atividade Semanal - Equipe\z. INDICADORES - POR DIA\[INDICADORES - Junho-Julho_2025_backup.xlsx]Diego'!AF6+'C:\Users\marcelo.saboia\Documents\backup - diarq - 13.06.25\Atividade Semanal - Equipe\z. INDICADORES - POR DIA\[INDICADORES - Junho-Julho_2025_backup.xlsx]Aelton'!AF6+'C:\Users\marcelo.saboia\Documents\backup - diarq - 13.06.25\Atividade Semanal - Equipe\z. INDICADORES - POR DIA\[INDICADORES - Junho-Julho_2025_backup.xlsx]Leonam'!AF6+'C:\Users\marcelo.saboia\Documents\backup - diarq - 13.06.25\Atividade Semanal - Equipe\z. INDICADORES - POR DIA\[INDICADORES - Junho-Julho_2025_backup.xlsx]Danilo'!AF6+'C:\Users\marcelo.saboia\Documents\backup - diarq - 13.06.25\Atividade Semanal - Equipe\z. INDICADORES - POR DIA\[INDICADORES - Junho-Julho_2025_backup.xlsx]Marcos'!AF6+'C:\Users\marcelo.saboia\Documents\backup - diarq - 13.06.25\Atividade Semanal - Equipe\z. INDICADORES - POR DIA\[INDICADORES - Junho-Julho_2025_backup.xlsx]Carlos'!AF6+'C:\Users\marcelo.saboia\Documents\backup - diarq - 13.06.25\Atividade Semanal - Equipe\z. INDICADORES - POR DIA\[INDICADORES - Junho-Julho_2025_backup.xlsx]Alessandro'!AF6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4" sId="3" odxf="1" dxf="1">
    <nc r="H6">
      <f>'C:\Users\marcelo.saboia\Documents\backup - diarq - 13.06.25\Atividade Semanal - Equipe\z. INDICADORES - POR DIA\[INDICADORES - Junho-Julho_2025_backup.xlsx]Diego'!AL6+'C:\Users\marcelo.saboia\Documents\backup - diarq - 13.06.25\Atividade Semanal - Equipe\z. INDICADORES - POR DIA\[INDICADORES - Junho-Julho_2025_backup.xlsx]Aelton'!AL6+'C:\Users\marcelo.saboia\Documents\backup - diarq - 13.06.25\Atividade Semanal - Equipe\z. INDICADORES - POR DIA\[INDICADORES - Junho-Julho_2025_backup.xlsx]Leonam'!AL6+'C:\Users\marcelo.saboia\Documents\backup - diarq - 13.06.25\Atividade Semanal - Equipe\z. INDICADORES - POR DIA\[INDICADORES - Junho-Julho_2025_backup.xlsx]Danilo'!AL6+'C:\Users\marcelo.saboia\Documents\backup - diarq - 13.06.25\Atividade Semanal - Equipe\z. INDICADORES - POR DIA\[INDICADORES - Junho-Julho_2025_backup.xlsx]Marcos'!AL6+'C:\Users\marcelo.saboia\Documents\backup - diarq - 13.06.25\Atividade Semanal - Equipe\z. INDICADORES - POR DIA\[INDICADORES - Junho-Julho_2025_backup.xlsx]Carlos'!AL6+'C:\Users\marcelo.saboia\Documents\backup - diarq - 13.06.25\Atividade Semanal - Equipe\z. INDICADORES - POR DIA\[INDICADORES - Junho-Julho_2025_backup.xlsx]Alessandro'!AL6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5" sId="3" odxf="1" dxf="1">
    <nc r="I6">
      <f>'C:\Users\marcelo.saboia\Documents\backup - diarq - 13.06.25\Atividade Semanal - Equipe\z. INDICADORES - POR DIA\[INDICADORES - Junho-Julho_2025_backup.xlsx]Diego'!AR6+'C:\Users\marcelo.saboia\Documents\backup - diarq - 13.06.25\Atividade Semanal - Equipe\z. INDICADORES - POR DIA\[INDICADORES - Junho-Julho_2025_backup.xlsx]Aelton'!AR6+'C:\Users\marcelo.saboia\Documents\backup - diarq - 13.06.25\Atividade Semanal - Equipe\z. INDICADORES - POR DIA\[INDICADORES - Junho-Julho_2025_backup.xlsx]Leonam'!AR6+'C:\Users\marcelo.saboia\Documents\backup - diarq - 13.06.25\Atividade Semanal - Equipe\z. INDICADORES - POR DIA\[INDICADORES - Junho-Julho_2025_backup.xlsx]Danilo'!AR6+'C:\Users\marcelo.saboia\Documents\backup - diarq - 13.06.25\Atividade Semanal - Equipe\z. INDICADORES - POR DIA\[INDICADORES - Junho-Julho_2025_backup.xlsx]Marcos'!AR6+'C:\Users\marcelo.saboia\Documents\backup - diarq - 13.06.25\Atividade Semanal - Equipe\z. INDICADORES - POR DIA\[INDICADORES - Junho-Julho_2025_backup.xlsx]Carlos'!AR6+'C:\Users\marcelo.saboia\Documents\backup - diarq - 13.06.25\Atividade Semanal - Equipe\z. INDICADORES - POR DIA\[INDICADORES - Junho-Julho_2025_backup.xlsx]Alessandro'!AR6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6" sId="3" odxf="1" dxf="1">
    <nc r="J6">
      <f>'C:\Users\marcelo.saboia\Documents\backup - diarq - 13.06.25\Atividade Semanal - Equipe\z. INDICADORES - POR DIA\[INDICADORES - Junho-Julho_2025_backup.xlsx]Diego'!AX6+'C:\Users\marcelo.saboia\Documents\backup - diarq - 13.06.25\Atividade Semanal - Equipe\z. INDICADORES - POR DIA\[INDICADORES - Junho-Julho_2025_backup.xlsx]Aelton'!AX6+'C:\Users\marcelo.saboia\Documents\backup - diarq - 13.06.25\Atividade Semanal - Equipe\z. INDICADORES - POR DIA\[INDICADORES - Junho-Julho_2025_backup.xlsx]Leonam'!AX6+'C:\Users\marcelo.saboia\Documents\backup - diarq - 13.06.25\Atividade Semanal - Equipe\z. INDICADORES - POR DIA\[INDICADORES - Junho-Julho_2025_backup.xlsx]Danilo'!AX6+'C:\Users\marcelo.saboia\Documents\backup - diarq - 13.06.25\Atividade Semanal - Equipe\z. INDICADORES - POR DIA\[INDICADORES - Junho-Julho_2025_backup.xlsx]Marcos'!AX6+'C:\Users\marcelo.saboia\Documents\backup - diarq - 13.06.25\Atividade Semanal - Equipe\z. INDICADORES - POR DIA\[INDICADORES - Junho-Julho_2025_backup.xlsx]Carlos'!AX6+'C:\Users\marcelo.saboia\Documents\backup - diarq - 13.06.25\Atividade Semanal - Equipe\z. INDICADORES - POR DIA\[INDICADORES - Junho-Julho_2025_backup.xlsx]Alessandro'!AX6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7" sId="3" odxf="1" dxf="1">
    <nc r="K6">
      <f>'C:\Users\marcelo.saboia\Documents\backup - diarq - 13.06.25\Atividade Semanal - Equipe\z. INDICADORES - POR DIA\[INDICADORES - Junho-Julho_2025_backup.xlsx]Diego'!BD6+'C:\Users\marcelo.saboia\Documents\backup - diarq - 13.06.25\Atividade Semanal - Equipe\z. INDICADORES - POR DIA\[INDICADORES - Junho-Julho_2025_backup.xlsx]Aelton'!BD6+'C:\Users\marcelo.saboia\Documents\backup - diarq - 13.06.25\Atividade Semanal - Equipe\z. INDICADORES - POR DIA\[INDICADORES - Junho-Julho_2025_backup.xlsx]Leonam'!BD6+'C:\Users\marcelo.saboia\Documents\backup - diarq - 13.06.25\Atividade Semanal - Equipe\z. INDICADORES - POR DIA\[INDICADORES - Junho-Julho_2025_backup.xlsx]Danilo'!BD6+'C:\Users\marcelo.saboia\Documents\backup - diarq - 13.06.25\Atividade Semanal - Equipe\z. INDICADORES - POR DIA\[INDICADORES - Junho-Julho_2025_backup.xlsx]Marcos'!BD6+'C:\Users\marcelo.saboia\Documents\backup - diarq - 13.06.25\Atividade Semanal - Equipe\z. INDICADORES - POR DIA\[INDICADORES - Junho-Julho_2025_backup.xlsx]Carlos'!BD6+'C:\Users\marcelo.saboia\Documents\backup - diarq - 13.06.25\Atividade Semanal - Equipe\z. INDICADORES - POR DIA\[INDICADORES - Junho-Julho_2025_backup.xlsx]Alessandro'!BD6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7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7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7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48" sId="3" odxf="1" dxf="1">
    <nc r="G7">
      <f>'C:\Users\marcelo.saboia\Documents\backup - diarq - 13.06.25\Atividade Semanal - Equipe\z. INDICADORES - POR DIA\[INDICADORES - Junho-Julho_2025_backup.xlsx]Diego'!AF7+'C:\Users\marcelo.saboia\Documents\backup - diarq - 13.06.25\Atividade Semanal - Equipe\z. INDICADORES - POR DIA\[INDICADORES - Junho-Julho_2025_backup.xlsx]Aelton'!AF7+'C:\Users\marcelo.saboia\Documents\backup - diarq - 13.06.25\Atividade Semanal - Equipe\z. INDICADORES - POR DIA\[INDICADORES - Junho-Julho_2025_backup.xlsx]Leonam'!AF7+'C:\Users\marcelo.saboia\Documents\backup - diarq - 13.06.25\Atividade Semanal - Equipe\z. INDICADORES - POR DIA\[INDICADORES - Junho-Julho_2025_backup.xlsx]Danilo'!AF7+'C:\Users\marcelo.saboia\Documents\backup - diarq - 13.06.25\Atividade Semanal - Equipe\z. INDICADORES - POR DIA\[INDICADORES - Junho-Julho_2025_backup.xlsx]Marcos'!AF7+'C:\Users\marcelo.saboia\Documents\backup - diarq - 13.06.25\Atividade Semanal - Equipe\z. INDICADORES - POR DIA\[INDICADORES - Junho-Julho_2025_backup.xlsx]Carlos'!AF7+'C:\Users\marcelo.saboia\Documents\backup - diarq - 13.06.25\Atividade Semanal - Equipe\z. INDICADORES - POR DIA\[INDICADORES - Junho-Julho_2025_backup.xlsx]Alessandro'!AF7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9" sId="3" odxf="1" dxf="1">
    <nc r="H7">
      <f>'C:\Users\marcelo.saboia\Documents\backup - diarq - 13.06.25\Atividade Semanal - Equipe\z. INDICADORES - POR DIA\[INDICADORES - Junho-Julho_2025_backup.xlsx]Diego'!AL7+'C:\Users\marcelo.saboia\Documents\backup - diarq - 13.06.25\Atividade Semanal - Equipe\z. INDICADORES - POR DIA\[INDICADORES - Junho-Julho_2025_backup.xlsx]Aelton'!AL7+'C:\Users\marcelo.saboia\Documents\backup - diarq - 13.06.25\Atividade Semanal - Equipe\z. INDICADORES - POR DIA\[INDICADORES - Junho-Julho_2025_backup.xlsx]Leonam'!AL7+'C:\Users\marcelo.saboia\Documents\backup - diarq - 13.06.25\Atividade Semanal - Equipe\z. INDICADORES - POR DIA\[INDICADORES - Junho-Julho_2025_backup.xlsx]Danilo'!AL7+'C:\Users\marcelo.saboia\Documents\backup - diarq - 13.06.25\Atividade Semanal - Equipe\z. INDICADORES - POR DIA\[INDICADORES - Junho-Julho_2025_backup.xlsx]Marcos'!AL7+'C:\Users\marcelo.saboia\Documents\backup - diarq - 13.06.25\Atividade Semanal - Equipe\z. INDICADORES - POR DIA\[INDICADORES - Junho-Julho_2025_backup.xlsx]Carlos'!AL7+'C:\Users\marcelo.saboia\Documents\backup - diarq - 13.06.25\Atividade Semanal - Equipe\z. INDICADORES - POR DIA\[INDICADORES - Junho-Julho_2025_backup.xlsx]Alessandro'!AL7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0" sId="3" odxf="1" dxf="1">
    <nc r="I7">
      <f>'C:\Users\marcelo.saboia\Documents\backup - diarq - 13.06.25\Atividade Semanal - Equipe\z. INDICADORES - POR DIA\[INDICADORES - Junho-Julho_2025_backup.xlsx]Diego'!AR7+'C:\Users\marcelo.saboia\Documents\backup - diarq - 13.06.25\Atividade Semanal - Equipe\z. INDICADORES - POR DIA\[INDICADORES - Junho-Julho_2025_backup.xlsx]Aelton'!AR7+'C:\Users\marcelo.saboia\Documents\backup - diarq - 13.06.25\Atividade Semanal - Equipe\z. INDICADORES - POR DIA\[INDICADORES - Junho-Julho_2025_backup.xlsx]Leonam'!AR7+'C:\Users\marcelo.saboia\Documents\backup - diarq - 13.06.25\Atividade Semanal - Equipe\z. INDICADORES - POR DIA\[INDICADORES - Junho-Julho_2025_backup.xlsx]Danilo'!AR7+'C:\Users\marcelo.saboia\Documents\backup - diarq - 13.06.25\Atividade Semanal - Equipe\z. INDICADORES - POR DIA\[INDICADORES - Junho-Julho_2025_backup.xlsx]Marcos'!AR7+'C:\Users\marcelo.saboia\Documents\backup - diarq - 13.06.25\Atividade Semanal - Equipe\z. INDICADORES - POR DIA\[INDICADORES - Junho-Julho_2025_backup.xlsx]Carlos'!AR7+'C:\Users\marcelo.saboia\Documents\backup - diarq - 13.06.25\Atividade Semanal - Equipe\z. INDICADORES - POR DIA\[INDICADORES - Junho-Julho_2025_backup.xlsx]Alessandro'!AR7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1" sId="3" odxf="1" dxf="1">
    <nc r="J7">
      <f>'C:\Users\marcelo.saboia\Documents\backup - diarq - 13.06.25\Atividade Semanal - Equipe\z. INDICADORES - POR DIA\[INDICADORES - Junho-Julho_2025_backup.xlsx]Diego'!AX7+'C:\Users\marcelo.saboia\Documents\backup - diarq - 13.06.25\Atividade Semanal - Equipe\z. INDICADORES - POR DIA\[INDICADORES - Junho-Julho_2025_backup.xlsx]Aelton'!AX7+'C:\Users\marcelo.saboia\Documents\backup - diarq - 13.06.25\Atividade Semanal - Equipe\z. INDICADORES - POR DIA\[INDICADORES - Junho-Julho_2025_backup.xlsx]Leonam'!AX7+'C:\Users\marcelo.saboia\Documents\backup - diarq - 13.06.25\Atividade Semanal - Equipe\z. INDICADORES - POR DIA\[INDICADORES - Junho-Julho_2025_backup.xlsx]Danilo'!AX7+'C:\Users\marcelo.saboia\Documents\backup - diarq - 13.06.25\Atividade Semanal - Equipe\z. INDICADORES - POR DIA\[INDICADORES - Junho-Julho_2025_backup.xlsx]Marcos'!AX7+'C:\Users\marcelo.saboia\Documents\backup - diarq - 13.06.25\Atividade Semanal - Equipe\z. INDICADORES - POR DIA\[INDICADORES - Junho-Julho_2025_backup.xlsx]Carlos'!AX7+'C:\Users\marcelo.saboia\Documents\backup - diarq - 13.06.25\Atividade Semanal - Equipe\z. INDICADORES - POR DIA\[INDICADORES - Junho-Julho_2025_backup.xlsx]Alessandro'!AX7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2" sId="3" odxf="1" dxf="1">
    <nc r="K7">
      <f>'C:\Users\marcelo.saboia\Documents\backup - diarq - 13.06.25\Atividade Semanal - Equipe\z. INDICADORES - POR DIA\[INDICADORES - Junho-Julho_2025_backup.xlsx]Diego'!BD7+'C:\Users\marcelo.saboia\Documents\backup - diarq - 13.06.25\Atividade Semanal - Equipe\z. INDICADORES - POR DIA\[INDICADORES - Junho-Julho_2025_backup.xlsx]Aelton'!BD7+'C:\Users\marcelo.saboia\Documents\backup - diarq - 13.06.25\Atividade Semanal - Equipe\z. INDICADORES - POR DIA\[INDICADORES - Junho-Julho_2025_backup.xlsx]Leonam'!BD7+'C:\Users\marcelo.saboia\Documents\backup - diarq - 13.06.25\Atividade Semanal - Equipe\z. INDICADORES - POR DIA\[INDICADORES - Junho-Julho_2025_backup.xlsx]Danilo'!BD7+'C:\Users\marcelo.saboia\Documents\backup - diarq - 13.06.25\Atividade Semanal - Equipe\z. INDICADORES - POR DIA\[INDICADORES - Junho-Julho_2025_backup.xlsx]Marcos'!BD7+'C:\Users\marcelo.saboia\Documents\backup - diarq - 13.06.25\Atividade Semanal - Equipe\z. INDICADORES - POR DIA\[INDICADORES - Junho-Julho_2025_backup.xlsx]Carlos'!BD7+'C:\Users\marcelo.saboia\Documents\backup - diarq - 13.06.25\Atividade Semanal - Equipe\z. INDICADORES - POR DIA\[INDICADORES - Junho-Julho_2025_backup.xlsx]Alessandro'!BD7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8" start="0" length="0">
    <dxf>
      <numFmt numFmtId="3" formatCode="#,##0"/>
    </dxf>
  </rfmt>
  <rfmt sheetId="3" sqref="D8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8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8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53" sId="3" odxf="1" dxf="1">
    <nc r="G8">
      <f>'C:\Users\marcelo.saboia\Documents\backup - diarq - 13.06.25\Atividade Semanal - Equipe\z. INDICADORES - POR DIA\[INDICADORES - Junho-Julho_2025_backup.xlsx]Diego'!AF8+'C:\Users\marcelo.saboia\Documents\backup - diarq - 13.06.25\Atividade Semanal - Equipe\z. INDICADORES - POR DIA\[INDICADORES - Junho-Julho_2025_backup.xlsx]Aelton'!AF8+'C:\Users\marcelo.saboia\Documents\backup - diarq - 13.06.25\Atividade Semanal - Equipe\z. INDICADORES - POR DIA\[INDICADORES - Junho-Julho_2025_backup.xlsx]Leonam'!AF8+'C:\Users\marcelo.saboia\Documents\backup - diarq - 13.06.25\Atividade Semanal - Equipe\z. INDICADORES - POR DIA\[INDICADORES - Junho-Julho_2025_backup.xlsx]Danilo'!AF8+'C:\Users\marcelo.saboia\Documents\backup - diarq - 13.06.25\Atividade Semanal - Equipe\z. INDICADORES - POR DIA\[INDICADORES - Junho-Julho_2025_backup.xlsx]Marcos'!AF8+'C:\Users\marcelo.saboia\Documents\backup - diarq - 13.06.25\Atividade Semanal - Equipe\z. INDICADORES - POR DIA\[INDICADORES - Junho-Julho_2025_backup.xlsx]Carlos'!AF8+'C:\Users\marcelo.saboia\Documents\backup - diarq - 13.06.25\Atividade Semanal - Equipe\z. INDICADORES - POR DIA\[INDICADORES - Junho-Julho_2025_backup.xlsx]Alessandro'!AF8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4" sId="3" odxf="1" dxf="1">
    <nc r="H8">
      <f>'C:\Users\marcelo.saboia\Documents\backup - diarq - 13.06.25\Atividade Semanal - Equipe\z. INDICADORES - POR DIA\[INDICADORES - Junho-Julho_2025_backup.xlsx]Diego'!AL8+'C:\Users\marcelo.saboia\Documents\backup - diarq - 13.06.25\Atividade Semanal - Equipe\z. INDICADORES - POR DIA\[INDICADORES - Junho-Julho_2025_backup.xlsx]Aelton'!AL8+'C:\Users\marcelo.saboia\Documents\backup - diarq - 13.06.25\Atividade Semanal - Equipe\z. INDICADORES - POR DIA\[INDICADORES - Junho-Julho_2025_backup.xlsx]Leonam'!AL8+'C:\Users\marcelo.saboia\Documents\backup - diarq - 13.06.25\Atividade Semanal - Equipe\z. INDICADORES - POR DIA\[INDICADORES - Junho-Julho_2025_backup.xlsx]Danilo'!AL8+'C:\Users\marcelo.saboia\Documents\backup - diarq - 13.06.25\Atividade Semanal - Equipe\z. INDICADORES - POR DIA\[INDICADORES - Junho-Julho_2025_backup.xlsx]Marcos'!AL8+'C:\Users\marcelo.saboia\Documents\backup - diarq - 13.06.25\Atividade Semanal - Equipe\z. INDICADORES - POR DIA\[INDICADORES - Junho-Julho_2025_backup.xlsx]Carlos'!AL8+'C:\Users\marcelo.saboia\Documents\backup - diarq - 13.06.25\Atividade Semanal - Equipe\z. INDICADORES - POR DIA\[INDICADORES - Junho-Julho_2025_backup.xlsx]Alessandro'!AL8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5" sId="3" odxf="1" dxf="1">
    <nc r="I8">
      <f>'C:\Users\marcelo.saboia\Documents\backup - diarq - 13.06.25\Atividade Semanal - Equipe\z. INDICADORES - POR DIA\[INDICADORES - Junho-Julho_2025_backup.xlsx]Diego'!AR8+'C:\Users\marcelo.saboia\Documents\backup - diarq - 13.06.25\Atividade Semanal - Equipe\z. INDICADORES - POR DIA\[INDICADORES - Junho-Julho_2025_backup.xlsx]Aelton'!AR8+'C:\Users\marcelo.saboia\Documents\backup - diarq - 13.06.25\Atividade Semanal - Equipe\z. INDICADORES - POR DIA\[INDICADORES - Junho-Julho_2025_backup.xlsx]Leonam'!AR8+'C:\Users\marcelo.saboia\Documents\backup - diarq - 13.06.25\Atividade Semanal - Equipe\z. INDICADORES - POR DIA\[INDICADORES - Junho-Julho_2025_backup.xlsx]Danilo'!AR8+'C:\Users\marcelo.saboia\Documents\backup - diarq - 13.06.25\Atividade Semanal - Equipe\z. INDICADORES - POR DIA\[INDICADORES - Junho-Julho_2025_backup.xlsx]Marcos'!AR8+'C:\Users\marcelo.saboia\Documents\backup - diarq - 13.06.25\Atividade Semanal - Equipe\z. INDICADORES - POR DIA\[INDICADORES - Junho-Julho_2025_backup.xlsx]Carlos'!AR8+'C:\Users\marcelo.saboia\Documents\backup - diarq - 13.06.25\Atividade Semanal - Equipe\z. INDICADORES - POR DIA\[INDICADORES - Junho-Julho_2025_backup.xlsx]Alessandro'!AR8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6" sId="3" odxf="1" dxf="1">
    <nc r="J8">
      <f>'C:\Users\marcelo.saboia\Documents\backup - diarq - 13.06.25\Atividade Semanal - Equipe\z. INDICADORES - POR DIA\[INDICADORES - Junho-Julho_2025_backup.xlsx]Diego'!AX8+'C:\Users\marcelo.saboia\Documents\backup - diarq - 13.06.25\Atividade Semanal - Equipe\z. INDICADORES - POR DIA\[INDICADORES - Junho-Julho_2025_backup.xlsx]Aelton'!AX8+'C:\Users\marcelo.saboia\Documents\backup - diarq - 13.06.25\Atividade Semanal - Equipe\z. INDICADORES - POR DIA\[INDICADORES - Junho-Julho_2025_backup.xlsx]Leonam'!AX8+'C:\Users\marcelo.saboia\Documents\backup - diarq - 13.06.25\Atividade Semanal - Equipe\z. INDICADORES - POR DIA\[INDICADORES - Junho-Julho_2025_backup.xlsx]Danilo'!AX8+'C:\Users\marcelo.saboia\Documents\backup - diarq - 13.06.25\Atividade Semanal - Equipe\z. INDICADORES - POR DIA\[INDICADORES - Junho-Julho_2025_backup.xlsx]Marcos'!AX8+'C:\Users\marcelo.saboia\Documents\backup - diarq - 13.06.25\Atividade Semanal - Equipe\z. INDICADORES - POR DIA\[INDICADORES - Junho-Julho_2025_backup.xlsx]Carlos'!AX8+'C:\Users\marcelo.saboia\Documents\backup - diarq - 13.06.25\Atividade Semanal - Equipe\z. INDICADORES - POR DIA\[INDICADORES - Junho-Julho_2025_backup.xlsx]Alessandro'!AX8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7" sId="3" odxf="1" dxf="1">
    <nc r="K8">
      <f>'C:\Users\marcelo.saboia\Documents\backup - diarq - 13.06.25\Atividade Semanal - Equipe\z. INDICADORES - POR DIA\[INDICADORES - Junho-Julho_2025_backup.xlsx]Diego'!BD8+'C:\Users\marcelo.saboia\Documents\backup - diarq - 13.06.25\Atividade Semanal - Equipe\z. INDICADORES - POR DIA\[INDICADORES - Junho-Julho_2025_backup.xlsx]Aelton'!BD8+'C:\Users\marcelo.saboia\Documents\backup - diarq - 13.06.25\Atividade Semanal - Equipe\z. INDICADORES - POR DIA\[INDICADORES - Junho-Julho_2025_backup.xlsx]Leonam'!BD8+'C:\Users\marcelo.saboia\Documents\backup - diarq - 13.06.25\Atividade Semanal - Equipe\z. INDICADORES - POR DIA\[INDICADORES - Junho-Julho_2025_backup.xlsx]Danilo'!BD8+'C:\Users\marcelo.saboia\Documents\backup - diarq - 13.06.25\Atividade Semanal - Equipe\z. INDICADORES - POR DIA\[INDICADORES - Junho-Julho_2025_backup.xlsx]Marcos'!BD8+'C:\Users\marcelo.saboia\Documents\backup - diarq - 13.06.25\Atividade Semanal - Equipe\z. INDICADORES - POR DIA\[INDICADORES - Junho-Julho_2025_backup.xlsx]Carlos'!BD8+'C:\Users\marcelo.saboia\Documents\backup - diarq - 13.06.25\Atividade Semanal - Equipe\z. INDICADORES - POR DIA\[INDICADORES - Junho-Julho_2025_backup.xlsx]Alessandro'!BD8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9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9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9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58" sId="3" odxf="1" dxf="1">
    <nc r="G9">
      <f>'C:\Users\marcelo.saboia\Documents\backup - diarq - 13.06.25\Atividade Semanal - Equipe\z. INDICADORES - POR DIA\[INDICADORES - Junho-Julho_2025_backup.xlsx]Diego'!AF9+'C:\Users\marcelo.saboia\Documents\backup - diarq - 13.06.25\Atividade Semanal - Equipe\z. INDICADORES - POR DIA\[INDICADORES - Junho-Julho_2025_backup.xlsx]Aelton'!AF9+'C:\Users\marcelo.saboia\Documents\backup - diarq - 13.06.25\Atividade Semanal - Equipe\z. INDICADORES - POR DIA\[INDICADORES - Junho-Julho_2025_backup.xlsx]Leonam'!AF9+'C:\Users\marcelo.saboia\Documents\backup - diarq - 13.06.25\Atividade Semanal - Equipe\z. INDICADORES - POR DIA\[INDICADORES - Junho-Julho_2025_backup.xlsx]Danilo'!AF9+'C:\Users\marcelo.saboia\Documents\backup - diarq - 13.06.25\Atividade Semanal - Equipe\z. INDICADORES - POR DIA\[INDICADORES - Junho-Julho_2025_backup.xlsx]Marcos'!AF9+'C:\Users\marcelo.saboia\Documents\backup - diarq - 13.06.25\Atividade Semanal - Equipe\z. INDICADORES - POR DIA\[INDICADORES - Junho-Julho_2025_backup.xlsx]Carlos'!AF9+'C:\Users\marcelo.saboia\Documents\backup - diarq - 13.06.25\Atividade Semanal - Equipe\z. INDICADORES - POR DIA\[INDICADORES - Junho-Julho_2025_backup.xlsx]Alessandro'!AF9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9" sId="3" odxf="1" dxf="1">
    <nc r="H9">
      <f>'C:\Users\marcelo.saboia\Documents\backup - diarq - 13.06.25\Atividade Semanal - Equipe\z. INDICADORES - POR DIA\[INDICADORES - Junho-Julho_2025_backup.xlsx]Diego'!AL9+'C:\Users\marcelo.saboia\Documents\backup - diarq - 13.06.25\Atividade Semanal - Equipe\z. INDICADORES - POR DIA\[INDICADORES - Junho-Julho_2025_backup.xlsx]Aelton'!AL9+'C:\Users\marcelo.saboia\Documents\backup - diarq - 13.06.25\Atividade Semanal - Equipe\z. INDICADORES - POR DIA\[INDICADORES - Junho-Julho_2025_backup.xlsx]Leonam'!AL9+'C:\Users\marcelo.saboia\Documents\backup - diarq - 13.06.25\Atividade Semanal - Equipe\z. INDICADORES - POR DIA\[INDICADORES - Junho-Julho_2025_backup.xlsx]Danilo'!AL9+'C:\Users\marcelo.saboia\Documents\backup - diarq - 13.06.25\Atividade Semanal - Equipe\z. INDICADORES - POR DIA\[INDICADORES - Junho-Julho_2025_backup.xlsx]Marcos'!AL9+'C:\Users\marcelo.saboia\Documents\backup - diarq - 13.06.25\Atividade Semanal - Equipe\z. INDICADORES - POR DIA\[INDICADORES - Junho-Julho_2025_backup.xlsx]Carlos'!AL9+'C:\Users\marcelo.saboia\Documents\backup - diarq - 13.06.25\Atividade Semanal - Equipe\z. INDICADORES - POR DIA\[INDICADORES - Junho-Julho_2025_backup.xlsx]Alessandro'!AL9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0" sId="3" odxf="1" dxf="1">
    <nc r="I9">
      <f>'C:\Users\marcelo.saboia\Documents\backup - diarq - 13.06.25\Atividade Semanal - Equipe\z. INDICADORES - POR DIA\[INDICADORES - Junho-Julho_2025_backup.xlsx]Diego'!AR9+'C:\Users\marcelo.saboia\Documents\backup - diarq - 13.06.25\Atividade Semanal - Equipe\z. INDICADORES - POR DIA\[INDICADORES - Junho-Julho_2025_backup.xlsx]Aelton'!AR9+'C:\Users\marcelo.saboia\Documents\backup - diarq - 13.06.25\Atividade Semanal - Equipe\z. INDICADORES - POR DIA\[INDICADORES - Junho-Julho_2025_backup.xlsx]Leonam'!AR9+'C:\Users\marcelo.saboia\Documents\backup - diarq - 13.06.25\Atividade Semanal - Equipe\z. INDICADORES - POR DIA\[INDICADORES - Junho-Julho_2025_backup.xlsx]Danilo'!AR9+'C:\Users\marcelo.saboia\Documents\backup - diarq - 13.06.25\Atividade Semanal - Equipe\z. INDICADORES - POR DIA\[INDICADORES - Junho-Julho_2025_backup.xlsx]Marcos'!AR9+'C:\Users\marcelo.saboia\Documents\backup - diarq - 13.06.25\Atividade Semanal - Equipe\z. INDICADORES - POR DIA\[INDICADORES - Junho-Julho_2025_backup.xlsx]Carlos'!AR9+'C:\Users\marcelo.saboia\Documents\backup - diarq - 13.06.25\Atividade Semanal - Equipe\z. INDICADORES - POR DIA\[INDICADORES - Junho-Julho_2025_backup.xlsx]Alessandro'!AR9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1" sId="3" odxf="1" dxf="1">
    <nc r="J9">
      <f>'C:\Users\marcelo.saboia\Documents\backup - diarq - 13.06.25\Atividade Semanal - Equipe\z. INDICADORES - POR DIA\[INDICADORES - Junho-Julho_2025_backup.xlsx]Diego'!AX9+'C:\Users\marcelo.saboia\Documents\backup - diarq - 13.06.25\Atividade Semanal - Equipe\z. INDICADORES - POR DIA\[INDICADORES - Junho-Julho_2025_backup.xlsx]Aelton'!AX9+'C:\Users\marcelo.saboia\Documents\backup - diarq - 13.06.25\Atividade Semanal - Equipe\z. INDICADORES - POR DIA\[INDICADORES - Junho-Julho_2025_backup.xlsx]Leonam'!AX9+'C:\Users\marcelo.saboia\Documents\backup - diarq - 13.06.25\Atividade Semanal - Equipe\z. INDICADORES - POR DIA\[INDICADORES - Junho-Julho_2025_backup.xlsx]Danilo'!AX9+'C:\Users\marcelo.saboia\Documents\backup - diarq - 13.06.25\Atividade Semanal - Equipe\z. INDICADORES - POR DIA\[INDICADORES - Junho-Julho_2025_backup.xlsx]Marcos'!AX9+'C:\Users\marcelo.saboia\Documents\backup - diarq - 13.06.25\Atividade Semanal - Equipe\z. INDICADORES - POR DIA\[INDICADORES - Junho-Julho_2025_backup.xlsx]Carlos'!AX9+'C:\Users\marcelo.saboia\Documents\backup - diarq - 13.06.25\Atividade Semanal - Equipe\z. INDICADORES - POR DIA\[INDICADORES - Junho-Julho_2025_backup.xlsx]Alessandro'!AX9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2" sId="3" odxf="1" dxf="1">
    <nc r="K9">
      <f>'C:\Users\marcelo.saboia\Documents\backup - diarq - 13.06.25\Atividade Semanal - Equipe\z. INDICADORES - POR DIA\[INDICADORES - Junho-Julho_2025_backup.xlsx]Diego'!BD9+'C:\Users\marcelo.saboia\Documents\backup - diarq - 13.06.25\Atividade Semanal - Equipe\z. INDICADORES - POR DIA\[INDICADORES - Junho-Julho_2025_backup.xlsx]Aelton'!BD9+'C:\Users\marcelo.saboia\Documents\backup - diarq - 13.06.25\Atividade Semanal - Equipe\z. INDICADORES - POR DIA\[INDICADORES - Junho-Julho_2025_backup.xlsx]Leonam'!BD9+'C:\Users\marcelo.saboia\Documents\backup - diarq - 13.06.25\Atividade Semanal - Equipe\z. INDICADORES - POR DIA\[INDICADORES - Junho-Julho_2025_backup.xlsx]Danilo'!BD9+'C:\Users\marcelo.saboia\Documents\backup - diarq - 13.06.25\Atividade Semanal - Equipe\z. INDICADORES - POR DIA\[INDICADORES - Junho-Julho_2025_backup.xlsx]Marcos'!BD9+'C:\Users\marcelo.saboia\Documents\backup - diarq - 13.06.25\Atividade Semanal - Equipe\z. INDICADORES - POR DIA\[INDICADORES - Junho-Julho_2025_backup.xlsx]Carlos'!BD9+'C:\Users\marcelo.saboia\Documents\backup - diarq - 13.06.25\Atividade Semanal - Equipe\z. INDICADORES - POR DIA\[INDICADORES - Junho-Julho_2025_backup.xlsx]Alessandro'!BD9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10" start="0" length="0">
    <dxf>
      <numFmt numFmtId="3" formatCode="#,##0"/>
    </dxf>
  </rfmt>
  <rfmt sheetId="3" sqref="D10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0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0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63" sId="3" odxf="1" dxf="1">
    <nc r="G10">
      <f>'C:\Users\marcelo.saboia\Documents\backup - diarq - 13.06.25\Atividade Semanal - Equipe\z. INDICADORES - POR DIA\[INDICADORES - Junho-Julho_2025_backup.xlsx]Diego'!AF10+'C:\Users\marcelo.saboia\Documents\backup - diarq - 13.06.25\Atividade Semanal - Equipe\z. INDICADORES - POR DIA\[INDICADORES - Junho-Julho_2025_backup.xlsx]Aelton'!AF10+'C:\Users\marcelo.saboia\Documents\backup - diarq - 13.06.25\Atividade Semanal - Equipe\z. INDICADORES - POR DIA\[INDICADORES - Junho-Julho_2025_backup.xlsx]Leonam'!AF10+'C:\Users\marcelo.saboia\Documents\backup - diarq - 13.06.25\Atividade Semanal - Equipe\z. INDICADORES - POR DIA\[INDICADORES - Junho-Julho_2025_backup.xlsx]Danilo'!AF10+'C:\Users\marcelo.saboia\Documents\backup - diarq - 13.06.25\Atividade Semanal - Equipe\z. INDICADORES - POR DIA\[INDICADORES - Junho-Julho_2025_backup.xlsx]Marcos'!AF10+'C:\Users\marcelo.saboia\Documents\backup - diarq - 13.06.25\Atividade Semanal - Equipe\z. INDICADORES - POR DIA\[INDICADORES - Junho-Julho_2025_backup.xlsx]Carlos'!AF10+'C:\Users\marcelo.saboia\Documents\backup - diarq - 13.06.25\Atividade Semanal - Equipe\z. INDICADORES - POR DIA\[INDICADORES - Junho-Julho_2025_backup.xlsx]Alessandro'!AF10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4" sId="3" odxf="1" dxf="1">
    <nc r="H10">
      <f>'C:\Users\marcelo.saboia\Documents\backup - diarq - 13.06.25\Atividade Semanal - Equipe\z. INDICADORES - POR DIA\[INDICADORES - Junho-Julho_2025_backup.xlsx]Diego'!AL10+'C:\Users\marcelo.saboia\Documents\backup - diarq - 13.06.25\Atividade Semanal - Equipe\z. INDICADORES - POR DIA\[INDICADORES - Junho-Julho_2025_backup.xlsx]Aelton'!AL10+'C:\Users\marcelo.saboia\Documents\backup - diarq - 13.06.25\Atividade Semanal - Equipe\z. INDICADORES - POR DIA\[INDICADORES - Junho-Julho_2025_backup.xlsx]Leonam'!AL10+'C:\Users\marcelo.saboia\Documents\backup - diarq - 13.06.25\Atividade Semanal - Equipe\z. INDICADORES - POR DIA\[INDICADORES - Junho-Julho_2025_backup.xlsx]Danilo'!AL10+'C:\Users\marcelo.saboia\Documents\backup - diarq - 13.06.25\Atividade Semanal - Equipe\z. INDICADORES - POR DIA\[INDICADORES - Junho-Julho_2025_backup.xlsx]Marcos'!AL10+'C:\Users\marcelo.saboia\Documents\backup - diarq - 13.06.25\Atividade Semanal - Equipe\z. INDICADORES - POR DIA\[INDICADORES - Junho-Julho_2025_backup.xlsx]Carlos'!AL10+'C:\Users\marcelo.saboia\Documents\backup - diarq - 13.06.25\Atividade Semanal - Equipe\z. INDICADORES - POR DIA\[INDICADORES - Junho-Julho_2025_backup.xlsx]Alessandro'!AL10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5" sId="3" odxf="1" dxf="1">
    <nc r="I10">
      <f>'C:\Users\marcelo.saboia\Documents\backup - diarq - 13.06.25\Atividade Semanal - Equipe\z. INDICADORES - POR DIA\[INDICADORES - Junho-Julho_2025_backup.xlsx]Diego'!AR10+'C:\Users\marcelo.saboia\Documents\backup - diarq - 13.06.25\Atividade Semanal - Equipe\z. INDICADORES - POR DIA\[INDICADORES - Junho-Julho_2025_backup.xlsx]Aelton'!AR10+'C:\Users\marcelo.saboia\Documents\backup - diarq - 13.06.25\Atividade Semanal - Equipe\z. INDICADORES - POR DIA\[INDICADORES - Junho-Julho_2025_backup.xlsx]Leonam'!AR10+'C:\Users\marcelo.saboia\Documents\backup - diarq - 13.06.25\Atividade Semanal - Equipe\z. INDICADORES - POR DIA\[INDICADORES - Junho-Julho_2025_backup.xlsx]Danilo'!AR10+'C:\Users\marcelo.saboia\Documents\backup - diarq - 13.06.25\Atividade Semanal - Equipe\z. INDICADORES - POR DIA\[INDICADORES - Junho-Julho_2025_backup.xlsx]Marcos'!AR10+'C:\Users\marcelo.saboia\Documents\backup - diarq - 13.06.25\Atividade Semanal - Equipe\z. INDICADORES - POR DIA\[INDICADORES - Junho-Julho_2025_backup.xlsx]Carlos'!AR10+'C:\Users\marcelo.saboia\Documents\backup - diarq - 13.06.25\Atividade Semanal - Equipe\z. INDICADORES - POR DIA\[INDICADORES - Junho-Julho_2025_backup.xlsx]Alessandro'!AR10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6" sId="3" odxf="1" dxf="1">
    <nc r="J10">
      <f>'C:\Users\marcelo.saboia\Documents\backup - diarq - 13.06.25\Atividade Semanal - Equipe\z. INDICADORES - POR DIA\[INDICADORES - Junho-Julho_2025_backup.xlsx]Diego'!AX10+'C:\Users\marcelo.saboia\Documents\backup - diarq - 13.06.25\Atividade Semanal - Equipe\z. INDICADORES - POR DIA\[INDICADORES - Junho-Julho_2025_backup.xlsx]Aelton'!AX10+'C:\Users\marcelo.saboia\Documents\backup - diarq - 13.06.25\Atividade Semanal - Equipe\z. INDICADORES - POR DIA\[INDICADORES - Junho-Julho_2025_backup.xlsx]Leonam'!AX10+'C:\Users\marcelo.saboia\Documents\backup - diarq - 13.06.25\Atividade Semanal - Equipe\z. INDICADORES - POR DIA\[INDICADORES - Junho-Julho_2025_backup.xlsx]Danilo'!AX10+'C:\Users\marcelo.saboia\Documents\backup - diarq - 13.06.25\Atividade Semanal - Equipe\z. INDICADORES - POR DIA\[INDICADORES - Junho-Julho_2025_backup.xlsx]Marcos'!AX10+'C:\Users\marcelo.saboia\Documents\backup - diarq - 13.06.25\Atividade Semanal - Equipe\z. INDICADORES - POR DIA\[INDICADORES - Junho-Julho_2025_backup.xlsx]Carlos'!AX10+'C:\Users\marcelo.saboia\Documents\backup - diarq - 13.06.25\Atividade Semanal - Equipe\z. INDICADORES - POR DIA\[INDICADORES - Junho-Julho_2025_backup.xlsx]Alessandro'!AX10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7" sId="3" odxf="1" dxf="1">
    <nc r="K10">
      <f>'C:\Users\marcelo.saboia\Documents\backup - diarq - 13.06.25\Atividade Semanal - Equipe\z. INDICADORES - POR DIA\[INDICADORES - Junho-Julho_2025_backup.xlsx]Diego'!BD10+'C:\Users\marcelo.saboia\Documents\backup - diarq - 13.06.25\Atividade Semanal - Equipe\z. INDICADORES - POR DIA\[INDICADORES - Junho-Julho_2025_backup.xlsx]Aelton'!BD10+'C:\Users\marcelo.saboia\Documents\backup - diarq - 13.06.25\Atividade Semanal - Equipe\z. INDICADORES - POR DIA\[INDICADORES - Junho-Julho_2025_backup.xlsx]Leonam'!BD10+'C:\Users\marcelo.saboia\Documents\backup - diarq - 13.06.25\Atividade Semanal - Equipe\z. INDICADORES - POR DIA\[INDICADORES - Junho-Julho_2025_backup.xlsx]Danilo'!BD10+'C:\Users\marcelo.saboia\Documents\backup - diarq - 13.06.25\Atividade Semanal - Equipe\z. INDICADORES - POR DIA\[INDICADORES - Junho-Julho_2025_backup.xlsx]Marcos'!BD10+'C:\Users\marcelo.saboia\Documents\backup - diarq - 13.06.25\Atividade Semanal - Equipe\z. INDICADORES - POR DIA\[INDICADORES - Junho-Julho_2025_backup.xlsx]Carlos'!BD10+'C:\Users\marcelo.saboia\Documents\backup - diarq - 13.06.25\Atividade Semanal - Equipe\z. INDICADORES - POR DIA\[INDICADORES - Junho-Julho_2025_backup.xlsx]Alessandro'!BD10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11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1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1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68" sId="3" odxf="1" dxf="1">
    <nc r="G11">
      <f>'C:\Users\marcelo.saboia\Documents\backup - diarq - 13.06.25\Atividade Semanal - Equipe\z. INDICADORES - POR DIA\[INDICADORES - Junho-Julho_2025_backup.xlsx]Diego'!AF11+'C:\Users\marcelo.saboia\Documents\backup - diarq - 13.06.25\Atividade Semanal - Equipe\z. INDICADORES - POR DIA\[INDICADORES - Junho-Julho_2025_backup.xlsx]Aelton'!AF11+'C:\Users\marcelo.saboia\Documents\backup - diarq - 13.06.25\Atividade Semanal - Equipe\z. INDICADORES - POR DIA\[INDICADORES - Junho-Julho_2025_backup.xlsx]Leonam'!AF11+'C:\Users\marcelo.saboia\Documents\backup - diarq - 13.06.25\Atividade Semanal - Equipe\z. INDICADORES - POR DIA\[INDICADORES - Junho-Julho_2025_backup.xlsx]Danilo'!AF11+'C:\Users\marcelo.saboia\Documents\backup - diarq - 13.06.25\Atividade Semanal - Equipe\z. INDICADORES - POR DIA\[INDICADORES - Junho-Julho_2025_backup.xlsx]Marcos'!AF11+'C:\Users\marcelo.saboia\Documents\backup - diarq - 13.06.25\Atividade Semanal - Equipe\z. INDICADORES - POR DIA\[INDICADORES - Junho-Julho_2025_backup.xlsx]Carlos'!AF11+'C:\Users\marcelo.saboia\Documents\backup - diarq - 13.06.25\Atividade Semanal - Equipe\z. INDICADORES - POR DIA\[INDICADORES - Junho-Julho_2025_backup.xlsx]Alessandro'!AF11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9" sId="3" odxf="1" dxf="1">
    <nc r="H11">
      <f>'C:\Users\marcelo.saboia\Documents\backup - diarq - 13.06.25\Atividade Semanal - Equipe\z. INDICADORES - POR DIA\[INDICADORES - Junho-Julho_2025_backup.xlsx]Diego'!AL11+'C:\Users\marcelo.saboia\Documents\backup - diarq - 13.06.25\Atividade Semanal - Equipe\z. INDICADORES - POR DIA\[INDICADORES - Junho-Julho_2025_backup.xlsx]Aelton'!AL11+'C:\Users\marcelo.saboia\Documents\backup - diarq - 13.06.25\Atividade Semanal - Equipe\z. INDICADORES - POR DIA\[INDICADORES - Junho-Julho_2025_backup.xlsx]Leonam'!AL11+'C:\Users\marcelo.saboia\Documents\backup - diarq - 13.06.25\Atividade Semanal - Equipe\z. INDICADORES - POR DIA\[INDICADORES - Junho-Julho_2025_backup.xlsx]Danilo'!AL11+'C:\Users\marcelo.saboia\Documents\backup - diarq - 13.06.25\Atividade Semanal - Equipe\z. INDICADORES - POR DIA\[INDICADORES - Junho-Julho_2025_backup.xlsx]Marcos'!AL11+'C:\Users\marcelo.saboia\Documents\backup - diarq - 13.06.25\Atividade Semanal - Equipe\z. INDICADORES - POR DIA\[INDICADORES - Junho-Julho_2025_backup.xlsx]Carlos'!AL11+'C:\Users\marcelo.saboia\Documents\backup - diarq - 13.06.25\Atividade Semanal - Equipe\z. INDICADORES - POR DIA\[INDICADORES - Junho-Julho_2025_backup.xlsx]Alessandro'!AL11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0" sId="3" odxf="1" dxf="1">
    <nc r="I11">
      <f>'C:\Users\marcelo.saboia\Documents\backup - diarq - 13.06.25\Atividade Semanal - Equipe\z. INDICADORES - POR DIA\[INDICADORES - Junho-Julho_2025_backup.xlsx]Diego'!AR11+'C:\Users\marcelo.saboia\Documents\backup - diarq - 13.06.25\Atividade Semanal - Equipe\z. INDICADORES - POR DIA\[INDICADORES - Junho-Julho_2025_backup.xlsx]Aelton'!AR11+'C:\Users\marcelo.saboia\Documents\backup - diarq - 13.06.25\Atividade Semanal - Equipe\z. INDICADORES - POR DIA\[INDICADORES - Junho-Julho_2025_backup.xlsx]Leonam'!AR11+'C:\Users\marcelo.saboia\Documents\backup - diarq - 13.06.25\Atividade Semanal - Equipe\z. INDICADORES - POR DIA\[INDICADORES - Junho-Julho_2025_backup.xlsx]Danilo'!AR11+'C:\Users\marcelo.saboia\Documents\backup - diarq - 13.06.25\Atividade Semanal - Equipe\z. INDICADORES - POR DIA\[INDICADORES - Junho-Julho_2025_backup.xlsx]Marcos'!AR11+'C:\Users\marcelo.saboia\Documents\backup - diarq - 13.06.25\Atividade Semanal - Equipe\z. INDICADORES - POR DIA\[INDICADORES - Junho-Julho_2025_backup.xlsx]Carlos'!AR11+'C:\Users\marcelo.saboia\Documents\backup - diarq - 13.06.25\Atividade Semanal - Equipe\z. INDICADORES - POR DIA\[INDICADORES - Junho-Julho_2025_backup.xlsx]Alessandro'!AR11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1" sId="3" odxf="1" dxf="1">
    <nc r="J11">
      <f>'C:\Users\marcelo.saboia\Documents\backup - diarq - 13.06.25\Atividade Semanal - Equipe\z. INDICADORES - POR DIA\[INDICADORES - Junho-Julho_2025_backup.xlsx]Diego'!AX11+'C:\Users\marcelo.saboia\Documents\backup - diarq - 13.06.25\Atividade Semanal - Equipe\z. INDICADORES - POR DIA\[INDICADORES - Junho-Julho_2025_backup.xlsx]Aelton'!AX11+'C:\Users\marcelo.saboia\Documents\backup - diarq - 13.06.25\Atividade Semanal - Equipe\z. INDICADORES - POR DIA\[INDICADORES - Junho-Julho_2025_backup.xlsx]Leonam'!AX11+'C:\Users\marcelo.saboia\Documents\backup - diarq - 13.06.25\Atividade Semanal - Equipe\z. INDICADORES - POR DIA\[INDICADORES - Junho-Julho_2025_backup.xlsx]Danilo'!AX11+'C:\Users\marcelo.saboia\Documents\backup - diarq - 13.06.25\Atividade Semanal - Equipe\z. INDICADORES - POR DIA\[INDICADORES - Junho-Julho_2025_backup.xlsx]Marcos'!AX11+'C:\Users\marcelo.saboia\Documents\backup - diarq - 13.06.25\Atividade Semanal - Equipe\z. INDICADORES - POR DIA\[INDICADORES - Junho-Julho_2025_backup.xlsx]Carlos'!AX11+'C:\Users\marcelo.saboia\Documents\backup - diarq - 13.06.25\Atividade Semanal - Equipe\z. INDICADORES - POR DIA\[INDICADORES - Junho-Julho_2025_backup.xlsx]Alessandro'!AX11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2" sId="3" odxf="1" dxf="1">
    <nc r="K11">
      <f>'C:\Users\marcelo.saboia\Documents\backup - diarq - 13.06.25\Atividade Semanal - Equipe\z. INDICADORES - POR DIA\[INDICADORES - Junho-Julho_2025_backup.xlsx]Diego'!BD11+'C:\Users\marcelo.saboia\Documents\backup - diarq - 13.06.25\Atividade Semanal - Equipe\z. INDICADORES - POR DIA\[INDICADORES - Junho-Julho_2025_backup.xlsx]Aelton'!BD11+'C:\Users\marcelo.saboia\Documents\backup - diarq - 13.06.25\Atividade Semanal - Equipe\z. INDICADORES - POR DIA\[INDICADORES - Junho-Julho_2025_backup.xlsx]Leonam'!BD11+'C:\Users\marcelo.saboia\Documents\backup - diarq - 13.06.25\Atividade Semanal - Equipe\z. INDICADORES - POR DIA\[INDICADORES - Junho-Julho_2025_backup.xlsx]Danilo'!BD11+'C:\Users\marcelo.saboia\Documents\backup - diarq - 13.06.25\Atividade Semanal - Equipe\z. INDICADORES - POR DIA\[INDICADORES - Junho-Julho_2025_backup.xlsx]Marcos'!BD11+'C:\Users\marcelo.saboia\Documents\backup - diarq - 13.06.25\Atividade Semanal - Equipe\z. INDICADORES - POR DIA\[INDICADORES - Junho-Julho_2025_backup.xlsx]Carlos'!BD11+'C:\Users\marcelo.saboia\Documents\backup - diarq - 13.06.25\Atividade Semanal - Equipe\z. INDICADORES - POR DIA\[INDICADORES - Junho-Julho_2025_backup.xlsx]Alessandro'!BD11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12" start="0" length="0">
    <dxf>
      <numFmt numFmtId="3" formatCode="#,##0"/>
    </dxf>
  </rfmt>
  <rfmt sheetId="3" sqref="D1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73" sId="3" odxf="1" dxf="1">
    <nc r="G12">
      <f>'C:\Users\marcelo.saboia\Documents\backup - diarq - 13.06.25\Atividade Semanal - Equipe\z. INDICADORES - POR DIA\[INDICADORES - Junho-Julho_2025_backup.xlsx]Diego'!AF12+'C:\Users\marcelo.saboia\Documents\backup - diarq - 13.06.25\Atividade Semanal - Equipe\z. INDICADORES - POR DIA\[INDICADORES - Junho-Julho_2025_backup.xlsx]Aelton'!AF12+'C:\Users\marcelo.saboia\Documents\backup - diarq - 13.06.25\Atividade Semanal - Equipe\z. INDICADORES - POR DIA\[INDICADORES - Junho-Julho_2025_backup.xlsx]Leonam'!AF12+'C:\Users\marcelo.saboia\Documents\backup - diarq - 13.06.25\Atividade Semanal - Equipe\z. INDICADORES - POR DIA\[INDICADORES - Junho-Julho_2025_backup.xlsx]Danilo'!AF12+'C:\Users\marcelo.saboia\Documents\backup - diarq - 13.06.25\Atividade Semanal - Equipe\z. INDICADORES - POR DIA\[INDICADORES - Junho-Julho_2025_backup.xlsx]Marcos'!AF12+'C:\Users\marcelo.saboia\Documents\backup - diarq - 13.06.25\Atividade Semanal - Equipe\z. INDICADORES - POR DIA\[INDICADORES - Junho-Julho_2025_backup.xlsx]Carlos'!AF12+'C:\Users\marcelo.saboia\Documents\backup - diarq - 13.06.25\Atividade Semanal - Equipe\z. INDICADORES - POR DIA\[INDICADORES - Junho-Julho_2025_backup.xlsx]Alessandro'!AF12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4" sId="3" odxf="1" dxf="1">
    <nc r="H12">
      <f>'C:\Users\marcelo.saboia\Documents\backup - diarq - 13.06.25\Atividade Semanal - Equipe\z. INDICADORES - POR DIA\[INDICADORES - Junho-Julho_2025_backup.xlsx]Diego'!AL12+'C:\Users\marcelo.saboia\Documents\backup - diarq - 13.06.25\Atividade Semanal - Equipe\z. INDICADORES - POR DIA\[INDICADORES - Junho-Julho_2025_backup.xlsx]Aelton'!AL12+'C:\Users\marcelo.saboia\Documents\backup - diarq - 13.06.25\Atividade Semanal - Equipe\z. INDICADORES - POR DIA\[INDICADORES - Junho-Julho_2025_backup.xlsx]Leonam'!AL12+'C:\Users\marcelo.saboia\Documents\backup - diarq - 13.06.25\Atividade Semanal - Equipe\z. INDICADORES - POR DIA\[INDICADORES - Junho-Julho_2025_backup.xlsx]Danilo'!AL12+'C:\Users\marcelo.saboia\Documents\backup - diarq - 13.06.25\Atividade Semanal - Equipe\z. INDICADORES - POR DIA\[INDICADORES - Junho-Julho_2025_backup.xlsx]Marcos'!AL12+'C:\Users\marcelo.saboia\Documents\backup - diarq - 13.06.25\Atividade Semanal - Equipe\z. INDICADORES - POR DIA\[INDICADORES - Junho-Julho_2025_backup.xlsx]Carlos'!AL12+'C:\Users\marcelo.saboia\Documents\backup - diarq - 13.06.25\Atividade Semanal - Equipe\z. INDICADORES - POR DIA\[INDICADORES - Junho-Julho_2025_backup.xlsx]Alessandro'!AL12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5" sId="3" odxf="1" dxf="1">
    <nc r="I12">
      <f>'C:\Users\marcelo.saboia\Documents\backup - diarq - 13.06.25\Atividade Semanal - Equipe\z. INDICADORES - POR DIA\[INDICADORES - Junho-Julho_2025_backup.xlsx]Diego'!AR12+'C:\Users\marcelo.saboia\Documents\backup - diarq - 13.06.25\Atividade Semanal - Equipe\z. INDICADORES - POR DIA\[INDICADORES - Junho-Julho_2025_backup.xlsx]Aelton'!AR12+'C:\Users\marcelo.saboia\Documents\backup - diarq - 13.06.25\Atividade Semanal - Equipe\z. INDICADORES - POR DIA\[INDICADORES - Junho-Julho_2025_backup.xlsx]Leonam'!AR12+'C:\Users\marcelo.saboia\Documents\backup - diarq - 13.06.25\Atividade Semanal - Equipe\z. INDICADORES - POR DIA\[INDICADORES - Junho-Julho_2025_backup.xlsx]Danilo'!AR12+'C:\Users\marcelo.saboia\Documents\backup - diarq - 13.06.25\Atividade Semanal - Equipe\z. INDICADORES - POR DIA\[INDICADORES - Junho-Julho_2025_backup.xlsx]Marcos'!AR12+'C:\Users\marcelo.saboia\Documents\backup - diarq - 13.06.25\Atividade Semanal - Equipe\z. INDICADORES - POR DIA\[INDICADORES - Junho-Julho_2025_backup.xlsx]Carlos'!AR12+'C:\Users\marcelo.saboia\Documents\backup - diarq - 13.06.25\Atividade Semanal - Equipe\z. INDICADORES - POR DIA\[INDICADORES - Junho-Julho_2025_backup.xlsx]Alessandro'!AR12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6" sId="3" odxf="1" dxf="1">
    <nc r="J12">
      <f>'C:\Users\marcelo.saboia\Documents\backup - diarq - 13.06.25\Atividade Semanal - Equipe\z. INDICADORES - POR DIA\[INDICADORES - Junho-Julho_2025_backup.xlsx]Diego'!AX12+'C:\Users\marcelo.saboia\Documents\backup - diarq - 13.06.25\Atividade Semanal - Equipe\z. INDICADORES - POR DIA\[INDICADORES - Junho-Julho_2025_backup.xlsx]Aelton'!AX12+'C:\Users\marcelo.saboia\Documents\backup - diarq - 13.06.25\Atividade Semanal - Equipe\z. INDICADORES - POR DIA\[INDICADORES - Junho-Julho_2025_backup.xlsx]Leonam'!AX12+'C:\Users\marcelo.saboia\Documents\backup - diarq - 13.06.25\Atividade Semanal - Equipe\z. INDICADORES - POR DIA\[INDICADORES - Junho-Julho_2025_backup.xlsx]Danilo'!AX12+'C:\Users\marcelo.saboia\Documents\backup - diarq - 13.06.25\Atividade Semanal - Equipe\z. INDICADORES - POR DIA\[INDICADORES - Junho-Julho_2025_backup.xlsx]Marcos'!AX12+'C:\Users\marcelo.saboia\Documents\backup - diarq - 13.06.25\Atividade Semanal - Equipe\z. INDICADORES - POR DIA\[INDICADORES - Junho-Julho_2025_backup.xlsx]Carlos'!AX12+'C:\Users\marcelo.saboia\Documents\backup - diarq - 13.06.25\Atividade Semanal - Equipe\z. INDICADORES - POR DIA\[INDICADORES - Junho-Julho_2025_backup.xlsx]Alessandro'!AX12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7" sId="3" odxf="1" dxf="1">
    <nc r="K12">
      <f>'C:\Users\marcelo.saboia\Documents\backup - diarq - 13.06.25\Atividade Semanal - Equipe\z. INDICADORES - POR DIA\[INDICADORES - Junho-Julho_2025_backup.xlsx]Diego'!BD12+'C:\Users\marcelo.saboia\Documents\backup - diarq - 13.06.25\Atividade Semanal - Equipe\z. INDICADORES - POR DIA\[INDICADORES - Junho-Julho_2025_backup.xlsx]Aelton'!BD12+'C:\Users\marcelo.saboia\Documents\backup - diarq - 13.06.25\Atividade Semanal - Equipe\z. INDICADORES - POR DIA\[INDICADORES - Junho-Julho_2025_backup.xlsx]Leonam'!BD12+'C:\Users\marcelo.saboia\Documents\backup - diarq - 13.06.25\Atividade Semanal - Equipe\z. INDICADORES - POR DIA\[INDICADORES - Junho-Julho_2025_backup.xlsx]Danilo'!BD12+'C:\Users\marcelo.saboia\Documents\backup - diarq - 13.06.25\Atividade Semanal - Equipe\z. INDICADORES - POR DIA\[INDICADORES - Junho-Julho_2025_backup.xlsx]Marcos'!BD12+'C:\Users\marcelo.saboia\Documents\backup - diarq - 13.06.25\Atividade Semanal - Equipe\z. INDICADORES - POR DIA\[INDICADORES - Junho-Julho_2025_backup.xlsx]Carlos'!BD12+'C:\Users\marcelo.saboia\Documents\backup - diarq - 13.06.25\Atividade Semanal - Equipe\z. INDICADORES - POR DIA\[INDICADORES - Junho-Julho_2025_backup.xlsx]Alessandro'!BD12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1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78" sId="3" odxf="1" dxf="1">
    <nc r="G13">
      <f>'C:\Users\marcelo.saboia\Documents\backup - diarq - 13.06.25\Atividade Semanal - Equipe\z. INDICADORES - POR DIA\[INDICADORES - Junho-Julho_2025_backup.xlsx]Diego'!AF13+'C:\Users\marcelo.saboia\Documents\backup - diarq - 13.06.25\Atividade Semanal - Equipe\z. INDICADORES - POR DIA\[INDICADORES - Junho-Julho_2025_backup.xlsx]Aelton'!AF13+'C:\Users\marcelo.saboia\Documents\backup - diarq - 13.06.25\Atividade Semanal - Equipe\z. INDICADORES - POR DIA\[INDICADORES - Junho-Julho_2025_backup.xlsx]Leonam'!AF13+'C:\Users\marcelo.saboia\Documents\backup - diarq - 13.06.25\Atividade Semanal - Equipe\z. INDICADORES - POR DIA\[INDICADORES - Junho-Julho_2025_backup.xlsx]Danilo'!AF13+'C:\Users\marcelo.saboia\Documents\backup - diarq - 13.06.25\Atividade Semanal - Equipe\z. INDICADORES - POR DIA\[INDICADORES - Junho-Julho_2025_backup.xlsx]Marcos'!AF13+'C:\Users\marcelo.saboia\Documents\backup - diarq - 13.06.25\Atividade Semanal - Equipe\z. INDICADORES - POR DIA\[INDICADORES - Junho-Julho_2025_backup.xlsx]Carlos'!AF13+'C:\Users\marcelo.saboia\Documents\backup - diarq - 13.06.25\Atividade Semanal - Equipe\z. INDICADORES - POR DIA\[INDICADORES - Junho-Julho_2025_backup.xlsx]Alessandro'!AF13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9" sId="3" odxf="1" dxf="1">
    <nc r="H13">
      <f>'C:\Users\marcelo.saboia\Documents\backup - diarq - 13.06.25\Atividade Semanal - Equipe\z. INDICADORES - POR DIA\[INDICADORES - Junho-Julho_2025_backup.xlsx]Diego'!AL13+'C:\Users\marcelo.saboia\Documents\backup - diarq - 13.06.25\Atividade Semanal - Equipe\z. INDICADORES - POR DIA\[INDICADORES - Junho-Julho_2025_backup.xlsx]Aelton'!AL13+'C:\Users\marcelo.saboia\Documents\backup - diarq - 13.06.25\Atividade Semanal - Equipe\z. INDICADORES - POR DIA\[INDICADORES - Junho-Julho_2025_backup.xlsx]Leonam'!AL13+'C:\Users\marcelo.saboia\Documents\backup - diarq - 13.06.25\Atividade Semanal - Equipe\z. INDICADORES - POR DIA\[INDICADORES - Junho-Julho_2025_backup.xlsx]Danilo'!AL13+'C:\Users\marcelo.saboia\Documents\backup - diarq - 13.06.25\Atividade Semanal - Equipe\z. INDICADORES - POR DIA\[INDICADORES - Junho-Julho_2025_backup.xlsx]Marcos'!AL13+'C:\Users\marcelo.saboia\Documents\backup - diarq - 13.06.25\Atividade Semanal - Equipe\z. INDICADORES - POR DIA\[INDICADORES - Junho-Julho_2025_backup.xlsx]Carlos'!AL13+'C:\Users\marcelo.saboia\Documents\backup - diarq - 13.06.25\Atividade Semanal - Equipe\z. INDICADORES - POR DIA\[INDICADORES - Junho-Julho_2025_backup.xlsx]Alessandro'!AL13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0" sId="3" odxf="1" dxf="1">
    <nc r="I13">
      <f>'C:\Users\marcelo.saboia\Documents\backup - diarq - 13.06.25\Atividade Semanal - Equipe\z. INDICADORES - POR DIA\[INDICADORES - Junho-Julho_2025_backup.xlsx]Diego'!AR13+'C:\Users\marcelo.saboia\Documents\backup - diarq - 13.06.25\Atividade Semanal - Equipe\z. INDICADORES - POR DIA\[INDICADORES - Junho-Julho_2025_backup.xlsx]Aelton'!AR13+'C:\Users\marcelo.saboia\Documents\backup - diarq - 13.06.25\Atividade Semanal - Equipe\z. INDICADORES - POR DIA\[INDICADORES - Junho-Julho_2025_backup.xlsx]Leonam'!AR13+'C:\Users\marcelo.saboia\Documents\backup - diarq - 13.06.25\Atividade Semanal - Equipe\z. INDICADORES - POR DIA\[INDICADORES - Junho-Julho_2025_backup.xlsx]Danilo'!AR13+'C:\Users\marcelo.saboia\Documents\backup - diarq - 13.06.25\Atividade Semanal - Equipe\z. INDICADORES - POR DIA\[INDICADORES - Junho-Julho_2025_backup.xlsx]Marcos'!AR13+'C:\Users\marcelo.saboia\Documents\backup - diarq - 13.06.25\Atividade Semanal - Equipe\z. INDICADORES - POR DIA\[INDICADORES - Junho-Julho_2025_backup.xlsx]Carlos'!AR13+'C:\Users\marcelo.saboia\Documents\backup - diarq - 13.06.25\Atividade Semanal - Equipe\z. INDICADORES - POR DIA\[INDICADORES - Junho-Julho_2025_backup.xlsx]Alessandro'!AR13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1" sId="3" odxf="1" dxf="1">
    <nc r="J13">
      <f>'C:\Users\marcelo.saboia\Documents\backup - diarq - 13.06.25\Atividade Semanal - Equipe\z. INDICADORES - POR DIA\[INDICADORES - Junho-Julho_2025_backup.xlsx]Diego'!AX13+'C:\Users\marcelo.saboia\Documents\backup - diarq - 13.06.25\Atividade Semanal - Equipe\z. INDICADORES - POR DIA\[INDICADORES - Junho-Julho_2025_backup.xlsx]Aelton'!AX13+'C:\Users\marcelo.saboia\Documents\backup - diarq - 13.06.25\Atividade Semanal - Equipe\z. INDICADORES - POR DIA\[INDICADORES - Junho-Julho_2025_backup.xlsx]Leonam'!AX13+'C:\Users\marcelo.saboia\Documents\backup - diarq - 13.06.25\Atividade Semanal - Equipe\z. INDICADORES - POR DIA\[INDICADORES - Junho-Julho_2025_backup.xlsx]Danilo'!AX13+'C:\Users\marcelo.saboia\Documents\backup - diarq - 13.06.25\Atividade Semanal - Equipe\z. INDICADORES - POR DIA\[INDICADORES - Junho-Julho_2025_backup.xlsx]Marcos'!AX13+'C:\Users\marcelo.saboia\Documents\backup - diarq - 13.06.25\Atividade Semanal - Equipe\z. INDICADORES - POR DIA\[INDICADORES - Junho-Julho_2025_backup.xlsx]Carlos'!AX13+'C:\Users\marcelo.saboia\Documents\backup - diarq - 13.06.25\Atividade Semanal - Equipe\z. INDICADORES - POR DIA\[INDICADORES - Junho-Julho_2025_backup.xlsx]Alessandro'!AX13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2" sId="3" odxf="1" dxf="1">
    <nc r="K13">
      <f>'C:\Users\marcelo.saboia\Documents\backup - diarq - 13.06.25\Atividade Semanal - Equipe\z. INDICADORES - POR DIA\[INDICADORES - Junho-Julho_2025_backup.xlsx]Diego'!BD13+'C:\Users\marcelo.saboia\Documents\backup - diarq - 13.06.25\Atividade Semanal - Equipe\z. INDICADORES - POR DIA\[INDICADORES - Junho-Julho_2025_backup.xlsx]Aelton'!BD13+'C:\Users\marcelo.saboia\Documents\backup - diarq - 13.06.25\Atividade Semanal - Equipe\z. INDICADORES - POR DIA\[INDICADORES - Junho-Julho_2025_backup.xlsx]Leonam'!BD13+'C:\Users\marcelo.saboia\Documents\backup - diarq - 13.06.25\Atividade Semanal - Equipe\z. INDICADORES - POR DIA\[INDICADORES - Junho-Julho_2025_backup.xlsx]Danilo'!BD13+'C:\Users\marcelo.saboia\Documents\backup - diarq - 13.06.25\Atividade Semanal - Equipe\z. INDICADORES - POR DIA\[INDICADORES - Junho-Julho_2025_backup.xlsx]Marcos'!BD13+'C:\Users\marcelo.saboia\Documents\backup - diarq - 13.06.25\Atividade Semanal - Equipe\z. INDICADORES - POR DIA\[INDICADORES - Junho-Julho_2025_backup.xlsx]Carlos'!BD13+'C:\Users\marcelo.saboia\Documents\backup - diarq - 13.06.25\Atividade Semanal - Equipe\z. INDICADORES - POR DIA\[INDICADORES - Junho-Julho_2025_backup.xlsx]Alessandro'!BD13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14" start="0" length="0">
    <dxf>
      <numFmt numFmtId="3" formatCode="#,##0"/>
    </dxf>
  </rfmt>
  <rfmt sheetId="3" sqref="D1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83" sId="3" odxf="1" dxf="1">
    <nc r="G14">
      <f>'C:\Users\marcelo.saboia\Documents\backup - diarq - 13.06.25\Atividade Semanal - Equipe\z. INDICADORES - POR DIA\[INDICADORES - Junho-Julho_2025_backup.xlsx]Diego'!AF14+'C:\Users\marcelo.saboia\Documents\backup - diarq - 13.06.25\Atividade Semanal - Equipe\z. INDICADORES - POR DIA\[INDICADORES - Junho-Julho_2025_backup.xlsx]Aelton'!AF14+'C:\Users\marcelo.saboia\Documents\backup - diarq - 13.06.25\Atividade Semanal - Equipe\z. INDICADORES - POR DIA\[INDICADORES - Junho-Julho_2025_backup.xlsx]Leonam'!AF14+'C:\Users\marcelo.saboia\Documents\backup - diarq - 13.06.25\Atividade Semanal - Equipe\z. INDICADORES - POR DIA\[INDICADORES - Junho-Julho_2025_backup.xlsx]Danilo'!AF14+'C:\Users\marcelo.saboia\Documents\backup - diarq - 13.06.25\Atividade Semanal - Equipe\z. INDICADORES - POR DIA\[INDICADORES - Junho-Julho_2025_backup.xlsx]Marcos'!AF14+'C:\Users\marcelo.saboia\Documents\backup - diarq - 13.06.25\Atividade Semanal - Equipe\z. INDICADORES - POR DIA\[INDICADORES - Junho-Julho_2025_backup.xlsx]Carlos'!AF14+'C:\Users\marcelo.saboia\Documents\backup - diarq - 13.06.25\Atividade Semanal - Equipe\z. INDICADORES - POR DIA\[INDICADORES - Junho-Julho_2025_backup.xlsx]Alessandro'!AF14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4" sId="3" odxf="1" dxf="1">
    <nc r="H14">
      <f>'C:\Users\marcelo.saboia\Documents\backup - diarq - 13.06.25\Atividade Semanal - Equipe\z. INDICADORES - POR DIA\[INDICADORES - Junho-Julho_2025_backup.xlsx]Diego'!AL14+'C:\Users\marcelo.saboia\Documents\backup - diarq - 13.06.25\Atividade Semanal - Equipe\z. INDICADORES - POR DIA\[INDICADORES - Junho-Julho_2025_backup.xlsx]Aelton'!AL14+'C:\Users\marcelo.saboia\Documents\backup - diarq - 13.06.25\Atividade Semanal - Equipe\z. INDICADORES - POR DIA\[INDICADORES - Junho-Julho_2025_backup.xlsx]Leonam'!AL14+'C:\Users\marcelo.saboia\Documents\backup - diarq - 13.06.25\Atividade Semanal - Equipe\z. INDICADORES - POR DIA\[INDICADORES - Junho-Julho_2025_backup.xlsx]Danilo'!AL14+'C:\Users\marcelo.saboia\Documents\backup - diarq - 13.06.25\Atividade Semanal - Equipe\z. INDICADORES - POR DIA\[INDICADORES - Junho-Julho_2025_backup.xlsx]Marcos'!AL14+'C:\Users\marcelo.saboia\Documents\backup - diarq - 13.06.25\Atividade Semanal - Equipe\z. INDICADORES - POR DIA\[INDICADORES - Junho-Julho_2025_backup.xlsx]Carlos'!AL14+'C:\Users\marcelo.saboia\Documents\backup - diarq - 13.06.25\Atividade Semanal - Equipe\z. INDICADORES - POR DIA\[INDICADORES - Junho-Julho_2025_backup.xlsx]Alessandro'!AL14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5" sId="3" odxf="1" dxf="1">
    <nc r="I14">
      <f>'C:\Users\marcelo.saboia\Documents\backup - diarq - 13.06.25\Atividade Semanal - Equipe\z. INDICADORES - POR DIA\[INDICADORES - Junho-Julho_2025_backup.xlsx]Diego'!AR14+'C:\Users\marcelo.saboia\Documents\backup - diarq - 13.06.25\Atividade Semanal - Equipe\z. INDICADORES - POR DIA\[INDICADORES - Junho-Julho_2025_backup.xlsx]Aelton'!AR14+'C:\Users\marcelo.saboia\Documents\backup - diarq - 13.06.25\Atividade Semanal - Equipe\z. INDICADORES - POR DIA\[INDICADORES - Junho-Julho_2025_backup.xlsx]Leonam'!AR14+'C:\Users\marcelo.saboia\Documents\backup - diarq - 13.06.25\Atividade Semanal - Equipe\z. INDICADORES - POR DIA\[INDICADORES - Junho-Julho_2025_backup.xlsx]Danilo'!AR14+'C:\Users\marcelo.saboia\Documents\backup - diarq - 13.06.25\Atividade Semanal - Equipe\z. INDICADORES - POR DIA\[INDICADORES - Junho-Julho_2025_backup.xlsx]Marcos'!AR14+'C:\Users\marcelo.saboia\Documents\backup - diarq - 13.06.25\Atividade Semanal - Equipe\z. INDICADORES - POR DIA\[INDICADORES - Junho-Julho_2025_backup.xlsx]Carlos'!AR14+'C:\Users\marcelo.saboia\Documents\backup - diarq - 13.06.25\Atividade Semanal - Equipe\z. INDICADORES - POR DIA\[INDICADORES - Junho-Julho_2025_backup.xlsx]Alessandro'!AR14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6" sId="3" odxf="1" dxf="1">
    <nc r="J14">
      <f>'C:\Users\marcelo.saboia\Documents\backup - diarq - 13.06.25\Atividade Semanal - Equipe\z. INDICADORES - POR DIA\[INDICADORES - Junho-Julho_2025_backup.xlsx]Diego'!AX14+'C:\Users\marcelo.saboia\Documents\backup - diarq - 13.06.25\Atividade Semanal - Equipe\z. INDICADORES - POR DIA\[INDICADORES - Junho-Julho_2025_backup.xlsx]Aelton'!AX14+'C:\Users\marcelo.saboia\Documents\backup - diarq - 13.06.25\Atividade Semanal - Equipe\z. INDICADORES - POR DIA\[INDICADORES - Junho-Julho_2025_backup.xlsx]Leonam'!AX14+'C:\Users\marcelo.saboia\Documents\backup - diarq - 13.06.25\Atividade Semanal - Equipe\z. INDICADORES - POR DIA\[INDICADORES - Junho-Julho_2025_backup.xlsx]Danilo'!AX14+'C:\Users\marcelo.saboia\Documents\backup - diarq - 13.06.25\Atividade Semanal - Equipe\z. INDICADORES - POR DIA\[INDICADORES - Junho-Julho_2025_backup.xlsx]Marcos'!AX14+'C:\Users\marcelo.saboia\Documents\backup - diarq - 13.06.25\Atividade Semanal - Equipe\z. INDICADORES - POR DIA\[INDICADORES - Junho-Julho_2025_backup.xlsx]Carlos'!AX14+'C:\Users\marcelo.saboia\Documents\backup - diarq - 13.06.25\Atividade Semanal - Equipe\z. INDICADORES - POR DIA\[INDICADORES - Junho-Julho_2025_backup.xlsx]Alessandro'!AX14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7" sId="3" odxf="1" dxf="1">
    <nc r="K14">
      <f>'C:\Users\marcelo.saboia\Documents\backup - diarq - 13.06.25\Atividade Semanal - Equipe\z. INDICADORES - POR DIA\[INDICADORES - Junho-Julho_2025_backup.xlsx]Diego'!BD14+'C:\Users\marcelo.saboia\Documents\backup - diarq - 13.06.25\Atividade Semanal - Equipe\z. INDICADORES - POR DIA\[INDICADORES - Junho-Julho_2025_backup.xlsx]Aelton'!BD14+'C:\Users\marcelo.saboia\Documents\backup - diarq - 13.06.25\Atividade Semanal - Equipe\z. INDICADORES - POR DIA\[INDICADORES - Junho-Julho_2025_backup.xlsx]Leonam'!BD14+'C:\Users\marcelo.saboia\Documents\backup - diarq - 13.06.25\Atividade Semanal - Equipe\z. INDICADORES - POR DIA\[INDICADORES - Junho-Julho_2025_backup.xlsx]Danilo'!BD14+'C:\Users\marcelo.saboia\Documents\backup - diarq - 13.06.25\Atividade Semanal - Equipe\z. INDICADORES - POR DIA\[INDICADORES - Junho-Julho_2025_backup.xlsx]Marcos'!BD14+'C:\Users\marcelo.saboia\Documents\backup - diarq - 13.06.25\Atividade Semanal - Equipe\z. INDICADORES - POR DIA\[INDICADORES - Junho-Julho_2025_backup.xlsx]Carlos'!BD14+'C:\Users\marcelo.saboia\Documents\backup - diarq - 13.06.25\Atividade Semanal - Equipe\z. INDICADORES - POR DIA\[INDICADORES - Junho-Julho_2025_backup.xlsx]Alessandro'!BD14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1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88" sId="3" odxf="1" dxf="1">
    <nc r="G15">
      <f>'C:\Users\marcelo.saboia\Documents\backup - diarq - 13.06.25\Atividade Semanal - Equipe\z. INDICADORES - POR DIA\[INDICADORES - Junho-Julho_2025_backup.xlsx]Diego'!AF15+'C:\Users\marcelo.saboia\Documents\backup - diarq - 13.06.25\Atividade Semanal - Equipe\z. INDICADORES - POR DIA\[INDICADORES - Junho-Julho_2025_backup.xlsx]Aelton'!AF15+'C:\Users\marcelo.saboia\Documents\backup - diarq - 13.06.25\Atividade Semanal - Equipe\z. INDICADORES - POR DIA\[INDICADORES - Junho-Julho_2025_backup.xlsx]Leonam'!AF15+'C:\Users\marcelo.saboia\Documents\backup - diarq - 13.06.25\Atividade Semanal - Equipe\z. INDICADORES - POR DIA\[INDICADORES - Junho-Julho_2025_backup.xlsx]Danilo'!AF15+'C:\Users\marcelo.saboia\Documents\backup - diarq - 13.06.25\Atividade Semanal - Equipe\z. INDICADORES - POR DIA\[INDICADORES - Junho-Julho_2025_backup.xlsx]Marcos'!AF15+'C:\Users\marcelo.saboia\Documents\backup - diarq - 13.06.25\Atividade Semanal - Equipe\z. INDICADORES - POR DIA\[INDICADORES - Junho-Julho_2025_backup.xlsx]Carlos'!AF15+'C:\Users\marcelo.saboia\Documents\backup - diarq - 13.06.25\Atividade Semanal - Equipe\z. INDICADORES - POR DIA\[INDICADORES - Junho-Julho_2025_backup.xlsx]Alessandro'!AF15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9" sId="3" odxf="1" dxf="1">
    <nc r="H15">
      <f>'C:\Users\marcelo.saboia\Documents\backup - diarq - 13.06.25\Atividade Semanal - Equipe\z. INDICADORES - POR DIA\[INDICADORES - Junho-Julho_2025_backup.xlsx]Diego'!AL15+'C:\Users\marcelo.saboia\Documents\backup - diarq - 13.06.25\Atividade Semanal - Equipe\z. INDICADORES - POR DIA\[INDICADORES - Junho-Julho_2025_backup.xlsx]Aelton'!AL15+'C:\Users\marcelo.saboia\Documents\backup - diarq - 13.06.25\Atividade Semanal - Equipe\z. INDICADORES - POR DIA\[INDICADORES - Junho-Julho_2025_backup.xlsx]Leonam'!AL15+'C:\Users\marcelo.saboia\Documents\backup - diarq - 13.06.25\Atividade Semanal - Equipe\z. INDICADORES - POR DIA\[INDICADORES - Junho-Julho_2025_backup.xlsx]Danilo'!AL15+'C:\Users\marcelo.saboia\Documents\backup - diarq - 13.06.25\Atividade Semanal - Equipe\z. INDICADORES - POR DIA\[INDICADORES - Junho-Julho_2025_backup.xlsx]Marcos'!AL15+'C:\Users\marcelo.saboia\Documents\backup - diarq - 13.06.25\Atividade Semanal - Equipe\z. INDICADORES - POR DIA\[INDICADORES - Junho-Julho_2025_backup.xlsx]Carlos'!AL15+'C:\Users\marcelo.saboia\Documents\backup - diarq - 13.06.25\Atividade Semanal - Equipe\z. INDICADORES - POR DIA\[INDICADORES - Junho-Julho_2025_backup.xlsx]Alessandro'!AL15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0" sId="3" odxf="1" dxf="1">
    <nc r="I15">
      <f>'C:\Users\marcelo.saboia\Documents\backup - diarq - 13.06.25\Atividade Semanal - Equipe\z. INDICADORES - POR DIA\[INDICADORES - Junho-Julho_2025_backup.xlsx]Diego'!AR15+'C:\Users\marcelo.saboia\Documents\backup - diarq - 13.06.25\Atividade Semanal - Equipe\z. INDICADORES - POR DIA\[INDICADORES - Junho-Julho_2025_backup.xlsx]Aelton'!AR15+'C:\Users\marcelo.saboia\Documents\backup - diarq - 13.06.25\Atividade Semanal - Equipe\z. INDICADORES - POR DIA\[INDICADORES - Junho-Julho_2025_backup.xlsx]Leonam'!AR15+'C:\Users\marcelo.saboia\Documents\backup - diarq - 13.06.25\Atividade Semanal - Equipe\z. INDICADORES - POR DIA\[INDICADORES - Junho-Julho_2025_backup.xlsx]Danilo'!AR15+'C:\Users\marcelo.saboia\Documents\backup - diarq - 13.06.25\Atividade Semanal - Equipe\z. INDICADORES - POR DIA\[INDICADORES - Junho-Julho_2025_backup.xlsx]Marcos'!AR15+'C:\Users\marcelo.saboia\Documents\backup - diarq - 13.06.25\Atividade Semanal - Equipe\z. INDICADORES - POR DIA\[INDICADORES - Junho-Julho_2025_backup.xlsx]Carlos'!AR15+'C:\Users\marcelo.saboia\Documents\backup - diarq - 13.06.25\Atividade Semanal - Equipe\z. INDICADORES - POR DIA\[INDICADORES - Junho-Julho_2025_backup.xlsx]Alessandro'!AR15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1" sId="3" odxf="1" dxf="1">
    <nc r="J15">
      <f>'C:\Users\marcelo.saboia\Documents\backup - diarq - 13.06.25\Atividade Semanal - Equipe\z. INDICADORES - POR DIA\[INDICADORES - Junho-Julho_2025_backup.xlsx]Diego'!AX15+'C:\Users\marcelo.saboia\Documents\backup - diarq - 13.06.25\Atividade Semanal - Equipe\z. INDICADORES - POR DIA\[INDICADORES - Junho-Julho_2025_backup.xlsx]Aelton'!AX15+'C:\Users\marcelo.saboia\Documents\backup - diarq - 13.06.25\Atividade Semanal - Equipe\z. INDICADORES - POR DIA\[INDICADORES - Junho-Julho_2025_backup.xlsx]Leonam'!AX15+'C:\Users\marcelo.saboia\Documents\backup - diarq - 13.06.25\Atividade Semanal - Equipe\z. INDICADORES - POR DIA\[INDICADORES - Junho-Julho_2025_backup.xlsx]Danilo'!AX15+'C:\Users\marcelo.saboia\Documents\backup - diarq - 13.06.25\Atividade Semanal - Equipe\z. INDICADORES - POR DIA\[INDICADORES - Junho-Julho_2025_backup.xlsx]Marcos'!AX15+'C:\Users\marcelo.saboia\Documents\backup - diarq - 13.06.25\Atividade Semanal - Equipe\z. INDICADORES - POR DIA\[INDICADORES - Junho-Julho_2025_backup.xlsx]Carlos'!AX15+'C:\Users\marcelo.saboia\Documents\backup - diarq - 13.06.25\Atividade Semanal - Equipe\z. INDICADORES - POR DIA\[INDICADORES - Junho-Julho_2025_backup.xlsx]Alessandro'!AX15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2" sId="3" odxf="1" dxf="1">
    <nc r="K15">
      <f>'C:\Users\marcelo.saboia\Documents\backup - diarq - 13.06.25\Atividade Semanal - Equipe\z. INDICADORES - POR DIA\[INDICADORES - Junho-Julho_2025_backup.xlsx]Diego'!BD15+'C:\Users\marcelo.saboia\Documents\backup - diarq - 13.06.25\Atividade Semanal - Equipe\z. INDICADORES - POR DIA\[INDICADORES - Junho-Julho_2025_backup.xlsx]Aelton'!BD15+'C:\Users\marcelo.saboia\Documents\backup - diarq - 13.06.25\Atividade Semanal - Equipe\z. INDICADORES - POR DIA\[INDICADORES - Junho-Julho_2025_backup.xlsx]Leonam'!BD15+'C:\Users\marcelo.saboia\Documents\backup - diarq - 13.06.25\Atividade Semanal - Equipe\z. INDICADORES - POR DIA\[INDICADORES - Junho-Julho_2025_backup.xlsx]Danilo'!BD15+'C:\Users\marcelo.saboia\Documents\backup - diarq - 13.06.25\Atividade Semanal - Equipe\z. INDICADORES - POR DIA\[INDICADORES - Junho-Julho_2025_backup.xlsx]Marcos'!BD15+'C:\Users\marcelo.saboia\Documents\backup - diarq - 13.06.25\Atividade Semanal - Equipe\z. INDICADORES - POR DIA\[INDICADORES - Junho-Julho_2025_backup.xlsx]Carlos'!BD15+'C:\Users\marcelo.saboia\Documents\backup - diarq - 13.06.25\Atividade Semanal - Equipe\z. INDICADORES - POR DIA\[INDICADORES - Junho-Julho_2025_backup.xlsx]Alessandro'!BD15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16" start="0" length="0">
    <dxf>
      <numFmt numFmtId="3" formatCode="#,##0"/>
    </dxf>
  </rfmt>
  <rfmt sheetId="3" sqref="D1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93" sId="3" odxf="1" dxf="1">
    <nc r="G16">
      <f>'C:\Users\marcelo.saboia\Documents\backup - diarq - 13.06.25\Atividade Semanal - Equipe\z. INDICADORES - POR DIA\[INDICADORES - Junho-Julho_2025_backup.xlsx]Diego'!AF16+'C:\Users\marcelo.saboia\Documents\backup - diarq - 13.06.25\Atividade Semanal - Equipe\z. INDICADORES - POR DIA\[INDICADORES - Junho-Julho_2025_backup.xlsx]Aelton'!AF16+'C:\Users\marcelo.saboia\Documents\backup - diarq - 13.06.25\Atividade Semanal - Equipe\z. INDICADORES - POR DIA\[INDICADORES - Junho-Julho_2025_backup.xlsx]Leonam'!AF16+'C:\Users\marcelo.saboia\Documents\backup - diarq - 13.06.25\Atividade Semanal - Equipe\z. INDICADORES - POR DIA\[INDICADORES - Junho-Julho_2025_backup.xlsx]Danilo'!AF16+'C:\Users\marcelo.saboia\Documents\backup - diarq - 13.06.25\Atividade Semanal - Equipe\z. INDICADORES - POR DIA\[INDICADORES - Junho-Julho_2025_backup.xlsx]Marcos'!AF16+'C:\Users\marcelo.saboia\Documents\backup - diarq - 13.06.25\Atividade Semanal - Equipe\z. INDICADORES - POR DIA\[INDICADORES - Junho-Julho_2025_backup.xlsx]Carlos'!AF16+'C:\Users\marcelo.saboia\Documents\backup - diarq - 13.06.25\Atividade Semanal - Equipe\z. INDICADORES - POR DIA\[INDICADORES - Junho-Julho_2025_backup.xlsx]Alessandro'!AF16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4" sId="3" odxf="1" dxf="1">
    <nc r="H16">
      <f>'C:\Users\marcelo.saboia\Documents\backup - diarq - 13.06.25\Atividade Semanal - Equipe\z. INDICADORES - POR DIA\[INDICADORES - Junho-Julho_2025_backup.xlsx]Diego'!AL16+'C:\Users\marcelo.saboia\Documents\backup - diarq - 13.06.25\Atividade Semanal - Equipe\z. INDICADORES - POR DIA\[INDICADORES - Junho-Julho_2025_backup.xlsx]Aelton'!AL16+'C:\Users\marcelo.saboia\Documents\backup - diarq - 13.06.25\Atividade Semanal - Equipe\z. INDICADORES - POR DIA\[INDICADORES - Junho-Julho_2025_backup.xlsx]Leonam'!AL16+'C:\Users\marcelo.saboia\Documents\backup - diarq - 13.06.25\Atividade Semanal - Equipe\z. INDICADORES - POR DIA\[INDICADORES - Junho-Julho_2025_backup.xlsx]Danilo'!AL16+'C:\Users\marcelo.saboia\Documents\backup - diarq - 13.06.25\Atividade Semanal - Equipe\z. INDICADORES - POR DIA\[INDICADORES - Junho-Julho_2025_backup.xlsx]Marcos'!AL16+'C:\Users\marcelo.saboia\Documents\backup - diarq - 13.06.25\Atividade Semanal - Equipe\z. INDICADORES - POR DIA\[INDICADORES - Junho-Julho_2025_backup.xlsx]Carlos'!AL16+'C:\Users\marcelo.saboia\Documents\backup - diarq - 13.06.25\Atividade Semanal - Equipe\z. INDICADORES - POR DIA\[INDICADORES - Junho-Julho_2025_backup.xlsx]Alessandro'!AL16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5" sId="3" odxf="1" dxf="1">
    <nc r="I16">
      <f>'C:\Users\marcelo.saboia\Documents\backup - diarq - 13.06.25\Atividade Semanal - Equipe\z. INDICADORES - POR DIA\[INDICADORES - Junho-Julho_2025_backup.xlsx]Diego'!AR16+'C:\Users\marcelo.saboia\Documents\backup - diarq - 13.06.25\Atividade Semanal - Equipe\z. INDICADORES - POR DIA\[INDICADORES - Junho-Julho_2025_backup.xlsx]Aelton'!AR16+'C:\Users\marcelo.saboia\Documents\backup - diarq - 13.06.25\Atividade Semanal - Equipe\z. INDICADORES - POR DIA\[INDICADORES - Junho-Julho_2025_backup.xlsx]Leonam'!AR16+'C:\Users\marcelo.saboia\Documents\backup - diarq - 13.06.25\Atividade Semanal - Equipe\z. INDICADORES - POR DIA\[INDICADORES - Junho-Julho_2025_backup.xlsx]Danilo'!AR16+'C:\Users\marcelo.saboia\Documents\backup - diarq - 13.06.25\Atividade Semanal - Equipe\z. INDICADORES - POR DIA\[INDICADORES - Junho-Julho_2025_backup.xlsx]Marcos'!AR16+'C:\Users\marcelo.saboia\Documents\backup - diarq - 13.06.25\Atividade Semanal - Equipe\z. INDICADORES - POR DIA\[INDICADORES - Junho-Julho_2025_backup.xlsx]Carlos'!AR16+'C:\Users\marcelo.saboia\Documents\backup - diarq - 13.06.25\Atividade Semanal - Equipe\z. INDICADORES - POR DIA\[INDICADORES - Junho-Julho_2025_backup.xlsx]Alessandro'!AR16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6" sId="3" odxf="1" dxf="1">
    <nc r="J16">
      <f>'C:\Users\marcelo.saboia\Documents\backup - diarq - 13.06.25\Atividade Semanal - Equipe\z. INDICADORES - POR DIA\[INDICADORES - Junho-Julho_2025_backup.xlsx]Diego'!AX16+'C:\Users\marcelo.saboia\Documents\backup - diarq - 13.06.25\Atividade Semanal - Equipe\z. INDICADORES - POR DIA\[INDICADORES - Junho-Julho_2025_backup.xlsx]Aelton'!AX16+'C:\Users\marcelo.saboia\Documents\backup - diarq - 13.06.25\Atividade Semanal - Equipe\z. INDICADORES - POR DIA\[INDICADORES - Junho-Julho_2025_backup.xlsx]Leonam'!AX16+'C:\Users\marcelo.saboia\Documents\backup - diarq - 13.06.25\Atividade Semanal - Equipe\z. INDICADORES - POR DIA\[INDICADORES - Junho-Julho_2025_backup.xlsx]Danilo'!AX16+'C:\Users\marcelo.saboia\Documents\backup - diarq - 13.06.25\Atividade Semanal - Equipe\z. INDICADORES - POR DIA\[INDICADORES - Junho-Julho_2025_backup.xlsx]Marcos'!AX16+'C:\Users\marcelo.saboia\Documents\backup - diarq - 13.06.25\Atividade Semanal - Equipe\z. INDICADORES - POR DIA\[INDICADORES - Junho-Julho_2025_backup.xlsx]Carlos'!AX16+'C:\Users\marcelo.saboia\Documents\backup - diarq - 13.06.25\Atividade Semanal - Equipe\z. INDICADORES - POR DIA\[INDICADORES - Junho-Julho_2025_backup.xlsx]Alessandro'!AX16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7" sId="3" odxf="1" dxf="1">
    <nc r="K16">
      <f>'C:\Users\marcelo.saboia\Documents\backup - diarq - 13.06.25\Atividade Semanal - Equipe\z. INDICADORES - POR DIA\[INDICADORES - Junho-Julho_2025_backup.xlsx]Diego'!BD16+'C:\Users\marcelo.saboia\Documents\backup - diarq - 13.06.25\Atividade Semanal - Equipe\z. INDICADORES - POR DIA\[INDICADORES - Junho-Julho_2025_backup.xlsx]Aelton'!BD16+'C:\Users\marcelo.saboia\Documents\backup - diarq - 13.06.25\Atividade Semanal - Equipe\z. INDICADORES - POR DIA\[INDICADORES - Junho-Julho_2025_backup.xlsx]Leonam'!BD16+'C:\Users\marcelo.saboia\Documents\backup - diarq - 13.06.25\Atividade Semanal - Equipe\z. INDICADORES - POR DIA\[INDICADORES - Junho-Julho_2025_backup.xlsx]Danilo'!BD16+'C:\Users\marcelo.saboia\Documents\backup - diarq - 13.06.25\Atividade Semanal - Equipe\z. INDICADORES - POR DIA\[INDICADORES - Junho-Julho_2025_backup.xlsx]Marcos'!BD16+'C:\Users\marcelo.saboia\Documents\backup - diarq - 13.06.25\Atividade Semanal - Equipe\z. INDICADORES - POR DIA\[INDICADORES - Junho-Julho_2025_backup.xlsx]Carlos'!BD16+'C:\Users\marcelo.saboia\Documents\backup - diarq - 13.06.25\Atividade Semanal - Equipe\z. INDICADORES - POR DIA\[INDICADORES - Junho-Julho_2025_backup.xlsx]Alessandro'!BD16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8" sId="3">
    <nc r="C2">
      <f>Diego!H2+Aelton!H2+Leonam!H2+Danilo!H2+Marcos!H2+Carlos!H2+Alessandro!H2</f>
    </nc>
  </rcc>
  <rcc rId="599" sId="3" odxf="1" dxf="1">
    <nc r="C3">
      <f>Diego!H3+Aelton!H3+Leonam!H3+Danilo!H3+Marcos!H3+Carlos!H3+Alessandro!H3</f>
    </nc>
    <ndxf>
      <numFmt numFmtId="3" formatCode="#,##0"/>
      <fill>
        <patternFill>
          <bgColor rgb="FFFFFF00"/>
        </patternFill>
      </fill>
    </ndxf>
  </rcc>
  <rcc rId="600" sId="3">
    <nc r="C4">
      <f>Diego!H4+Aelton!H4+Leonam!H4+Danilo!H4+Marcos!H4+Carlos!H4+Alessandro!H4</f>
    </nc>
  </rcc>
  <rcc rId="601" sId="3" odxf="1" dxf="1">
    <nc r="C5">
      <f>Diego!H5+Aelton!H5+Leonam!H5+Danilo!H5+Marcos!H5+Carlos!H5+Alessandro!H5</f>
    </nc>
    <ndxf>
      <numFmt numFmtId="3" formatCode="#,##0"/>
      <fill>
        <patternFill>
          <bgColor rgb="FFFFFF00"/>
        </patternFill>
      </fill>
    </ndxf>
  </rcc>
  <rcc rId="602" sId="3">
    <nc r="C6">
      <f>Diego!H6+Aelton!H6+Leonam!H6+Danilo!H6+Marcos!H6+Carlos!H6+Alessandro!H6</f>
    </nc>
  </rcc>
  <rcc rId="603" sId="3" odxf="1" dxf="1">
    <nc r="C7">
      <f>Diego!H7+Aelton!H7+Leonam!H7+Danilo!H7+Marcos!H7+Carlos!H7+Alessandro!H7</f>
    </nc>
    <ndxf>
      <numFmt numFmtId="3" formatCode="#,##0"/>
      <fill>
        <patternFill>
          <bgColor rgb="FFFFFF00"/>
        </patternFill>
      </fill>
    </ndxf>
  </rcc>
  <rcc rId="604" sId="3">
    <nc r="C8">
      <f>Diego!H8+Aelton!H8+Leonam!H8+Danilo!H8+Marcos!H8+Carlos!H8+Alessandro!H8</f>
    </nc>
  </rcc>
  <rcc rId="605" sId="3" odxf="1" dxf="1">
    <nc r="C9">
      <f>Diego!H9+Aelton!H9+Leonam!H9+Danilo!H9+Marcos!H9+Carlos!H9+Alessandro!H9</f>
    </nc>
    <ndxf>
      <numFmt numFmtId="3" formatCode="#,##0"/>
      <fill>
        <patternFill>
          <bgColor rgb="FFFFFF00"/>
        </patternFill>
      </fill>
    </ndxf>
  </rcc>
  <rcc rId="606" sId="3">
    <nc r="C10">
      <f>Diego!H10+Aelton!H10+Leonam!H10+Danilo!H10+Marcos!H10+Carlos!H10+Alessandro!H10</f>
    </nc>
  </rcc>
  <rcc rId="607" sId="3" odxf="1" dxf="1">
    <nc r="C11">
      <f>Diego!H11+Aelton!H11+Leonam!H11+Danilo!H11+Marcos!H11+Carlos!H11+Alessandro!H11</f>
    </nc>
    <ndxf>
      <numFmt numFmtId="3" formatCode="#,##0"/>
      <fill>
        <patternFill>
          <bgColor rgb="FFFFFF00"/>
        </patternFill>
      </fill>
    </ndxf>
  </rcc>
  <rcc rId="608" sId="3">
    <nc r="C12">
      <f>Diego!H12+Aelton!H12+Leonam!H12+Danilo!H12+Marcos!H12+Carlos!H12+Alessandro!H12</f>
    </nc>
  </rcc>
  <rcc rId="609" sId="3" odxf="1" dxf="1">
    <nc r="C13">
      <f>Diego!H13+Aelton!H13+Leonam!H13+Danilo!H13+Marcos!H13+Carlos!H13+Alessandro!H13</f>
    </nc>
    <ndxf>
      <numFmt numFmtId="3" formatCode="#,##0"/>
      <fill>
        <patternFill>
          <bgColor rgb="FFFFFF00"/>
        </patternFill>
      </fill>
    </ndxf>
  </rcc>
  <rcc rId="610" sId="3">
    <nc r="C14">
      <f>Diego!H14+Aelton!H14+Leonam!H14+Danilo!H14+Marcos!H14+Carlos!H14+Alessandro!H14</f>
    </nc>
  </rcc>
  <rcc rId="611" sId="3" odxf="1" dxf="1">
    <nc r="C15">
      <f>Diego!H15+Aelton!H15+Leonam!H15+Danilo!H15+Marcos!H15+Carlos!H15+Alessandro!H15</f>
    </nc>
    <ndxf>
      <numFmt numFmtId="3" formatCode="#,##0"/>
      <fill>
        <patternFill>
          <bgColor rgb="FFFFFF00"/>
        </patternFill>
      </fill>
    </ndxf>
  </rcc>
  <rcc rId="612" sId="3">
    <nc r="C16">
      <f>Diego!H16+Aelton!H16+Leonam!H16+Danilo!H16+Marcos!H16+Carlos!H16+Alessandro!H16</f>
    </nc>
  </rcc>
  <rcc rId="613" sId="3">
    <nc r="D2">
      <f>Diego!I2+Aelton!I2+Leonam!I2+Danilo!I2+Marcos!I2+Carlos!I2+Alessandro!I2</f>
    </nc>
  </rcc>
  <rcc rId="614" sId="3" odxf="1" dxf="1">
    <nc r="D3">
      <f>Diego!I3+Aelton!I3+Leonam!I3+Danilo!I3+Marcos!I3+Carlos!I3+Alessandro!I3</f>
    </nc>
    <ndxf>
      <numFmt numFmtId="3" formatCode="#,##0"/>
      <fill>
        <patternFill>
          <bgColor rgb="FFFFFF00"/>
        </patternFill>
      </fill>
    </ndxf>
  </rcc>
  <rcc rId="615" sId="3">
    <nc r="D4">
      <f>Diego!I4+Aelton!I4+Leonam!I4+Danilo!I4+Marcos!I4+Carlos!I4+Alessandro!I4</f>
    </nc>
  </rcc>
  <rcc rId="616" sId="3" odxf="1" dxf="1">
    <nc r="D5">
      <f>Diego!I5+Aelton!I5+Leonam!I5+Danilo!I5+Marcos!I5+Carlos!I5+Alessandro!I5</f>
    </nc>
    <ndxf>
      <numFmt numFmtId="3" formatCode="#,##0"/>
      <fill>
        <patternFill>
          <bgColor rgb="FFFFFF00"/>
        </patternFill>
      </fill>
    </ndxf>
  </rcc>
  <rcc rId="617" sId="3">
    <nc r="D6">
      <f>Diego!I6+Aelton!I6+Leonam!I6+Danilo!I6+Marcos!I6+Carlos!I6+Alessandro!I6</f>
    </nc>
  </rcc>
  <rcc rId="618" sId="3" odxf="1" dxf="1">
    <nc r="D7">
      <f>Diego!I7+Aelton!I7+Leonam!I7+Danilo!I7+Marcos!I7+Carlos!I7+Alessandro!I7</f>
    </nc>
    <ndxf>
      <numFmt numFmtId="3" formatCode="#,##0"/>
      <fill>
        <patternFill>
          <bgColor rgb="FFFFFF00"/>
        </patternFill>
      </fill>
    </ndxf>
  </rcc>
  <rcc rId="619" sId="3">
    <nc r="D8">
      <f>Diego!I8+Aelton!I8+Leonam!I8+Danilo!I8+Marcos!I8+Carlos!I8+Alessandro!I8</f>
    </nc>
  </rcc>
  <rcc rId="620" sId="3" odxf="1" dxf="1">
    <nc r="D9">
      <f>Diego!I9+Aelton!I9+Leonam!I9+Danilo!I9+Marcos!I9+Carlos!I9+Alessandro!I9</f>
    </nc>
    <ndxf>
      <numFmt numFmtId="3" formatCode="#,##0"/>
      <fill>
        <patternFill>
          <bgColor rgb="FFFFFF00"/>
        </patternFill>
      </fill>
    </ndxf>
  </rcc>
  <rcc rId="621" sId="3">
    <nc r="D10">
      <f>Diego!I10+Aelton!I10+Leonam!I10+Danilo!I10+Marcos!I10+Carlos!I10+Alessandro!I10</f>
    </nc>
  </rcc>
  <rcc rId="622" sId="3" odxf="1" dxf="1">
    <nc r="D11">
      <f>Diego!I11+Aelton!I11+Leonam!I11+Danilo!I11+Marcos!I11+Carlos!I11+Alessandro!I11</f>
    </nc>
    <ndxf>
      <numFmt numFmtId="3" formatCode="#,##0"/>
      <fill>
        <patternFill>
          <bgColor rgb="FFFFFF00"/>
        </patternFill>
      </fill>
    </ndxf>
  </rcc>
  <rcc rId="623" sId="3">
    <nc r="D12">
      <f>Diego!I12+Aelton!I12+Leonam!I12+Danilo!I12+Marcos!I12+Carlos!I12+Alessandro!I12</f>
    </nc>
  </rcc>
  <rcc rId="624" sId="3" odxf="1" dxf="1">
    <nc r="D13">
      <f>Diego!I13+Aelton!I13+Leonam!I13+Danilo!I13+Marcos!I13+Carlos!I13+Alessandro!I13</f>
    </nc>
    <ndxf>
      <numFmt numFmtId="3" formatCode="#,##0"/>
      <fill>
        <patternFill>
          <bgColor rgb="FFFFFF00"/>
        </patternFill>
      </fill>
    </ndxf>
  </rcc>
  <rcc rId="625" sId="3">
    <nc r="D14">
      <f>Diego!I14+Aelton!I14+Leonam!I14+Danilo!I14+Marcos!I14+Carlos!I14+Alessandro!I14</f>
    </nc>
  </rcc>
  <rcc rId="626" sId="3" odxf="1" dxf="1">
    <nc r="D15">
      <f>Diego!I15+Aelton!I15+Leonam!I15+Danilo!I15+Marcos!I15+Carlos!I15+Alessandro!I15</f>
    </nc>
    <ndxf>
      <numFmt numFmtId="3" formatCode="#,##0"/>
      <fill>
        <patternFill>
          <bgColor rgb="FFFFFF00"/>
        </patternFill>
      </fill>
    </ndxf>
  </rcc>
  <rcc rId="627" sId="3">
    <nc r="D16">
      <f>Diego!I16+Aelton!I16+Leonam!I16+Danilo!I16+Marcos!I16+Carlos!I16+Alessandro!I16</f>
    </nc>
  </rcc>
  <rcc rId="628" sId="3">
    <nc r="E2">
      <f>Diego!J2+Aelton!J2+Leonam!J2+Danilo!J2+Marcos!J2+Carlos!J2+Alessandro!J2</f>
    </nc>
  </rcc>
  <rcc rId="629" sId="3" odxf="1" dxf="1">
    <nc r="E3">
      <f>Diego!J3+Aelton!J3+Leonam!J3+Danilo!J3+Marcos!J3+Carlos!J3+Alessandro!J3</f>
    </nc>
    <ndxf>
      <numFmt numFmtId="3" formatCode="#,##0"/>
      <fill>
        <patternFill>
          <bgColor rgb="FFFFFF00"/>
        </patternFill>
      </fill>
    </ndxf>
  </rcc>
  <rcc rId="630" sId="3">
    <nc r="E4">
      <f>Diego!J4+Aelton!J4+Leonam!J4+Danilo!J4+Marcos!J4+Carlos!J4+Alessandro!J4</f>
    </nc>
  </rcc>
  <rcc rId="631" sId="3" odxf="1" dxf="1">
    <nc r="E5">
      <f>Diego!J5+Aelton!J5+Leonam!J5+Danilo!J5+Marcos!J5+Carlos!J5+Alessandro!J5</f>
    </nc>
    <ndxf>
      <numFmt numFmtId="3" formatCode="#,##0"/>
      <fill>
        <patternFill>
          <bgColor rgb="FFFFFF00"/>
        </patternFill>
      </fill>
    </ndxf>
  </rcc>
  <rcc rId="632" sId="3">
    <nc r="E6">
      <f>Diego!J6+Aelton!J6+Leonam!J6+Danilo!J6+Marcos!J6+Carlos!J6+Alessandro!J6</f>
    </nc>
  </rcc>
  <rcc rId="633" sId="3" odxf="1" dxf="1">
    <nc r="E7">
      <f>Diego!J7+Aelton!J7+Leonam!J7+Danilo!J7+Marcos!J7+Carlos!J7+Alessandro!J7</f>
    </nc>
    <ndxf>
      <numFmt numFmtId="3" formatCode="#,##0"/>
      <fill>
        <patternFill>
          <bgColor rgb="FFFFFF00"/>
        </patternFill>
      </fill>
    </ndxf>
  </rcc>
  <rcc rId="634" sId="3">
    <nc r="E8">
      <f>Diego!J8+Aelton!J8+Leonam!J8+Danilo!J8+Marcos!J8+Carlos!J8+Alessandro!J8</f>
    </nc>
  </rcc>
  <rcc rId="635" sId="3" odxf="1" dxf="1">
    <nc r="E9">
      <f>Diego!J9+Aelton!J9+Leonam!J9+Danilo!J9+Marcos!J9+Carlos!J9+Alessandro!J9</f>
    </nc>
    <ndxf>
      <numFmt numFmtId="3" formatCode="#,##0"/>
      <fill>
        <patternFill>
          <bgColor rgb="FFFFFF00"/>
        </patternFill>
      </fill>
    </ndxf>
  </rcc>
  <rcc rId="636" sId="3">
    <nc r="E10">
      <f>Diego!J10+Aelton!J10+Leonam!J10+Danilo!J10+Marcos!J10+Carlos!J10+Alessandro!J10</f>
    </nc>
  </rcc>
  <rcc rId="637" sId="3" odxf="1" dxf="1">
    <nc r="E11">
      <f>Diego!J11+Aelton!J11+Leonam!J11+Danilo!J11+Marcos!J11+Carlos!J11+Alessandro!J11</f>
    </nc>
    <ndxf>
      <numFmt numFmtId="3" formatCode="#,##0"/>
      <fill>
        <patternFill>
          <bgColor rgb="FFFFFF00"/>
        </patternFill>
      </fill>
    </ndxf>
  </rcc>
  <rcc rId="638" sId="3">
    <nc r="E12">
      <f>Diego!J12+Aelton!J12+Leonam!J12+Danilo!J12+Marcos!J12+Carlos!J12+Alessandro!J12</f>
    </nc>
  </rcc>
  <rcc rId="639" sId="3" odxf="1" dxf="1">
    <nc r="E13">
      <f>Diego!J13+Aelton!J13+Leonam!J13+Danilo!J13+Marcos!J13+Carlos!J13+Alessandro!J13</f>
    </nc>
    <ndxf>
      <numFmt numFmtId="3" formatCode="#,##0"/>
      <fill>
        <patternFill>
          <bgColor rgb="FFFFFF00"/>
        </patternFill>
      </fill>
    </ndxf>
  </rcc>
  <rcc rId="640" sId="3">
    <nc r="E14">
      <f>Diego!J14+Aelton!J14+Leonam!J14+Danilo!J14+Marcos!J14+Carlos!J14+Alessandro!J14</f>
    </nc>
  </rcc>
  <rcc rId="641" sId="3" odxf="1" dxf="1">
    <nc r="E15">
      <f>Diego!J15+Aelton!J15+Leonam!J15+Danilo!J15+Marcos!J15+Carlos!J15+Alessandro!J15</f>
    </nc>
    <ndxf>
      <numFmt numFmtId="3" formatCode="#,##0"/>
      <fill>
        <patternFill>
          <bgColor rgb="FFFFFF00"/>
        </patternFill>
      </fill>
    </ndxf>
  </rcc>
  <rcc rId="642" sId="3">
    <nc r="E16">
      <f>Diego!J16+Aelton!J16+Leonam!J16+Danilo!J16+Marcos!J16+Carlos!J16+Alessandro!J16</f>
    </nc>
  </rcc>
  <rcc rId="643" sId="3">
    <nc r="F2">
      <f>Diego!K2+Aelton!K2+Leonam!K2+Danilo!K2+Marcos!K2+Carlos!K2+Alessandro!K2</f>
    </nc>
  </rcc>
  <rcc rId="644" sId="3" odxf="1" dxf="1">
    <nc r="F3">
      <f>Diego!K3+Aelton!K3+Leonam!K3+Danilo!K3+Marcos!K3+Carlos!K3+Alessandro!K3</f>
    </nc>
    <ndxf>
      <numFmt numFmtId="3" formatCode="#,##0"/>
      <fill>
        <patternFill>
          <bgColor rgb="FFFFFF00"/>
        </patternFill>
      </fill>
    </ndxf>
  </rcc>
  <rcc rId="645" sId="3">
    <nc r="F4">
      <f>Diego!K4+Aelton!K4+Leonam!K4+Danilo!K4+Marcos!K4+Carlos!K4+Alessandro!K4</f>
    </nc>
  </rcc>
  <rcc rId="646" sId="3" odxf="1" dxf="1">
    <nc r="F5">
      <f>Diego!K5+Aelton!K5+Leonam!K5+Danilo!K5+Marcos!K5+Carlos!K5+Alessandro!K5</f>
    </nc>
    <ndxf>
      <numFmt numFmtId="3" formatCode="#,##0"/>
      <fill>
        <patternFill>
          <bgColor rgb="FFFFFF00"/>
        </patternFill>
      </fill>
    </ndxf>
  </rcc>
  <rcc rId="647" sId="3">
    <nc r="F6">
      <f>Diego!K6+Aelton!K6+Leonam!K6+Danilo!K6+Marcos!K6+Carlos!K6+Alessandro!K6</f>
    </nc>
  </rcc>
  <rcc rId="648" sId="3" odxf="1" dxf="1">
    <nc r="F7">
      <f>Diego!K7+Aelton!K7+Leonam!K7+Danilo!K7+Marcos!K7+Carlos!K7+Alessandro!K7</f>
    </nc>
    <ndxf>
      <numFmt numFmtId="3" formatCode="#,##0"/>
      <fill>
        <patternFill>
          <bgColor rgb="FFFFFF00"/>
        </patternFill>
      </fill>
    </ndxf>
  </rcc>
  <rcc rId="649" sId="3">
    <nc r="F8">
      <f>Diego!K8+Aelton!K8+Leonam!K8+Danilo!K8+Marcos!K8+Carlos!K8+Alessandro!K8</f>
    </nc>
  </rcc>
  <rcc rId="650" sId="3" odxf="1" dxf="1">
    <nc r="F9">
      <f>Diego!K9+Aelton!K9+Leonam!K9+Danilo!K9+Marcos!K9+Carlos!K9+Alessandro!K9</f>
    </nc>
    <ndxf>
      <numFmt numFmtId="3" formatCode="#,##0"/>
      <fill>
        <patternFill>
          <bgColor rgb="FFFFFF00"/>
        </patternFill>
      </fill>
    </ndxf>
  </rcc>
  <rcc rId="651" sId="3">
    <nc r="F10">
      <f>Diego!K10+Aelton!K10+Leonam!K10+Danilo!K10+Marcos!K10+Carlos!K10+Alessandro!K10</f>
    </nc>
  </rcc>
  <rcc rId="652" sId="3" odxf="1" dxf="1">
    <nc r="F11">
      <f>Diego!K11+Aelton!K11+Leonam!K11+Danilo!K11+Marcos!K11+Carlos!K11+Alessandro!K11</f>
    </nc>
    <ndxf>
      <numFmt numFmtId="3" formatCode="#,##0"/>
      <fill>
        <patternFill>
          <bgColor rgb="FFFFFF00"/>
        </patternFill>
      </fill>
    </ndxf>
  </rcc>
  <rcc rId="653" sId="3">
    <nc r="F12">
      <f>Diego!K12+Aelton!K12+Leonam!K12+Danilo!K12+Marcos!K12+Carlos!K12+Alessandro!K12</f>
    </nc>
  </rcc>
  <rcc rId="654" sId="3" odxf="1" dxf="1">
    <nc r="F13">
      <f>Diego!K13+Aelton!K13+Leonam!K13+Danilo!K13+Marcos!K13+Carlos!K13+Alessandro!K13</f>
    </nc>
    <ndxf>
      <numFmt numFmtId="3" formatCode="#,##0"/>
      <fill>
        <patternFill>
          <bgColor rgb="FFFFFF00"/>
        </patternFill>
      </fill>
    </ndxf>
  </rcc>
  <rcc rId="655" sId="3">
    <nc r="F14">
      <f>Diego!K14+Aelton!K14+Leonam!K14+Danilo!K14+Marcos!K14+Carlos!K14+Alessandro!K14</f>
    </nc>
  </rcc>
  <rcc rId="656" sId="3" odxf="1" dxf="1">
    <nc r="F15">
      <f>Diego!K15+Aelton!K15+Leonam!K15+Danilo!K15+Marcos!K15+Carlos!K15+Alessandro!K15</f>
    </nc>
    <ndxf>
      <numFmt numFmtId="3" formatCode="#,##0"/>
      <fill>
        <patternFill>
          <bgColor rgb="FFFFFF00"/>
        </patternFill>
      </fill>
    </ndxf>
  </rcc>
  <rcc rId="657" sId="3">
    <nc r="F16">
      <f>Diego!K16+Aelton!K16+Leonam!K16+Danilo!K16+Marcos!K16+Carlos!K16+Alessandro!K16</f>
    </nc>
  </rcc>
  <rcv guid="{18A482E0-C8B6-4AA1-9E04-15FA7C9CD5E3}" action="delete"/>
  <rdn rId="0" localSheetId="1" customView="1" name="Z_18A482E0_C8B6_4AA1_9E04_15FA7C9CD5E3_.wvu.FilterData" hidden="1" oldHidden="1">
    <formula>Patrícia!$A$1:$A$18</formula>
  </rdn>
  <rdn rId="0" localSheetId="2" customView="1" name="Z_18A482E0_C8B6_4AA1_9E04_15FA7C9CD5E3_.wvu.FilterData" hidden="1" oldHidden="1">
    <formula>Marcelo!$A$1:$A$18</formula>
  </rdn>
  <rdn rId="0" localSheetId="3" customView="1" name="Z_18A482E0_C8B6_4AA1_9E04_15FA7C9CD5E3_.wvu.FilterData" hidden="1" oldHidden="1">
    <formula>TOTAL!$A$1:$A$18</formula>
  </rdn>
  <rdn rId="0" localSheetId="4" customView="1" name="Z_18A482E0_C8B6_4AA1_9E04_15FA7C9CD5E3_.wvu.FilterData" hidden="1" oldHidden="1">
    <formula>Diego!$A$1:$A$18</formula>
  </rdn>
  <rdn rId="0" localSheetId="5" customView="1" name="Z_18A482E0_C8B6_4AA1_9E04_15FA7C9CD5E3_.wvu.FilterData" hidden="1" oldHidden="1">
    <formula>Aelton!$A$1:$A$18</formula>
  </rdn>
  <rdn rId="0" localSheetId="6" customView="1" name="Z_18A482E0_C8B6_4AA1_9E04_15FA7C9CD5E3_.wvu.FilterData" hidden="1" oldHidden="1">
    <formula>Leonam!$A$1:$BD$18</formula>
  </rdn>
  <rdn rId="0" localSheetId="7" customView="1" name="Z_18A482E0_C8B6_4AA1_9E04_15FA7C9CD5E3_.wvu.FilterData" hidden="1" oldHidden="1">
    <formula>Danilo!$A$1:$A$31</formula>
  </rdn>
  <rdn rId="0" localSheetId="8" customView="1" name="Z_18A482E0_C8B6_4AA1_9E04_15FA7C9CD5E3_.wvu.FilterData" hidden="1" oldHidden="1">
    <formula>Marcos!$A$1:$A$18</formula>
  </rdn>
  <rdn rId="0" localSheetId="9" customView="1" name="Z_18A482E0_C8B6_4AA1_9E04_15FA7C9CD5E3_.wvu.FilterData" hidden="1" oldHidden="1">
    <formula>Carlos!$A$1:$A$18</formula>
  </rdn>
  <rdn rId="0" localSheetId="10" customView="1" name="Z_18A482E0_C8B6_4AA1_9E04_15FA7C9CD5E3_.wvu.FilterData" hidden="1" oldHidden="1">
    <formula>Alessandro!$A$1:$A$18</formula>
  </rdn>
  <rcv guid="{18A482E0-C8B6-4AA1-9E04-15FA7C9CD5E3}" action="add"/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" sId="3">
    <oc r="G2">
      <f>'C:\Users\marcelo.saboia\Documents\backup - diarq - 13.06.25\Atividade Semanal - Equipe\z. INDICADORES - POR DIA\[INDICADORES - Junho-Julho_2025_backup.xlsx]Diego'!AF2+'C:\Users\marcelo.saboia\Documents\backup - diarq - 13.06.25\Atividade Semanal - Equipe\z. INDICADORES - POR DIA\[INDICADORES - Junho-Julho_2025_backup.xlsx]Aelton'!AF2+'C:\Users\marcelo.saboia\Documents\backup - diarq - 13.06.25\Atividade Semanal - Equipe\z. INDICADORES - POR DIA\[INDICADORES - Junho-Julho_2025_backup.xlsx]Leonam'!AF2+'C:\Users\marcelo.saboia\Documents\backup - diarq - 13.06.25\Atividade Semanal - Equipe\z. INDICADORES - POR DIA\[INDICADORES - Junho-Julho_2025_backup.xlsx]Danilo'!AF2+'C:\Users\marcelo.saboia\Documents\backup - diarq - 13.06.25\Atividade Semanal - Equipe\z. INDICADORES - POR DIA\[INDICADORES - Junho-Julho_2025_backup.xlsx]Marcos'!AF2+'C:\Users\marcelo.saboia\Documents\backup - diarq - 13.06.25\Atividade Semanal - Equipe\z. INDICADORES - POR DIA\[INDICADORES - Junho-Julho_2025_backup.xlsx]Carlos'!AF2+'C:\Users\marcelo.saboia\Documents\backup - diarq - 13.06.25\Atividade Semanal - Equipe\z. INDICADORES - POR DIA\[INDICADORES - Junho-Julho_2025_backup.xlsx]Alessandro'!AF2</f>
    </oc>
    <nc r="G2">
      <f>Diego!L2+Aelton!L2+Leonam!L2+Danilo!L2+Marcos!L2+Carlos!L2+Alessandro!L2</f>
    </nc>
  </rcc>
  <rcc rId="669" sId="3" odxf="1" dxf="1">
    <oc r="G3">
      <f>'C:\Users\marcelo.saboia\Documents\backup - diarq - 13.06.25\Atividade Semanal - Equipe\z. INDICADORES - POR DIA\[INDICADORES - Junho-Julho_2025_backup.xlsx]Diego'!AF3+'C:\Users\marcelo.saboia\Documents\backup - diarq - 13.06.25\Atividade Semanal - Equipe\z. INDICADORES - POR DIA\[INDICADORES - Junho-Julho_2025_backup.xlsx]Aelton'!AF3+'C:\Users\marcelo.saboia\Documents\backup - diarq - 13.06.25\Atividade Semanal - Equipe\z. INDICADORES - POR DIA\[INDICADORES - Junho-Julho_2025_backup.xlsx]Leonam'!AF3+'C:\Users\marcelo.saboia\Documents\backup - diarq - 13.06.25\Atividade Semanal - Equipe\z. INDICADORES - POR DIA\[INDICADORES - Junho-Julho_2025_backup.xlsx]Danilo'!AF3+'C:\Users\marcelo.saboia\Documents\backup - diarq - 13.06.25\Atividade Semanal - Equipe\z. INDICADORES - POR DIA\[INDICADORES - Junho-Julho_2025_backup.xlsx]Marcos'!AF3+'C:\Users\marcelo.saboia\Documents\backup - diarq - 13.06.25\Atividade Semanal - Equipe\z. INDICADORES - POR DIA\[INDICADORES - Junho-Julho_2025_backup.xlsx]Carlos'!AF3+'C:\Users\marcelo.saboia\Documents\backup - diarq - 13.06.25\Atividade Semanal - Equipe\z. INDICADORES - POR DIA\[INDICADORES - Junho-Julho_2025_backup.xlsx]Alessandro'!AF3</f>
    </oc>
    <nc r="G3">
      <f>Diego!L3+Aelton!L3+Leonam!L3+Danilo!L3+Marcos!L3+Carlos!L3+Alessandro!L3</f>
    </nc>
    <odxf>
      <numFmt numFmtId="0" formatCode="General"/>
      <fill>
        <patternFill>
          <bgColor theme="0"/>
        </patternFill>
      </fill>
    </odxf>
    <ndxf>
      <numFmt numFmtId="3" formatCode="#,##0"/>
      <fill>
        <patternFill>
          <bgColor rgb="FFFFFF00"/>
        </patternFill>
      </fill>
    </ndxf>
  </rcc>
  <rcc rId="670" sId="3">
    <oc r="G4">
      <f>'C:\Users\marcelo.saboia\Documents\backup - diarq - 13.06.25\Atividade Semanal - Equipe\z. INDICADORES - POR DIA\[INDICADORES - Junho-Julho_2025_backup.xlsx]Diego'!AF4+'C:\Users\marcelo.saboia\Documents\backup - diarq - 13.06.25\Atividade Semanal - Equipe\z. INDICADORES - POR DIA\[INDICADORES - Junho-Julho_2025_backup.xlsx]Aelton'!AF4+'C:\Users\marcelo.saboia\Documents\backup - diarq - 13.06.25\Atividade Semanal - Equipe\z. INDICADORES - POR DIA\[INDICADORES - Junho-Julho_2025_backup.xlsx]Leonam'!AF4+'C:\Users\marcelo.saboia\Documents\backup - diarq - 13.06.25\Atividade Semanal - Equipe\z. INDICADORES - POR DIA\[INDICADORES - Junho-Julho_2025_backup.xlsx]Danilo'!AF4+'C:\Users\marcelo.saboia\Documents\backup - diarq - 13.06.25\Atividade Semanal - Equipe\z. INDICADORES - POR DIA\[INDICADORES - Junho-Julho_2025_backup.xlsx]Marcos'!AF4+'C:\Users\marcelo.saboia\Documents\backup - diarq - 13.06.25\Atividade Semanal - Equipe\z. INDICADORES - POR DIA\[INDICADORES - Junho-Julho_2025_backup.xlsx]Carlos'!AF4+'C:\Users\marcelo.saboia\Documents\backup - diarq - 13.06.25\Atividade Semanal - Equipe\z. INDICADORES - POR DIA\[INDICADORES - Junho-Julho_2025_backup.xlsx]Alessandro'!AF4</f>
    </oc>
    <nc r="G4">
      <f>Diego!L4+Aelton!L4+Leonam!L4+Danilo!L4+Marcos!L4+Carlos!L4+Alessandro!L4</f>
    </nc>
  </rcc>
  <rfmt sheetId="3" sqref="G5" start="0" length="0">
    <dxf>
      <numFmt numFmtId="3" formatCode="#,##0"/>
      <fill>
        <patternFill>
          <bgColor rgb="FFFFFF00"/>
        </patternFill>
      </fill>
    </dxf>
  </rfmt>
  <rcc rId="671" sId="3">
    <oc r="G6">
      <f>'C:\Users\marcelo.saboia\Documents\backup - diarq - 13.06.25\Atividade Semanal - Equipe\z. INDICADORES - POR DIA\[INDICADORES - Junho-Julho_2025_backup.xlsx]Diego'!AF6+'C:\Users\marcelo.saboia\Documents\backup - diarq - 13.06.25\Atividade Semanal - Equipe\z. INDICADORES - POR DIA\[INDICADORES - Junho-Julho_2025_backup.xlsx]Aelton'!AF6+'C:\Users\marcelo.saboia\Documents\backup - diarq - 13.06.25\Atividade Semanal - Equipe\z. INDICADORES - POR DIA\[INDICADORES - Junho-Julho_2025_backup.xlsx]Leonam'!AF6+'C:\Users\marcelo.saboia\Documents\backup - diarq - 13.06.25\Atividade Semanal - Equipe\z. INDICADORES - POR DIA\[INDICADORES - Junho-Julho_2025_backup.xlsx]Danilo'!AF6+'C:\Users\marcelo.saboia\Documents\backup - diarq - 13.06.25\Atividade Semanal - Equipe\z. INDICADORES - POR DIA\[INDICADORES - Junho-Julho_2025_backup.xlsx]Marcos'!AF6+'C:\Users\marcelo.saboia\Documents\backup - diarq - 13.06.25\Atividade Semanal - Equipe\z. INDICADORES - POR DIA\[INDICADORES - Junho-Julho_2025_backup.xlsx]Carlos'!AF6+'C:\Users\marcelo.saboia\Documents\backup - diarq - 13.06.25\Atividade Semanal - Equipe\z. INDICADORES - POR DIA\[INDICADORES - Junho-Julho_2025_backup.xlsx]Alessandro'!AF6</f>
    </oc>
    <nc r="G6">
      <f>Diego!L6+Aelton!L6+Leonam!L6+Danilo!L6+Marcos!L6+Carlos!L6+Alessandro!L6</f>
    </nc>
  </rcc>
  <rfmt sheetId="3" sqref="G7" start="0" length="0">
    <dxf>
      <numFmt numFmtId="3" formatCode="#,##0"/>
      <fill>
        <patternFill>
          <bgColor rgb="FFFFFF00"/>
        </patternFill>
      </fill>
    </dxf>
  </rfmt>
  <rcc rId="672" sId="3">
    <oc r="G8">
      <f>'C:\Users\marcelo.saboia\Documents\backup - diarq - 13.06.25\Atividade Semanal - Equipe\z. INDICADORES - POR DIA\[INDICADORES - Junho-Julho_2025_backup.xlsx]Diego'!AF8+'C:\Users\marcelo.saboia\Documents\backup - diarq - 13.06.25\Atividade Semanal - Equipe\z. INDICADORES - POR DIA\[INDICADORES - Junho-Julho_2025_backup.xlsx]Aelton'!AF8+'C:\Users\marcelo.saboia\Documents\backup - diarq - 13.06.25\Atividade Semanal - Equipe\z. INDICADORES - POR DIA\[INDICADORES - Junho-Julho_2025_backup.xlsx]Leonam'!AF8+'C:\Users\marcelo.saboia\Documents\backup - diarq - 13.06.25\Atividade Semanal - Equipe\z. INDICADORES - POR DIA\[INDICADORES - Junho-Julho_2025_backup.xlsx]Danilo'!AF8+'C:\Users\marcelo.saboia\Documents\backup - diarq - 13.06.25\Atividade Semanal - Equipe\z. INDICADORES - POR DIA\[INDICADORES - Junho-Julho_2025_backup.xlsx]Marcos'!AF8+'C:\Users\marcelo.saboia\Documents\backup - diarq - 13.06.25\Atividade Semanal - Equipe\z. INDICADORES - POR DIA\[INDICADORES - Junho-Julho_2025_backup.xlsx]Carlos'!AF8+'C:\Users\marcelo.saboia\Documents\backup - diarq - 13.06.25\Atividade Semanal - Equipe\z. INDICADORES - POR DIA\[INDICADORES - Junho-Julho_2025_backup.xlsx]Alessandro'!AF8</f>
    </oc>
    <nc r="G8">
      <f>Diego!L8+Aelton!L8+Leonam!L8+Danilo!L8+Marcos!L8+Carlos!L8+Alessandro!L8</f>
    </nc>
  </rcc>
  <rfmt sheetId="3" sqref="G9" start="0" length="0">
    <dxf>
      <numFmt numFmtId="3" formatCode="#,##0"/>
      <fill>
        <patternFill>
          <bgColor rgb="FFFFFF00"/>
        </patternFill>
      </fill>
    </dxf>
  </rfmt>
  <rcc rId="673" sId="3">
    <oc r="G10">
      <f>'C:\Users\marcelo.saboia\Documents\backup - diarq - 13.06.25\Atividade Semanal - Equipe\z. INDICADORES - POR DIA\[INDICADORES - Junho-Julho_2025_backup.xlsx]Diego'!AF10+'C:\Users\marcelo.saboia\Documents\backup - diarq - 13.06.25\Atividade Semanal - Equipe\z. INDICADORES - POR DIA\[INDICADORES - Junho-Julho_2025_backup.xlsx]Aelton'!AF10+'C:\Users\marcelo.saboia\Documents\backup - diarq - 13.06.25\Atividade Semanal - Equipe\z. INDICADORES - POR DIA\[INDICADORES - Junho-Julho_2025_backup.xlsx]Leonam'!AF10+'C:\Users\marcelo.saboia\Documents\backup - diarq - 13.06.25\Atividade Semanal - Equipe\z. INDICADORES - POR DIA\[INDICADORES - Junho-Julho_2025_backup.xlsx]Danilo'!AF10+'C:\Users\marcelo.saboia\Documents\backup - diarq - 13.06.25\Atividade Semanal - Equipe\z. INDICADORES - POR DIA\[INDICADORES - Junho-Julho_2025_backup.xlsx]Marcos'!AF10+'C:\Users\marcelo.saboia\Documents\backup - diarq - 13.06.25\Atividade Semanal - Equipe\z. INDICADORES - POR DIA\[INDICADORES - Junho-Julho_2025_backup.xlsx]Carlos'!AF10+'C:\Users\marcelo.saboia\Documents\backup - diarq - 13.06.25\Atividade Semanal - Equipe\z. INDICADORES - POR DIA\[INDICADORES - Junho-Julho_2025_backup.xlsx]Alessandro'!AF10</f>
    </oc>
    <nc r="G10">
      <f>Diego!L10+Aelton!L10+Leonam!L10+Danilo!L10+Marcos!L10+Carlos!L10+Alessandro!L10</f>
    </nc>
  </rcc>
  <rfmt sheetId="3" sqref="G11" start="0" length="0">
    <dxf>
      <numFmt numFmtId="3" formatCode="#,##0"/>
      <fill>
        <patternFill>
          <bgColor rgb="FFFFFF00"/>
        </patternFill>
      </fill>
    </dxf>
  </rfmt>
  <rcc rId="674" sId="3">
    <oc r="G12">
      <f>'C:\Users\marcelo.saboia\Documents\backup - diarq - 13.06.25\Atividade Semanal - Equipe\z. INDICADORES - POR DIA\[INDICADORES - Junho-Julho_2025_backup.xlsx]Diego'!AF12+'C:\Users\marcelo.saboia\Documents\backup - diarq - 13.06.25\Atividade Semanal - Equipe\z. INDICADORES - POR DIA\[INDICADORES - Junho-Julho_2025_backup.xlsx]Aelton'!AF12+'C:\Users\marcelo.saboia\Documents\backup - diarq - 13.06.25\Atividade Semanal - Equipe\z. INDICADORES - POR DIA\[INDICADORES - Junho-Julho_2025_backup.xlsx]Leonam'!AF12+'C:\Users\marcelo.saboia\Documents\backup - diarq - 13.06.25\Atividade Semanal - Equipe\z. INDICADORES - POR DIA\[INDICADORES - Junho-Julho_2025_backup.xlsx]Danilo'!AF12+'C:\Users\marcelo.saboia\Documents\backup - diarq - 13.06.25\Atividade Semanal - Equipe\z. INDICADORES - POR DIA\[INDICADORES - Junho-Julho_2025_backup.xlsx]Marcos'!AF12+'C:\Users\marcelo.saboia\Documents\backup - diarq - 13.06.25\Atividade Semanal - Equipe\z. INDICADORES - POR DIA\[INDICADORES - Junho-Julho_2025_backup.xlsx]Carlos'!AF12+'C:\Users\marcelo.saboia\Documents\backup - diarq - 13.06.25\Atividade Semanal - Equipe\z. INDICADORES - POR DIA\[INDICADORES - Junho-Julho_2025_backup.xlsx]Alessandro'!AF12</f>
    </oc>
    <nc r="G12">
      <f>Diego!L12+Aelton!L12+Leonam!L12+Danilo!L12+Marcos!L12+Carlos!L12+Alessandro!L12</f>
    </nc>
  </rcc>
  <rfmt sheetId="3" sqref="G13" start="0" length="0">
    <dxf>
      <numFmt numFmtId="3" formatCode="#,##0"/>
      <fill>
        <patternFill>
          <bgColor rgb="FFFFFF00"/>
        </patternFill>
      </fill>
    </dxf>
  </rfmt>
  <rcc rId="675" sId="3">
    <oc r="G14">
      <f>'C:\Users\marcelo.saboia\Documents\backup - diarq - 13.06.25\Atividade Semanal - Equipe\z. INDICADORES - POR DIA\[INDICADORES - Junho-Julho_2025_backup.xlsx]Diego'!AF14+'C:\Users\marcelo.saboia\Documents\backup - diarq - 13.06.25\Atividade Semanal - Equipe\z. INDICADORES - POR DIA\[INDICADORES - Junho-Julho_2025_backup.xlsx]Aelton'!AF14+'C:\Users\marcelo.saboia\Documents\backup - diarq - 13.06.25\Atividade Semanal - Equipe\z. INDICADORES - POR DIA\[INDICADORES - Junho-Julho_2025_backup.xlsx]Leonam'!AF14+'C:\Users\marcelo.saboia\Documents\backup - diarq - 13.06.25\Atividade Semanal - Equipe\z. INDICADORES - POR DIA\[INDICADORES - Junho-Julho_2025_backup.xlsx]Danilo'!AF14+'C:\Users\marcelo.saboia\Documents\backup - diarq - 13.06.25\Atividade Semanal - Equipe\z. INDICADORES - POR DIA\[INDICADORES - Junho-Julho_2025_backup.xlsx]Marcos'!AF14+'C:\Users\marcelo.saboia\Documents\backup - diarq - 13.06.25\Atividade Semanal - Equipe\z. INDICADORES - POR DIA\[INDICADORES - Junho-Julho_2025_backup.xlsx]Carlos'!AF14+'C:\Users\marcelo.saboia\Documents\backup - diarq - 13.06.25\Atividade Semanal - Equipe\z. INDICADORES - POR DIA\[INDICADORES - Junho-Julho_2025_backup.xlsx]Alessandro'!AF14</f>
    </oc>
    <nc r="G14">
      <f>Diego!L14+Aelton!L14+Leonam!L14+Danilo!L14+Marcos!L14+Carlos!L14+Alessandro!L14</f>
    </nc>
  </rcc>
  <rfmt sheetId="3" sqref="G15" start="0" length="0">
    <dxf>
      <numFmt numFmtId="3" formatCode="#,##0"/>
      <fill>
        <patternFill>
          <bgColor rgb="FFFFFF00"/>
        </patternFill>
      </fill>
    </dxf>
  </rfmt>
  <rcc rId="676" sId="3">
    <oc r="G16">
      <f>'C:\Users\marcelo.saboia\Documents\backup - diarq - 13.06.25\Atividade Semanal - Equipe\z. INDICADORES - POR DIA\[INDICADORES - Junho-Julho_2025_backup.xlsx]Diego'!AF16+'C:\Users\marcelo.saboia\Documents\backup - diarq - 13.06.25\Atividade Semanal - Equipe\z. INDICADORES - POR DIA\[INDICADORES - Junho-Julho_2025_backup.xlsx]Aelton'!AF16+'C:\Users\marcelo.saboia\Documents\backup - diarq - 13.06.25\Atividade Semanal - Equipe\z. INDICADORES - POR DIA\[INDICADORES - Junho-Julho_2025_backup.xlsx]Leonam'!AF16+'C:\Users\marcelo.saboia\Documents\backup - diarq - 13.06.25\Atividade Semanal - Equipe\z. INDICADORES - POR DIA\[INDICADORES - Junho-Julho_2025_backup.xlsx]Danilo'!AF16+'C:\Users\marcelo.saboia\Documents\backup - diarq - 13.06.25\Atividade Semanal - Equipe\z. INDICADORES - POR DIA\[INDICADORES - Junho-Julho_2025_backup.xlsx]Marcos'!AF16+'C:\Users\marcelo.saboia\Documents\backup - diarq - 13.06.25\Atividade Semanal - Equipe\z. INDICADORES - POR DIA\[INDICADORES - Junho-Julho_2025_backup.xlsx]Carlos'!AF16+'C:\Users\marcelo.saboia\Documents\backup - diarq - 13.06.25\Atividade Semanal - Equipe\z. INDICADORES - POR DIA\[INDICADORES - Junho-Julho_2025_backup.xlsx]Alessandro'!AF16</f>
    </oc>
    <nc r="G16">
      <f>Diego!L16+Aelton!L16+Leonam!L16+Danilo!L16+Marcos!L16+Carlos!L16+Alessandro!L16</f>
    </nc>
  </rcc>
  <rcc rId="677" sId="3">
    <oc r="H2">
      <f>'C:\Users\marcelo.saboia\Documents\backup - diarq - 13.06.25\Atividade Semanal - Equipe\z. INDICADORES - POR DIA\[INDICADORES - Junho-Julho_2025_backup.xlsx]Diego'!AL2+'C:\Users\marcelo.saboia\Documents\backup - diarq - 13.06.25\Atividade Semanal - Equipe\z. INDICADORES - POR DIA\[INDICADORES - Junho-Julho_2025_backup.xlsx]Aelton'!AL2+'C:\Users\marcelo.saboia\Documents\backup - diarq - 13.06.25\Atividade Semanal - Equipe\z. INDICADORES - POR DIA\[INDICADORES - Junho-Julho_2025_backup.xlsx]Leonam'!AL2+'C:\Users\marcelo.saboia\Documents\backup - diarq - 13.06.25\Atividade Semanal - Equipe\z. INDICADORES - POR DIA\[INDICADORES - Junho-Julho_2025_backup.xlsx]Danilo'!AL2+'C:\Users\marcelo.saboia\Documents\backup - diarq - 13.06.25\Atividade Semanal - Equipe\z. INDICADORES - POR DIA\[INDICADORES - Junho-Julho_2025_backup.xlsx]Marcos'!AL2+'C:\Users\marcelo.saboia\Documents\backup - diarq - 13.06.25\Atividade Semanal - Equipe\z. INDICADORES - POR DIA\[INDICADORES - Junho-Julho_2025_backup.xlsx]Carlos'!AL2+'C:\Users\marcelo.saboia\Documents\backup - diarq - 13.06.25\Atividade Semanal - Equipe\z. INDICADORES - POR DIA\[INDICADORES - Junho-Julho_2025_backup.xlsx]Alessandro'!AL2</f>
    </oc>
    <nc r="H2">
      <f>Diego!M2+Aelton!M2+Leonam!M2+Danilo!M2+Marcos!M2+Carlos!M2+Alessandro!M2</f>
    </nc>
  </rcc>
  <rcc rId="678" sId="3" odxf="1" dxf="1">
    <oc r="H3">
      <f>'C:\Users\marcelo.saboia\Documents\backup - diarq - 13.06.25\Atividade Semanal - Equipe\z. INDICADORES - POR DIA\[INDICADORES - Junho-Julho_2025_backup.xlsx]Diego'!AL3+'C:\Users\marcelo.saboia\Documents\backup - diarq - 13.06.25\Atividade Semanal - Equipe\z. INDICADORES - POR DIA\[INDICADORES - Junho-Julho_2025_backup.xlsx]Aelton'!AL3+'C:\Users\marcelo.saboia\Documents\backup - diarq - 13.06.25\Atividade Semanal - Equipe\z. INDICADORES - POR DIA\[INDICADORES - Junho-Julho_2025_backup.xlsx]Leonam'!AL3+'C:\Users\marcelo.saboia\Documents\backup - diarq - 13.06.25\Atividade Semanal - Equipe\z. INDICADORES - POR DIA\[INDICADORES - Junho-Julho_2025_backup.xlsx]Danilo'!AL3+'C:\Users\marcelo.saboia\Documents\backup - diarq - 13.06.25\Atividade Semanal - Equipe\z. INDICADORES - POR DIA\[INDICADORES - Junho-Julho_2025_backup.xlsx]Marcos'!AL3+'C:\Users\marcelo.saboia\Documents\backup - diarq - 13.06.25\Atividade Semanal - Equipe\z. INDICADORES - POR DIA\[INDICADORES - Junho-Julho_2025_backup.xlsx]Carlos'!AL3+'C:\Users\marcelo.saboia\Documents\backup - diarq - 13.06.25\Atividade Semanal - Equipe\z. INDICADORES - POR DIA\[INDICADORES - Junho-Julho_2025_backup.xlsx]Alessandro'!AL3</f>
    </oc>
    <nc r="H3">
      <f>Diego!M3+Aelton!M3+Leonam!M3+Danilo!M3+Marcos!M3+Carlos!M3+Alessandro!M3</f>
    </nc>
    <odxf>
      <numFmt numFmtId="0" formatCode="General"/>
      <fill>
        <patternFill>
          <bgColor theme="0"/>
        </patternFill>
      </fill>
    </odxf>
    <ndxf>
      <numFmt numFmtId="3" formatCode="#,##0"/>
      <fill>
        <patternFill>
          <bgColor rgb="FFFFFF00"/>
        </patternFill>
      </fill>
    </ndxf>
  </rcc>
  <rcc rId="679" sId="3">
    <oc r="H4">
      <f>'C:\Users\marcelo.saboia\Documents\backup - diarq - 13.06.25\Atividade Semanal - Equipe\z. INDICADORES - POR DIA\[INDICADORES - Junho-Julho_2025_backup.xlsx]Diego'!AL4+'C:\Users\marcelo.saboia\Documents\backup - diarq - 13.06.25\Atividade Semanal - Equipe\z. INDICADORES - POR DIA\[INDICADORES - Junho-Julho_2025_backup.xlsx]Aelton'!AL4+'C:\Users\marcelo.saboia\Documents\backup - diarq - 13.06.25\Atividade Semanal - Equipe\z. INDICADORES - POR DIA\[INDICADORES - Junho-Julho_2025_backup.xlsx]Leonam'!AL4+'C:\Users\marcelo.saboia\Documents\backup - diarq - 13.06.25\Atividade Semanal - Equipe\z. INDICADORES - POR DIA\[INDICADORES - Junho-Julho_2025_backup.xlsx]Danilo'!AL4+'C:\Users\marcelo.saboia\Documents\backup - diarq - 13.06.25\Atividade Semanal - Equipe\z. INDICADORES - POR DIA\[INDICADORES - Junho-Julho_2025_backup.xlsx]Marcos'!AL4+'C:\Users\marcelo.saboia\Documents\backup - diarq - 13.06.25\Atividade Semanal - Equipe\z. INDICADORES - POR DIA\[INDICADORES - Junho-Julho_2025_backup.xlsx]Carlos'!AL4+'C:\Users\marcelo.saboia\Documents\backup - diarq - 13.06.25\Atividade Semanal - Equipe\z. INDICADORES - POR DIA\[INDICADORES - Junho-Julho_2025_backup.xlsx]Alessandro'!AL4</f>
    </oc>
    <nc r="H4">
      <f>Diego!M4+Aelton!M4+Leonam!M4+Danilo!M4+Marcos!M4+Carlos!M4+Alessandro!M4</f>
    </nc>
  </rcc>
  <rfmt sheetId="3" sqref="H5" start="0" length="0">
    <dxf>
      <numFmt numFmtId="3" formatCode="#,##0"/>
      <fill>
        <patternFill>
          <bgColor rgb="FFFFFF00"/>
        </patternFill>
      </fill>
    </dxf>
  </rfmt>
  <rcc rId="680" sId="3">
    <oc r="H6">
      <f>'C:\Users\marcelo.saboia\Documents\backup - diarq - 13.06.25\Atividade Semanal - Equipe\z. INDICADORES - POR DIA\[INDICADORES - Junho-Julho_2025_backup.xlsx]Diego'!AL6+'C:\Users\marcelo.saboia\Documents\backup - diarq - 13.06.25\Atividade Semanal - Equipe\z. INDICADORES - POR DIA\[INDICADORES - Junho-Julho_2025_backup.xlsx]Aelton'!AL6+'C:\Users\marcelo.saboia\Documents\backup - diarq - 13.06.25\Atividade Semanal - Equipe\z. INDICADORES - POR DIA\[INDICADORES - Junho-Julho_2025_backup.xlsx]Leonam'!AL6+'C:\Users\marcelo.saboia\Documents\backup - diarq - 13.06.25\Atividade Semanal - Equipe\z. INDICADORES - POR DIA\[INDICADORES - Junho-Julho_2025_backup.xlsx]Danilo'!AL6+'C:\Users\marcelo.saboia\Documents\backup - diarq - 13.06.25\Atividade Semanal - Equipe\z. INDICADORES - POR DIA\[INDICADORES - Junho-Julho_2025_backup.xlsx]Marcos'!AL6+'C:\Users\marcelo.saboia\Documents\backup - diarq - 13.06.25\Atividade Semanal - Equipe\z. INDICADORES - POR DIA\[INDICADORES - Junho-Julho_2025_backup.xlsx]Carlos'!AL6+'C:\Users\marcelo.saboia\Documents\backup - diarq - 13.06.25\Atividade Semanal - Equipe\z. INDICADORES - POR DIA\[INDICADORES - Junho-Julho_2025_backup.xlsx]Alessandro'!AL6</f>
    </oc>
    <nc r="H6">
      <f>Diego!M6+Aelton!M6+Leonam!M6+Danilo!M6+Marcos!M6+Carlos!M6+Alessandro!M6</f>
    </nc>
  </rcc>
  <rfmt sheetId="3" sqref="H7" start="0" length="0">
    <dxf>
      <numFmt numFmtId="3" formatCode="#,##0"/>
      <fill>
        <patternFill>
          <bgColor rgb="FFFFFF00"/>
        </patternFill>
      </fill>
    </dxf>
  </rfmt>
  <rcc rId="681" sId="3">
    <oc r="H8">
      <f>'C:\Users\marcelo.saboia\Documents\backup - diarq - 13.06.25\Atividade Semanal - Equipe\z. INDICADORES - POR DIA\[INDICADORES - Junho-Julho_2025_backup.xlsx]Diego'!AL8+'C:\Users\marcelo.saboia\Documents\backup - diarq - 13.06.25\Atividade Semanal - Equipe\z. INDICADORES - POR DIA\[INDICADORES - Junho-Julho_2025_backup.xlsx]Aelton'!AL8+'C:\Users\marcelo.saboia\Documents\backup - diarq - 13.06.25\Atividade Semanal - Equipe\z. INDICADORES - POR DIA\[INDICADORES - Junho-Julho_2025_backup.xlsx]Leonam'!AL8+'C:\Users\marcelo.saboia\Documents\backup - diarq - 13.06.25\Atividade Semanal - Equipe\z. INDICADORES - POR DIA\[INDICADORES - Junho-Julho_2025_backup.xlsx]Danilo'!AL8+'C:\Users\marcelo.saboia\Documents\backup - diarq - 13.06.25\Atividade Semanal - Equipe\z. INDICADORES - POR DIA\[INDICADORES - Junho-Julho_2025_backup.xlsx]Marcos'!AL8+'C:\Users\marcelo.saboia\Documents\backup - diarq - 13.06.25\Atividade Semanal - Equipe\z. INDICADORES - POR DIA\[INDICADORES - Junho-Julho_2025_backup.xlsx]Carlos'!AL8+'C:\Users\marcelo.saboia\Documents\backup - diarq - 13.06.25\Atividade Semanal - Equipe\z. INDICADORES - POR DIA\[INDICADORES - Junho-Julho_2025_backup.xlsx]Alessandro'!AL8</f>
    </oc>
    <nc r="H8">
      <f>Diego!M8+Aelton!M8+Leonam!M8+Danilo!M8+Marcos!M8+Carlos!M8+Alessandro!M8</f>
    </nc>
  </rcc>
  <rfmt sheetId="3" sqref="H9" start="0" length="0">
    <dxf>
      <numFmt numFmtId="3" formatCode="#,##0"/>
      <fill>
        <patternFill>
          <bgColor rgb="FFFFFF00"/>
        </patternFill>
      </fill>
    </dxf>
  </rfmt>
  <rcc rId="682" sId="3">
    <oc r="H10">
      <f>'C:\Users\marcelo.saboia\Documents\backup - diarq - 13.06.25\Atividade Semanal - Equipe\z. INDICADORES - POR DIA\[INDICADORES - Junho-Julho_2025_backup.xlsx]Diego'!AL10+'C:\Users\marcelo.saboia\Documents\backup - diarq - 13.06.25\Atividade Semanal - Equipe\z. INDICADORES - POR DIA\[INDICADORES - Junho-Julho_2025_backup.xlsx]Aelton'!AL10+'C:\Users\marcelo.saboia\Documents\backup - diarq - 13.06.25\Atividade Semanal - Equipe\z. INDICADORES - POR DIA\[INDICADORES - Junho-Julho_2025_backup.xlsx]Leonam'!AL10+'C:\Users\marcelo.saboia\Documents\backup - diarq - 13.06.25\Atividade Semanal - Equipe\z. INDICADORES - POR DIA\[INDICADORES - Junho-Julho_2025_backup.xlsx]Danilo'!AL10+'C:\Users\marcelo.saboia\Documents\backup - diarq - 13.06.25\Atividade Semanal - Equipe\z. INDICADORES - POR DIA\[INDICADORES - Junho-Julho_2025_backup.xlsx]Marcos'!AL10+'C:\Users\marcelo.saboia\Documents\backup - diarq - 13.06.25\Atividade Semanal - Equipe\z. INDICADORES - POR DIA\[INDICADORES - Junho-Julho_2025_backup.xlsx]Carlos'!AL10+'C:\Users\marcelo.saboia\Documents\backup - diarq - 13.06.25\Atividade Semanal - Equipe\z. INDICADORES - POR DIA\[INDICADORES - Junho-Julho_2025_backup.xlsx]Alessandro'!AL10</f>
    </oc>
    <nc r="H10">
      <f>Diego!M10+Aelton!M10+Leonam!M10+Danilo!M10+Marcos!M10+Carlos!M10+Alessandro!M10</f>
    </nc>
  </rcc>
  <rfmt sheetId="3" sqref="H11" start="0" length="0">
    <dxf>
      <numFmt numFmtId="3" formatCode="#,##0"/>
      <fill>
        <patternFill>
          <bgColor rgb="FFFFFF00"/>
        </patternFill>
      </fill>
    </dxf>
  </rfmt>
  <rcc rId="683" sId="3">
    <oc r="H12">
      <f>'C:\Users\marcelo.saboia\Documents\backup - diarq - 13.06.25\Atividade Semanal - Equipe\z. INDICADORES - POR DIA\[INDICADORES - Junho-Julho_2025_backup.xlsx]Diego'!AL12+'C:\Users\marcelo.saboia\Documents\backup - diarq - 13.06.25\Atividade Semanal - Equipe\z. INDICADORES - POR DIA\[INDICADORES - Junho-Julho_2025_backup.xlsx]Aelton'!AL12+'C:\Users\marcelo.saboia\Documents\backup - diarq - 13.06.25\Atividade Semanal - Equipe\z. INDICADORES - POR DIA\[INDICADORES - Junho-Julho_2025_backup.xlsx]Leonam'!AL12+'C:\Users\marcelo.saboia\Documents\backup - diarq - 13.06.25\Atividade Semanal - Equipe\z. INDICADORES - POR DIA\[INDICADORES - Junho-Julho_2025_backup.xlsx]Danilo'!AL12+'C:\Users\marcelo.saboia\Documents\backup - diarq - 13.06.25\Atividade Semanal - Equipe\z. INDICADORES - POR DIA\[INDICADORES - Junho-Julho_2025_backup.xlsx]Marcos'!AL12+'C:\Users\marcelo.saboia\Documents\backup - diarq - 13.06.25\Atividade Semanal - Equipe\z. INDICADORES - POR DIA\[INDICADORES - Junho-Julho_2025_backup.xlsx]Carlos'!AL12+'C:\Users\marcelo.saboia\Documents\backup - diarq - 13.06.25\Atividade Semanal - Equipe\z. INDICADORES - POR DIA\[INDICADORES - Junho-Julho_2025_backup.xlsx]Alessandro'!AL12</f>
    </oc>
    <nc r="H12">
      <f>Diego!M12+Aelton!M12+Leonam!M12+Danilo!M12+Marcos!M12+Carlos!M12+Alessandro!M12</f>
    </nc>
  </rcc>
  <rfmt sheetId="3" sqref="H13" start="0" length="0">
    <dxf>
      <numFmt numFmtId="3" formatCode="#,##0"/>
      <fill>
        <patternFill>
          <bgColor rgb="FFFFFF00"/>
        </patternFill>
      </fill>
    </dxf>
  </rfmt>
  <rcc rId="684" sId="3">
    <oc r="H14">
      <f>'C:\Users\marcelo.saboia\Documents\backup - diarq - 13.06.25\Atividade Semanal - Equipe\z. INDICADORES - POR DIA\[INDICADORES - Junho-Julho_2025_backup.xlsx]Diego'!AL14+'C:\Users\marcelo.saboia\Documents\backup - diarq - 13.06.25\Atividade Semanal - Equipe\z. INDICADORES - POR DIA\[INDICADORES - Junho-Julho_2025_backup.xlsx]Aelton'!AL14+'C:\Users\marcelo.saboia\Documents\backup - diarq - 13.06.25\Atividade Semanal - Equipe\z. INDICADORES - POR DIA\[INDICADORES - Junho-Julho_2025_backup.xlsx]Leonam'!AL14+'C:\Users\marcelo.saboia\Documents\backup - diarq - 13.06.25\Atividade Semanal - Equipe\z. INDICADORES - POR DIA\[INDICADORES - Junho-Julho_2025_backup.xlsx]Danilo'!AL14+'C:\Users\marcelo.saboia\Documents\backup - diarq - 13.06.25\Atividade Semanal - Equipe\z. INDICADORES - POR DIA\[INDICADORES - Junho-Julho_2025_backup.xlsx]Marcos'!AL14+'C:\Users\marcelo.saboia\Documents\backup - diarq - 13.06.25\Atividade Semanal - Equipe\z. INDICADORES - POR DIA\[INDICADORES - Junho-Julho_2025_backup.xlsx]Carlos'!AL14+'C:\Users\marcelo.saboia\Documents\backup - diarq - 13.06.25\Atividade Semanal - Equipe\z. INDICADORES - POR DIA\[INDICADORES - Junho-Julho_2025_backup.xlsx]Alessandro'!AL14</f>
    </oc>
    <nc r="H14">
      <f>Diego!M14+Aelton!M14+Leonam!M14+Danilo!M14+Marcos!M14+Carlos!M14+Alessandro!M14</f>
    </nc>
  </rcc>
  <rfmt sheetId="3" sqref="H15" start="0" length="0">
    <dxf>
      <numFmt numFmtId="3" formatCode="#,##0"/>
      <fill>
        <patternFill>
          <bgColor rgb="FFFFFF00"/>
        </patternFill>
      </fill>
    </dxf>
  </rfmt>
  <rcc rId="685" sId="3">
    <oc r="H16">
      <f>'C:\Users\marcelo.saboia\Documents\backup - diarq - 13.06.25\Atividade Semanal - Equipe\z. INDICADORES - POR DIA\[INDICADORES - Junho-Julho_2025_backup.xlsx]Diego'!AL16+'C:\Users\marcelo.saboia\Documents\backup - diarq - 13.06.25\Atividade Semanal - Equipe\z. INDICADORES - POR DIA\[INDICADORES - Junho-Julho_2025_backup.xlsx]Aelton'!AL16+'C:\Users\marcelo.saboia\Documents\backup - diarq - 13.06.25\Atividade Semanal - Equipe\z. INDICADORES - POR DIA\[INDICADORES - Junho-Julho_2025_backup.xlsx]Leonam'!AL16+'C:\Users\marcelo.saboia\Documents\backup - diarq - 13.06.25\Atividade Semanal - Equipe\z. INDICADORES - POR DIA\[INDICADORES - Junho-Julho_2025_backup.xlsx]Danilo'!AL16+'C:\Users\marcelo.saboia\Documents\backup - diarq - 13.06.25\Atividade Semanal - Equipe\z. INDICADORES - POR DIA\[INDICADORES - Junho-Julho_2025_backup.xlsx]Marcos'!AL16+'C:\Users\marcelo.saboia\Documents\backup - diarq - 13.06.25\Atividade Semanal - Equipe\z. INDICADORES - POR DIA\[INDICADORES - Junho-Julho_2025_backup.xlsx]Carlos'!AL16+'C:\Users\marcelo.saboia\Documents\backup - diarq - 13.06.25\Atividade Semanal - Equipe\z. INDICADORES - POR DIA\[INDICADORES - Junho-Julho_2025_backup.xlsx]Alessandro'!AL16</f>
    </oc>
    <nc r="H16">
      <f>Diego!M16+Aelton!M16+Leonam!M16+Danilo!M16+Marcos!M16+Carlos!M16+Alessandro!M16</f>
    </nc>
  </rcc>
  <rcc rId="686" sId="3">
    <oc r="I2">
      <f>'C:\Users\marcelo.saboia\Documents\backup - diarq - 13.06.25\Atividade Semanal - Equipe\z. INDICADORES - POR DIA\[INDICADORES - Junho-Julho_2025_backup.xlsx]Diego'!AR2+'C:\Users\marcelo.saboia\Documents\backup - diarq - 13.06.25\Atividade Semanal - Equipe\z. INDICADORES - POR DIA\[INDICADORES - Junho-Julho_2025_backup.xlsx]Aelton'!AR2+'C:\Users\marcelo.saboia\Documents\backup - diarq - 13.06.25\Atividade Semanal - Equipe\z. INDICADORES - POR DIA\[INDICADORES - Junho-Julho_2025_backup.xlsx]Leonam'!AR2+'C:\Users\marcelo.saboia\Documents\backup - diarq - 13.06.25\Atividade Semanal - Equipe\z. INDICADORES - POR DIA\[INDICADORES - Junho-Julho_2025_backup.xlsx]Danilo'!AR2+'C:\Users\marcelo.saboia\Documents\backup - diarq - 13.06.25\Atividade Semanal - Equipe\z. INDICADORES - POR DIA\[INDICADORES - Junho-Julho_2025_backup.xlsx]Marcos'!AR2+'C:\Users\marcelo.saboia\Documents\backup - diarq - 13.06.25\Atividade Semanal - Equipe\z. INDICADORES - POR DIA\[INDICADORES - Junho-Julho_2025_backup.xlsx]Carlos'!AR2+'C:\Users\marcelo.saboia\Documents\backup - diarq - 13.06.25\Atividade Semanal - Equipe\z. INDICADORES - POR DIA\[INDICADORES - Junho-Julho_2025_backup.xlsx]Alessandro'!AR2</f>
    </oc>
    <nc r="I2">
      <f>Diego!N2+Aelton!N2+Leonam!N2+Danilo!N2+Marcos!N2+Carlos!N2+Alessandro!N2</f>
    </nc>
  </rcc>
  <rcc rId="687" sId="3" odxf="1" dxf="1">
    <oc r="I3">
      <f>'C:\Users\marcelo.saboia\Documents\backup - diarq - 13.06.25\Atividade Semanal - Equipe\z. INDICADORES - POR DIA\[INDICADORES - Junho-Julho_2025_backup.xlsx]Diego'!AR3+'C:\Users\marcelo.saboia\Documents\backup - diarq - 13.06.25\Atividade Semanal - Equipe\z. INDICADORES - POR DIA\[INDICADORES - Junho-Julho_2025_backup.xlsx]Aelton'!AR3+'C:\Users\marcelo.saboia\Documents\backup - diarq - 13.06.25\Atividade Semanal - Equipe\z. INDICADORES - POR DIA\[INDICADORES - Junho-Julho_2025_backup.xlsx]Leonam'!AR3+'C:\Users\marcelo.saboia\Documents\backup - diarq - 13.06.25\Atividade Semanal - Equipe\z. INDICADORES - POR DIA\[INDICADORES - Junho-Julho_2025_backup.xlsx]Danilo'!AR3+'C:\Users\marcelo.saboia\Documents\backup - diarq - 13.06.25\Atividade Semanal - Equipe\z. INDICADORES - POR DIA\[INDICADORES - Junho-Julho_2025_backup.xlsx]Marcos'!AR3+'C:\Users\marcelo.saboia\Documents\backup - diarq - 13.06.25\Atividade Semanal - Equipe\z. INDICADORES - POR DIA\[INDICADORES - Junho-Julho_2025_backup.xlsx]Carlos'!AR3+'C:\Users\marcelo.saboia\Documents\backup - diarq - 13.06.25\Atividade Semanal - Equipe\z. INDICADORES - POR DIA\[INDICADORES - Junho-Julho_2025_backup.xlsx]Alessandro'!AR3</f>
    </oc>
    <nc r="I3">
      <f>Diego!N3+Aelton!N3+Leonam!N3+Danilo!N3+Marcos!N3+Carlos!N3+Alessandro!N3</f>
    </nc>
    <odxf>
      <numFmt numFmtId="0" formatCode="General"/>
      <fill>
        <patternFill>
          <bgColor theme="0"/>
        </patternFill>
      </fill>
    </odxf>
    <ndxf>
      <numFmt numFmtId="3" formatCode="#,##0"/>
      <fill>
        <patternFill>
          <bgColor rgb="FFFFFF00"/>
        </patternFill>
      </fill>
    </ndxf>
  </rcc>
  <rcc rId="688" sId="3">
    <oc r="I4">
      <f>'C:\Users\marcelo.saboia\Documents\backup - diarq - 13.06.25\Atividade Semanal - Equipe\z. INDICADORES - POR DIA\[INDICADORES - Junho-Julho_2025_backup.xlsx]Diego'!AR4+'C:\Users\marcelo.saboia\Documents\backup - diarq - 13.06.25\Atividade Semanal - Equipe\z. INDICADORES - POR DIA\[INDICADORES - Junho-Julho_2025_backup.xlsx]Aelton'!AR4+'C:\Users\marcelo.saboia\Documents\backup - diarq - 13.06.25\Atividade Semanal - Equipe\z. INDICADORES - POR DIA\[INDICADORES - Junho-Julho_2025_backup.xlsx]Leonam'!AR4+'C:\Users\marcelo.saboia\Documents\backup - diarq - 13.06.25\Atividade Semanal - Equipe\z. INDICADORES - POR DIA\[INDICADORES - Junho-Julho_2025_backup.xlsx]Danilo'!AR4+'C:\Users\marcelo.saboia\Documents\backup - diarq - 13.06.25\Atividade Semanal - Equipe\z. INDICADORES - POR DIA\[INDICADORES - Junho-Julho_2025_backup.xlsx]Marcos'!AR4+'C:\Users\marcelo.saboia\Documents\backup - diarq - 13.06.25\Atividade Semanal - Equipe\z. INDICADORES - POR DIA\[INDICADORES - Junho-Julho_2025_backup.xlsx]Carlos'!AR4+'C:\Users\marcelo.saboia\Documents\backup - diarq - 13.06.25\Atividade Semanal - Equipe\z. INDICADORES - POR DIA\[INDICADORES - Junho-Julho_2025_backup.xlsx]Alessandro'!AR4</f>
    </oc>
    <nc r="I4">
      <f>Diego!N4+Aelton!N4+Leonam!N4+Danilo!N4+Marcos!N4+Carlos!N4+Alessandro!N4</f>
    </nc>
  </rcc>
  <rfmt sheetId="3" sqref="I5" start="0" length="0">
    <dxf>
      <numFmt numFmtId="3" formatCode="#,##0"/>
      <fill>
        <patternFill>
          <bgColor rgb="FFFFFF00"/>
        </patternFill>
      </fill>
    </dxf>
  </rfmt>
  <rcc rId="689" sId="3">
    <oc r="I6">
      <f>'C:\Users\marcelo.saboia\Documents\backup - diarq - 13.06.25\Atividade Semanal - Equipe\z. INDICADORES - POR DIA\[INDICADORES - Junho-Julho_2025_backup.xlsx]Diego'!AR6+'C:\Users\marcelo.saboia\Documents\backup - diarq - 13.06.25\Atividade Semanal - Equipe\z. INDICADORES - POR DIA\[INDICADORES - Junho-Julho_2025_backup.xlsx]Aelton'!AR6+'C:\Users\marcelo.saboia\Documents\backup - diarq - 13.06.25\Atividade Semanal - Equipe\z. INDICADORES - POR DIA\[INDICADORES - Junho-Julho_2025_backup.xlsx]Leonam'!AR6+'C:\Users\marcelo.saboia\Documents\backup - diarq - 13.06.25\Atividade Semanal - Equipe\z. INDICADORES - POR DIA\[INDICADORES - Junho-Julho_2025_backup.xlsx]Danilo'!AR6+'C:\Users\marcelo.saboia\Documents\backup - diarq - 13.06.25\Atividade Semanal - Equipe\z. INDICADORES - POR DIA\[INDICADORES - Junho-Julho_2025_backup.xlsx]Marcos'!AR6+'C:\Users\marcelo.saboia\Documents\backup - diarq - 13.06.25\Atividade Semanal - Equipe\z. INDICADORES - POR DIA\[INDICADORES - Junho-Julho_2025_backup.xlsx]Carlos'!AR6+'C:\Users\marcelo.saboia\Documents\backup - diarq - 13.06.25\Atividade Semanal - Equipe\z. INDICADORES - POR DIA\[INDICADORES - Junho-Julho_2025_backup.xlsx]Alessandro'!AR6</f>
    </oc>
    <nc r="I6">
      <f>Diego!N6+Aelton!N6+Leonam!N6+Danilo!N6+Marcos!N6+Carlos!N6+Alessandro!N6</f>
    </nc>
  </rcc>
  <rfmt sheetId="3" sqref="I7" start="0" length="0">
    <dxf>
      <numFmt numFmtId="3" formatCode="#,##0"/>
      <fill>
        <patternFill>
          <bgColor rgb="FFFFFF00"/>
        </patternFill>
      </fill>
    </dxf>
  </rfmt>
  <rcc rId="690" sId="3">
    <oc r="I8">
      <f>'C:\Users\marcelo.saboia\Documents\backup - diarq - 13.06.25\Atividade Semanal - Equipe\z. INDICADORES - POR DIA\[INDICADORES - Junho-Julho_2025_backup.xlsx]Diego'!AR8+'C:\Users\marcelo.saboia\Documents\backup - diarq - 13.06.25\Atividade Semanal - Equipe\z. INDICADORES - POR DIA\[INDICADORES - Junho-Julho_2025_backup.xlsx]Aelton'!AR8+'C:\Users\marcelo.saboia\Documents\backup - diarq - 13.06.25\Atividade Semanal - Equipe\z. INDICADORES - POR DIA\[INDICADORES - Junho-Julho_2025_backup.xlsx]Leonam'!AR8+'C:\Users\marcelo.saboia\Documents\backup - diarq - 13.06.25\Atividade Semanal - Equipe\z. INDICADORES - POR DIA\[INDICADORES - Junho-Julho_2025_backup.xlsx]Danilo'!AR8+'C:\Users\marcelo.saboia\Documents\backup - diarq - 13.06.25\Atividade Semanal - Equipe\z. INDICADORES - POR DIA\[INDICADORES - Junho-Julho_2025_backup.xlsx]Marcos'!AR8+'C:\Users\marcelo.saboia\Documents\backup - diarq - 13.06.25\Atividade Semanal - Equipe\z. INDICADORES - POR DIA\[INDICADORES - Junho-Julho_2025_backup.xlsx]Carlos'!AR8+'C:\Users\marcelo.saboia\Documents\backup - diarq - 13.06.25\Atividade Semanal - Equipe\z. INDICADORES - POR DIA\[INDICADORES - Junho-Julho_2025_backup.xlsx]Alessandro'!AR8</f>
    </oc>
    <nc r="I8">
      <f>Diego!N8+Aelton!N8+Leonam!N8+Danilo!N8+Marcos!N8+Carlos!N8+Alessandro!N8</f>
    </nc>
  </rcc>
  <rfmt sheetId="3" sqref="I9" start="0" length="0">
    <dxf>
      <numFmt numFmtId="3" formatCode="#,##0"/>
      <fill>
        <patternFill>
          <bgColor rgb="FFFFFF00"/>
        </patternFill>
      </fill>
    </dxf>
  </rfmt>
  <rcc rId="691" sId="3">
    <oc r="I10">
      <f>'C:\Users\marcelo.saboia\Documents\backup - diarq - 13.06.25\Atividade Semanal - Equipe\z. INDICADORES - POR DIA\[INDICADORES - Junho-Julho_2025_backup.xlsx]Diego'!AR10+'C:\Users\marcelo.saboia\Documents\backup - diarq - 13.06.25\Atividade Semanal - Equipe\z. INDICADORES - POR DIA\[INDICADORES - Junho-Julho_2025_backup.xlsx]Aelton'!AR10+'C:\Users\marcelo.saboia\Documents\backup - diarq - 13.06.25\Atividade Semanal - Equipe\z. INDICADORES - POR DIA\[INDICADORES - Junho-Julho_2025_backup.xlsx]Leonam'!AR10+'C:\Users\marcelo.saboia\Documents\backup - diarq - 13.06.25\Atividade Semanal - Equipe\z. INDICADORES - POR DIA\[INDICADORES - Junho-Julho_2025_backup.xlsx]Danilo'!AR10+'C:\Users\marcelo.saboia\Documents\backup - diarq - 13.06.25\Atividade Semanal - Equipe\z. INDICADORES - POR DIA\[INDICADORES - Junho-Julho_2025_backup.xlsx]Marcos'!AR10+'C:\Users\marcelo.saboia\Documents\backup - diarq - 13.06.25\Atividade Semanal - Equipe\z. INDICADORES - POR DIA\[INDICADORES - Junho-Julho_2025_backup.xlsx]Carlos'!AR10+'C:\Users\marcelo.saboia\Documents\backup - diarq - 13.06.25\Atividade Semanal - Equipe\z. INDICADORES - POR DIA\[INDICADORES - Junho-Julho_2025_backup.xlsx]Alessandro'!AR10</f>
    </oc>
    <nc r="I10">
      <f>Diego!N10+Aelton!N10+Leonam!N10+Danilo!N10+Marcos!N10+Carlos!N10+Alessandro!N10</f>
    </nc>
  </rcc>
  <rfmt sheetId="3" sqref="I11" start="0" length="0">
    <dxf>
      <numFmt numFmtId="3" formatCode="#,##0"/>
      <fill>
        <patternFill>
          <bgColor rgb="FFFFFF00"/>
        </patternFill>
      </fill>
    </dxf>
  </rfmt>
  <rcc rId="692" sId="3">
    <oc r="I12">
      <f>'C:\Users\marcelo.saboia\Documents\backup - diarq - 13.06.25\Atividade Semanal - Equipe\z. INDICADORES - POR DIA\[INDICADORES - Junho-Julho_2025_backup.xlsx]Diego'!AR12+'C:\Users\marcelo.saboia\Documents\backup - diarq - 13.06.25\Atividade Semanal - Equipe\z. INDICADORES - POR DIA\[INDICADORES - Junho-Julho_2025_backup.xlsx]Aelton'!AR12+'C:\Users\marcelo.saboia\Documents\backup - diarq - 13.06.25\Atividade Semanal - Equipe\z. INDICADORES - POR DIA\[INDICADORES - Junho-Julho_2025_backup.xlsx]Leonam'!AR12+'C:\Users\marcelo.saboia\Documents\backup - diarq - 13.06.25\Atividade Semanal - Equipe\z. INDICADORES - POR DIA\[INDICADORES - Junho-Julho_2025_backup.xlsx]Danilo'!AR12+'C:\Users\marcelo.saboia\Documents\backup - diarq - 13.06.25\Atividade Semanal - Equipe\z. INDICADORES - POR DIA\[INDICADORES - Junho-Julho_2025_backup.xlsx]Marcos'!AR12+'C:\Users\marcelo.saboia\Documents\backup - diarq - 13.06.25\Atividade Semanal - Equipe\z. INDICADORES - POR DIA\[INDICADORES - Junho-Julho_2025_backup.xlsx]Carlos'!AR12+'C:\Users\marcelo.saboia\Documents\backup - diarq - 13.06.25\Atividade Semanal - Equipe\z. INDICADORES - POR DIA\[INDICADORES - Junho-Julho_2025_backup.xlsx]Alessandro'!AR12</f>
    </oc>
    <nc r="I12">
      <f>Diego!N12+Aelton!N12+Leonam!N12+Danilo!N12+Marcos!N12+Carlos!N12+Alessandro!N12</f>
    </nc>
  </rcc>
  <rfmt sheetId="3" sqref="I13" start="0" length="0">
    <dxf>
      <numFmt numFmtId="3" formatCode="#,##0"/>
      <fill>
        <patternFill>
          <bgColor rgb="FFFFFF00"/>
        </patternFill>
      </fill>
    </dxf>
  </rfmt>
  <rcc rId="693" sId="3">
    <oc r="I14">
      <f>'C:\Users\marcelo.saboia\Documents\backup - diarq - 13.06.25\Atividade Semanal - Equipe\z. INDICADORES - POR DIA\[INDICADORES - Junho-Julho_2025_backup.xlsx]Diego'!AR14+'C:\Users\marcelo.saboia\Documents\backup - diarq - 13.06.25\Atividade Semanal - Equipe\z. INDICADORES - POR DIA\[INDICADORES - Junho-Julho_2025_backup.xlsx]Aelton'!AR14+'C:\Users\marcelo.saboia\Documents\backup - diarq - 13.06.25\Atividade Semanal - Equipe\z. INDICADORES - POR DIA\[INDICADORES - Junho-Julho_2025_backup.xlsx]Leonam'!AR14+'C:\Users\marcelo.saboia\Documents\backup - diarq - 13.06.25\Atividade Semanal - Equipe\z. INDICADORES - POR DIA\[INDICADORES - Junho-Julho_2025_backup.xlsx]Danilo'!AR14+'C:\Users\marcelo.saboia\Documents\backup - diarq - 13.06.25\Atividade Semanal - Equipe\z. INDICADORES - POR DIA\[INDICADORES - Junho-Julho_2025_backup.xlsx]Marcos'!AR14+'C:\Users\marcelo.saboia\Documents\backup - diarq - 13.06.25\Atividade Semanal - Equipe\z. INDICADORES - POR DIA\[INDICADORES - Junho-Julho_2025_backup.xlsx]Carlos'!AR14+'C:\Users\marcelo.saboia\Documents\backup - diarq - 13.06.25\Atividade Semanal - Equipe\z. INDICADORES - POR DIA\[INDICADORES - Junho-Julho_2025_backup.xlsx]Alessandro'!AR14</f>
    </oc>
    <nc r="I14">
      <f>Diego!N14+Aelton!N14+Leonam!N14+Danilo!N14+Marcos!N14+Carlos!N14+Alessandro!N14</f>
    </nc>
  </rcc>
  <rfmt sheetId="3" sqref="I15" start="0" length="0">
    <dxf>
      <numFmt numFmtId="3" formatCode="#,##0"/>
      <fill>
        <patternFill>
          <bgColor rgb="FFFFFF00"/>
        </patternFill>
      </fill>
    </dxf>
  </rfmt>
  <rcc rId="694" sId="3">
    <oc r="I16">
      <f>'C:\Users\marcelo.saboia\Documents\backup - diarq - 13.06.25\Atividade Semanal - Equipe\z. INDICADORES - POR DIA\[INDICADORES - Junho-Julho_2025_backup.xlsx]Diego'!AR16+'C:\Users\marcelo.saboia\Documents\backup - diarq - 13.06.25\Atividade Semanal - Equipe\z. INDICADORES - POR DIA\[INDICADORES - Junho-Julho_2025_backup.xlsx]Aelton'!AR16+'C:\Users\marcelo.saboia\Documents\backup - diarq - 13.06.25\Atividade Semanal - Equipe\z. INDICADORES - POR DIA\[INDICADORES - Junho-Julho_2025_backup.xlsx]Leonam'!AR16+'C:\Users\marcelo.saboia\Documents\backup - diarq - 13.06.25\Atividade Semanal - Equipe\z. INDICADORES - POR DIA\[INDICADORES - Junho-Julho_2025_backup.xlsx]Danilo'!AR16+'C:\Users\marcelo.saboia\Documents\backup - diarq - 13.06.25\Atividade Semanal - Equipe\z. INDICADORES - POR DIA\[INDICADORES - Junho-Julho_2025_backup.xlsx]Marcos'!AR16+'C:\Users\marcelo.saboia\Documents\backup - diarq - 13.06.25\Atividade Semanal - Equipe\z. INDICADORES - POR DIA\[INDICADORES - Junho-Julho_2025_backup.xlsx]Carlos'!AR16+'C:\Users\marcelo.saboia\Documents\backup - diarq - 13.06.25\Atividade Semanal - Equipe\z. INDICADORES - POR DIA\[INDICADORES - Junho-Julho_2025_backup.xlsx]Alessandro'!AR16</f>
    </oc>
    <nc r="I16">
      <f>Diego!N16+Aelton!N16+Leonam!N16+Danilo!N16+Marcos!N16+Carlos!N16+Alessandro!N16</f>
    </nc>
  </rcc>
  <rcc rId="695" sId="3">
    <oc r="J2">
      <f>'C:\Users\marcelo.saboia\Documents\backup - diarq - 13.06.25\Atividade Semanal - Equipe\z. INDICADORES - POR DIA\[INDICADORES - Junho-Julho_2025_backup.xlsx]Diego'!AX2+'C:\Users\marcelo.saboia\Documents\backup - diarq - 13.06.25\Atividade Semanal - Equipe\z. INDICADORES - POR DIA\[INDICADORES - Junho-Julho_2025_backup.xlsx]Aelton'!AX2+'C:\Users\marcelo.saboia\Documents\backup - diarq - 13.06.25\Atividade Semanal - Equipe\z. INDICADORES - POR DIA\[INDICADORES - Junho-Julho_2025_backup.xlsx]Leonam'!AX2+'C:\Users\marcelo.saboia\Documents\backup - diarq - 13.06.25\Atividade Semanal - Equipe\z. INDICADORES - POR DIA\[INDICADORES - Junho-Julho_2025_backup.xlsx]Danilo'!AX2+'C:\Users\marcelo.saboia\Documents\backup - diarq - 13.06.25\Atividade Semanal - Equipe\z. INDICADORES - POR DIA\[INDICADORES - Junho-Julho_2025_backup.xlsx]Marcos'!AX2+'C:\Users\marcelo.saboia\Documents\backup - diarq - 13.06.25\Atividade Semanal - Equipe\z. INDICADORES - POR DIA\[INDICADORES - Junho-Julho_2025_backup.xlsx]Carlos'!AX2+'C:\Users\marcelo.saboia\Documents\backup - diarq - 13.06.25\Atividade Semanal - Equipe\z. INDICADORES - POR DIA\[INDICADORES - Junho-Julho_2025_backup.xlsx]Alessandro'!AX2</f>
    </oc>
    <nc r="J2">
      <f>Diego!O2+Aelton!O2+Leonam!O2+Danilo!O2+Marcos!O2+Carlos!O2+Alessandro!O2</f>
    </nc>
  </rcc>
  <rcc rId="696" sId="3" odxf="1" dxf="1">
    <oc r="J3">
      <f>'C:\Users\marcelo.saboia\Documents\backup - diarq - 13.06.25\Atividade Semanal - Equipe\z. INDICADORES - POR DIA\[INDICADORES - Junho-Julho_2025_backup.xlsx]Diego'!AX3+'C:\Users\marcelo.saboia\Documents\backup - diarq - 13.06.25\Atividade Semanal - Equipe\z. INDICADORES - POR DIA\[INDICADORES - Junho-Julho_2025_backup.xlsx]Aelton'!AX3+'C:\Users\marcelo.saboia\Documents\backup - diarq - 13.06.25\Atividade Semanal - Equipe\z. INDICADORES - POR DIA\[INDICADORES - Junho-Julho_2025_backup.xlsx]Leonam'!AX3+'C:\Users\marcelo.saboia\Documents\backup - diarq - 13.06.25\Atividade Semanal - Equipe\z. INDICADORES - POR DIA\[INDICADORES - Junho-Julho_2025_backup.xlsx]Danilo'!AX3+'C:\Users\marcelo.saboia\Documents\backup - diarq - 13.06.25\Atividade Semanal - Equipe\z. INDICADORES - POR DIA\[INDICADORES - Junho-Julho_2025_backup.xlsx]Marcos'!AX3+'C:\Users\marcelo.saboia\Documents\backup - diarq - 13.06.25\Atividade Semanal - Equipe\z. INDICADORES - POR DIA\[INDICADORES - Junho-Julho_2025_backup.xlsx]Carlos'!AX3+'C:\Users\marcelo.saboia\Documents\backup - diarq - 13.06.25\Atividade Semanal - Equipe\z. INDICADORES - POR DIA\[INDICADORES - Junho-Julho_2025_backup.xlsx]Alessandro'!AX3</f>
    </oc>
    <nc r="J3">
      <f>Diego!O3+Aelton!O3+Leonam!O3+Danilo!O3+Marcos!O3+Carlos!O3+Alessandro!O3</f>
    </nc>
    <odxf>
      <numFmt numFmtId="0" formatCode="General"/>
      <fill>
        <patternFill>
          <bgColor theme="0"/>
        </patternFill>
      </fill>
    </odxf>
    <ndxf>
      <numFmt numFmtId="3" formatCode="#,##0"/>
      <fill>
        <patternFill>
          <bgColor rgb="FFFFFF00"/>
        </patternFill>
      </fill>
    </ndxf>
  </rcc>
  <rcc rId="697" sId="3">
    <oc r="J4">
      <f>'C:\Users\marcelo.saboia\Documents\backup - diarq - 13.06.25\Atividade Semanal - Equipe\z. INDICADORES - POR DIA\[INDICADORES - Junho-Julho_2025_backup.xlsx]Diego'!AX4+'C:\Users\marcelo.saboia\Documents\backup - diarq - 13.06.25\Atividade Semanal - Equipe\z. INDICADORES - POR DIA\[INDICADORES - Junho-Julho_2025_backup.xlsx]Aelton'!AX4+'C:\Users\marcelo.saboia\Documents\backup - diarq - 13.06.25\Atividade Semanal - Equipe\z. INDICADORES - POR DIA\[INDICADORES - Junho-Julho_2025_backup.xlsx]Leonam'!AX4+'C:\Users\marcelo.saboia\Documents\backup - diarq - 13.06.25\Atividade Semanal - Equipe\z. INDICADORES - POR DIA\[INDICADORES - Junho-Julho_2025_backup.xlsx]Danilo'!AX4+'C:\Users\marcelo.saboia\Documents\backup - diarq - 13.06.25\Atividade Semanal - Equipe\z. INDICADORES - POR DIA\[INDICADORES - Junho-Julho_2025_backup.xlsx]Marcos'!AX4+'C:\Users\marcelo.saboia\Documents\backup - diarq - 13.06.25\Atividade Semanal - Equipe\z. INDICADORES - POR DIA\[INDICADORES - Junho-Julho_2025_backup.xlsx]Carlos'!AX4+'C:\Users\marcelo.saboia\Documents\backup - diarq - 13.06.25\Atividade Semanal - Equipe\z. INDICADORES - POR DIA\[INDICADORES - Junho-Julho_2025_backup.xlsx]Alessandro'!AX4</f>
    </oc>
    <nc r="J4">
      <f>Diego!O4+Aelton!O4+Leonam!O4+Danilo!O4+Marcos!O4+Carlos!O4+Alessandro!O4</f>
    </nc>
  </rcc>
  <rfmt sheetId="3" sqref="J5" start="0" length="0">
    <dxf>
      <numFmt numFmtId="3" formatCode="#,##0"/>
      <fill>
        <patternFill>
          <bgColor rgb="FFFFFF00"/>
        </patternFill>
      </fill>
    </dxf>
  </rfmt>
  <rcc rId="698" sId="3">
    <oc r="J6">
      <f>'C:\Users\marcelo.saboia\Documents\backup - diarq - 13.06.25\Atividade Semanal - Equipe\z. INDICADORES - POR DIA\[INDICADORES - Junho-Julho_2025_backup.xlsx]Diego'!AX6+'C:\Users\marcelo.saboia\Documents\backup - diarq - 13.06.25\Atividade Semanal - Equipe\z. INDICADORES - POR DIA\[INDICADORES - Junho-Julho_2025_backup.xlsx]Aelton'!AX6+'C:\Users\marcelo.saboia\Documents\backup - diarq - 13.06.25\Atividade Semanal - Equipe\z. INDICADORES - POR DIA\[INDICADORES - Junho-Julho_2025_backup.xlsx]Leonam'!AX6+'C:\Users\marcelo.saboia\Documents\backup - diarq - 13.06.25\Atividade Semanal - Equipe\z. INDICADORES - POR DIA\[INDICADORES - Junho-Julho_2025_backup.xlsx]Danilo'!AX6+'C:\Users\marcelo.saboia\Documents\backup - diarq - 13.06.25\Atividade Semanal - Equipe\z. INDICADORES - POR DIA\[INDICADORES - Junho-Julho_2025_backup.xlsx]Marcos'!AX6+'C:\Users\marcelo.saboia\Documents\backup - diarq - 13.06.25\Atividade Semanal - Equipe\z. INDICADORES - POR DIA\[INDICADORES - Junho-Julho_2025_backup.xlsx]Carlos'!AX6+'C:\Users\marcelo.saboia\Documents\backup - diarq - 13.06.25\Atividade Semanal - Equipe\z. INDICADORES - POR DIA\[INDICADORES - Junho-Julho_2025_backup.xlsx]Alessandro'!AX6</f>
    </oc>
    <nc r="J6">
      <f>Diego!O6+Aelton!O6+Leonam!O6+Danilo!O6+Marcos!O6+Carlos!O6+Alessandro!O6</f>
    </nc>
  </rcc>
  <rfmt sheetId="3" sqref="J7" start="0" length="0">
    <dxf>
      <numFmt numFmtId="3" formatCode="#,##0"/>
      <fill>
        <patternFill>
          <bgColor rgb="FFFFFF00"/>
        </patternFill>
      </fill>
    </dxf>
  </rfmt>
  <rcc rId="699" sId="3">
    <oc r="J8">
      <f>'C:\Users\marcelo.saboia\Documents\backup - diarq - 13.06.25\Atividade Semanal - Equipe\z. INDICADORES - POR DIA\[INDICADORES - Junho-Julho_2025_backup.xlsx]Diego'!AX8+'C:\Users\marcelo.saboia\Documents\backup - diarq - 13.06.25\Atividade Semanal - Equipe\z. INDICADORES - POR DIA\[INDICADORES - Junho-Julho_2025_backup.xlsx]Aelton'!AX8+'C:\Users\marcelo.saboia\Documents\backup - diarq - 13.06.25\Atividade Semanal - Equipe\z. INDICADORES - POR DIA\[INDICADORES - Junho-Julho_2025_backup.xlsx]Leonam'!AX8+'C:\Users\marcelo.saboia\Documents\backup - diarq - 13.06.25\Atividade Semanal - Equipe\z. INDICADORES - POR DIA\[INDICADORES - Junho-Julho_2025_backup.xlsx]Danilo'!AX8+'C:\Users\marcelo.saboia\Documents\backup - diarq - 13.06.25\Atividade Semanal - Equipe\z. INDICADORES - POR DIA\[INDICADORES - Junho-Julho_2025_backup.xlsx]Marcos'!AX8+'C:\Users\marcelo.saboia\Documents\backup - diarq - 13.06.25\Atividade Semanal - Equipe\z. INDICADORES - POR DIA\[INDICADORES - Junho-Julho_2025_backup.xlsx]Carlos'!AX8+'C:\Users\marcelo.saboia\Documents\backup - diarq - 13.06.25\Atividade Semanal - Equipe\z. INDICADORES - POR DIA\[INDICADORES - Junho-Julho_2025_backup.xlsx]Alessandro'!AX8</f>
    </oc>
    <nc r="J8">
      <f>Diego!O8+Aelton!O8+Leonam!O8+Danilo!O8+Marcos!O8+Carlos!O8+Alessandro!O8</f>
    </nc>
  </rcc>
  <rfmt sheetId="3" sqref="J9" start="0" length="0">
    <dxf>
      <numFmt numFmtId="3" formatCode="#,##0"/>
      <fill>
        <patternFill>
          <bgColor rgb="FFFFFF00"/>
        </patternFill>
      </fill>
    </dxf>
  </rfmt>
  <rcc rId="700" sId="3">
    <oc r="J10">
      <f>'C:\Users\marcelo.saboia\Documents\backup - diarq - 13.06.25\Atividade Semanal - Equipe\z. INDICADORES - POR DIA\[INDICADORES - Junho-Julho_2025_backup.xlsx]Diego'!AX10+'C:\Users\marcelo.saboia\Documents\backup - diarq - 13.06.25\Atividade Semanal - Equipe\z. INDICADORES - POR DIA\[INDICADORES - Junho-Julho_2025_backup.xlsx]Aelton'!AX10+'C:\Users\marcelo.saboia\Documents\backup - diarq - 13.06.25\Atividade Semanal - Equipe\z. INDICADORES - POR DIA\[INDICADORES - Junho-Julho_2025_backup.xlsx]Leonam'!AX10+'C:\Users\marcelo.saboia\Documents\backup - diarq - 13.06.25\Atividade Semanal - Equipe\z. INDICADORES - POR DIA\[INDICADORES - Junho-Julho_2025_backup.xlsx]Danilo'!AX10+'C:\Users\marcelo.saboia\Documents\backup - diarq - 13.06.25\Atividade Semanal - Equipe\z. INDICADORES - POR DIA\[INDICADORES - Junho-Julho_2025_backup.xlsx]Marcos'!AX10+'C:\Users\marcelo.saboia\Documents\backup - diarq - 13.06.25\Atividade Semanal - Equipe\z. INDICADORES - POR DIA\[INDICADORES - Junho-Julho_2025_backup.xlsx]Carlos'!AX10+'C:\Users\marcelo.saboia\Documents\backup - diarq - 13.06.25\Atividade Semanal - Equipe\z. INDICADORES - POR DIA\[INDICADORES - Junho-Julho_2025_backup.xlsx]Alessandro'!AX10</f>
    </oc>
    <nc r="J10">
      <f>Diego!O10+Aelton!O10+Leonam!O10+Danilo!O10+Marcos!O10+Carlos!O10+Alessandro!O10</f>
    </nc>
  </rcc>
  <rfmt sheetId="3" sqref="J11" start="0" length="0">
    <dxf>
      <numFmt numFmtId="3" formatCode="#,##0"/>
      <fill>
        <patternFill>
          <bgColor rgb="FFFFFF00"/>
        </patternFill>
      </fill>
    </dxf>
  </rfmt>
  <rcc rId="701" sId="3">
    <oc r="J12">
      <f>'C:\Users\marcelo.saboia\Documents\backup - diarq - 13.06.25\Atividade Semanal - Equipe\z. INDICADORES - POR DIA\[INDICADORES - Junho-Julho_2025_backup.xlsx]Diego'!AX12+'C:\Users\marcelo.saboia\Documents\backup - diarq - 13.06.25\Atividade Semanal - Equipe\z. INDICADORES - POR DIA\[INDICADORES - Junho-Julho_2025_backup.xlsx]Aelton'!AX12+'C:\Users\marcelo.saboia\Documents\backup - diarq - 13.06.25\Atividade Semanal - Equipe\z. INDICADORES - POR DIA\[INDICADORES - Junho-Julho_2025_backup.xlsx]Leonam'!AX12+'C:\Users\marcelo.saboia\Documents\backup - diarq - 13.06.25\Atividade Semanal - Equipe\z. INDICADORES - POR DIA\[INDICADORES - Junho-Julho_2025_backup.xlsx]Danilo'!AX12+'C:\Users\marcelo.saboia\Documents\backup - diarq - 13.06.25\Atividade Semanal - Equipe\z. INDICADORES - POR DIA\[INDICADORES - Junho-Julho_2025_backup.xlsx]Marcos'!AX12+'C:\Users\marcelo.saboia\Documents\backup - diarq - 13.06.25\Atividade Semanal - Equipe\z. INDICADORES - POR DIA\[INDICADORES - Junho-Julho_2025_backup.xlsx]Carlos'!AX12+'C:\Users\marcelo.saboia\Documents\backup - diarq - 13.06.25\Atividade Semanal - Equipe\z. INDICADORES - POR DIA\[INDICADORES - Junho-Julho_2025_backup.xlsx]Alessandro'!AX12</f>
    </oc>
    <nc r="J12">
      <f>Diego!O12+Aelton!O12+Leonam!O12+Danilo!O12+Marcos!O12+Carlos!O12+Alessandro!O12</f>
    </nc>
  </rcc>
  <rfmt sheetId="3" sqref="J13" start="0" length="0">
    <dxf>
      <numFmt numFmtId="3" formatCode="#,##0"/>
      <fill>
        <patternFill>
          <bgColor rgb="FFFFFF00"/>
        </patternFill>
      </fill>
    </dxf>
  </rfmt>
  <rcc rId="702" sId="3">
    <oc r="J14">
      <f>'C:\Users\marcelo.saboia\Documents\backup - diarq - 13.06.25\Atividade Semanal - Equipe\z. INDICADORES - POR DIA\[INDICADORES - Junho-Julho_2025_backup.xlsx]Diego'!AX14+'C:\Users\marcelo.saboia\Documents\backup - diarq - 13.06.25\Atividade Semanal - Equipe\z. INDICADORES - POR DIA\[INDICADORES - Junho-Julho_2025_backup.xlsx]Aelton'!AX14+'C:\Users\marcelo.saboia\Documents\backup - diarq - 13.06.25\Atividade Semanal - Equipe\z. INDICADORES - POR DIA\[INDICADORES - Junho-Julho_2025_backup.xlsx]Leonam'!AX14+'C:\Users\marcelo.saboia\Documents\backup - diarq - 13.06.25\Atividade Semanal - Equipe\z. INDICADORES - POR DIA\[INDICADORES - Junho-Julho_2025_backup.xlsx]Danilo'!AX14+'C:\Users\marcelo.saboia\Documents\backup - diarq - 13.06.25\Atividade Semanal - Equipe\z. INDICADORES - POR DIA\[INDICADORES - Junho-Julho_2025_backup.xlsx]Marcos'!AX14+'C:\Users\marcelo.saboia\Documents\backup - diarq - 13.06.25\Atividade Semanal - Equipe\z. INDICADORES - POR DIA\[INDICADORES - Junho-Julho_2025_backup.xlsx]Carlos'!AX14+'C:\Users\marcelo.saboia\Documents\backup - diarq - 13.06.25\Atividade Semanal - Equipe\z. INDICADORES - POR DIA\[INDICADORES - Junho-Julho_2025_backup.xlsx]Alessandro'!AX14</f>
    </oc>
    <nc r="J14">
      <f>Diego!O14+Aelton!O14+Leonam!O14+Danilo!O14+Marcos!O14+Carlos!O14+Alessandro!O14</f>
    </nc>
  </rcc>
  <rfmt sheetId="3" sqref="J15" start="0" length="0">
    <dxf>
      <numFmt numFmtId="3" formatCode="#,##0"/>
      <fill>
        <patternFill>
          <bgColor rgb="FFFFFF00"/>
        </patternFill>
      </fill>
    </dxf>
  </rfmt>
  <rcc rId="703" sId="3">
    <oc r="J16">
      <f>'C:\Users\marcelo.saboia\Documents\backup - diarq - 13.06.25\Atividade Semanal - Equipe\z. INDICADORES - POR DIA\[INDICADORES - Junho-Julho_2025_backup.xlsx]Diego'!AX16+'C:\Users\marcelo.saboia\Documents\backup - diarq - 13.06.25\Atividade Semanal - Equipe\z. INDICADORES - POR DIA\[INDICADORES - Junho-Julho_2025_backup.xlsx]Aelton'!AX16+'C:\Users\marcelo.saboia\Documents\backup - diarq - 13.06.25\Atividade Semanal - Equipe\z. INDICADORES - POR DIA\[INDICADORES - Junho-Julho_2025_backup.xlsx]Leonam'!AX16+'C:\Users\marcelo.saboia\Documents\backup - diarq - 13.06.25\Atividade Semanal - Equipe\z. INDICADORES - POR DIA\[INDICADORES - Junho-Julho_2025_backup.xlsx]Danilo'!AX16+'C:\Users\marcelo.saboia\Documents\backup - diarq - 13.06.25\Atividade Semanal - Equipe\z. INDICADORES - POR DIA\[INDICADORES - Junho-Julho_2025_backup.xlsx]Marcos'!AX16+'C:\Users\marcelo.saboia\Documents\backup - diarq - 13.06.25\Atividade Semanal - Equipe\z. INDICADORES - POR DIA\[INDICADORES - Junho-Julho_2025_backup.xlsx]Carlos'!AX16+'C:\Users\marcelo.saboia\Documents\backup - diarq - 13.06.25\Atividade Semanal - Equipe\z. INDICADORES - POR DIA\[INDICADORES - Junho-Julho_2025_backup.xlsx]Alessandro'!AX16</f>
    </oc>
    <nc r="J16">
      <f>Diego!O16+Aelton!O16+Leonam!O16+Danilo!O16+Marcos!O16+Carlos!O16+Alessandro!O16</f>
    </nc>
  </rcc>
  <rcc rId="704" sId="3">
    <oc r="K2">
      <f>'C:\Users\marcelo.saboia\Documents\backup - diarq - 13.06.25\Atividade Semanal - Equipe\z. INDICADORES - POR DIA\[INDICADORES - Junho-Julho_2025_backup.xlsx]Diego'!BD2+'C:\Users\marcelo.saboia\Documents\backup - diarq - 13.06.25\Atividade Semanal - Equipe\z. INDICADORES - POR DIA\[INDICADORES - Junho-Julho_2025_backup.xlsx]Aelton'!BD2+'C:\Users\marcelo.saboia\Documents\backup - diarq - 13.06.25\Atividade Semanal - Equipe\z. INDICADORES - POR DIA\[INDICADORES - Junho-Julho_2025_backup.xlsx]Leonam'!BD2+'C:\Users\marcelo.saboia\Documents\backup - diarq - 13.06.25\Atividade Semanal - Equipe\z. INDICADORES - POR DIA\[INDICADORES - Junho-Julho_2025_backup.xlsx]Danilo'!BD2+'C:\Users\marcelo.saboia\Documents\backup - diarq - 13.06.25\Atividade Semanal - Equipe\z. INDICADORES - POR DIA\[INDICADORES - Junho-Julho_2025_backup.xlsx]Marcos'!BD2+'C:\Users\marcelo.saboia\Documents\backup - diarq - 13.06.25\Atividade Semanal - Equipe\z. INDICADORES - POR DIA\[INDICADORES - Junho-Julho_2025_backup.xlsx]Carlos'!BD2+'C:\Users\marcelo.saboia\Documents\backup - diarq - 13.06.25\Atividade Semanal - Equipe\z. INDICADORES - POR DIA\[INDICADORES - Junho-Julho_2025_backup.xlsx]Alessandro'!BD2</f>
    </oc>
    <nc r="K2">
      <f>Diego!P2+Aelton!P2+Leonam!P2+Danilo!P2+Marcos!P2+Carlos!P2+Alessandro!P2</f>
    </nc>
  </rcc>
  <rcc rId="705" sId="3" odxf="1" dxf="1">
    <oc r="K3">
      <f>'C:\Users\marcelo.saboia\Documents\backup - diarq - 13.06.25\Atividade Semanal - Equipe\z. INDICADORES - POR DIA\[INDICADORES - Junho-Julho_2025_backup.xlsx]Diego'!BD3+'C:\Users\marcelo.saboia\Documents\backup - diarq - 13.06.25\Atividade Semanal - Equipe\z. INDICADORES - POR DIA\[INDICADORES - Junho-Julho_2025_backup.xlsx]Aelton'!BD3+'C:\Users\marcelo.saboia\Documents\backup - diarq - 13.06.25\Atividade Semanal - Equipe\z. INDICADORES - POR DIA\[INDICADORES - Junho-Julho_2025_backup.xlsx]Leonam'!BD3+'C:\Users\marcelo.saboia\Documents\backup - diarq - 13.06.25\Atividade Semanal - Equipe\z. INDICADORES - POR DIA\[INDICADORES - Junho-Julho_2025_backup.xlsx]Danilo'!BD3+'C:\Users\marcelo.saboia\Documents\backup - diarq - 13.06.25\Atividade Semanal - Equipe\z. INDICADORES - POR DIA\[INDICADORES - Junho-Julho_2025_backup.xlsx]Marcos'!BD3+'C:\Users\marcelo.saboia\Documents\backup - diarq - 13.06.25\Atividade Semanal - Equipe\z. INDICADORES - POR DIA\[INDICADORES - Junho-Julho_2025_backup.xlsx]Carlos'!BD3+'C:\Users\marcelo.saboia\Documents\backup - diarq - 13.06.25\Atividade Semanal - Equipe\z. INDICADORES - POR DIA\[INDICADORES - Junho-Julho_2025_backup.xlsx]Alessandro'!BD3</f>
    </oc>
    <nc r="K3">
      <f>Diego!P3+Aelton!P3+Leonam!P3+Danilo!P3+Marcos!P3+Carlos!P3+Alessandro!P3</f>
    </nc>
    <odxf>
      <numFmt numFmtId="0" formatCode="General"/>
      <fill>
        <patternFill>
          <bgColor theme="0"/>
        </patternFill>
      </fill>
    </odxf>
    <ndxf>
      <numFmt numFmtId="3" formatCode="#,##0"/>
      <fill>
        <patternFill>
          <bgColor rgb="FFFFFF00"/>
        </patternFill>
      </fill>
    </ndxf>
  </rcc>
  <rcc rId="706" sId="3">
    <oc r="K4">
      <f>'C:\Users\marcelo.saboia\Documents\backup - diarq - 13.06.25\Atividade Semanal - Equipe\z. INDICADORES - POR DIA\[INDICADORES - Junho-Julho_2025_backup.xlsx]Diego'!BD4+'C:\Users\marcelo.saboia\Documents\backup - diarq - 13.06.25\Atividade Semanal - Equipe\z. INDICADORES - POR DIA\[INDICADORES - Junho-Julho_2025_backup.xlsx]Aelton'!BD4+'C:\Users\marcelo.saboia\Documents\backup - diarq - 13.06.25\Atividade Semanal - Equipe\z. INDICADORES - POR DIA\[INDICADORES - Junho-Julho_2025_backup.xlsx]Leonam'!BD4+'C:\Users\marcelo.saboia\Documents\backup - diarq - 13.06.25\Atividade Semanal - Equipe\z. INDICADORES - POR DIA\[INDICADORES - Junho-Julho_2025_backup.xlsx]Danilo'!BD4+'C:\Users\marcelo.saboia\Documents\backup - diarq - 13.06.25\Atividade Semanal - Equipe\z. INDICADORES - POR DIA\[INDICADORES - Junho-Julho_2025_backup.xlsx]Marcos'!BD4+'C:\Users\marcelo.saboia\Documents\backup - diarq - 13.06.25\Atividade Semanal - Equipe\z. INDICADORES - POR DIA\[INDICADORES - Junho-Julho_2025_backup.xlsx]Carlos'!BD4+'C:\Users\marcelo.saboia\Documents\backup - diarq - 13.06.25\Atividade Semanal - Equipe\z. INDICADORES - POR DIA\[INDICADORES - Junho-Julho_2025_backup.xlsx]Alessandro'!BD4</f>
    </oc>
    <nc r="K4">
      <f>Diego!P4+Aelton!P4+Leonam!P4+Danilo!P4+Marcos!P4+Carlos!P4+Alessandro!P4</f>
    </nc>
  </rcc>
  <rfmt sheetId="3" sqref="K5" start="0" length="0">
    <dxf>
      <numFmt numFmtId="3" formatCode="#,##0"/>
      <fill>
        <patternFill>
          <bgColor rgb="FFFFFF00"/>
        </patternFill>
      </fill>
    </dxf>
  </rfmt>
  <rcc rId="707" sId="3">
    <oc r="K6">
      <f>'C:\Users\marcelo.saboia\Documents\backup - diarq - 13.06.25\Atividade Semanal - Equipe\z. INDICADORES - POR DIA\[INDICADORES - Junho-Julho_2025_backup.xlsx]Diego'!BD6+'C:\Users\marcelo.saboia\Documents\backup - diarq - 13.06.25\Atividade Semanal - Equipe\z. INDICADORES - POR DIA\[INDICADORES - Junho-Julho_2025_backup.xlsx]Aelton'!BD6+'C:\Users\marcelo.saboia\Documents\backup - diarq - 13.06.25\Atividade Semanal - Equipe\z. INDICADORES - POR DIA\[INDICADORES - Junho-Julho_2025_backup.xlsx]Leonam'!BD6+'C:\Users\marcelo.saboia\Documents\backup - diarq - 13.06.25\Atividade Semanal - Equipe\z. INDICADORES - POR DIA\[INDICADORES - Junho-Julho_2025_backup.xlsx]Danilo'!BD6+'C:\Users\marcelo.saboia\Documents\backup - diarq - 13.06.25\Atividade Semanal - Equipe\z. INDICADORES - POR DIA\[INDICADORES - Junho-Julho_2025_backup.xlsx]Marcos'!BD6+'C:\Users\marcelo.saboia\Documents\backup - diarq - 13.06.25\Atividade Semanal - Equipe\z. INDICADORES - POR DIA\[INDICADORES - Junho-Julho_2025_backup.xlsx]Carlos'!BD6+'C:\Users\marcelo.saboia\Documents\backup - diarq - 13.06.25\Atividade Semanal - Equipe\z. INDICADORES - POR DIA\[INDICADORES - Junho-Julho_2025_backup.xlsx]Alessandro'!BD6</f>
    </oc>
    <nc r="K6">
      <f>Diego!P6+Aelton!P6+Leonam!P6+Danilo!P6+Marcos!P6+Carlos!P6+Alessandro!P6</f>
    </nc>
  </rcc>
  <rfmt sheetId="3" sqref="K7" start="0" length="0">
    <dxf>
      <numFmt numFmtId="3" formatCode="#,##0"/>
      <fill>
        <patternFill>
          <bgColor rgb="FFFFFF00"/>
        </patternFill>
      </fill>
    </dxf>
  </rfmt>
  <rcc rId="708" sId="3">
    <oc r="K8">
      <f>'C:\Users\marcelo.saboia\Documents\backup - diarq - 13.06.25\Atividade Semanal - Equipe\z. INDICADORES - POR DIA\[INDICADORES - Junho-Julho_2025_backup.xlsx]Diego'!BD8+'C:\Users\marcelo.saboia\Documents\backup - diarq - 13.06.25\Atividade Semanal - Equipe\z. INDICADORES - POR DIA\[INDICADORES - Junho-Julho_2025_backup.xlsx]Aelton'!BD8+'C:\Users\marcelo.saboia\Documents\backup - diarq - 13.06.25\Atividade Semanal - Equipe\z. INDICADORES - POR DIA\[INDICADORES - Junho-Julho_2025_backup.xlsx]Leonam'!BD8+'C:\Users\marcelo.saboia\Documents\backup - diarq - 13.06.25\Atividade Semanal - Equipe\z. INDICADORES - POR DIA\[INDICADORES - Junho-Julho_2025_backup.xlsx]Danilo'!BD8+'C:\Users\marcelo.saboia\Documents\backup - diarq - 13.06.25\Atividade Semanal - Equipe\z. INDICADORES - POR DIA\[INDICADORES - Junho-Julho_2025_backup.xlsx]Marcos'!BD8+'C:\Users\marcelo.saboia\Documents\backup - diarq - 13.06.25\Atividade Semanal - Equipe\z. INDICADORES - POR DIA\[INDICADORES - Junho-Julho_2025_backup.xlsx]Carlos'!BD8+'C:\Users\marcelo.saboia\Documents\backup - diarq - 13.06.25\Atividade Semanal - Equipe\z. INDICADORES - POR DIA\[INDICADORES - Junho-Julho_2025_backup.xlsx]Alessandro'!BD8</f>
    </oc>
    <nc r="K8">
      <f>Diego!P8+Aelton!P8+Leonam!P8+Danilo!P8+Marcos!P8+Carlos!P8+Alessandro!P8</f>
    </nc>
  </rcc>
  <rfmt sheetId="3" sqref="K9" start="0" length="0">
    <dxf>
      <numFmt numFmtId="3" formatCode="#,##0"/>
      <fill>
        <patternFill>
          <bgColor rgb="FFFFFF00"/>
        </patternFill>
      </fill>
    </dxf>
  </rfmt>
  <rcc rId="709" sId="3">
    <oc r="K10">
      <f>'C:\Users\marcelo.saboia\Documents\backup - diarq - 13.06.25\Atividade Semanal - Equipe\z. INDICADORES - POR DIA\[INDICADORES - Junho-Julho_2025_backup.xlsx]Diego'!BD10+'C:\Users\marcelo.saboia\Documents\backup - diarq - 13.06.25\Atividade Semanal - Equipe\z. INDICADORES - POR DIA\[INDICADORES - Junho-Julho_2025_backup.xlsx]Aelton'!BD10+'C:\Users\marcelo.saboia\Documents\backup - diarq - 13.06.25\Atividade Semanal - Equipe\z. INDICADORES - POR DIA\[INDICADORES - Junho-Julho_2025_backup.xlsx]Leonam'!BD10+'C:\Users\marcelo.saboia\Documents\backup - diarq - 13.06.25\Atividade Semanal - Equipe\z. INDICADORES - POR DIA\[INDICADORES - Junho-Julho_2025_backup.xlsx]Danilo'!BD10+'C:\Users\marcelo.saboia\Documents\backup - diarq - 13.06.25\Atividade Semanal - Equipe\z. INDICADORES - POR DIA\[INDICADORES - Junho-Julho_2025_backup.xlsx]Marcos'!BD10+'C:\Users\marcelo.saboia\Documents\backup - diarq - 13.06.25\Atividade Semanal - Equipe\z. INDICADORES - POR DIA\[INDICADORES - Junho-Julho_2025_backup.xlsx]Carlos'!BD10+'C:\Users\marcelo.saboia\Documents\backup - diarq - 13.06.25\Atividade Semanal - Equipe\z. INDICADORES - POR DIA\[INDICADORES - Junho-Julho_2025_backup.xlsx]Alessandro'!BD10</f>
    </oc>
    <nc r="K10">
      <f>Diego!P10+Aelton!P10+Leonam!P10+Danilo!P10+Marcos!P10+Carlos!P10+Alessandro!P10</f>
    </nc>
  </rcc>
  <rfmt sheetId="3" sqref="K11" start="0" length="0">
    <dxf>
      <numFmt numFmtId="3" formatCode="#,##0"/>
      <fill>
        <patternFill>
          <bgColor rgb="FFFFFF00"/>
        </patternFill>
      </fill>
    </dxf>
  </rfmt>
  <rcc rId="710" sId="3">
    <oc r="K12">
      <f>'C:\Users\marcelo.saboia\Documents\backup - diarq - 13.06.25\Atividade Semanal - Equipe\z. INDICADORES - POR DIA\[INDICADORES - Junho-Julho_2025_backup.xlsx]Diego'!BD12+'C:\Users\marcelo.saboia\Documents\backup - diarq - 13.06.25\Atividade Semanal - Equipe\z. INDICADORES - POR DIA\[INDICADORES - Junho-Julho_2025_backup.xlsx]Aelton'!BD12+'C:\Users\marcelo.saboia\Documents\backup - diarq - 13.06.25\Atividade Semanal - Equipe\z. INDICADORES - POR DIA\[INDICADORES - Junho-Julho_2025_backup.xlsx]Leonam'!BD12+'C:\Users\marcelo.saboia\Documents\backup - diarq - 13.06.25\Atividade Semanal - Equipe\z. INDICADORES - POR DIA\[INDICADORES - Junho-Julho_2025_backup.xlsx]Danilo'!BD12+'C:\Users\marcelo.saboia\Documents\backup - diarq - 13.06.25\Atividade Semanal - Equipe\z. INDICADORES - POR DIA\[INDICADORES - Junho-Julho_2025_backup.xlsx]Marcos'!BD12+'C:\Users\marcelo.saboia\Documents\backup - diarq - 13.06.25\Atividade Semanal - Equipe\z. INDICADORES - POR DIA\[INDICADORES - Junho-Julho_2025_backup.xlsx]Carlos'!BD12+'C:\Users\marcelo.saboia\Documents\backup - diarq - 13.06.25\Atividade Semanal - Equipe\z. INDICADORES - POR DIA\[INDICADORES - Junho-Julho_2025_backup.xlsx]Alessandro'!BD12</f>
    </oc>
    <nc r="K12">
      <f>Diego!P12+Aelton!P12+Leonam!P12+Danilo!P12+Marcos!P12+Carlos!P12+Alessandro!P12</f>
    </nc>
  </rcc>
  <rfmt sheetId="3" sqref="K13" start="0" length="0">
    <dxf>
      <numFmt numFmtId="3" formatCode="#,##0"/>
      <fill>
        <patternFill>
          <bgColor rgb="FFFFFF00"/>
        </patternFill>
      </fill>
    </dxf>
  </rfmt>
  <rcc rId="711" sId="3">
    <oc r="K14">
      <f>'C:\Users\marcelo.saboia\Documents\backup - diarq - 13.06.25\Atividade Semanal - Equipe\z. INDICADORES - POR DIA\[INDICADORES - Junho-Julho_2025_backup.xlsx]Diego'!BD14+'C:\Users\marcelo.saboia\Documents\backup - diarq - 13.06.25\Atividade Semanal - Equipe\z. INDICADORES - POR DIA\[INDICADORES - Junho-Julho_2025_backup.xlsx]Aelton'!BD14+'C:\Users\marcelo.saboia\Documents\backup - diarq - 13.06.25\Atividade Semanal - Equipe\z. INDICADORES - POR DIA\[INDICADORES - Junho-Julho_2025_backup.xlsx]Leonam'!BD14+'C:\Users\marcelo.saboia\Documents\backup - diarq - 13.06.25\Atividade Semanal - Equipe\z. INDICADORES - POR DIA\[INDICADORES - Junho-Julho_2025_backup.xlsx]Danilo'!BD14+'C:\Users\marcelo.saboia\Documents\backup - diarq - 13.06.25\Atividade Semanal - Equipe\z. INDICADORES - POR DIA\[INDICADORES - Junho-Julho_2025_backup.xlsx]Marcos'!BD14+'C:\Users\marcelo.saboia\Documents\backup - diarq - 13.06.25\Atividade Semanal - Equipe\z. INDICADORES - POR DIA\[INDICADORES - Junho-Julho_2025_backup.xlsx]Carlos'!BD14+'C:\Users\marcelo.saboia\Documents\backup - diarq - 13.06.25\Atividade Semanal - Equipe\z. INDICADORES - POR DIA\[INDICADORES - Junho-Julho_2025_backup.xlsx]Alessandro'!BD14</f>
    </oc>
    <nc r="K14">
      <f>Diego!P14+Aelton!P14+Leonam!P14+Danilo!P14+Marcos!P14+Carlos!P14+Alessandro!P14</f>
    </nc>
  </rcc>
  <rfmt sheetId="3" sqref="K15" start="0" length="0">
    <dxf>
      <numFmt numFmtId="3" formatCode="#,##0"/>
      <fill>
        <patternFill>
          <bgColor rgb="FFFFFF00"/>
        </patternFill>
      </fill>
    </dxf>
  </rfmt>
  <rcc rId="712" sId="3">
    <oc r="K16">
      <f>'C:\Users\marcelo.saboia\Documents\backup - diarq - 13.06.25\Atividade Semanal - Equipe\z. INDICADORES - POR DIA\[INDICADORES - Junho-Julho_2025_backup.xlsx]Diego'!BD16+'C:\Users\marcelo.saboia\Documents\backup - diarq - 13.06.25\Atividade Semanal - Equipe\z. INDICADORES - POR DIA\[INDICADORES - Junho-Julho_2025_backup.xlsx]Aelton'!BD16+'C:\Users\marcelo.saboia\Documents\backup - diarq - 13.06.25\Atividade Semanal - Equipe\z. INDICADORES - POR DIA\[INDICADORES - Junho-Julho_2025_backup.xlsx]Leonam'!BD16+'C:\Users\marcelo.saboia\Documents\backup - diarq - 13.06.25\Atividade Semanal - Equipe\z. INDICADORES - POR DIA\[INDICADORES - Junho-Julho_2025_backup.xlsx]Danilo'!BD16+'C:\Users\marcelo.saboia\Documents\backup - diarq - 13.06.25\Atividade Semanal - Equipe\z. INDICADORES - POR DIA\[INDICADORES - Junho-Julho_2025_backup.xlsx]Marcos'!BD16+'C:\Users\marcelo.saboia\Documents\backup - diarq - 13.06.25\Atividade Semanal - Equipe\z. INDICADORES - POR DIA\[INDICADORES - Junho-Julho_2025_backup.xlsx]Carlos'!BD16+'C:\Users\marcelo.saboia\Documents\backup - diarq - 13.06.25\Atividade Semanal - Equipe\z. INDICADORES - POR DIA\[INDICADORES - Junho-Julho_2025_backup.xlsx]Alessandro'!BD16</f>
    </oc>
    <nc r="K16">
      <f>Diego!P16+Aelton!P16+Leonam!P16+Danilo!P16+Marcos!P16+Carlos!P16+Alessandro!P16</f>
    </nc>
  </rcc>
  <rfmt sheetId="3" sqref="C3:K3">
    <dxf>
      <fill>
        <patternFill>
          <bgColor theme="0"/>
        </patternFill>
      </fill>
    </dxf>
  </rfmt>
  <rcc rId="713" sId="3" odxf="1" dxf="1">
    <oc r="C5">
      <f>Diego!H5+Aelton!H5+Leonam!H5+Danilo!H5+Marcos!H5+Carlos!H5+Alessandro!H5</f>
    </oc>
    <nc r="C5">
      <f>Diego!H5+Aelton!H5+Leonam!H5+Danilo!H5+Marcos!H5+Carlos!H5+Alessandro!H5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14" sId="3" odxf="1" dxf="1">
    <oc r="D5">
      <f>Diego!I5+Aelton!I5+Leonam!I5+Danilo!I5+Marcos!I5+Carlos!I5+Alessandro!I5</f>
    </oc>
    <nc r="D5">
      <f>Diego!I5+Aelton!I5+Leonam!I5+Danilo!I5+Marcos!I5+Carlos!I5+Alessandro!I5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15" sId="3" odxf="1" dxf="1">
    <oc r="E5">
      <f>Diego!J5+Aelton!J5+Leonam!J5+Danilo!J5+Marcos!J5+Carlos!J5+Alessandro!J5</f>
    </oc>
    <nc r="E5">
      <f>Diego!J5+Aelton!J5+Leonam!J5+Danilo!J5+Marcos!J5+Carlos!J5+Alessandro!J5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16" sId="3" odxf="1" dxf="1">
    <oc r="F5">
      <f>Diego!K5+Aelton!K5+Leonam!K5+Danilo!K5+Marcos!K5+Carlos!K5+Alessandro!K5</f>
    </oc>
    <nc r="F5">
      <f>Diego!K5+Aelton!K5+Leonam!K5+Danilo!K5+Marcos!K5+Carlos!K5+Alessandro!K5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17" sId="3" odxf="1" dxf="1">
    <oc r="G5">
      <f>'C:\Users\marcelo.saboia\Documents\backup - diarq - 13.06.25\Atividade Semanal - Equipe\z. INDICADORES - POR DIA\[INDICADORES - Junho-Julho_2025_backup.xlsx]Diego'!AF5+'C:\Users\marcelo.saboia\Documents\backup - diarq - 13.06.25\Atividade Semanal - Equipe\z. INDICADORES - POR DIA\[INDICADORES - Junho-Julho_2025_backup.xlsx]Aelton'!AF5+'C:\Users\marcelo.saboia\Documents\backup - diarq - 13.06.25\Atividade Semanal - Equipe\z. INDICADORES - POR DIA\[INDICADORES - Junho-Julho_2025_backup.xlsx]Leonam'!AF5+'C:\Users\marcelo.saboia\Documents\backup - diarq - 13.06.25\Atividade Semanal - Equipe\z. INDICADORES - POR DIA\[INDICADORES - Junho-Julho_2025_backup.xlsx]Danilo'!AF5+'C:\Users\marcelo.saboia\Documents\backup - diarq - 13.06.25\Atividade Semanal - Equipe\z. INDICADORES - POR DIA\[INDICADORES - Junho-Julho_2025_backup.xlsx]Marcos'!AF5+'C:\Users\marcelo.saboia\Documents\backup - diarq - 13.06.25\Atividade Semanal - Equipe\z. INDICADORES - POR DIA\[INDICADORES - Junho-Julho_2025_backup.xlsx]Carlos'!AF5+'C:\Users\marcelo.saboia\Documents\backup - diarq - 13.06.25\Atividade Semanal - Equipe\z. INDICADORES - POR DIA\[INDICADORES - Junho-Julho_2025_backup.xlsx]Alessandro'!AF5</f>
    </oc>
    <nc r="G5">
      <f>Diego!L5+Aelton!L5+Leonam!L5+Danilo!L5+Marcos!L5+Carlos!L5+Alessandro!L5</f>
    </nc>
    <ndxf>
      <fill>
        <patternFill>
          <bgColor theme="0"/>
        </patternFill>
      </fill>
    </ndxf>
  </rcc>
  <rcc rId="718" sId="3" odxf="1" dxf="1">
    <oc r="H5">
      <f>'C:\Users\marcelo.saboia\Documents\backup - diarq - 13.06.25\Atividade Semanal - Equipe\z. INDICADORES - POR DIA\[INDICADORES - Junho-Julho_2025_backup.xlsx]Diego'!AL5+'C:\Users\marcelo.saboia\Documents\backup - diarq - 13.06.25\Atividade Semanal - Equipe\z. INDICADORES - POR DIA\[INDICADORES - Junho-Julho_2025_backup.xlsx]Aelton'!AL5+'C:\Users\marcelo.saboia\Documents\backup - diarq - 13.06.25\Atividade Semanal - Equipe\z. INDICADORES - POR DIA\[INDICADORES - Junho-Julho_2025_backup.xlsx]Leonam'!AL5+'C:\Users\marcelo.saboia\Documents\backup - diarq - 13.06.25\Atividade Semanal - Equipe\z. INDICADORES - POR DIA\[INDICADORES - Junho-Julho_2025_backup.xlsx]Danilo'!AL5+'C:\Users\marcelo.saboia\Documents\backup - diarq - 13.06.25\Atividade Semanal - Equipe\z. INDICADORES - POR DIA\[INDICADORES - Junho-Julho_2025_backup.xlsx]Marcos'!AL5+'C:\Users\marcelo.saboia\Documents\backup - diarq - 13.06.25\Atividade Semanal - Equipe\z. INDICADORES - POR DIA\[INDICADORES - Junho-Julho_2025_backup.xlsx]Carlos'!AL5+'C:\Users\marcelo.saboia\Documents\backup - diarq - 13.06.25\Atividade Semanal - Equipe\z. INDICADORES - POR DIA\[INDICADORES - Junho-Julho_2025_backup.xlsx]Alessandro'!AL5</f>
    </oc>
    <nc r="H5">
      <f>Diego!M5+Aelton!M5+Leonam!M5+Danilo!M5+Marcos!M5+Carlos!M5+Alessandro!M5</f>
    </nc>
    <ndxf>
      <fill>
        <patternFill>
          <bgColor theme="0"/>
        </patternFill>
      </fill>
    </ndxf>
  </rcc>
  <rcc rId="719" sId="3" odxf="1" dxf="1">
    <oc r="I5">
      <f>'C:\Users\marcelo.saboia\Documents\backup - diarq - 13.06.25\Atividade Semanal - Equipe\z. INDICADORES - POR DIA\[INDICADORES - Junho-Julho_2025_backup.xlsx]Diego'!AR5+'C:\Users\marcelo.saboia\Documents\backup - diarq - 13.06.25\Atividade Semanal - Equipe\z. INDICADORES - POR DIA\[INDICADORES - Junho-Julho_2025_backup.xlsx]Aelton'!AR5+'C:\Users\marcelo.saboia\Documents\backup - diarq - 13.06.25\Atividade Semanal - Equipe\z. INDICADORES - POR DIA\[INDICADORES - Junho-Julho_2025_backup.xlsx]Leonam'!AR5+'C:\Users\marcelo.saboia\Documents\backup - diarq - 13.06.25\Atividade Semanal - Equipe\z. INDICADORES - POR DIA\[INDICADORES - Junho-Julho_2025_backup.xlsx]Danilo'!AR5+'C:\Users\marcelo.saboia\Documents\backup - diarq - 13.06.25\Atividade Semanal - Equipe\z. INDICADORES - POR DIA\[INDICADORES - Junho-Julho_2025_backup.xlsx]Marcos'!AR5+'C:\Users\marcelo.saboia\Documents\backup - diarq - 13.06.25\Atividade Semanal - Equipe\z. INDICADORES - POR DIA\[INDICADORES - Junho-Julho_2025_backup.xlsx]Carlos'!AR5+'C:\Users\marcelo.saboia\Documents\backup - diarq - 13.06.25\Atividade Semanal - Equipe\z. INDICADORES - POR DIA\[INDICADORES - Junho-Julho_2025_backup.xlsx]Alessandro'!AR5</f>
    </oc>
    <nc r="I5">
      <f>Diego!N5+Aelton!N5+Leonam!N5+Danilo!N5+Marcos!N5+Carlos!N5+Alessandro!N5</f>
    </nc>
    <ndxf>
      <fill>
        <patternFill>
          <bgColor theme="0"/>
        </patternFill>
      </fill>
    </ndxf>
  </rcc>
  <rcc rId="720" sId="3" odxf="1" dxf="1">
    <oc r="J5">
      <f>'C:\Users\marcelo.saboia\Documents\backup - diarq - 13.06.25\Atividade Semanal - Equipe\z. INDICADORES - POR DIA\[INDICADORES - Junho-Julho_2025_backup.xlsx]Diego'!AX5+'C:\Users\marcelo.saboia\Documents\backup - diarq - 13.06.25\Atividade Semanal - Equipe\z. INDICADORES - POR DIA\[INDICADORES - Junho-Julho_2025_backup.xlsx]Aelton'!AX5+'C:\Users\marcelo.saboia\Documents\backup - diarq - 13.06.25\Atividade Semanal - Equipe\z. INDICADORES - POR DIA\[INDICADORES - Junho-Julho_2025_backup.xlsx]Leonam'!AX5+'C:\Users\marcelo.saboia\Documents\backup - diarq - 13.06.25\Atividade Semanal - Equipe\z. INDICADORES - POR DIA\[INDICADORES - Junho-Julho_2025_backup.xlsx]Danilo'!AX5+'C:\Users\marcelo.saboia\Documents\backup - diarq - 13.06.25\Atividade Semanal - Equipe\z. INDICADORES - POR DIA\[INDICADORES - Junho-Julho_2025_backup.xlsx]Marcos'!AX5+'C:\Users\marcelo.saboia\Documents\backup - diarq - 13.06.25\Atividade Semanal - Equipe\z. INDICADORES - POR DIA\[INDICADORES - Junho-Julho_2025_backup.xlsx]Carlos'!AX5+'C:\Users\marcelo.saboia\Documents\backup - diarq - 13.06.25\Atividade Semanal - Equipe\z. INDICADORES - POR DIA\[INDICADORES - Junho-Julho_2025_backup.xlsx]Alessandro'!AX5</f>
    </oc>
    <nc r="J5">
      <f>Diego!O5+Aelton!O5+Leonam!O5+Danilo!O5+Marcos!O5+Carlos!O5+Alessandro!O5</f>
    </nc>
    <ndxf>
      <fill>
        <patternFill>
          <bgColor theme="0"/>
        </patternFill>
      </fill>
    </ndxf>
  </rcc>
  <rcc rId="721" sId="3" odxf="1" dxf="1">
    <oc r="K5">
      <f>'C:\Users\marcelo.saboia\Documents\backup - diarq - 13.06.25\Atividade Semanal - Equipe\z. INDICADORES - POR DIA\[INDICADORES - Junho-Julho_2025_backup.xlsx]Diego'!BD5+'C:\Users\marcelo.saboia\Documents\backup - diarq - 13.06.25\Atividade Semanal - Equipe\z. INDICADORES - POR DIA\[INDICADORES - Junho-Julho_2025_backup.xlsx]Aelton'!BD5+'C:\Users\marcelo.saboia\Documents\backup - diarq - 13.06.25\Atividade Semanal - Equipe\z. INDICADORES - POR DIA\[INDICADORES - Junho-Julho_2025_backup.xlsx]Leonam'!BD5+'C:\Users\marcelo.saboia\Documents\backup - diarq - 13.06.25\Atividade Semanal - Equipe\z. INDICADORES - POR DIA\[INDICADORES - Junho-Julho_2025_backup.xlsx]Danilo'!BD5+'C:\Users\marcelo.saboia\Documents\backup - diarq - 13.06.25\Atividade Semanal - Equipe\z. INDICADORES - POR DIA\[INDICADORES - Junho-Julho_2025_backup.xlsx]Marcos'!BD5+'C:\Users\marcelo.saboia\Documents\backup - diarq - 13.06.25\Atividade Semanal - Equipe\z. INDICADORES - POR DIA\[INDICADORES - Junho-Julho_2025_backup.xlsx]Carlos'!BD5+'C:\Users\marcelo.saboia\Documents\backup - diarq - 13.06.25\Atividade Semanal - Equipe\z. INDICADORES - POR DIA\[INDICADORES - Junho-Julho_2025_backup.xlsx]Alessandro'!BD5</f>
    </oc>
    <nc r="K5">
      <f>Diego!P5+Aelton!P5+Leonam!P5+Danilo!P5+Marcos!P5+Carlos!P5+Alessandro!P5</f>
    </nc>
    <ndxf>
      <fill>
        <patternFill>
          <bgColor theme="0"/>
        </patternFill>
      </fill>
    </ndxf>
  </rcc>
  <rcc rId="722" sId="3" odxf="1" dxf="1">
    <oc r="C7">
      <f>Diego!H7+Aelton!H7+Leonam!H7+Danilo!H7+Marcos!H7+Carlos!H7+Alessandro!H7</f>
    </oc>
    <nc r="C7">
      <f>Diego!H7+Aelton!H7+Leonam!H7+Danilo!H7+Marcos!H7+Carlos!H7+Alessandro!H7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23" sId="3" odxf="1" dxf="1">
    <oc r="D7">
      <f>Diego!I7+Aelton!I7+Leonam!I7+Danilo!I7+Marcos!I7+Carlos!I7+Alessandro!I7</f>
    </oc>
    <nc r="D7">
      <f>Diego!I7+Aelton!I7+Leonam!I7+Danilo!I7+Marcos!I7+Carlos!I7+Alessandro!I7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24" sId="3" odxf="1" dxf="1">
    <oc r="E7">
      <f>Diego!J7+Aelton!J7+Leonam!J7+Danilo!J7+Marcos!J7+Carlos!J7+Alessandro!J7</f>
    </oc>
    <nc r="E7">
      <f>Diego!J7+Aelton!J7+Leonam!J7+Danilo!J7+Marcos!J7+Carlos!J7+Alessandro!J7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25" sId="3" odxf="1" dxf="1">
    <oc r="F7">
      <f>Diego!K7+Aelton!K7+Leonam!K7+Danilo!K7+Marcos!K7+Carlos!K7+Alessandro!K7</f>
    </oc>
    <nc r="F7">
      <f>Diego!K7+Aelton!K7+Leonam!K7+Danilo!K7+Marcos!K7+Carlos!K7+Alessandro!K7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26" sId="3" odxf="1" dxf="1">
    <oc r="G7">
      <f>'C:\Users\marcelo.saboia\Documents\backup - diarq - 13.06.25\Atividade Semanal - Equipe\z. INDICADORES - POR DIA\[INDICADORES - Junho-Julho_2025_backup.xlsx]Diego'!AF7+'C:\Users\marcelo.saboia\Documents\backup - diarq - 13.06.25\Atividade Semanal - Equipe\z. INDICADORES - POR DIA\[INDICADORES - Junho-Julho_2025_backup.xlsx]Aelton'!AF7+'C:\Users\marcelo.saboia\Documents\backup - diarq - 13.06.25\Atividade Semanal - Equipe\z. INDICADORES - POR DIA\[INDICADORES - Junho-Julho_2025_backup.xlsx]Leonam'!AF7+'C:\Users\marcelo.saboia\Documents\backup - diarq - 13.06.25\Atividade Semanal - Equipe\z. INDICADORES - POR DIA\[INDICADORES - Junho-Julho_2025_backup.xlsx]Danilo'!AF7+'C:\Users\marcelo.saboia\Documents\backup - diarq - 13.06.25\Atividade Semanal - Equipe\z. INDICADORES - POR DIA\[INDICADORES - Junho-Julho_2025_backup.xlsx]Marcos'!AF7+'C:\Users\marcelo.saboia\Documents\backup - diarq - 13.06.25\Atividade Semanal - Equipe\z. INDICADORES - POR DIA\[INDICADORES - Junho-Julho_2025_backup.xlsx]Carlos'!AF7+'C:\Users\marcelo.saboia\Documents\backup - diarq - 13.06.25\Atividade Semanal - Equipe\z. INDICADORES - POR DIA\[INDICADORES - Junho-Julho_2025_backup.xlsx]Alessandro'!AF7</f>
    </oc>
    <nc r="G7">
      <f>Diego!L7+Aelton!L7+Leonam!L7+Danilo!L7+Marcos!L7+Carlos!L7+Alessandro!L7</f>
    </nc>
    <ndxf>
      <fill>
        <patternFill>
          <bgColor theme="0"/>
        </patternFill>
      </fill>
    </ndxf>
  </rcc>
  <rcc rId="727" sId="3" odxf="1" dxf="1">
    <oc r="H7">
      <f>'C:\Users\marcelo.saboia\Documents\backup - diarq - 13.06.25\Atividade Semanal - Equipe\z. INDICADORES - POR DIA\[INDICADORES - Junho-Julho_2025_backup.xlsx]Diego'!AL7+'C:\Users\marcelo.saboia\Documents\backup - diarq - 13.06.25\Atividade Semanal - Equipe\z. INDICADORES - POR DIA\[INDICADORES - Junho-Julho_2025_backup.xlsx]Aelton'!AL7+'C:\Users\marcelo.saboia\Documents\backup - diarq - 13.06.25\Atividade Semanal - Equipe\z. INDICADORES - POR DIA\[INDICADORES - Junho-Julho_2025_backup.xlsx]Leonam'!AL7+'C:\Users\marcelo.saboia\Documents\backup - diarq - 13.06.25\Atividade Semanal - Equipe\z. INDICADORES - POR DIA\[INDICADORES - Junho-Julho_2025_backup.xlsx]Danilo'!AL7+'C:\Users\marcelo.saboia\Documents\backup - diarq - 13.06.25\Atividade Semanal - Equipe\z. INDICADORES - POR DIA\[INDICADORES - Junho-Julho_2025_backup.xlsx]Marcos'!AL7+'C:\Users\marcelo.saboia\Documents\backup - diarq - 13.06.25\Atividade Semanal - Equipe\z. INDICADORES - POR DIA\[INDICADORES - Junho-Julho_2025_backup.xlsx]Carlos'!AL7+'C:\Users\marcelo.saboia\Documents\backup - diarq - 13.06.25\Atividade Semanal - Equipe\z. INDICADORES - POR DIA\[INDICADORES - Junho-Julho_2025_backup.xlsx]Alessandro'!AL7</f>
    </oc>
    <nc r="H7">
      <f>Diego!M7+Aelton!M7+Leonam!M7+Danilo!M7+Marcos!M7+Carlos!M7+Alessandro!M7</f>
    </nc>
    <ndxf>
      <fill>
        <patternFill>
          <bgColor theme="0"/>
        </patternFill>
      </fill>
    </ndxf>
  </rcc>
  <rcc rId="728" sId="3" odxf="1" dxf="1">
    <oc r="I7">
      <f>'C:\Users\marcelo.saboia\Documents\backup - diarq - 13.06.25\Atividade Semanal - Equipe\z. INDICADORES - POR DIA\[INDICADORES - Junho-Julho_2025_backup.xlsx]Diego'!AR7+'C:\Users\marcelo.saboia\Documents\backup - diarq - 13.06.25\Atividade Semanal - Equipe\z. INDICADORES - POR DIA\[INDICADORES - Junho-Julho_2025_backup.xlsx]Aelton'!AR7+'C:\Users\marcelo.saboia\Documents\backup - diarq - 13.06.25\Atividade Semanal - Equipe\z. INDICADORES - POR DIA\[INDICADORES - Junho-Julho_2025_backup.xlsx]Leonam'!AR7+'C:\Users\marcelo.saboia\Documents\backup - diarq - 13.06.25\Atividade Semanal - Equipe\z. INDICADORES - POR DIA\[INDICADORES - Junho-Julho_2025_backup.xlsx]Danilo'!AR7+'C:\Users\marcelo.saboia\Documents\backup - diarq - 13.06.25\Atividade Semanal - Equipe\z. INDICADORES - POR DIA\[INDICADORES - Junho-Julho_2025_backup.xlsx]Marcos'!AR7+'C:\Users\marcelo.saboia\Documents\backup - diarq - 13.06.25\Atividade Semanal - Equipe\z. INDICADORES - POR DIA\[INDICADORES - Junho-Julho_2025_backup.xlsx]Carlos'!AR7+'C:\Users\marcelo.saboia\Documents\backup - diarq - 13.06.25\Atividade Semanal - Equipe\z. INDICADORES - POR DIA\[INDICADORES - Junho-Julho_2025_backup.xlsx]Alessandro'!AR7</f>
    </oc>
    <nc r="I7">
      <f>Diego!N7+Aelton!N7+Leonam!N7+Danilo!N7+Marcos!N7+Carlos!N7+Alessandro!N7</f>
    </nc>
    <ndxf>
      <fill>
        <patternFill>
          <bgColor theme="0"/>
        </patternFill>
      </fill>
    </ndxf>
  </rcc>
  <rcc rId="729" sId="3" odxf="1" dxf="1">
    <oc r="J7">
      <f>'C:\Users\marcelo.saboia\Documents\backup - diarq - 13.06.25\Atividade Semanal - Equipe\z. INDICADORES - POR DIA\[INDICADORES - Junho-Julho_2025_backup.xlsx]Diego'!AX7+'C:\Users\marcelo.saboia\Documents\backup - diarq - 13.06.25\Atividade Semanal - Equipe\z. INDICADORES - POR DIA\[INDICADORES - Junho-Julho_2025_backup.xlsx]Aelton'!AX7+'C:\Users\marcelo.saboia\Documents\backup - diarq - 13.06.25\Atividade Semanal - Equipe\z. INDICADORES - POR DIA\[INDICADORES - Junho-Julho_2025_backup.xlsx]Leonam'!AX7+'C:\Users\marcelo.saboia\Documents\backup - diarq - 13.06.25\Atividade Semanal - Equipe\z. INDICADORES - POR DIA\[INDICADORES - Junho-Julho_2025_backup.xlsx]Danilo'!AX7+'C:\Users\marcelo.saboia\Documents\backup - diarq - 13.06.25\Atividade Semanal - Equipe\z. INDICADORES - POR DIA\[INDICADORES - Junho-Julho_2025_backup.xlsx]Marcos'!AX7+'C:\Users\marcelo.saboia\Documents\backup - diarq - 13.06.25\Atividade Semanal - Equipe\z. INDICADORES - POR DIA\[INDICADORES - Junho-Julho_2025_backup.xlsx]Carlos'!AX7+'C:\Users\marcelo.saboia\Documents\backup - diarq - 13.06.25\Atividade Semanal - Equipe\z. INDICADORES - POR DIA\[INDICADORES - Junho-Julho_2025_backup.xlsx]Alessandro'!AX7</f>
    </oc>
    <nc r="J7">
      <f>Diego!O7+Aelton!O7+Leonam!O7+Danilo!O7+Marcos!O7+Carlos!O7+Alessandro!O7</f>
    </nc>
    <ndxf>
      <fill>
        <patternFill>
          <bgColor theme="0"/>
        </patternFill>
      </fill>
    </ndxf>
  </rcc>
  <rcc rId="730" sId="3" odxf="1" dxf="1">
    <oc r="K7">
      <f>'C:\Users\marcelo.saboia\Documents\backup - diarq - 13.06.25\Atividade Semanal - Equipe\z. INDICADORES - POR DIA\[INDICADORES - Junho-Julho_2025_backup.xlsx]Diego'!BD7+'C:\Users\marcelo.saboia\Documents\backup - diarq - 13.06.25\Atividade Semanal - Equipe\z. INDICADORES - POR DIA\[INDICADORES - Junho-Julho_2025_backup.xlsx]Aelton'!BD7+'C:\Users\marcelo.saboia\Documents\backup - diarq - 13.06.25\Atividade Semanal - Equipe\z. INDICADORES - POR DIA\[INDICADORES - Junho-Julho_2025_backup.xlsx]Leonam'!BD7+'C:\Users\marcelo.saboia\Documents\backup - diarq - 13.06.25\Atividade Semanal - Equipe\z. INDICADORES - POR DIA\[INDICADORES - Junho-Julho_2025_backup.xlsx]Danilo'!BD7+'C:\Users\marcelo.saboia\Documents\backup - diarq - 13.06.25\Atividade Semanal - Equipe\z. INDICADORES - POR DIA\[INDICADORES - Junho-Julho_2025_backup.xlsx]Marcos'!BD7+'C:\Users\marcelo.saboia\Documents\backup - diarq - 13.06.25\Atividade Semanal - Equipe\z. INDICADORES - POR DIA\[INDICADORES - Junho-Julho_2025_backup.xlsx]Carlos'!BD7+'C:\Users\marcelo.saboia\Documents\backup - diarq - 13.06.25\Atividade Semanal - Equipe\z. INDICADORES - POR DIA\[INDICADORES - Junho-Julho_2025_backup.xlsx]Alessandro'!BD7</f>
    </oc>
    <nc r="K7">
      <f>Diego!P7+Aelton!P7+Leonam!P7+Danilo!P7+Marcos!P7+Carlos!P7+Alessandro!P7</f>
    </nc>
    <ndxf>
      <fill>
        <patternFill>
          <bgColor theme="0"/>
        </patternFill>
      </fill>
    </ndxf>
  </rcc>
  <rcc rId="731" sId="3" odxf="1" dxf="1">
    <oc r="C9">
      <f>Diego!H9+Aelton!H9+Leonam!H9+Danilo!H9+Marcos!H9+Carlos!H9+Alessandro!H9</f>
    </oc>
    <nc r="C9">
      <f>Diego!H9+Aelton!H9+Leonam!H9+Danilo!H9+Marcos!H9+Carlos!H9+Alessandro!H9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32" sId="3" odxf="1" dxf="1">
    <oc r="D9">
      <f>Diego!I9+Aelton!I9+Leonam!I9+Danilo!I9+Marcos!I9+Carlos!I9+Alessandro!I9</f>
    </oc>
    <nc r="D9">
      <f>Diego!I9+Aelton!I9+Leonam!I9+Danilo!I9+Marcos!I9+Carlos!I9+Alessandro!I9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33" sId="3" odxf="1" dxf="1">
    <oc r="E9">
      <f>Diego!J9+Aelton!J9+Leonam!J9+Danilo!J9+Marcos!J9+Carlos!J9+Alessandro!J9</f>
    </oc>
    <nc r="E9">
      <f>Diego!J9+Aelton!J9+Leonam!J9+Danilo!J9+Marcos!J9+Carlos!J9+Alessandro!J9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34" sId="3" odxf="1" dxf="1">
    <oc r="F9">
      <f>Diego!K9+Aelton!K9+Leonam!K9+Danilo!K9+Marcos!K9+Carlos!K9+Alessandro!K9</f>
    </oc>
    <nc r="F9">
      <f>Diego!K9+Aelton!K9+Leonam!K9+Danilo!K9+Marcos!K9+Carlos!K9+Alessandro!K9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35" sId="3" odxf="1" dxf="1">
    <oc r="G9">
      <f>'C:\Users\marcelo.saboia\Documents\backup - diarq - 13.06.25\Atividade Semanal - Equipe\z. INDICADORES - POR DIA\[INDICADORES - Junho-Julho_2025_backup.xlsx]Diego'!AF9+'C:\Users\marcelo.saboia\Documents\backup - diarq - 13.06.25\Atividade Semanal - Equipe\z. INDICADORES - POR DIA\[INDICADORES - Junho-Julho_2025_backup.xlsx]Aelton'!AF9+'C:\Users\marcelo.saboia\Documents\backup - diarq - 13.06.25\Atividade Semanal - Equipe\z. INDICADORES - POR DIA\[INDICADORES - Junho-Julho_2025_backup.xlsx]Leonam'!AF9+'C:\Users\marcelo.saboia\Documents\backup - diarq - 13.06.25\Atividade Semanal - Equipe\z. INDICADORES - POR DIA\[INDICADORES - Junho-Julho_2025_backup.xlsx]Danilo'!AF9+'C:\Users\marcelo.saboia\Documents\backup - diarq - 13.06.25\Atividade Semanal - Equipe\z. INDICADORES - POR DIA\[INDICADORES - Junho-Julho_2025_backup.xlsx]Marcos'!AF9+'C:\Users\marcelo.saboia\Documents\backup - diarq - 13.06.25\Atividade Semanal - Equipe\z. INDICADORES - POR DIA\[INDICADORES - Junho-Julho_2025_backup.xlsx]Carlos'!AF9+'C:\Users\marcelo.saboia\Documents\backup - diarq - 13.06.25\Atividade Semanal - Equipe\z. INDICADORES - POR DIA\[INDICADORES - Junho-Julho_2025_backup.xlsx]Alessandro'!AF9</f>
    </oc>
    <nc r="G9">
      <f>Diego!L9+Aelton!L9+Leonam!L9+Danilo!L9+Marcos!L9+Carlos!L9+Alessandro!L9</f>
    </nc>
    <ndxf>
      <fill>
        <patternFill>
          <bgColor theme="0"/>
        </patternFill>
      </fill>
    </ndxf>
  </rcc>
  <rcc rId="736" sId="3" odxf="1" dxf="1">
    <oc r="H9">
      <f>'C:\Users\marcelo.saboia\Documents\backup - diarq - 13.06.25\Atividade Semanal - Equipe\z. INDICADORES - POR DIA\[INDICADORES - Junho-Julho_2025_backup.xlsx]Diego'!AL9+'C:\Users\marcelo.saboia\Documents\backup - diarq - 13.06.25\Atividade Semanal - Equipe\z. INDICADORES - POR DIA\[INDICADORES - Junho-Julho_2025_backup.xlsx]Aelton'!AL9+'C:\Users\marcelo.saboia\Documents\backup - diarq - 13.06.25\Atividade Semanal - Equipe\z. INDICADORES - POR DIA\[INDICADORES - Junho-Julho_2025_backup.xlsx]Leonam'!AL9+'C:\Users\marcelo.saboia\Documents\backup - diarq - 13.06.25\Atividade Semanal - Equipe\z. INDICADORES - POR DIA\[INDICADORES - Junho-Julho_2025_backup.xlsx]Danilo'!AL9+'C:\Users\marcelo.saboia\Documents\backup - diarq - 13.06.25\Atividade Semanal - Equipe\z. INDICADORES - POR DIA\[INDICADORES - Junho-Julho_2025_backup.xlsx]Marcos'!AL9+'C:\Users\marcelo.saboia\Documents\backup - diarq - 13.06.25\Atividade Semanal - Equipe\z. INDICADORES - POR DIA\[INDICADORES - Junho-Julho_2025_backup.xlsx]Carlos'!AL9+'C:\Users\marcelo.saboia\Documents\backup - diarq - 13.06.25\Atividade Semanal - Equipe\z. INDICADORES - POR DIA\[INDICADORES - Junho-Julho_2025_backup.xlsx]Alessandro'!AL9</f>
    </oc>
    <nc r="H9">
      <f>Diego!M9+Aelton!M9+Leonam!M9+Danilo!M9+Marcos!M9+Carlos!M9+Alessandro!M9</f>
    </nc>
    <ndxf>
      <fill>
        <patternFill>
          <bgColor theme="0"/>
        </patternFill>
      </fill>
    </ndxf>
  </rcc>
  <rcc rId="737" sId="3" odxf="1" dxf="1">
    <oc r="I9">
      <f>'C:\Users\marcelo.saboia\Documents\backup - diarq - 13.06.25\Atividade Semanal - Equipe\z. INDICADORES - POR DIA\[INDICADORES - Junho-Julho_2025_backup.xlsx]Diego'!AR9+'C:\Users\marcelo.saboia\Documents\backup - diarq - 13.06.25\Atividade Semanal - Equipe\z. INDICADORES - POR DIA\[INDICADORES - Junho-Julho_2025_backup.xlsx]Aelton'!AR9+'C:\Users\marcelo.saboia\Documents\backup - diarq - 13.06.25\Atividade Semanal - Equipe\z. INDICADORES - POR DIA\[INDICADORES - Junho-Julho_2025_backup.xlsx]Leonam'!AR9+'C:\Users\marcelo.saboia\Documents\backup - diarq - 13.06.25\Atividade Semanal - Equipe\z. INDICADORES - POR DIA\[INDICADORES - Junho-Julho_2025_backup.xlsx]Danilo'!AR9+'C:\Users\marcelo.saboia\Documents\backup - diarq - 13.06.25\Atividade Semanal - Equipe\z. INDICADORES - POR DIA\[INDICADORES - Junho-Julho_2025_backup.xlsx]Marcos'!AR9+'C:\Users\marcelo.saboia\Documents\backup - diarq - 13.06.25\Atividade Semanal - Equipe\z. INDICADORES - POR DIA\[INDICADORES - Junho-Julho_2025_backup.xlsx]Carlos'!AR9+'C:\Users\marcelo.saboia\Documents\backup - diarq - 13.06.25\Atividade Semanal - Equipe\z. INDICADORES - POR DIA\[INDICADORES - Junho-Julho_2025_backup.xlsx]Alessandro'!AR9</f>
    </oc>
    <nc r="I9">
      <f>Diego!N9+Aelton!N9+Leonam!N9+Danilo!N9+Marcos!N9+Carlos!N9+Alessandro!N9</f>
    </nc>
    <ndxf>
      <fill>
        <patternFill>
          <bgColor theme="0"/>
        </patternFill>
      </fill>
    </ndxf>
  </rcc>
  <rcc rId="738" sId="3" odxf="1" dxf="1">
    <oc r="J9">
      <f>'C:\Users\marcelo.saboia\Documents\backup - diarq - 13.06.25\Atividade Semanal - Equipe\z. INDICADORES - POR DIA\[INDICADORES - Junho-Julho_2025_backup.xlsx]Diego'!AX9+'C:\Users\marcelo.saboia\Documents\backup - diarq - 13.06.25\Atividade Semanal - Equipe\z. INDICADORES - POR DIA\[INDICADORES - Junho-Julho_2025_backup.xlsx]Aelton'!AX9+'C:\Users\marcelo.saboia\Documents\backup - diarq - 13.06.25\Atividade Semanal - Equipe\z. INDICADORES - POR DIA\[INDICADORES - Junho-Julho_2025_backup.xlsx]Leonam'!AX9+'C:\Users\marcelo.saboia\Documents\backup - diarq - 13.06.25\Atividade Semanal - Equipe\z. INDICADORES - POR DIA\[INDICADORES - Junho-Julho_2025_backup.xlsx]Danilo'!AX9+'C:\Users\marcelo.saboia\Documents\backup - diarq - 13.06.25\Atividade Semanal - Equipe\z. INDICADORES - POR DIA\[INDICADORES - Junho-Julho_2025_backup.xlsx]Marcos'!AX9+'C:\Users\marcelo.saboia\Documents\backup - diarq - 13.06.25\Atividade Semanal - Equipe\z. INDICADORES - POR DIA\[INDICADORES - Junho-Julho_2025_backup.xlsx]Carlos'!AX9+'C:\Users\marcelo.saboia\Documents\backup - diarq - 13.06.25\Atividade Semanal - Equipe\z. INDICADORES - POR DIA\[INDICADORES - Junho-Julho_2025_backup.xlsx]Alessandro'!AX9</f>
    </oc>
    <nc r="J9">
      <f>Diego!O9+Aelton!O9+Leonam!O9+Danilo!O9+Marcos!O9+Carlos!O9+Alessandro!O9</f>
    </nc>
    <ndxf>
      <fill>
        <patternFill>
          <bgColor theme="0"/>
        </patternFill>
      </fill>
    </ndxf>
  </rcc>
  <rcc rId="739" sId="3" odxf="1" dxf="1">
    <oc r="K9">
      <f>'C:\Users\marcelo.saboia\Documents\backup - diarq - 13.06.25\Atividade Semanal - Equipe\z. INDICADORES - POR DIA\[INDICADORES - Junho-Julho_2025_backup.xlsx]Diego'!BD9+'C:\Users\marcelo.saboia\Documents\backup - diarq - 13.06.25\Atividade Semanal - Equipe\z. INDICADORES - POR DIA\[INDICADORES - Junho-Julho_2025_backup.xlsx]Aelton'!BD9+'C:\Users\marcelo.saboia\Documents\backup - diarq - 13.06.25\Atividade Semanal - Equipe\z. INDICADORES - POR DIA\[INDICADORES - Junho-Julho_2025_backup.xlsx]Leonam'!BD9+'C:\Users\marcelo.saboia\Documents\backup - diarq - 13.06.25\Atividade Semanal - Equipe\z. INDICADORES - POR DIA\[INDICADORES - Junho-Julho_2025_backup.xlsx]Danilo'!BD9+'C:\Users\marcelo.saboia\Documents\backup - diarq - 13.06.25\Atividade Semanal - Equipe\z. INDICADORES - POR DIA\[INDICADORES - Junho-Julho_2025_backup.xlsx]Marcos'!BD9+'C:\Users\marcelo.saboia\Documents\backup - diarq - 13.06.25\Atividade Semanal - Equipe\z. INDICADORES - POR DIA\[INDICADORES - Junho-Julho_2025_backup.xlsx]Carlos'!BD9+'C:\Users\marcelo.saboia\Documents\backup - diarq - 13.06.25\Atividade Semanal - Equipe\z. INDICADORES - POR DIA\[INDICADORES - Junho-Julho_2025_backup.xlsx]Alessandro'!BD9</f>
    </oc>
    <nc r="K9">
      <f>Diego!P9+Aelton!P9+Leonam!P9+Danilo!P9+Marcos!P9+Carlos!P9+Alessandro!P9</f>
    </nc>
    <ndxf>
      <fill>
        <patternFill>
          <bgColor theme="0"/>
        </patternFill>
      </fill>
    </ndxf>
  </rcc>
  <rcc rId="740" sId="3" odxf="1" dxf="1">
    <oc r="C11">
      <f>Diego!H11+Aelton!H11+Leonam!H11+Danilo!H11+Marcos!H11+Carlos!H11+Alessandro!H11</f>
    </oc>
    <nc r="C11">
      <f>Diego!H11+Aelton!H11+Leonam!H11+Danilo!H11+Marcos!H11+Carlos!H11+Alessandro!H11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41" sId="3" odxf="1" dxf="1">
    <oc r="D11">
      <f>Diego!I11+Aelton!I11+Leonam!I11+Danilo!I11+Marcos!I11+Carlos!I11+Alessandro!I11</f>
    </oc>
    <nc r="D11">
      <f>Diego!I11+Aelton!I11+Leonam!I11+Danilo!I11+Marcos!I11+Carlos!I11+Alessandro!I11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42" sId="3" odxf="1" dxf="1">
    <oc r="E11">
      <f>Diego!J11+Aelton!J11+Leonam!J11+Danilo!J11+Marcos!J11+Carlos!J11+Alessandro!J11</f>
    </oc>
    <nc r="E11">
      <f>Diego!J11+Aelton!J11+Leonam!J11+Danilo!J11+Marcos!J11+Carlos!J11+Alessandro!J11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43" sId="3" odxf="1" dxf="1">
    <oc r="F11">
      <f>Diego!K11+Aelton!K11+Leonam!K11+Danilo!K11+Marcos!K11+Carlos!K11+Alessandro!K11</f>
    </oc>
    <nc r="F11">
      <f>Diego!K11+Aelton!K11+Leonam!K11+Danilo!K11+Marcos!K11+Carlos!K11+Alessandro!K11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44" sId="3" odxf="1" dxf="1">
    <oc r="G11">
      <f>'C:\Users\marcelo.saboia\Documents\backup - diarq - 13.06.25\Atividade Semanal - Equipe\z. INDICADORES - POR DIA\[INDICADORES - Junho-Julho_2025_backup.xlsx]Diego'!AF11+'C:\Users\marcelo.saboia\Documents\backup - diarq - 13.06.25\Atividade Semanal - Equipe\z. INDICADORES - POR DIA\[INDICADORES - Junho-Julho_2025_backup.xlsx]Aelton'!AF11+'C:\Users\marcelo.saboia\Documents\backup - diarq - 13.06.25\Atividade Semanal - Equipe\z. INDICADORES - POR DIA\[INDICADORES - Junho-Julho_2025_backup.xlsx]Leonam'!AF11+'C:\Users\marcelo.saboia\Documents\backup - diarq - 13.06.25\Atividade Semanal - Equipe\z. INDICADORES - POR DIA\[INDICADORES - Junho-Julho_2025_backup.xlsx]Danilo'!AF11+'C:\Users\marcelo.saboia\Documents\backup - diarq - 13.06.25\Atividade Semanal - Equipe\z. INDICADORES - POR DIA\[INDICADORES - Junho-Julho_2025_backup.xlsx]Marcos'!AF11+'C:\Users\marcelo.saboia\Documents\backup - diarq - 13.06.25\Atividade Semanal - Equipe\z. INDICADORES - POR DIA\[INDICADORES - Junho-Julho_2025_backup.xlsx]Carlos'!AF11+'C:\Users\marcelo.saboia\Documents\backup - diarq - 13.06.25\Atividade Semanal - Equipe\z. INDICADORES - POR DIA\[INDICADORES - Junho-Julho_2025_backup.xlsx]Alessandro'!AF11</f>
    </oc>
    <nc r="G11">
      <f>Diego!L11+Aelton!L11+Leonam!L11+Danilo!L11+Marcos!L11+Carlos!L11+Alessandro!L11</f>
    </nc>
    <ndxf>
      <fill>
        <patternFill>
          <bgColor theme="0"/>
        </patternFill>
      </fill>
    </ndxf>
  </rcc>
  <rcc rId="745" sId="3" odxf="1" dxf="1">
    <oc r="H11">
      <f>'C:\Users\marcelo.saboia\Documents\backup - diarq - 13.06.25\Atividade Semanal - Equipe\z. INDICADORES - POR DIA\[INDICADORES - Junho-Julho_2025_backup.xlsx]Diego'!AL11+'C:\Users\marcelo.saboia\Documents\backup - diarq - 13.06.25\Atividade Semanal - Equipe\z. INDICADORES - POR DIA\[INDICADORES - Junho-Julho_2025_backup.xlsx]Aelton'!AL11+'C:\Users\marcelo.saboia\Documents\backup - diarq - 13.06.25\Atividade Semanal - Equipe\z. INDICADORES - POR DIA\[INDICADORES - Junho-Julho_2025_backup.xlsx]Leonam'!AL11+'C:\Users\marcelo.saboia\Documents\backup - diarq - 13.06.25\Atividade Semanal - Equipe\z. INDICADORES - POR DIA\[INDICADORES - Junho-Julho_2025_backup.xlsx]Danilo'!AL11+'C:\Users\marcelo.saboia\Documents\backup - diarq - 13.06.25\Atividade Semanal - Equipe\z. INDICADORES - POR DIA\[INDICADORES - Junho-Julho_2025_backup.xlsx]Marcos'!AL11+'C:\Users\marcelo.saboia\Documents\backup - diarq - 13.06.25\Atividade Semanal - Equipe\z. INDICADORES - POR DIA\[INDICADORES - Junho-Julho_2025_backup.xlsx]Carlos'!AL11+'C:\Users\marcelo.saboia\Documents\backup - diarq - 13.06.25\Atividade Semanal - Equipe\z. INDICADORES - POR DIA\[INDICADORES - Junho-Julho_2025_backup.xlsx]Alessandro'!AL11</f>
    </oc>
    <nc r="H11">
      <f>Diego!M11+Aelton!M11+Leonam!M11+Danilo!M11+Marcos!M11+Carlos!M11+Alessandro!M11</f>
    </nc>
    <ndxf>
      <fill>
        <patternFill>
          <bgColor theme="0"/>
        </patternFill>
      </fill>
    </ndxf>
  </rcc>
  <rcc rId="746" sId="3" odxf="1" dxf="1">
    <oc r="I11">
      <f>'C:\Users\marcelo.saboia\Documents\backup - diarq - 13.06.25\Atividade Semanal - Equipe\z. INDICADORES - POR DIA\[INDICADORES - Junho-Julho_2025_backup.xlsx]Diego'!AR11+'C:\Users\marcelo.saboia\Documents\backup - diarq - 13.06.25\Atividade Semanal - Equipe\z. INDICADORES - POR DIA\[INDICADORES - Junho-Julho_2025_backup.xlsx]Aelton'!AR11+'C:\Users\marcelo.saboia\Documents\backup - diarq - 13.06.25\Atividade Semanal - Equipe\z. INDICADORES - POR DIA\[INDICADORES - Junho-Julho_2025_backup.xlsx]Leonam'!AR11+'C:\Users\marcelo.saboia\Documents\backup - diarq - 13.06.25\Atividade Semanal - Equipe\z. INDICADORES - POR DIA\[INDICADORES - Junho-Julho_2025_backup.xlsx]Danilo'!AR11+'C:\Users\marcelo.saboia\Documents\backup - diarq - 13.06.25\Atividade Semanal - Equipe\z. INDICADORES - POR DIA\[INDICADORES - Junho-Julho_2025_backup.xlsx]Marcos'!AR11+'C:\Users\marcelo.saboia\Documents\backup - diarq - 13.06.25\Atividade Semanal - Equipe\z. INDICADORES - POR DIA\[INDICADORES - Junho-Julho_2025_backup.xlsx]Carlos'!AR11+'C:\Users\marcelo.saboia\Documents\backup - diarq - 13.06.25\Atividade Semanal - Equipe\z. INDICADORES - POR DIA\[INDICADORES - Junho-Julho_2025_backup.xlsx]Alessandro'!AR11</f>
    </oc>
    <nc r="I11">
      <f>Diego!N11+Aelton!N11+Leonam!N11+Danilo!N11+Marcos!N11+Carlos!N11+Alessandro!N11</f>
    </nc>
    <ndxf>
      <fill>
        <patternFill>
          <bgColor theme="0"/>
        </patternFill>
      </fill>
    </ndxf>
  </rcc>
  <rcc rId="747" sId="3" odxf="1" dxf="1">
    <oc r="J11">
      <f>'C:\Users\marcelo.saboia\Documents\backup - diarq - 13.06.25\Atividade Semanal - Equipe\z. INDICADORES - POR DIA\[INDICADORES - Junho-Julho_2025_backup.xlsx]Diego'!AX11+'C:\Users\marcelo.saboia\Documents\backup - diarq - 13.06.25\Atividade Semanal - Equipe\z. INDICADORES - POR DIA\[INDICADORES - Junho-Julho_2025_backup.xlsx]Aelton'!AX11+'C:\Users\marcelo.saboia\Documents\backup - diarq - 13.06.25\Atividade Semanal - Equipe\z. INDICADORES - POR DIA\[INDICADORES - Junho-Julho_2025_backup.xlsx]Leonam'!AX11+'C:\Users\marcelo.saboia\Documents\backup - diarq - 13.06.25\Atividade Semanal - Equipe\z. INDICADORES - POR DIA\[INDICADORES - Junho-Julho_2025_backup.xlsx]Danilo'!AX11+'C:\Users\marcelo.saboia\Documents\backup - diarq - 13.06.25\Atividade Semanal - Equipe\z. INDICADORES - POR DIA\[INDICADORES - Junho-Julho_2025_backup.xlsx]Marcos'!AX11+'C:\Users\marcelo.saboia\Documents\backup - diarq - 13.06.25\Atividade Semanal - Equipe\z. INDICADORES - POR DIA\[INDICADORES - Junho-Julho_2025_backup.xlsx]Carlos'!AX11+'C:\Users\marcelo.saboia\Documents\backup - diarq - 13.06.25\Atividade Semanal - Equipe\z. INDICADORES - POR DIA\[INDICADORES - Junho-Julho_2025_backup.xlsx]Alessandro'!AX11</f>
    </oc>
    <nc r="J11">
      <f>Diego!O11+Aelton!O11+Leonam!O11+Danilo!O11+Marcos!O11+Carlos!O11+Alessandro!O11</f>
    </nc>
    <ndxf>
      <fill>
        <patternFill>
          <bgColor theme="0"/>
        </patternFill>
      </fill>
    </ndxf>
  </rcc>
  <rcc rId="748" sId="3" odxf="1" dxf="1">
    <oc r="K11">
      <f>'C:\Users\marcelo.saboia\Documents\backup - diarq - 13.06.25\Atividade Semanal - Equipe\z. INDICADORES - POR DIA\[INDICADORES - Junho-Julho_2025_backup.xlsx]Diego'!BD11+'C:\Users\marcelo.saboia\Documents\backup - diarq - 13.06.25\Atividade Semanal - Equipe\z. INDICADORES - POR DIA\[INDICADORES - Junho-Julho_2025_backup.xlsx]Aelton'!BD11+'C:\Users\marcelo.saboia\Documents\backup - diarq - 13.06.25\Atividade Semanal - Equipe\z. INDICADORES - POR DIA\[INDICADORES - Junho-Julho_2025_backup.xlsx]Leonam'!BD11+'C:\Users\marcelo.saboia\Documents\backup - diarq - 13.06.25\Atividade Semanal - Equipe\z. INDICADORES - POR DIA\[INDICADORES - Junho-Julho_2025_backup.xlsx]Danilo'!BD11+'C:\Users\marcelo.saboia\Documents\backup - diarq - 13.06.25\Atividade Semanal - Equipe\z. INDICADORES - POR DIA\[INDICADORES - Junho-Julho_2025_backup.xlsx]Marcos'!BD11+'C:\Users\marcelo.saboia\Documents\backup - diarq - 13.06.25\Atividade Semanal - Equipe\z. INDICADORES - POR DIA\[INDICADORES - Junho-Julho_2025_backup.xlsx]Carlos'!BD11+'C:\Users\marcelo.saboia\Documents\backup - diarq - 13.06.25\Atividade Semanal - Equipe\z. INDICADORES - POR DIA\[INDICADORES - Junho-Julho_2025_backup.xlsx]Alessandro'!BD11</f>
    </oc>
    <nc r="K11">
      <f>Diego!P11+Aelton!P11+Leonam!P11+Danilo!P11+Marcos!P11+Carlos!P11+Alessandro!P11</f>
    </nc>
    <ndxf>
      <fill>
        <patternFill>
          <bgColor theme="0"/>
        </patternFill>
      </fill>
    </ndxf>
  </rcc>
  <rcc rId="749" sId="3" odxf="1" dxf="1">
    <oc r="C13">
      <f>Diego!H13+Aelton!H13+Leonam!H13+Danilo!H13+Marcos!H13+Carlos!H13+Alessandro!H13</f>
    </oc>
    <nc r="C13">
      <f>Diego!H13+Aelton!H13+Leonam!H13+Danilo!H13+Marcos!H13+Carlos!H13+Alessandro!H13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50" sId="3" odxf="1" dxf="1">
    <oc r="D13">
      <f>Diego!I13+Aelton!I13+Leonam!I13+Danilo!I13+Marcos!I13+Carlos!I13+Alessandro!I13</f>
    </oc>
    <nc r="D13">
      <f>Diego!I13+Aelton!I13+Leonam!I13+Danilo!I13+Marcos!I13+Carlos!I13+Alessandro!I13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51" sId="3" odxf="1" dxf="1">
    <oc r="E13">
      <f>Diego!J13+Aelton!J13+Leonam!J13+Danilo!J13+Marcos!J13+Carlos!J13+Alessandro!J13</f>
    </oc>
    <nc r="E13">
      <f>Diego!J13+Aelton!J13+Leonam!J13+Danilo!J13+Marcos!J13+Carlos!J13+Alessandro!J13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52" sId="3" odxf="1" dxf="1">
    <oc r="F13">
      <f>Diego!K13+Aelton!K13+Leonam!K13+Danilo!K13+Marcos!K13+Carlos!K13+Alessandro!K13</f>
    </oc>
    <nc r="F13">
      <f>Diego!K13+Aelton!K13+Leonam!K13+Danilo!K13+Marcos!K13+Carlos!K13+Alessandro!K13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53" sId="3" odxf="1" dxf="1">
    <oc r="G13">
      <f>'C:\Users\marcelo.saboia\Documents\backup - diarq - 13.06.25\Atividade Semanal - Equipe\z. INDICADORES - POR DIA\[INDICADORES - Junho-Julho_2025_backup.xlsx]Diego'!AF13+'C:\Users\marcelo.saboia\Documents\backup - diarq - 13.06.25\Atividade Semanal - Equipe\z. INDICADORES - POR DIA\[INDICADORES - Junho-Julho_2025_backup.xlsx]Aelton'!AF13+'C:\Users\marcelo.saboia\Documents\backup - diarq - 13.06.25\Atividade Semanal - Equipe\z. INDICADORES - POR DIA\[INDICADORES - Junho-Julho_2025_backup.xlsx]Leonam'!AF13+'C:\Users\marcelo.saboia\Documents\backup - diarq - 13.06.25\Atividade Semanal - Equipe\z. INDICADORES - POR DIA\[INDICADORES - Junho-Julho_2025_backup.xlsx]Danilo'!AF13+'C:\Users\marcelo.saboia\Documents\backup - diarq - 13.06.25\Atividade Semanal - Equipe\z. INDICADORES - POR DIA\[INDICADORES - Junho-Julho_2025_backup.xlsx]Marcos'!AF13+'C:\Users\marcelo.saboia\Documents\backup - diarq - 13.06.25\Atividade Semanal - Equipe\z. INDICADORES - POR DIA\[INDICADORES - Junho-Julho_2025_backup.xlsx]Carlos'!AF13+'C:\Users\marcelo.saboia\Documents\backup - diarq - 13.06.25\Atividade Semanal - Equipe\z. INDICADORES - POR DIA\[INDICADORES - Junho-Julho_2025_backup.xlsx]Alessandro'!AF13</f>
    </oc>
    <nc r="G13">
      <f>Diego!L13+Aelton!L13+Leonam!L13+Danilo!L13+Marcos!L13+Carlos!L13+Alessandro!L13</f>
    </nc>
    <ndxf>
      <fill>
        <patternFill>
          <bgColor theme="0"/>
        </patternFill>
      </fill>
    </ndxf>
  </rcc>
  <rcc rId="754" sId="3" odxf="1" dxf="1">
    <oc r="H13">
      <f>'C:\Users\marcelo.saboia\Documents\backup - diarq - 13.06.25\Atividade Semanal - Equipe\z. INDICADORES - POR DIA\[INDICADORES - Junho-Julho_2025_backup.xlsx]Diego'!AL13+'C:\Users\marcelo.saboia\Documents\backup - diarq - 13.06.25\Atividade Semanal - Equipe\z. INDICADORES - POR DIA\[INDICADORES - Junho-Julho_2025_backup.xlsx]Aelton'!AL13+'C:\Users\marcelo.saboia\Documents\backup - diarq - 13.06.25\Atividade Semanal - Equipe\z. INDICADORES - POR DIA\[INDICADORES - Junho-Julho_2025_backup.xlsx]Leonam'!AL13+'C:\Users\marcelo.saboia\Documents\backup - diarq - 13.06.25\Atividade Semanal - Equipe\z. INDICADORES - POR DIA\[INDICADORES - Junho-Julho_2025_backup.xlsx]Danilo'!AL13+'C:\Users\marcelo.saboia\Documents\backup - diarq - 13.06.25\Atividade Semanal - Equipe\z. INDICADORES - POR DIA\[INDICADORES - Junho-Julho_2025_backup.xlsx]Marcos'!AL13+'C:\Users\marcelo.saboia\Documents\backup - diarq - 13.06.25\Atividade Semanal - Equipe\z. INDICADORES - POR DIA\[INDICADORES - Junho-Julho_2025_backup.xlsx]Carlos'!AL13+'C:\Users\marcelo.saboia\Documents\backup - diarq - 13.06.25\Atividade Semanal - Equipe\z. INDICADORES - POR DIA\[INDICADORES - Junho-Julho_2025_backup.xlsx]Alessandro'!AL13</f>
    </oc>
    <nc r="H13">
      <f>Diego!M13+Aelton!M13+Leonam!M13+Danilo!M13+Marcos!M13+Carlos!M13+Alessandro!M13</f>
    </nc>
    <ndxf>
      <fill>
        <patternFill>
          <bgColor theme="0"/>
        </patternFill>
      </fill>
    </ndxf>
  </rcc>
  <rcc rId="755" sId="3" odxf="1" dxf="1">
    <oc r="I13">
      <f>'C:\Users\marcelo.saboia\Documents\backup - diarq - 13.06.25\Atividade Semanal - Equipe\z. INDICADORES - POR DIA\[INDICADORES - Junho-Julho_2025_backup.xlsx]Diego'!AR13+'C:\Users\marcelo.saboia\Documents\backup - diarq - 13.06.25\Atividade Semanal - Equipe\z. INDICADORES - POR DIA\[INDICADORES - Junho-Julho_2025_backup.xlsx]Aelton'!AR13+'C:\Users\marcelo.saboia\Documents\backup - diarq - 13.06.25\Atividade Semanal - Equipe\z. INDICADORES - POR DIA\[INDICADORES - Junho-Julho_2025_backup.xlsx]Leonam'!AR13+'C:\Users\marcelo.saboia\Documents\backup - diarq - 13.06.25\Atividade Semanal - Equipe\z. INDICADORES - POR DIA\[INDICADORES - Junho-Julho_2025_backup.xlsx]Danilo'!AR13+'C:\Users\marcelo.saboia\Documents\backup - diarq - 13.06.25\Atividade Semanal - Equipe\z. INDICADORES - POR DIA\[INDICADORES - Junho-Julho_2025_backup.xlsx]Marcos'!AR13+'C:\Users\marcelo.saboia\Documents\backup - diarq - 13.06.25\Atividade Semanal - Equipe\z. INDICADORES - POR DIA\[INDICADORES - Junho-Julho_2025_backup.xlsx]Carlos'!AR13+'C:\Users\marcelo.saboia\Documents\backup - diarq - 13.06.25\Atividade Semanal - Equipe\z. INDICADORES - POR DIA\[INDICADORES - Junho-Julho_2025_backup.xlsx]Alessandro'!AR13</f>
    </oc>
    <nc r="I13">
      <f>Diego!N13+Aelton!N13+Leonam!N13+Danilo!N13+Marcos!N13+Carlos!N13+Alessandro!N13</f>
    </nc>
    <ndxf>
      <fill>
        <patternFill>
          <bgColor theme="0"/>
        </patternFill>
      </fill>
    </ndxf>
  </rcc>
  <rcc rId="756" sId="3" odxf="1" dxf="1">
    <oc r="J13">
      <f>'C:\Users\marcelo.saboia\Documents\backup - diarq - 13.06.25\Atividade Semanal - Equipe\z. INDICADORES - POR DIA\[INDICADORES - Junho-Julho_2025_backup.xlsx]Diego'!AX13+'C:\Users\marcelo.saboia\Documents\backup - diarq - 13.06.25\Atividade Semanal - Equipe\z. INDICADORES - POR DIA\[INDICADORES - Junho-Julho_2025_backup.xlsx]Aelton'!AX13+'C:\Users\marcelo.saboia\Documents\backup - diarq - 13.06.25\Atividade Semanal - Equipe\z. INDICADORES - POR DIA\[INDICADORES - Junho-Julho_2025_backup.xlsx]Leonam'!AX13+'C:\Users\marcelo.saboia\Documents\backup - diarq - 13.06.25\Atividade Semanal - Equipe\z. INDICADORES - POR DIA\[INDICADORES - Junho-Julho_2025_backup.xlsx]Danilo'!AX13+'C:\Users\marcelo.saboia\Documents\backup - diarq - 13.06.25\Atividade Semanal - Equipe\z. INDICADORES - POR DIA\[INDICADORES - Junho-Julho_2025_backup.xlsx]Marcos'!AX13+'C:\Users\marcelo.saboia\Documents\backup - diarq - 13.06.25\Atividade Semanal - Equipe\z. INDICADORES - POR DIA\[INDICADORES - Junho-Julho_2025_backup.xlsx]Carlos'!AX13+'C:\Users\marcelo.saboia\Documents\backup - diarq - 13.06.25\Atividade Semanal - Equipe\z. INDICADORES - POR DIA\[INDICADORES - Junho-Julho_2025_backup.xlsx]Alessandro'!AX13</f>
    </oc>
    <nc r="J13">
      <f>Diego!O13+Aelton!O13+Leonam!O13+Danilo!O13+Marcos!O13+Carlos!O13+Alessandro!O13</f>
    </nc>
    <ndxf>
      <fill>
        <patternFill>
          <bgColor theme="0"/>
        </patternFill>
      </fill>
    </ndxf>
  </rcc>
  <rcc rId="757" sId="3" odxf="1" dxf="1">
    <oc r="K13">
      <f>'C:\Users\marcelo.saboia\Documents\backup - diarq - 13.06.25\Atividade Semanal - Equipe\z. INDICADORES - POR DIA\[INDICADORES - Junho-Julho_2025_backup.xlsx]Diego'!BD13+'C:\Users\marcelo.saboia\Documents\backup - diarq - 13.06.25\Atividade Semanal - Equipe\z. INDICADORES - POR DIA\[INDICADORES - Junho-Julho_2025_backup.xlsx]Aelton'!BD13+'C:\Users\marcelo.saboia\Documents\backup - diarq - 13.06.25\Atividade Semanal - Equipe\z. INDICADORES - POR DIA\[INDICADORES - Junho-Julho_2025_backup.xlsx]Leonam'!BD13+'C:\Users\marcelo.saboia\Documents\backup - diarq - 13.06.25\Atividade Semanal - Equipe\z. INDICADORES - POR DIA\[INDICADORES - Junho-Julho_2025_backup.xlsx]Danilo'!BD13+'C:\Users\marcelo.saboia\Documents\backup - diarq - 13.06.25\Atividade Semanal - Equipe\z. INDICADORES - POR DIA\[INDICADORES - Junho-Julho_2025_backup.xlsx]Marcos'!BD13+'C:\Users\marcelo.saboia\Documents\backup - diarq - 13.06.25\Atividade Semanal - Equipe\z. INDICADORES - POR DIA\[INDICADORES - Junho-Julho_2025_backup.xlsx]Carlos'!BD13+'C:\Users\marcelo.saboia\Documents\backup - diarq - 13.06.25\Atividade Semanal - Equipe\z. INDICADORES - POR DIA\[INDICADORES - Junho-Julho_2025_backup.xlsx]Alessandro'!BD13</f>
    </oc>
    <nc r="K13">
      <f>Diego!P13+Aelton!P13+Leonam!P13+Danilo!P13+Marcos!P13+Carlos!P13+Alessandro!P13</f>
    </nc>
    <ndxf>
      <fill>
        <patternFill>
          <bgColor theme="0"/>
        </patternFill>
      </fill>
    </ndxf>
  </rcc>
  <rcc rId="758" sId="3" odxf="1" dxf="1">
    <oc r="C15">
      <f>Diego!H15+Aelton!H15+Leonam!H15+Danilo!H15+Marcos!H15+Carlos!H15+Alessandro!H15</f>
    </oc>
    <nc r="C15">
      <f>Diego!H15+Aelton!H15+Leonam!H15+Danilo!H15+Marcos!H15+Carlos!H15+Alessandro!H15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59" sId="3" odxf="1" dxf="1">
    <oc r="D15">
      <f>Diego!I15+Aelton!I15+Leonam!I15+Danilo!I15+Marcos!I15+Carlos!I15+Alessandro!I15</f>
    </oc>
    <nc r="D15">
      <f>Diego!I15+Aelton!I15+Leonam!I15+Danilo!I15+Marcos!I15+Carlos!I15+Alessandro!I15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60" sId="3" odxf="1" dxf="1">
    <oc r="E15">
      <f>Diego!J15+Aelton!J15+Leonam!J15+Danilo!J15+Marcos!J15+Carlos!J15+Alessandro!J15</f>
    </oc>
    <nc r="E15">
      <f>Diego!J15+Aelton!J15+Leonam!J15+Danilo!J15+Marcos!J15+Carlos!J15+Alessandro!J15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61" sId="3" odxf="1" dxf="1">
    <oc r="F15">
      <f>Diego!K15+Aelton!K15+Leonam!K15+Danilo!K15+Marcos!K15+Carlos!K15+Alessandro!K15</f>
    </oc>
    <nc r="F15">
      <f>Diego!K15+Aelton!K15+Leonam!K15+Danilo!K15+Marcos!K15+Carlos!K15+Alessandro!K15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62" sId="3" odxf="1" dxf="1">
    <oc r="G15">
      <f>'C:\Users\marcelo.saboia\Documents\backup - diarq - 13.06.25\Atividade Semanal - Equipe\z. INDICADORES - POR DIA\[INDICADORES - Junho-Julho_2025_backup.xlsx]Diego'!AF15+'C:\Users\marcelo.saboia\Documents\backup - diarq - 13.06.25\Atividade Semanal - Equipe\z. INDICADORES - POR DIA\[INDICADORES - Junho-Julho_2025_backup.xlsx]Aelton'!AF15+'C:\Users\marcelo.saboia\Documents\backup - diarq - 13.06.25\Atividade Semanal - Equipe\z. INDICADORES - POR DIA\[INDICADORES - Junho-Julho_2025_backup.xlsx]Leonam'!AF15+'C:\Users\marcelo.saboia\Documents\backup - diarq - 13.06.25\Atividade Semanal - Equipe\z. INDICADORES - POR DIA\[INDICADORES - Junho-Julho_2025_backup.xlsx]Danilo'!AF15+'C:\Users\marcelo.saboia\Documents\backup - diarq - 13.06.25\Atividade Semanal - Equipe\z. INDICADORES - POR DIA\[INDICADORES - Junho-Julho_2025_backup.xlsx]Marcos'!AF15+'C:\Users\marcelo.saboia\Documents\backup - diarq - 13.06.25\Atividade Semanal - Equipe\z. INDICADORES - POR DIA\[INDICADORES - Junho-Julho_2025_backup.xlsx]Carlos'!AF15+'C:\Users\marcelo.saboia\Documents\backup - diarq - 13.06.25\Atividade Semanal - Equipe\z. INDICADORES - POR DIA\[INDICADORES - Junho-Julho_2025_backup.xlsx]Alessandro'!AF15</f>
    </oc>
    <nc r="G15">
      <f>Diego!L15+Aelton!L15+Leonam!L15+Danilo!L15+Marcos!L15+Carlos!L15+Alessandro!L15</f>
    </nc>
    <ndxf>
      <fill>
        <patternFill>
          <bgColor theme="0"/>
        </patternFill>
      </fill>
    </ndxf>
  </rcc>
  <rcc rId="763" sId="3" odxf="1" dxf="1">
    <oc r="H15">
      <f>'C:\Users\marcelo.saboia\Documents\backup - diarq - 13.06.25\Atividade Semanal - Equipe\z. INDICADORES - POR DIA\[INDICADORES - Junho-Julho_2025_backup.xlsx]Diego'!AL15+'C:\Users\marcelo.saboia\Documents\backup - diarq - 13.06.25\Atividade Semanal - Equipe\z. INDICADORES - POR DIA\[INDICADORES - Junho-Julho_2025_backup.xlsx]Aelton'!AL15+'C:\Users\marcelo.saboia\Documents\backup - diarq - 13.06.25\Atividade Semanal - Equipe\z. INDICADORES - POR DIA\[INDICADORES - Junho-Julho_2025_backup.xlsx]Leonam'!AL15+'C:\Users\marcelo.saboia\Documents\backup - diarq - 13.06.25\Atividade Semanal - Equipe\z. INDICADORES - POR DIA\[INDICADORES - Junho-Julho_2025_backup.xlsx]Danilo'!AL15+'C:\Users\marcelo.saboia\Documents\backup - diarq - 13.06.25\Atividade Semanal - Equipe\z. INDICADORES - POR DIA\[INDICADORES - Junho-Julho_2025_backup.xlsx]Marcos'!AL15+'C:\Users\marcelo.saboia\Documents\backup - diarq - 13.06.25\Atividade Semanal - Equipe\z. INDICADORES - POR DIA\[INDICADORES - Junho-Julho_2025_backup.xlsx]Carlos'!AL15+'C:\Users\marcelo.saboia\Documents\backup - diarq - 13.06.25\Atividade Semanal - Equipe\z. INDICADORES - POR DIA\[INDICADORES - Junho-Julho_2025_backup.xlsx]Alessandro'!AL15</f>
    </oc>
    <nc r="H15">
      <f>Diego!M15+Aelton!M15+Leonam!M15+Danilo!M15+Marcos!M15+Carlos!M15+Alessandro!M15</f>
    </nc>
    <ndxf>
      <fill>
        <patternFill>
          <bgColor theme="0"/>
        </patternFill>
      </fill>
    </ndxf>
  </rcc>
  <rcc rId="764" sId="3" odxf="1" dxf="1">
    <oc r="I15">
      <f>'C:\Users\marcelo.saboia\Documents\backup - diarq - 13.06.25\Atividade Semanal - Equipe\z. INDICADORES - POR DIA\[INDICADORES - Junho-Julho_2025_backup.xlsx]Diego'!AR15+'C:\Users\marcelo.saboia\Documents\backup - diarq - 13.06.25\Atividade Semanal - Equipe\z. INDICADORES - POR DIA\[INDICADORES - Junho-Julho_2025_backup.xlsx]Aelton'!AR15+'C:\Users\marcelo.saboia\Documents\backup - diarq - 13.06.25\Atividade Semanal - Equipe\z. INDICADORES - POR DIA\[INDICADORES - Junho-Julho_2025_backup.xlsx]Leonam'!AR15+'C:\Users\marcelo.saboia\Documents\backup - diarq - 13.06.25\Atividade Semanal - Equipe\z. INDICADORES - POR DIA\[INDICADORES - Junho-Julho_2025_backup.xlsx]Danilo'!AR15+'C:\Users\marcelo.saboia\Documents\backup - diarq - 13.06.25\Atividade Semanal - Equipe\z. INDICADORES - POR DIA\[INDICADORES - Junho-Julho_2025_backup.xlsx]Marcos'!AR15+'C:\Users\marcelo.saboia\Documents\backup - diarq - 13.06.25\Atividade Semanal - Equipe\z. INDICADORES - POR DIA\[INDICADORES - Junho-Julho_2025_backup.xlsx]Carlos'!AR15+'C:\Users\marcelo.saboia\Documents\backup - diarq - 13.06.25\Atividade Semanal - Equipe\z. INDICADORES - POR DIA\[INDICADORES - Junho-Julho_2025_backup.xlsx]Alessandro'!AR15</f>
    </oc>
    <nc r="I15">
      <f>Diego!N15+Aelton!N15+Leonam!N15+Danilo!N15+Marcos!N15+Carlos!N15+Alessandro!N15</f>
    </nc>
    <ndxf>
      <fill>
        <patternFill>
          <bgColor theme="0"/>
        </patternFill>
      </fill>
    </ndxf>
  </rcc>
  <rcc rId="765" sId="3" odxf="1" dxf="1">
    <oc r="J15">
      <f>'C:\Users\marcelo.saboia\Documents\backup - diarq - 13.06.25\Atividade Semanal - Equipe\z. INDICADORES - POR DIA\[INDICADORES - Junho-Julho_2025_backup.xlsx]Diego'!AX15+'C:\Users\marcelo.saboia\Documents\backup - diarq - 13.06.25\Atividade Semanal - Equipe\z. INDICADORES - POR DIA\[INDICADORES - Junho-Julho_2025_backup.xlsx]Aelton'!AX15+'C:\Users\marcelo.saboia\Documents\backup - diarq - 13.06.25\Atividade Semanal - Equipe\z. INDICADORES - POR DIA\[INDICADORES - Junho-Julho_2025_backup.xlsx]Leonam'!AX15+'C:\Users\marcelo.saboia\Documents\backup - diarq - 13.06.25\Atividade Semanal - Equipe\z. INDICADORES - POR DIA\[INDICADORES - Junho-Julho_2025_backup.xlsx]Danilo'!AX15+'C:\Users\marcelo.saboia\Documents\backup - diarq - 13.06.25\Atividade Semanal - Equipe\z. INDICADORES - POR DIA\[INDICADORES - Junho-Julho_2025_backup.xlsx]Marcos'!AX15+'C:\Users\marcelo.saboia\Documents\backup - diarq - 13.06.25\Atividade Semanal - Equipe\z. INDICADORES - POR DIA\[INDICADORES - Junho-Julho_2025_backup.xlsx]Carlos'!AX15+'C:\Users\marcelo.saboia\Documents\backup - diarq - 13.06.25\Atividade Semanal - Equipe\z. INDICADORES - POR DIA\[INDICADORES - Junho-Julho_2025_backup.xlsx]Alessandro'!AX15</f>
    </oc>
    <nc r="J15">
      <f>Diego!O15+Aelton!O15+Leonam!O15+Danilo!O15+Marcos!O15+Carlos!O15+Alessandro!O15</f>
    </nc>
    <ndxf>
      <fill>
        <patternFill>
          <bgColor theme="0"/>
        </patternFill>
      </fill>
    </ndxf>
  </rcc>
  <rcc rId="766" sId="3" odxf="1" dxf="1">
    <oc r="K15">
      <f>'C:\Users\marcelo.saboia\Documents\backup - diarq - 13.06.25\Atividade Semanal - Equipe\z. INDICADORES - POR DIA\[INDICADORES - Junho-Julho_2025_backup.xlsx]Diego'!BD15+'C:\Users\marcelo.saboia\Documents\backup - diarq - 13.06.25\Atividade Semanal - Equipe\z. INDICADORES - POR DIA\[INDICADORES - Junho-Julho_2025_backup.xlsx]Aelton'!BD15+'C:\Users\marcelo.saboia\Documents\backup - diarq - 13.06.25\Atividade Semanal - Equipe\z. INDICADORES - POR DIA\[INDICADORES - Junho-Julho_2025_backup.xlsx]Leonam'!BD15+'C:\Users\marcelo.saboia\Documents\backup - diarq - 13.06.25\Atividade Semanal - Equipe\z. INDICADORES - POR DIA\[INDICADORES - Junho-Julho_2025_backup.xlsx]Danilo'!BD15+'C:\Users\marcelo.saboia\Documents\backup - diarq - 13.06.25\Atividade Semanal - Equipe\z. INDICADORES - POR DIA\[INDICADORES - Junho-Julho_2025_backup.xlsx]Marcos'!BD15+'C:\Users\marcelo.saboia\Documents\backup - diarq - 13.06.25\Atividade Semanal - Equipe\z. INDICADORES - POR DIA\[INDICADORES - Junho-Julho_2025_backup.xlsx]Carlos'!BD15+'C:\Users\marcelo.saboia\Documents\backup - diarq - 13.06.25\Atividade Semanal - Equipe\z. INDICADORES - POR DIA\[INDICADORES - Junho-Julho_2025_backup.xlsx]Alessandro'!BD15</f>
    </oc>
    <nc r="K15">
      <f>Diego!P15+Aelton!P15+Leonam!P15+Danilo!P15+Marcos!P15+Carlos!P15+Alessandro!P15</f>
    </nc>
    <ndxf>
      <fill>
        <patternFill>
          <bgColor theme="0"/>
        </patternFill>
      </fill>
    </ndxf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7" sId="3">
    <oc r="D2">
      <f>Diego!I2+Aelton!I2+Leonam!I2+Danilo!I2+Marcos!I2+Carlos!I2+Alessandro!I2</f>
    </oc>
    <nc r="D2">
      <f>Diego!N2+Aelton!N2+Leonam!N2+Danilo!N2+Marcos!N2+Carlos!N2+Alessandro!N2</f>
    </nc>
  </rcc>
  <rcc rId="768" sId="3" odxf="1" dxf="1">
    <oc r="D3">
      <f>Diego!I3+Aelton!I3+Leonam!I3+Danilo!I3+Marcos!I3+Carlos!I3+Alessandro!I3</f>
    </oc>
    <nc r="D3">
      <f>Diego!N3+Aelton!N3+Leonam!N3+Danilo!N3+Marcos!N3+Carlos!N3+Alessandro!N3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69" sId="3">
    <oc r="D4">
      <f>Diego!I4+Aelton!I4+Leonam!I4+Danilo!I4+Marcos!I4+Carlos!I4+Alessandro!I4</f>
    </oc>
    <nc r="D4">
      <f>Diego!N4+Aelton!N4+Leonam!N4+Danilo!N4+Marcos!N4+Carlos!N4+Alessandro!N4</f>
    </nc>
  </rcc>
  <rcc rId="770" sId="3" odxf="1" dxf="1">
    <oc r="D5">
      <f>Diego!I5+Aelton!I5+Leonam!I5+Danilo!I5+Marcos!I5+Carlos!I5+Alessandro!I5</f>
    </oc>
    <nc r="D5">
      <f>Diego!N5+Aelton!N5+Leonam!N5+Danilo!N5+Marcos!N5+Carlos!N5+Alessandro!N5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71" sId="3">
    <oc r="D6">
      <f>Diego!I6+Aelton!I6+Leonam!I6+Danilo!I6+Marcos!I6+Carlos!I6+Alessandro!I6</f>
    </oc>
    <nc r="D6">
      <f>Diego!N6+Aelton!N6+Leonam!N6+Danilo!N6+Marcos!N6+Carlos!N6+Alessandro!N6</f>
    </nc>
  </rcc>
  <rcc rId="772" sId="3" odxf="1" dxf="1">
    <oc r="D7">
      <f>Diego!I7+Aelton!I7+Leonam!I7+Danilo!I7+Marcos!I7+Carlos!I7+Alessandro!I7</f>
    </oc>
    <nc r="D7">
      <f>Diego!N7+Aelton!N7+Leonam!N7+Danilo!N7+Marcos!N7+Carlos!N7+Alessandro!N7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73" sId="3">
    <oc r="D8">
      <f>Diego!I8+Aelton!I8+Leonam!I8+Danilo!I8+Marcos!I8+Carlos!I8+Alessandro!I8</f>
    </oc>
    <nc r="D8">
      <f>Diego!N8+Aelton!N8+Leonam!N8+Danilo!N8+Marcos!N8+Carlos!N8+Alessandro!N8</f>
    </nc>
  </rcc>
  <rcc rId="774" sId="3" odxf="1" dxf="1">
    <oc r="D9">
      <f>Diego!I9+Aelton!I9+Leonam!I9+Danilo!I9+Marcos!I9+Carlos!I9+Alessandro!I9</f>
    </oc>
    <nc r="D9">
      <f>Diego!N9+Aelton!N9+Leonam!N9+Danilo!N9+Marcos!N9+Carlos!N9+Alessandro!N9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75" sId="3">
    <oc r="D10">
      <f>Diego!I10+Aelton!I10+Leonam!I10+Danilo!I10+Marcos!I10+Carlos!I10+Alessandro!I10</f>
    </oc>
    <nc r="D10">
      <f>Diego!N10+Aelton!N10+Leonam!N10+Danilo!N10+Marcos!N10+Carlos!N10+Alessandro!N10</f>
    </nc>
  </rcc>
  <rcc rId="776" sId="3" odxf="1" dxf="1">
    <oc r="D11">
      <f>Diego!I11+Aelton!I11+Leonam!I11+Danilo!I11+Marcos!I11+Carlos!I11+Alessandro!I11</f>
    </oc>
    <nc r="D11">
      <f>Diego!N11+Aelton!N11+Leonam!N11+Danilo!N11+Marcos!N11+Carlos!N11+Alessandro!N11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77" sId="3">
    <oc r="D12">
      <f>Diego!I12+Aelton!I12+Leonam!I12+Danilo!I12+Marcos!I12+Carlos!I12+Alessandro!I12</f>
    </oc>
    <nc r="D12">
      <f>Diego!N12+Aelton!N12+Leonam!N12+Danilo!N12+Marcos!N12+Carlos!N12+Alessandro!N12</f>
    </nc>
  </rcc>
  <rcc rId="778" sId="3" odxf="1" dxf="1">
    <oc r="D13">
      <f>Diego!I13+Aelton!I13+Leonam!I13+Danilo!I13+Marcos!I13+Carlos!I13+Alessandro!I13</f>
    </oc>
    <nc r="D13">
      <f>Diego!N13+Aelton!N13+Leonam!N13+Danilo!N13+Marcos!N13+Carlos!N13+Alessandro!N13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79" sId="3">
    <oc r="D14">
      <f>Diego!I14+Aelton!I14+Leonam!I14+Danilo!I14+Marcos!I14+Carlos!I14+Alessandro!I14</f>
    </oc>
    <nc r="D14">
      <f>Diego!N14+Aelton!N14+Leonam!N14+Danilo!N14+Marcos!N14+Carlos!N14+Alessandro!N14</f>
    </nc>
  </rcc>
  <rcc rId="780" sId="3" odxf="1" dxf="1">
    <oc r="D15">
      <f>Diego!I15+Aelton!I15+Leonam!I15+Danilo!I15+Marcos!I15+Carlos!I15+Alessandro!I15</f>
    </oc>
    <nc r="D15">
      <f>Diego!N15+Aelton!N15+Leonam!N15+Danilo!N15+Marcos!N15+Carlos!N15+Alessandro!N15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81" sId="3">
    <oc r="D16">
      <f>Diego!I16+Aelton!I16+Leonam!I16+Danilo!I16+Marcos!I16+Carlos!I16+Alessandro!I16</f>
    </oc>
    <nc r="D16">
      <f>Diego!N16+Aelton!N16+Leonam!N16+Danilo!N16+Marcos!N16+Carlos!N16+Alessandro!N16</f>
    </nc>
  </rcc>
  <rcc rId="782" sId="3">
    <oc r="E2">
      <f>Diego!J2+Aelton!J2+Leonam!J2+Danilo!J2+Marcos!J2+Carlos!J2+Alessandro!J2</f>
    </oc>
    <nc r="E2">
      <f>Diego!T2+Aelton!T2+Leonam!T2+Danilo!T2+Marcos!T2+Carlos!T2+Alessandro!T2</f>
    </nc>
  </rcc>
  <rcc rId="783" sId="3">
    <oc r="F2">
      <f>Diego!K2+Aelton!K2+Leonam!K2+Danilo!K2+Marcos!K2+Carlos!K2+Alessandro!K2</f>
    </oc>
    <nc r="F2">
      <f>Diego!Z2+Aelton!Z2+Leonam!Z2+Danilo!Z2+Marcos!Z2+Carlos!Z2+Alessandro!Z2</f>
    </nc>
  </rcc>
  <rcc rId="784" sId="3" odxf="1" dxf="1">
    <oc r="F3">
      <f>Diego!K3+Aelton!K3+Leonam!K3+Danilo!K3+Marcos!K3+Carlos!K3+Alessandro!K3</f>
    </oc>
    <nc r="F3">
      <f>Diego!Z3+Aelton!Z3+Leonam!Z3+Danilo!Z3+Marcos!Z3+Carlos!Z3+Alessandro!Z3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85" sId="3">
    <oc r="F4">
      <f>Diego!K4+Aelton!K4+Leonam!K4+Danilo!K4+Marcos!K4+Carlos!K4+Alessandro!K4</f>
    </oc>
    <nc r="F4">
      <f>Diego!Z4+Aelton!Z4+Leonam!Z4+Danilo!Z4+Marcos!Z4+Carlos!Z4+Alessandro!Z4</f>
    </nc>
  </rcc>
  <rcc rId="786" sId="3" odxf="1" dxf="1">
    <oc r="F5">
      <f>Diego!K5+Aelton!K5+Leonam!K5+Danilo!K5+Marcos!K5+Carlos!K5+Alessandro!K5</f>
    </oc>
    <nc r="F5">
      <f>Diego!Z5+Aelton!Z5+Leonam!Z5+Danilo!Z5+Marcos!Z5+Carlos!Z5+Alessandro!Z5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87" sId="3">
    <oc r="F6">
      <f>Diego!K6+Aelton!K6+Leonam!K6+Danilo!K6+Marcos!K6+Carlos!K6+Alessandro!K6</f>
    </oc>
    <nc r="F6">
      <f>Diego!Z6+Aelton!Z6+Leonam!Z6+Danilo!Z6+Marcos!Z6+Carlos!Z6+Alessandro!Z6</f>
    </nc>
  </rcc>
  <rcc rId="788" sId="3" odxf="1" dxf="1">
    <oc r="F7">
      <f>Diego!K7+Aelton!K7+Leonam!K7+Danilo!K7+Marcos!K7+Carlos!K7+Alessandro!K7</f>
    </oc>
    <nc r="F7">
      <f>Diego!Z7+Aelton!Z7+Leonam!Z7+Danilo!Z7+Marcos!Z7+Carlos!Z7+Alessandro!Z7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89" sId="3">
    <oc r="F8">
      <f>Diego!K8+Aelton!K8+Leonam!K8+Danilo!K8+Marcos!K8+Carlos!K8+Alessandro!K8</f>
    </oc>
    <nc r="F8">
      <f>Diego!Z8+Aelton!Z8+Leonam!Z8+Danilo!Z8+Marcos!Z8+Carlos!Z8+Alessandro!Z8</f>
    </nc>
  </rcc>
  <rcc rId="790" sId="3" odxf="1" dxf="1">
    <oc r="F9">
      <f>Diego!K9+Aelton!K9+Leonam!K9+Danilo!K9+Marcos!K9+Carlos!K9+Alessandro!K9</f>
    </oc>
    <nc r="F9">
      <f>Diego!Z9+Aelton!Z9+Leonam!Z9+Danilo!Z9+Marcos!Z9+Carlos!Z9+Alessandro!Z9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91" sId="3">
    <oc r="F10">
      <f>Diego!K10+Aelton!K10+Leonam!K10+Danilo!K10+Marcos!K10+Carlos!K10+Alessandro!K10</f>
    </oc>
    <nc r="F10">
      <f>Diego!Z10+Aelton!Z10+Leonam!Z10+Danilo!Z10+Marcos!Z10+Carlos!Z10+Alessandro!Z10</f>
    </nc>
  </rcc>
  <rcc rId="792" sId="3" odxf="1" dxf="1">
    <oc r="F11">
      <f>Diego!K11+Aelton!K11+Leonam!K11+Danilo!K11+Marcos!K11+Carlos!K11+Alessandro!K11</f>
    </oc>
    <nc r="F11">
      <f>Diego!Z11+Aelton!Z11+Leonam!Z11+Danilo!Z11+Marcos!Z11+Carlos!Z11+Alessandro!Z11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93" sId="3">
    <oc r="F12">
      <f>Diego!K12+Aelton!K12+Leonam!K12+Danilo!K12+Marcos!K12+Carlos!K12+Alessandro!K12</f>
    </oc>
    <nc r="F12">
      <f>Diego!Z12+Aelton!Z12+Leonam!Z12+Danilo!Z12+Marcos!Z12+Carlos!Z12+Alessandro!Z12</f>
    </nc>
  </rcc>
  <rcc rId="794" sId="3" odxf="1" dxf="1">
    <oc r="F13">
      <f>Diego!K13+Aelton!K13+Leonam!K13+Danilo!K13+Marcos!K13+Carlos!K13+Alessandro!K13</f>
    </oc>
    <nc r="F13">
      <f>Diego!Z13+Aelton!Z13+Leonam!Z13+Danilo!Z13+Marcos!Z13+Carlos!Z13+Alessandro!Z13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95" sId="3">
    <oc r="F14">
      <f>Diego!K14+Aelton!K14+Leonam!K14+Danilo!K14+Marcos!K14+Carlos!K14+Alessandro!K14</f>
    </oc>
    <nc r="F14">
      <f>Diego!Z14+Aelton!Z14+Leonam!Z14+Danilo!Z14+Marcos!Z14+Carlos!Z14+Alessandro!Z14</f>
    </nc>
  </rcc>
  <rcc rId="796" sId="3" odxf="1" dxf="1">
    <oc r="F15">
      <f>Diego!K15+Aelton!K15+Leonam!K15+Danilo!K15+Marcos!K15+Carlos!K15+Alessandro!K15</f>
    </oc>
    <nc r="F15">
      <f>Diego!Z15+Aelton!Z15+Leonam!Z15+Danilo!Z15+Marcos!Z15+Carlos!Z15+Alessandro!Z15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97" sId="3">
    <oc r="F16">
      <f>Diego!K16+Aelton!K16+Leonam!K16+Danilo!K16+Marcos!K16+Carlos!K16+Alessandro!K16</f>
    </oc>
    <nc r="F16">
      <f>Diego!Z16+Aelton!Z16+Leonam!Z16+Danilo!Z16+Marcos!Z16+Carlos!Z16+Alessandro!Z16</f>
    </nc>
  </rcc>
  <rcc rId="798" sId="3">
    <oc r="G2">
      <f>Diego!L2+Aelton!L2+Leonam!L2+Danilo!L2+Marcos!L2+Carlos!L2+Alessandro!L2</f>
    </oc>
    <nc r="G2">
      <f>Diego!AF2+Aelton!AF2+Leonam!AF2+Danilo!AF2+Marcos!AF2+Carlos!AF2+Alessandro!AF2</f>
    </nc>
  </rcc>
  <rcc rId="799" sId="3" odxf="1" dxf="1">
    <oc r="G3">
      <f>Diego!L3+Aelton!L3+Leonam!L3+Danilo!L3+Marcos!L3+Carlos!L3+Alessandro!L3</f>
    </oc>
    <nc r="G3">
      <f>Diego!AF3+Aelton!AF3+Leonam!AF3+Danilo!AF3+Marcos!AF3+Carlos!AF3+Alessandro!AF3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00" sId="3">
    <oc r="G4">
      <f>Diego!L4+Aelton!L4+Leonam!L4+Danilo!L4+Marcos!L4+Carlos!L4+Alessandro!L4</f>
    </oc>
    <nc r="G4">
      <f>Diego!AF4+Aelton!AF4+Leonam!AF4+Danilo!AF4+Marcos!AF4+Carlos!AF4+Alessandro!AF4</f>
    </nc>
  </rcc>
  <rcc rId="801" sId="3" odxf="1" dxf="1">
    <oc r="G5">
      <f>Diego!L5+Aelton!L5+Leonam!L5+Danilo!L5+Marcos!L5+Carlos!L5+Alessandro!L5</f>
    </oc>
    <nc r="G5">
      <f>Diego!AF5+Aelton!AF5+Leonam!AF5+Danilo!AF5+Marcos!AF5+Carlos!AF5+Alessandro!AF5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02" sId="3">
    <oc r="G6">
      <f>Diego!L6+Aelton!L6+Leonam!L6+Danilo!L6+Marcos!L6+Carlos!L6+Alessandro!L6</f>
    </oc>
    <nc r="G6">
      <f>Diego!AF6+Aelton!AF6+Leonam!AF6+Danilo!AF6+Marcos!AF6+Carlos!AF6+Alessandro!AF6</f>
    </nc>
  </rcc>
  <rcc rId="803" sId="3" odxf="1" dxf="1">
    <oc r="G7">
      <f>Diego!L7+Aelton!L7+Leonam!L7+Danilo!L7+Marcos!L7+Carlos!L7+Alessandro!L7</f>
    </oc>
    <nc r="G7">
      <f>Diego!AF7+Aelton!AF7+Leonam!AF7+Danilo!AF7+Marcos!AF7+Carlos!AF7+Alessandro!AF7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04" sId="3">
    <oc r="G8">
      <f>Diego!L8+Aelton!L8+Leonam!L8+Danilo!L8+Marcos!L8+Carlos!L8+Alessandro!L8</f>
    </oc>
    <nc r="G8">
      <f>Diego!AF8+Aelton!AF8+Leonam!AF8+Danilo!AF8+Marcos!AF8+Carlos!AF8+Alessandro!AF8</f>
    </nc>
  </rcc>
  <rcc rId="805" sId="3" odxf="1" dxf="1">
    <oc r="G9">
      <f>Diego!L9+Aelton!L9+Leonam!L9+Danilo!L9+Marcos!L9+Carlos!L9+Alessandro!L9</f>
    </oc>
    <nc r="G9">
      <f>Diego!AF9+Aelton!AF9+Leonam!AF9+Danilo!AF9+Marcos!AF9+Carlos!AF9+Alessandro!AF9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06" sId="3">
    <oc r="G10">
      <f>Diego!L10+Aelton!L10+Leonam!L10+Danilo!L10+Marcos!L10+Carlos!L10+Alessandro!L10</f>
    </oc>
    <nc r="G10">
      <f>Diego!AF10+Aelton!AF10+Leonam!AF10+Danilo!AF10+Marcos!AF10+Carlos!AF10+Alessandro!AF10</f>
    </nc>
  </rcc>
  <rcc rId="807" sId="3" odxf="1" dxf="1">
    <oc r="G11">
      <f>Diego!L11+Aelton!L11+Leonam!L11+Danilo!L11+Marcos!L11+Carlos!L11+Alessandro!L11</f>
    </oc>
    <nc r="G11">
      <f>Diego!AF11+Aelton!AF11+Leonam!AF11+Danilo!AF11+Marcos!AF11+Carlos!AF11+Alessandro!AF11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08" sId="3">
    <oc r="G12">
      <f>Diego!L12+Aelton!L12+Leonam!L12+Danilo!L12+Marcos!L12+Carlos!L12+Alessandro!L12</f>
    </oc>
    <nc r="G12">
      <f>Diego!AF12+Aelton!AF12+Leonam!AF12+Danilo!AF12+Marcos!AF12+Carlos!AF12+Alessandro!AF12</f>
    </nc>
  </rcc>
  <rcc rId="809" sId="3" odxf="1" dxf="1">
    <oc r="G13">
      <f>Diego!L13+Aelton!L13+Leonam!L13+Danilo!L13+Marcos!L13+Carlos!L13+Alessandro!L13</f>
    </oc>
    <nc r="G13">
      <f>Diego!AF13+Aelton!AF13+Leonam!AF13+Danilo!AF13+Marcos!AF13+Carlos!AF13+Alessandro!AF13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10" sId="3">
    <oc r="G14">
      <f>Diego!L14+Aelton!L14+Leonam!L14+Danilo!L14+Marcos!L14+Carlos!L14+Alessandro!L14</f>
    </oc>
    <nc r="G14">
      <f>Diego!AF14+Aelton!AF14+Leonam!AF14+Danilo!AF14+Marcos!AF14+Carlos!AF14+Alessandro!AF14</f>
    </nc>
  </rcc>
  <rcc rId="811" sId="3" odxf="1" dxf="1">
    <oc r="G15">
      <f>Diego!L15+Aelton!L15+Leonam!L15+Danilo!L15+Marcos!L15+Carlos!L15+Alessandro!L15</f>
    </oc>
    <nc r="G15">
      <f>Diego!AF15+Aelton!AF15+Leonam!AF15+Danilo!AF15+Marcos!AF15+Carlos!AF15+Alessandro!AF15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12" sId="3">
    <oc r="G16">
      <f>Diego!L16+Aelton!L16+Leonam!L16+Danilo!L16+Marcos!L16+Carlos!L16+Alessandro!L16</f>
    </oc>
    <nc r="G16">
      <f>Diego!AF16+Aelton!AF16+Leonam!AF16+Danilo!AF16+Marcos!AF16+Carlos!AF16+Alessandro!AF16</f>
    </nc>
  </rcc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Danilo!$A$1:$A$31</formula>
    <oldFormula>Danilo!$A$1:$A$31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9" customView="1" name="Z_18A482E0_C8B6_4AA1_9E04_15FA7C9CD5E3_.wvu.FilterData" hidden="1" oldHidden="1">
    <formula>Carlos!$A$1:$A$18</formula>
    <oldFormula>Carlos!$A$1:$A$18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cv guid="{18A482E0-C8B6-4AA1-9E04-15FA7C9CD5E3}" action="add"/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3" sId="3">
    <oc r="H2">
      <f>Diego!M2+Aelton!M2+Leonam!M2+Danilo!M2+Marcos!M2+Carlos!M2+Alessandro!M2</f>
    </oc>
    <nc r="H2">
      <f>Diego!AL2+Aelton!AL2+Leonam!AL2+Danilo!AL2+Marcos!AL2+Carlos!AL2+Alessandro!AL2</f>
    </nc>
  </rcc>
  <rcc rId="824" sId="3" odxf="1" dxf="1">
    <oc r="H3">
      <f>Diego!M3+Aelton!M3+Leonam!M3+Danilo!M3+Marcos!M3+Carlos!M3+Alessandro!M3</f>
    </oc>
    <nc r="H3">
      <f>Diego!AL3+Aelton!AL3+Leonam!AL3+Danilo!AL3+Marcos!AL3+Carlos!AL3+Alessandro!AL3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25" sId="3">
    <oc r="H4">
      <f>Diego!M4+Aelton!M4+Leonam!M4+Danilo!M4+Marcos!M4+Carlos!M4+Alessandro!M4</f>
    </oc>
    <nc r="H4">
      <f>Diego!AL4+Aelton!AL4+Leonam!AL4+Danilo!AL4+Marcos!AL4+Carlos!AL4+Alessandro!AL4</f>
    </nc>
  </rcc>
  <rcc rId="826" sId="3" odxf="1" dxf="1">
    <oc r="H5">
      <f>Diego!M5+Aelton!M5+Leonam!M5+Danilo!M5+Marcos!M5+Carlos!M5+Alessandro!M5</f>
    </oc>
    <nc r="H5">
      <f>Diego!AL5+Aelton!AL5+Leonam!AL5+Danilo!AL5+Marcos!AL5+Carlos!AL5+Alessandro!AL5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27" sId="3">
    <oc r="H6">
      <f>Diego!M6+Aelton!M6+Leonam!M6+Danilo!M6+Marcos!M6+Carlos!M6+Alessandro!M6</f>
    </oc>
    <nc r="H6">
      <f>Diego!AL6+Aelton!AL6+Leonam!AL6+Danilo!AL6+Marcos!AL6+Carlos!AL6+Alessandro!AL6</f>
    </nc>
  </rcc>
  <rcc rId="828" sId="3" odxf="1" dxf="1">
    <oc r="H7">
      <f>Diego!M7+Aelton!M7+Leonam!M7+Danilo!M7+Marcos!M7+Carlos!M7+Alessandro!M7</f>
    </oc>
    <nc r="H7">
      <f>Diego!AL7+Aelton!AL7+Leonam!AL7+Danilo!AL7+Marcos!AL7+Carlos!AL7+Alessandro!AL7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29" sId="3">
    <oc r="H8">
      <f>Diego!M8+Aelton!M8+Leonam!M8+Danilo!M8+Marcos!M8+Carlos!M8+Alessandro!M8</f>
    </oc>
    <nc r="H8">
      <f>Diego!AL8+Aelton!AL8+Leonam!AL8+Danilo!AL8+Marcos!AL8+Carlos!AL8+Alessandro!AL8</f>
    </nc>
  </rcc>
  <rcc rId="830" sId="3" odxf="1" dxf="1">
    <oc r="H9">
      <f>Diego!M9+Aelton!M9+Leonam!M9+Danilo!M9+Marcos!M9+Carlos!M9+Alessandro!M9</f>
    </oc>
    <nc r="H9">
      <f>Diego!AL9+Aelton!AL9+Leonam!AL9+Danilo!AL9+Marcos!AL9+Carlos!AL9+Alessandro!AL9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31" sId="3">
    <oc r="H10">
      <f>Diego!M10+Aelton!M10+Leonam!M10+Danilo!M10+Marcos!M10+Carlos!M10+Alessandro!M10</f>
    </oc>
    <nc r="H10">
      <f>Diego!AL10+Aelton!AL10+Leonam!AL10+Danilo!AL10+Marcos!AL10+Carlos!AL10+Alessandro!AL10</f>
    </nc>
  </rcc>
  <rcc rId="832" sId="3" odxf="1" dxf="1">
    <oc r="H11">
      <f>Diego!M11+Aelton!M11+Leonam!M11+Danilo!M11+Marcos!M11+Carlos!M11+Alessandro!M11</f>
    </oc>
    <nc r="H11">
      <f>Diego!AL11+Aelton!AL11+Leonam!AL11+Danilo!AL11+Marcos!AL11+Carlos!AL11+Alessandro!AL11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33" sId="3">
    <oc r="H12">
      <f>Diego!M12+Aelton!M12+Leonam!M12+Danilo!M12+Marcos!M12+Carlos!M12+Alessandro!M12</f>
    </oc>
    <nc r="H12">
      <f>Diego!AL12+Aelton!AL12+Leonam!AL12+Danilo!AL12+Marcos!AL12+Carlos!AL12+Alessandro!AL12</f>
    </nc>
  </rcc>
  <rcc rId="834" sId="3" odxf="1" dxf="1">
    <oc r="H13">
      <f>Diego!M13+Aelton!M13+Leonam!M13+Danilo!M13+Marcos!M13+Carlos!M13+Alessandro!M13</f>
    </oc>
    <nc r="H13">
      <f>Diego!AL13+Aelton!AL13+Leonam!AL13+Danilo!AL13+Marcos!AL13+Carlos!AL13+Alessandro!AL13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35" sId="3">
    <oc r="H14">
      <f>Diego!M14+Aelton!M14+Leonam!M14+Danilo!M14+Marcos!M14+Carlos!M14+Alessandro!M14</f>
    </oc>
    <nc r="H14">
      <f>Diego!AL14+Aelton!AL14+Leonam!AL14+Danilo!AL14+Marcos!AL14+Carlos!AL14+Alessandro!AL14</f>
    </nc>
  </rcc>
  <rcc rId="836" sId="3" odxf="1" dxf="1">
    <oc r="H15">
      <f>Diego!M15+Aelton!M15+Leonam!M15+Danilo!M15+Marcos!M15+Carlos!M15+Alessandro!M15</f>
    </oc>
    <nc r="H15">
      <f>Diego!AL15+Aelton!AL15+Leonam!AL15+Danilo!AL15+Marcos!AL15+Carlos!AL15+Alessandro!AL15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37" sId="3">
    <oc r="H16">
      <f>Diego!M16+Aelton!M16+Leonam!M16+Danilo!M16+Marcos!M16+Carlos!M16+Alessandro!M16</f>
    </oc>
    <nc r="H16">
      <f>Diego!AL16+Aelton!AL16+Leonam!AL16+Danilo!AL16+Marcos!AL16+Carlos!AL16+Alessandro!AL16</f>
    </nc>
  </rcc>
  <rcc rId="838" sId="3" odxf="1" dxf="1">
    <oc r="I3">
      <f>Diego!N3+Aelton!N3+Leonam!N3+Danilo!N3+Marcos!N3+Carlos!N3+Alessandro!N3</f>
    </oc>
    <nc r="I3">
      <f>Diego!AM3+Aelton!AM3+Leonam!AM3+Danilo!AM3+Marcos!AM3+Carlos!AM3+Alessandro!AM3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39" sId="3">
    <oc r="I4">
      <f>Diego!N4+Aelton!N4+Leonam!N4+Danilo!N4+Marcos!N4+Carlos!N4+Alessandro!N4</f>
    </oc>
    <nc r="I4">
      <f>Diego!AM4+Aelton!AM4+Leonam!AM4+Danilo!AM4+Marcos!AM4+Carlos!AM4+Alessandro!AM4</f>
    </nc>
  </rcc>
  <rcc rId="840" sId="3" odxf="1" dxf="1">
    <oc r="I5">
      <f>Diego!N5+Aelton!N5+Leonam!N5+Danilo!N5+Marcos!N5+Carlos!N5+Alessandro!N5</f>
    </oc>
    <nc r="I5">
      <f>Diego!AM5+Aelton!AM5+Leonam!AM5+Danilo!AM5+Marcos!AM5+Carlos!AM5+Alessandro!AM5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41" sId="3">
    <oc r="I6">
      <f>Diego!N6+Aelton!N6+Leonam!N6+Danilo!N6+Marcos!N6+Carlos!N6+Alessandro!N6</f>
    </oc>
    <nc r="I6">
      <f>Diego!AM6+Aelton!AM6+Leonam!AM6+Danilo!AM6+Marcos!AM6+Carlos!AM6+Alessandro!AM6</f>
    </nc>
  </rcc>
  <rcc rId="842" sId="3" odxf="1" dxf="1">
    <oc r="I7">
      <f>Diego!N7+Aelton!N7+Leonam!N7+Danilo!N7+Marcos!N7+Carlos!N7+Alessandro!N7</f>
    </oc>
    <nc r="I7">
      <f>Diego!AM7+Aelton!AM7+Leonam!AM7+Danilo!AM7+Marcos!AM7+Carlos!AM7+Alessandro!AM7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43" sId="3">
    <oc r="I8">
      <f>Diego!N8+Aelton!N8+Leonam!N8+Danilo!N8+Marcos!N8+Carlos!N8+Alessandro!N8</f>
    </oc>
    <nc r="I8">
      <f>Diego!AM8+Aelton!AM8+Leonam!AM8+Danilo!AM8+Marcos!AM8+Carlos!AM8+Alessandro!AM8</f>
    </nc>
  </rcc>
  <rcc rId="844" sId="3" odxf="1" dxf="1">
    <oc r="I9">
      <f>Diego!N9+Aelton!N9+Leonam!N9+Danilo!N9+Marcos!N9+Carlos!N9+Alessandro!N9</f>
    </oc>
    <nc r="I9">
      <f>Diego!AM9+Aelton!AM9+Leonam!AM9+Danilo!AM9+Marcos!AM9+Carlos!AM9+Alessandro!AM9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45" sId="3">
    <oc r="I10">
      <f>Diego!N10+Aelton!N10+Leonam!N10+Danilo!N10+Marcos!N10+Carlos!N10+Alessandro!N10</f>
    </oc>
    <nc r="I10">
      <f>Diego!AM10+Aelton!AM10+Leonam!AM10+Danilo!AM10+Marcos!AM10+Carlos!AM10+Alessandro!AM10</f>
    </nc>
  </rcc>
  <rcc rId="846" sId="3" odxf="1" dxf="1">
    <oc r="I11">
      <f>Diego!N11+Aelton!N11+Leonam!N11+Danilo!N11+Marcos!N11+Carlos!N11+Alessandro!N11</f>
    </oc>
    <nc r="I11">
      <f>Diego!AM11+Aelton!AM11+Leonam!AM11+Danilo!AM11+Marcos!AM11+Carlos!AM11+Alessandro!AM11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47" sId="3">
    <oc r="I12">
      <f>Diego!N12+Aelton!N12+Leonam!N12+Danilo!N12+Marcos!N12+Carlos!N12+Alessandro!N12</f>
    </oc>
    <nc r="I12">
      <f>Diego!AM12+Aelton!AM12+Leonam!AM12+Danilo!AM12+Marcos!AM12+Carlos!AM12+Alessandro!AM12</f>
    </nc>
  </rcc>
  <rcc rId="848" sId="3" odxf="1" dxf="1">
    <oc r="I13">
      <f>Diego!N13+Aelton!N13+Leonam!N13+Danilo!N13+Marcos!N13+Carlos!N13+Alessandro!N13</f>
    </oc>
    <nc r="I13">
      <f>Diego!AM13+Aelton!AM13+Leonam!AM13+Danilo!AM13+Marcos!AM13+Carlos!AM13+Alessandro!AM13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49" sId="3">
    <oc r="I14">
      <f>Diego!N14+Aelton!N14+Leonam!N14+Danilo!N14+Marcos!N14+Carlos!N14+Alessandro!N14</f>
    </oc>
    <nc r="I14">
      <f>Diego!AM14+Aelton!AM14+Leonam!AM14+Danilo!AM14+Marcos!AM14+Carlos!AM14+Alessandro!AM14</f>
    </nc>
  </rcc>
  <rcc rId="850" sId="3" odxf="1" dxf="1">
    <oc r="I15">
      <f>Diego!N15+Aelton!N15+Leonam!N15+Danilo!N15+Marcos!N15+Carlos!N15+Alessandro!N15</f>
    </oc>
    <nc r="I15">
      <f>Diego!AM15+Aelton!AM15+Leonam!AM15+Danilo!AM15+Marcos!AM15+Carlos!AM15+Alessandro!AM15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51" sId="3">
    <oc r="I16">
      <f>Diego!N16+Aelton!N16+Leonam!N16+Danilo!N16+Marcos!N16+Carlos!N16+Alessandro!N16</f>
    </oc>
    <nc r="I16">
      <f>Diego!AM16+Aelton!AM16+Leonam!AM16+Danilo!AM16+Marcos!AM16+Carlos!AM16+Alessandro!AM16</f>
    </nc>
  </rcc>
  <rcc rId="852" sId="3">
    <oc r="I2">
      <f>Diego!N2+Aelton!N2+Leonam!N2+Danilo!N2+Marcos!N2+Carlos!N2+Alessandro!N2</f>
    </oc>
    <nc r="I2">
      <f>Diego!AR2+Aelton!AR2+Leonam!AR2+Danilo!AR2+Marcos!AR2+Carlos!AR2+Alessandro!AR2</f>
    </nc>
  </rcc>
  <rcc rId="853" sId="3" odxf="1" dxf="1">
    <oc r="J3">
      <f>Diego!O3+Aelton!O3+Leonam!O3+Danilo!O3+Marcos!O3+Carlos!O3+Alessandro!O3</f>
    </oc>
    <nc r="J3">
      <f>Diego!AN3+Aelton!AN3+Leonam!AN3+Danilo!AN3+Marcos!AN3+Carlos!AN3+Alessandro!AN3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54" sId="3">
    <oc r="J4">
      <f>Diego!O4+Aelton!O4+Leonam!O4+Danilo!O4+Marcos!O4+Carlos!O4+Alessandro!O4</f>
    </oc>
    <nc r="J4">
      <f>Diego!AN4+Aelton!AN4+Leonam!AN4+Danilo!AN4+Marcos!AN4+Carlos!AN4+Alessandro!AN4</f>
    </nc>
  </rcc>
  <rcc rId="855" sId="3" odxf="1" dxf="1">
    <oc r="J5">
      <f>Diego!O5+Aelton!O5+Leonam!O5+Danilo!O5+Marcos!O5+Carlos!O5+Alessandro!O5</f>
    </oc>
    <nc r="J5">
      <f>Diego!AN5+Aelton!AN5+Leonam!AN5+Danilo!AN5+Marcos!AN5+Carlos!AN5+Alessandro!AN5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56" sId="3">
    <oc r="J6">
      <f>Diego!O6+Aelton!O6+Leonam!O6+Danilo!O6+Marcos!O6+Carlos!O6+Alessandro!O6</f>
    </oc>
    <nc r="J6">
      <f>Diego!AN6+Aelton!AN6+Leonam!AN6+Danilo!AN6+Marcos!AN6+Carlos!AN6+Alessandro!AN6</f>
    </nc>
  </rcc>
  <rcc rId="857" sId="3" odxf="1" dxf="1">
    <oc r="J7">
      <f>Diego!O7+Aelton!O7+Leonam!O7+Danilo!O7+Marcos!O7+Carlos!O7+Alessandro!O7</f>
    </oc>
    <nc r="J7">
      <f>Diego!AN7+Aelton!AN7+Leonam!AN7+Danilo!AN7+Marcos!AN7+Carlos!AN7+Alessandro!AN7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58" sId="3">
    <oc r="J8">
      <f>Diego!O8+Aelton!O8+Leonam!O8+Danilo!O8+Marcos!O8+Carlos!O8+Alessandro!O8</f>
    </oc>
    <nc r="J8">
      <f>Diego!AN8+Aelton!AN8+Leonam!AN8+Danilo!AN8+Marcos!AN8+Carlos!AN8+Alessandro!AN8</f>
    </nc>
  </rcc>
  <rcc rId="859" sId="3" odxf="1" dxf="1">
    <oc r="J9">
      <f>Diego!O9+Aelton!O9+Leonam!O9+Danilo!O9+Marcos!O9+Carlos!O9+Alessandro!O9</f>
    </oc>
    <nc r="J9">
      <f>Diego!AN9+Aelton!AN9+Leonam!AN9+Danilo!AN9+Marcos!AN9+Carlos!AN9+Alessandro!AN9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60" sId="3">
    <oc r="J10">
      <f>Diego!O10+Aelton!O10+Leonam!O10+Danilo!O10+Marcos!O10+Carlos!O10+Alessandro!O10</f>
    </oc>
    <nc r="J10">
      <f>Diego!AN10+Aelton!AN10+Leonam!AN10+Danilo!AN10+Marcos!AN10+Carlos!AN10+Alessandro!AN10</f>
    </nc>
  </rcc>
  <rcc rId="861" sId="3" odxf="1" dxf="1">
    <oc r="J11">
      <f>Diego!O11+Aelton!O11+Leonam!O11+Danilo!O11+Marcos!O11+Carlos!O11+Alessandro!O11</f>
    </oc>
    <nc r="J11">
      <f>Diego!AN11+Aelton!AN11+Leonam!AN11+Danilo!AN11+Marcos!AN11+Carlos!AN11+Alessandro!AN11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62" sId="3">
    <oc r="J12">
      <f>Diego!O12+Aelton!O12+Leonam!O12+Danilo!O12+Marcos!O12+Carlos!O12+Alessandro!O12</f>
    </oc>
    <nc r="J12">
      <f>Diego!AN12+Aelton!AN12+Leonam!AN12+Danilo!AN12+Marcos!AN12+Carlos!AN12+Alessandro!AN12</f>
    </nc>
  </rcc>
  <rcc rId="863" sId="3" odxf="1" dxf="1">
    <oc r="J13">
      <f>Diego!O13+Aelton!O13+Leonam!O13+Danilo!O13+Marcos!O13+Carlos!O13+Alessandro!O13</f>
    </oc>
    <nc r="J13">
      <f>Diego!AN13+Aelton!AN13+Leonam!AN13+Danilo!AN13+Marcos!AN13+Carlos!AN13+Alessandro!AN13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64" sId="3">
    <oc r="J14">
      <f>Diego!O14+Aelton!O14+Leonam!O14+Danilo!O14+Marcos!O14+Carlos!O14+Alessandro!O14</f>
    </oc>
    <nc r="J14">
      <f>Diego!AN14+Aelton!AN14+Leonam!AN14+Danilo!AN14+Marcos!AN14+Carlos!AN14+Alessandro!AN14</f>
    </nc>
  </rcc>
  <rcc rId="865" sId="3" odxf="1" dxf="1">
    <oc r="J15">
      <f>Diego!O15+Aelton!O15+Leonam!O15+Danilo!O15+Marcos!O15+Carlos!O15+Alessandro!O15</f>
    </oc>
    <nc r="J15">
      <f>Diego!AN15+Aelton!AN15+Leonam!AN15+Danilo!AN15+Marcos!AN15+Carlos!AN15+Alessandro!AN15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66" sId="3">
    <oc r="J16">
      <f>Diego!O16+Aelton!O16+Leonam!O16+Danilo!O16+Marcos!O16+Carlos!O16+Alessandro!O16</f>
    </oc>
    <nc r="J16">
      <f>Diego!AN16+Aelton!AN16+Leonam!AN16+Danilo!AN16+Marcos!AN16+Carlos!AN16+Alessandro!AN16</f>
    </nc>
  </rcc>
  <rcc rId="867" sId="3">
    <oc r="J2">
      <f>Diego!O2+Aelton!O2+Leonam!O2+Danilo!O2+Marcos!O2+Carlos!O2+Alessandro!O2</f>
    </oc>
    <nc r="J2">
      <f>Diego!AX2+Aelton!AX2+Leonam!AX2+Danilo!AX2+Marcos!AX2+Carlos!AX2+Alessandro!AX2</f>
    </nc>
  </rcc>
  <rcc rId="868" sId="3">
    <oc r="K2">
      <f>Diego!P2+Aelton!P2+Leonam!P2+Danilo!P2+Marcos!P2+Carlos!P2+Alessandro!P2</f>
    </oc>
    <nc r="K2">
      <f>Diego!BD2+Aelton!BD2+Leonam!BD2+Danilo!BD2+Marcos!BD2+Carlos!BD2+Alessandro!BD2</f>
    </nc>
  </rcc>
  <rcc rId="869" sId="3" odxf="1" dxf="1">
    <oc r="K3">
      <f>Diego!P3+Aelton!P3+Leonam!P3+Danilo!P3+Marcos!P3+Carlos!P3+Alessandro!P3</f>
    </oc>
    <nc r="K3">
      <f>Diego!BD3+Aelton!BD3+Leonam!BD3+Danilo!BD3+Marcos!BD3+Carlos!BD3+Alessandro!BD3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70" sId="3">
    <oc r="K4">
      <f>Diego!P4+Aelton!P4+Leonam!P4+Danilo!P4+Marcos!P4+Carlos!P4+Alessandro!P4</f>
    </oc>
    <nc r="K4">
      <f>Diego!BD4+Aelton!BD4+Leonam!BD4+Danilo!BD4+Marcos!BD4+Carlos!BD4+Alessandro!BD4</f>
    </nc>
  </rcc>
  <rcc rId="871" sId="3" odxf="1" dxf="1">
    <oc r="K5">
      <f>Diego!P5+Aelton!P5+Leonam!P5+Danilo!P5+Marcos!P5+Carlos!P5+Alessandro!P5</f>
    </oc>
    <nc r="K5">
      <f>Diego!BD5+Aelton!BD5+Leonam!BD5+Danilo!BD5+Marcos!BD5+Carlos!BD5+Alessandro!BD5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72" sId="3">
    <oc r="K6">
      <f>Diego!P6+Aelton!P6+Leonam!P6+Danilo!P6+Marcos!P6+Carlos!P6+Alessandro!P6</f>
    </oc>
    <nc r="K6">
      <f>Diego!BD6+Aelton!BD6+Leonam!BD6+Danilo!BD6+Marcos!BD6+Carlos!BD6+Alessandro!BD6</f>
    </nc>
  </rcc>
  <rcc rId="873" sId="3" odxf="1" dxf="1">
    <oc r="K7">
      <f>Diego!P7+Aelton!P7+Leonam!P7+Danilo!P7+Marcos!P7+Carlos!P7+Alessandro!P7</f>
    </oc>
    <nc r="K7">
      <f>Diego!BD7+Aelton!BD7+Leonam!BD7+Danilo!BD7+Marcos!BD7+Carlos!BD7+Alessandro!BD7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74" sId="3">
    <oc r="K8">
      <f>Diego!P8+Aelton!P8+Leonam!P8+Danilo!P8+Marcos!P8+Carlos!P8+Alessandro!P8</f>
    </oc>
    <nc r="K8">
      <f>Diego!BD8+Aelton!BD8+Leonam!BD8+Danilo!BD8+Marcos!BD8+Carlos!BD8+Alessandro!BD8</f>
    </nc>
  </rcc>
  <rcc rId="875" sId="3" odxf="1" dxf="1">
    <oc r="K9">
      <f>Diego!P9+Aelton!P9+Leonam!P9+Danilo!P9+Marcos!P9+Carlos!P9+Alessandro!P9</f>
    </oc>
    <nc r="K9">
      <f>Diego!BD9+Aelton!BD9+Leonam!BD9+Danilo!BD9+Marcos!BD9+Carlos!BD9+Alessandro!BD9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76" sId="3">
    <oc r="K10">
      <f>Diego!P10+Aelton!P10+Leonam!P10+Danilo!P10+Marcos!P10+Carlos!P10+Alessandro!P10</f>
    </oc>
    <nc r="K10">
      <f>Diego!BD10+Aelton!BD10+Leonam!BD10+Danilo!BD10+Marcos!BD10+Carlos!BD10+Alessandro!BD10</f>
    </nc>
  </rcc>
  <rcc rId="877" sId="3" odxf="1" dxf="1">
    <oc r="K11">
      <f>Diego!P11+Aelton!P11+Leonam!P11+Danilo!P11+Marcos!P11+Carlos!P11+Alessandro!P11</f>
    </oc>
    <nc r="K11">
      <f>Diego!BD11+Aelton!BD11+Leonam!BD11+Danilo!BD11+Marcos!BD11+Carlos!BD11+Alessandro!BD11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78" sId="3">
    <oc r="K12">
      <f>Diego!P12+Aelton!P12+Leonam!P12+Danilo!P12+Marcos!P12+Carlos!P12+Alessandro!P12</f>
    </oc>
    <nc r="K12">
      <f>Diego!BD12+Aelton!BD12+Leonam!BD12+Danilo!BD12+Marcos!BD12+Carlos!BD12+Alessandro!BD12</f>
    </nc>
  </rcc>
  <rcc rId="879" sId="3" odxf="1" dxf="1">
    <oc r="K13">
      <f>Diego!P13+Aelton!P13+Leonam!P13+Danilo!P13+Marcos!P13+Carlos!P13+Alessandro!P13</f>
    </oc>
    <nc r="K13">
      <f>Diego!BD13+Aelton!BD13+Leonam!BD13+Danilo!BD13+Marcos!BD13+Carlos!BD13+Alessandro!BD13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80" sId="3">
    <oc r="K14">
      <f>Diego!P14+Aelton!P14+Leonam!P14+Danilo!P14+Marcos!P14+Carlos!P14+Alessandro!P14</f>
    </oc>
    <nc r="K14">
      <f>Diego!BD14+Aelton!BD14+Leonam!BD14+Danilo!BD14+Marcos!BD14+Carlos!BD14+Alessandro!BD14</f>
    </nc>
  </rcc>
  <rcc rId="881" sId="3" odxf="1" dxf="1">
    <oc r="K15">
      <f>Diego!P15+Aelton!P15+Leonam!P15+Danilo!P15+Marcos!P15+Carlos!P15+Alessandro!P15</f>
    </oc>
    <nc r="K15">
      <f>Diego!BD15+Aelton!BD15+Leonam!BD15+Danilo!BD15+Marcos!BD15+Carlos!BD15+Alessandro!BD15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82" sId="3">
    <oc r="K16">
      <f>Diego!P16+Aelton!P16+Leonam!P16+Danilo!P16+Marcos!P16+Carlos!P16+Alessandro!P16</f>
    </oc>
    <nc r="K16">
      <f>Diego!BD16+Aelton!BD16+Leonam!BD16+Danilo!BD16+Marcos!BD16+Carlos!BD16+Alessandro!BD16</f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3" sId="3" odxf="1" dxf="1">
    <oc r="D3">
      <f>Diego!N3+Aelton!N3+Leonam!N3+Danilo!N3+Marcos!N3+Carlos!N3+Alessandro!N3</f>
    </oc>
    <nc r="D3">
      <f>Diego!N3+Aelton!N3+Leonam!N3+Danilo!N3+Marcos!N3+Carlos!N3+Alessandro!N3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84" sId="3">
    <oc r="E3">
      <f>Diego!J3+Aelton!J3+Leonam!J3+Danilo!J3+Marcos!J3+Carlos!J3+Alessandro!J3</f>
    </oc>
    <nc r="E3">
      <f>Diego!J3+Aelton!J3+Leonam!J3+Danilo!J3+Marcos!J3+Carlos!J3+Alessandro!J3</f>
    </nc>
  </rcc>
  <rcc rId="885" sId="3" odxf="1" dxf="1">
    <oc r="F3">
      <f>Diego!Z3+Aelton!Z3+Leonam!Z3+Danilo!Z3+Marcos!Z3+Carlos!Z3+Alessandro!Z3</f>
    </oc>
    <nc r="F3">
      <f>Diego!Z3+Aelton!Z3+Leonam!Z3+Danilo!Z3+Marcos!Z3+Carlos!Z3+Alessandro!Z3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86" sId="3" odxf="1" dxf="1">
    <oc r="G3">
      <f>Diego!AF3+Aelton!AF3+Leonam!AF3+Danilo!AF3+Marcos!AF3+Carlos!AF3+Alessandro!AF3</f>
    </oc>
    <nc r="G3">
      <f>Diego!AF3+Aelton!AF3+Leonam!AF3+Danilo!AF3+Marcos!AF3+Carlos!AF3+Alessandro!AF3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87" sId="3" odxf="1" dxf="1">
    <oc r="H3">
      <f>Diego!AL3+Aelton!AL3+Leonam!AL3+Danilo!AL3+Marcos!AL3+Carlos!AL3+Alessandro!AL3</f>
    </oc>
    <nc r="H3">
      <f>Diego!AL3+Aelton!AL3+Leonam!AL3+Danilo!AL3+Marcos!AL3+Carlos!AL3+Alessandro!AL3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88" sId="3" odxf="1" dxf="1">
    <oc r="I3">
      <f>Diego!AM3+Aelton!AM3+Leonam!AM3+Danilo!AM3+Marcos!AM3+Carlos!AM3+Alessandro!AM3</f>
    </oc>
    <nc r="I3">
      <f>Diego!AM3+Aelton!AM3+Leonam!AM3+Danilo!AM3+Marcos!AM3+Carlos!AM3+Alessandro!AM3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89" sId="3" odxf="1" dxf="1">
    <oc r="J3">
      <f>Diego!AN3+Aelton!AN3+Leonam!AN3+Danilo!AN3+Marcos!AN3+Carlos!AN3+Alessandro!AN3</f>
    </oc>
    <nc r="J3">
      <f>Diego!AN3+Aelton!AN3+Leonam!AN3+Danilo!AN3+Marcos!AN3+Carlos!AN3+Alessandro!AN3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0" sId="3" odxf="1" dxf="1">
    <oc r="K3">
      <f>Diego!BD3+Aelton!BD3+Leonam!BD3+Danilo!BD3+Marcos!BD3+Carlos!BD3+Alessandro!BD3</f>
    </oc>
    <nc r="K3">
      <f>Diego!BD3+Aelton!BD3+Leonam!BD3+Danilo!BD3+Marcos!BD3+Carlos!BD3+Alessandro!BD3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1" sId="3">
    <oc r="C5">
      <f>Diego!H5+Aelton!H5+Leonam!H5+Danilo!H5+Marcos!H5+Carlos!H5+Alessandro!H5</f>
    </oc>
    <nc r="C5">
      <f>Diego!H5+Aelton!H5+Leonam!H5+Danilo!H5+Marcos!H5+Carlos!H5+Alessandro!H5</f>
    </nc>
  </rcc>
  <rcc rId="892" sId="3" odxf="1" dxf="1">
    <oc r="D5">
      <f>Diego!N5+Aelton!N5+Leonam!N5+Danilo!N5+Marcos!N5+Carlos!N5+Alessandro!N5</f>
    </oc>
    <nc r="D5">
      <f>Diego!N5+Aelton!N5+Leonam!N5+Danilo!N5+Marcos!N5+Carlos!N5+Alessandro!N5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3" sId="3">
    <oc r="E5">
      <f>Diego!J5+Aelton!J5+Leonam!J5+Danilo!J5+Marcos!J5+Carlos!J5+Alessandro!J5</f>
    </oc>
    <nc r="E5">
      <f>Diego!J5+Aelton!J5+Leonam!J5+Danilo!J5+Marcos!J5+Carlos!J5+Alessandro!J5</f>
    </nc>
  </rcc>
  <rcc rId="894" sId="3" odxf="1" dxf="1">
    <oc r="F5">
      <f>Diego!Z5+Aelton!Z5+Leonam!Z5+Danilo!Z5+Marcos!Z5+Carlos!Z5+Alessandro!Z5</f>
    </oc>
    <nc r="F5">
      <f>Diego!Z5+Aelton!Z5+Leonam!Z5+Danilo!Z5+Marcos!Z5+Carlos!Z5+Alessandro!Z5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5" sId="3" odxf="1" dxf="1">
    <oc r="G5">
      <f>Diego!AF5+Aelton!AF5+Leonam!AF5+Danilo!AF5+Marcos!AF5+Carlos!AF5+Alessandro!AF5</f>
    </oc>
    <nc r="G5">
      <f>Diego!AF5+Aelton!AF5+Leonam!AF5+Danilo!AF5+Marcos!AF5+Carlos!AF5+Alessandro!AF5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6" sId="3" odxf="1" dxf="1">
    <oc r="H5">
      <f>Diego!AL5+Aelton!AL5+Leonam!AL5+Danilo!AL5+Marcos!AL5+Carlos!AL5+Alessandro!AL5</f>
    </oc>
    <nc r="H5">
      <f>Diego!AL5+Aelton!AL5+Leonam!AL5+Danilo!AL5+Marcos!AL5+Carlos!AL5+Alessandro!AL5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7" sId="3" odxf="1" dxf="1">
    <oc r="I5">
      <f>Diego!AM5+Aelton!AM5+Leonam!AM5+Danilo!AM5+Marcos!AM5+Carlos!AM5+Alessandro!AM5</f>
    </oc>
    <nc r="I5">
      <f>Diego!AM5+Aelton!AM5+Leonam!AM5+Danilo!AM5+Marcos!AM5+Carlos!AM5+Alessandro!AM5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8" sId="3" odxf="1" dxf="1">
    <oc r="J5">
      <f>Diego!AN5+Aelton!AN5+Leonam!AN5+Danilo!AN5+Marcos!AN5+Carlos!AN5+Alessandro!AN5</f>
    </oc>
    <nc r="J5">
      <f>Diego!AN5+Aelton!AN5+Leonam!AN5+Danilo!AN5+Marcos!AN5+Carlos!AN5+Alessandro!AN5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9" sId="3" odxf="1" dxf="1">
    <oc r="K5">
      <f>Diego!BD5+Aelton!BD5+Leonam!BD5+Danilo!BD5+Marcos!BD5+Carlos!BD5+Alessandro!BD5</f>
    </oc>
    <nc r="K5">
      <f>Diego!BD5+Aelton!BD5+Leonam!BD5+Danilo!BD5+Marcos!BD5+Carlos!BD5+Alessandro!BD5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0" sId="3">
    <oc r="C7">
      <f>Diego!H7+Aelton!H7+Leonam!H7+Danilo!H7+Marcos!H7+Carlos!H7+Alessandro!H7</f>
    </oc>
    <nc r="C7">
      <f>Diego!H7+Aelton!H7+Leonam!H7+Danilo!H7+Marcos!H7+Carlos!H7+Alessandro!H7</f>
    </nc>
  </rcc>
  <rcc rId="901" sId="3" odxf="1" dxf="1">
    <oc r="D7">
      <f>Diego!N7+Aelton!N7+Leonam!N7+Danilo!N7+Marcos!N7+Carlos!N7+Alessandro!N7</f>
    </oc>
    <nc r="D7">
      <f>Diego!N7+Aelton!N7+Leonam!N7+Danilo!N7+Marcos!N7+Carlos!N7+Alessandro!N7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2" sId="3">
    <oc r="E7">
      <f>Diego!J7+Aelton!J7+Leonam!J7+Danilo!J7+Marcos!J7+Carlos!J7+Alessandro!J7</f>
    </oc>
    <nc r="E7">
      <f>Diego!J7+Aelton!J7+Leonam!J7+Danilo!J7+Marcos!J7+Carlos!J7+Alessandro!J7</f>
    </nc>
  </rcc>
  <rcc rId="903" sId="3" odxf="1" dxf="1">
    <oc r="F7">
      <f>Diego!Z7+Aelton!Z7+Leonam!Z7+Danilo!Z7+Marcos!Z7+Carlos!Z7+Alessandro!Z7</f>
    </oc>
    <nc r="F7">
      <f>Diego!Z7+Aelton!Z7+Leonam!Z7+Danilo!Z7+Marcos!Z7+Carlos!Z7+Alessandro!Z7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4" sId="3" odxf="1" dxf="1">
    <oc r="G7">
      <f>Diego!AF7+Aelton!AF7+Leonam!AF7+Danilo!AF7+Marcos!AF7+Carlos!AF7+Alessandro!AF7</f>
    </oc>
    <nc r="G7">
      <f>Diego!AF7+Aelton!AF7+Leonam!AF7+Danilo!AF7+Marcos!AF7+Carlos!AF7+Alessandro!AF7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5" sId="3" odxf="1" dxf="1">
    <oc r="H7">
      <f>Diego!AL7+Aelton!AL7+Leonam!AL7+Danilo!AL7+Marcos!AL7+Carlos!AL7+Alessandro!AL7</f>
    </oc>
    <nc r="H7">
      <f>Diego!AL7+Aelton!AL7+Leonam!AL7+Danilo!AL7+Marcos!AL7+Carlos!AL7+Alessandro!AL7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6" sId="3" odxf="1" dxf="1">
    <oc r="I7">
      <f>Diego!AM7+Aelton!AM7+Leonam!AM7+Danilo!AM7+Marcos!AM7+Carlos!AM7+Alessandro!AM7</f>
    </oc>
    <nc r="I7">
      <f>Diego!AM7+Aelton!AM7+Leonam!AM7+Danilo!AM7+Marcos!AM7+Carlos!AM7+Alessandro!AM7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7" sId="3" odxf="1" dxf="1">
    <oc r="J7">
      <f>Diego!AN7+Aelton!AN7+Leonam!AN7+Danilo!AN7+Marcos!AN7+Carlos!AN7+Alessandro!AN7</f>
    </oc>
    <nc r="J7">
      <f>Diego!AN7+Aelton!AN7+Leonam!AN7+Danilo!AN7+Marcos!AN7+Carlos!AN7+Alessandro!AN7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8" sId="3" odxf="1" dxf="1">
    <oc r="K7">
      <f>Diego!BD7+Aelton!BD7+Leonam!BD7+Danilo!BD7+Marcos!BD7+Carlos!BD7+Alessandro!BD7</f>
    </oc>
    <nc r="K7">
      <f>Diego!BD7+Aelton!BD7+Leonam!BD7+Danilo!BD7+Marcos!BD7+Carlos!BD7+Alessandro!BD7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9" sId="3">
    <oc r="C9">
      <f>Diego!H9+Aelton!H9+Leonam!H9+Danilo!H9+Marcos!H9+Carlos!H9+Alessandro!H9</f>
    </oc>
    <nc r="C9">
      <f>Diego!H9+Aelton!H9+Leonam!H9+Danilo!H9+Marcos!H9+Carlos!H9+Alessandro!H9</f>
    </nc>
  </rcc>
  <rcc rId="910" sId="3" odxf="1" dxf="1">
    <oc r="D9">
      <f>Diego!N9+Aelton!N9+Leonam!N9+Danilo!N9+Marcos!N9+Carlos!N9+Alessandro!N9</f>
    </oc>
    <nc r="D9">
      <f>Diego!N9+Aelton!N9+Leonam!N9+Danilo!N9+Marcos!N9+Carlos!N9+Alessandro!N9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1" sId="3">
    <oc r="E9">
      <f>Diego!J9+Aelton!J9+Leonam!J9+Danilo!J9+Marcos!J9+Carlos!J9+Alessandro!J9</f>
    </oc>
    <nc r="E9">
      <f>Diego!J9+Aelton!J9+Leonam!J9+Danilo!J9+Marcos!J9+Carlos!J9+Alessandro!J9</f>
    </nc>
  </rcc>
  <rcc rId="912" sId="3" odxf="1" dxf="1">
    <oc r="F9">
      <f>Diego!Z9+Aelton!Z9+Leonam!Z9+Danilo!Z9+Marcos!Z9+Carlos!Z9+Alessandro!Z9</f>
    </oc>
    <nc r="F9">
      <f>Diego!Z9+Aelton!Z9+Leonam!Z9+Danilo!Z9+Marcos!Z9+Carlos!Z9+Alessandro!Z9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3" sId="3" odxf="1" dxf="1">
    <oc r="G9">
      <f>Diego!AF9+Aelton!AF9+Leonam!AF9+Danilo!AF9+Marcos!AF9+Carlos!AF9+Alessandro!AF9</f>
    </oc>
    <nc r="G9">
      <f>Diego!AF9+Aelton!AF9+Leonam!AF9+Danilo!AF9+Marcos!AF9+Carlos!AF9+Alessandro!AF9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4" sId="3" odxf="1" dxf="1">
    <oc r="H9">
      <f>Diego!AL9+Aelton!AL9+Leonam!AL9+Danilo!AL9+Marcos!AL9+Carlos!AL9+Alessandro!AL9</f>
    </oc>
    <nc r="H9">
      <f>Diego!AL9+Aelton!AL9+Leonam!AL9+Danilo!AL9+Marcos!AL9+Carlos!AL9+Alessandro!AL9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5" sId="3" odxf="1" dxf="1">
    <oc r="I9">
      <f>Diego!AM9+Aelton!AM9+Leonam!AM9+Danilo!AM9+Marcos!AM9+Carlos!AM9+Alessandro!AM9</f>
    </oc>
    <nc r="I9">
      <f>Diego!AM9+Aelton!AM9+Leonam!AM9+Danilo!AM9+Marcos!AM9+Carlos!AM9+Alessandro!AM9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6" sId="3" odxf="1" dxf="1">
    <oc r="J9">
      <f>Diego!AN9+Aelton!AN9+Leonam!AN9+Danilo!AN9+Marcos!AN9+Carlos!AN9+Alessandro!AN9</f>
    </oc>
    <nc r="J9">
      <f>Diego!AN9+Aelton!AN9+Leonam!AN9+Danilo!AN9+Marcos!AN9+Carlos!AN9+Alessandro!AN9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7" sId="3" odxf="1" dxf="1">
    <oc r="K9">
      <f>Diego!BD9+Aelton!BD9+Leonam!BD9+Danilo!BD9+Marcos!BD9+Carlos!BD9+Alessandro!BD9</f>
    </oc>
    <nc r="K9">
      <f>Diego!BD9+Aelton!BD9+Leonam!BD9+Danilo!BD9+Marcos!BD9+Carlos!BD9+Alessandro!BD9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8" sId="3">
    <oc r="C11">
      <f>Diego!H11+Aelton!H11+Leonam!H11+Danilo!H11+Marcos!H11+Carlos!H11+Alessandro!H11</f>
    </oc>
    <nc r="C11">
      <f>Diego!H11+Aelton!H11+Leonam!H11+Danilo!H11+Marcos!H11+Carlos!H11+Alessandro!H11</f>
    </nc>
  </rcc>
  <rcc rId="919" sId="3" odxf="1" dxf="1">
    <oc r="D11">
      <f>Diego!N11+Aelton!N11+Leonam!N11+Danilo!N11+Marcos!N11+Carlos!N11+Alessandro!N11</f>
    </oc>
    <nc r="D11">
      <f>Diego!N11+Aelton!N11+Leonam!N11+Danilo!N11+Marcos!N11+Carlos!N11+Alessandro!N11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0" sId="3">
    <oc r="E11">
      <f>Diego!J11+Aelton!J11+Leonam!J11+Danilo!J11+Marcos!J11+Carlos!J11+Alessandro!J11</f>
    </oc>
    <nc r="E11">
      <f>Diego!J11+Aelton!J11+Leonam!J11+Danilo!J11+Marcos!J11+Carlos!J11+Alessandro!J11</f>
    </nc>
  </rcc>
  <rcc rId="921" sId="3" odxf="1" dxf="1">
    <oc r="F11">
      <f>Diego!Z11+Aelton!Z11+Leonam!Z11+Danilo!Z11+Marcos!Z11+Carlos!Z11+Alessandro!Z11</f>
    </oc>
    <nc r="F11">
      <f>Diego!Z11+Aelton!Z11+Leonam!Z11+Danilo!Z11+Marcos!Z11+Carlos!Z11+Alessandro!Z11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2" sId="3" odxf="1" dxf="1">
    <oc r="G11">
      <f>Diego!AF11+Aelton!AF11+Leonam!AF11+Danilo!AF11+Marcos!AF11+Carlos!AF11+Alessandro!AF11</f>
    </oc>
    <nc r="G11">
      <f>Diego!AF11+Aelton!AF11+Leonam!AF11+Danilo!AF11+Marcos!AF11+Carlos!AF11+Alessandro!AF11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3" sId="3" odxf="1" dxf="1">
    <oc r="H11">
      <f>Diego!AL11+Aelton!AL11+Leonam!AL11+Danilo!AL11+Marcos!AL11+Carlos!AL11+Alessandro!AL11</f>
    </oc>
    <nc r="H11">
      <f>Diego!AL11+Aelton!AL11+Leonam!AL11+Danilo!AL11+Marcos!AL11+Carlos!AL11+Alessandro!AL11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4" sId="3" odxf="1" dxf="1">
    <oc r="I11">
      <f>Diego!AM11+Aelton!AM11+Leonam!AM11+Danilo!AM11+Marcos!AM11+Carlos!AM11+Alessandro!AM11</f>
    </oc>
    <nc r="I11">
      <f>Diego!AM11+Aelton!AM11+Leonam!AM11+Danilo!AM11+Marcos!AM11+Carlos!AM11+Alessandro!AM11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5" sId="3" odxf="1" dxf="1">
    <oc r="J11">
      <f>Diego!AN11+Aelton!AN11+Leonam!AN11+Danilo!AN11+Marcos!AN11+Carlos!AN11+Alessandro!AN11</f>
    </oc>
    <nc r="J11">
      <f>Diego!AN11+Aelton!AN11+Leonam!AN11+Danilo!AN11+Marcos!AN11+Carlos!AN11+Alessandro!AN11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6" sId="3" odxf="1" dxf="1">
    <oc r="K11">
      <f>Diego!BD11+Aelton!BD11+Leonam!BD11+Danilo!BD11+Marcos!BD11+Carlos!BD11+Alessandro!BD11</f>
    </oc>
    <nc r="K11">
      <f>Diego!BD11+Aelton!BD11+Leonam!BD11+Danilo!BD11+Marcos!BD11+Carlos!BD11+Alessandro!BD11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7" sId="3">
    <oc r="C13">
      <f>Diego!H13+Aelton!H13+Leonam!H13+Danilo!H13+Marcos!H13+Carlos!H13+Alessandro!H13</f>
    </oc>
    <nc r="C13">
      <f>Diego!H13+Aelton!H13+Leonam!H13+Danilo!H13+Marcos!H13+Carlos!H13+Alessandro!H13</f>
    </nc>
  </rcc>
  <rcc rId="928" sId="3" odxf="1" dxf="1">
    <oc r="D13">
      <f>Diego!N13+Aelton!N13+Leonam!N13+Danilo!N13+Marcos!N13+Carlos!N13+Alessandro!N13</f>
    </oc>
    <nc r="D13">
      <f>Diego!N13+Aelton!N13+Leonam!N13+Danilo!N13+Marcos!N13+Carlos!N13+Alessandro!N13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9" sId="3">
    <oc r="E13">
      <f>Diego!J13+Aelton!J13+Leonam!J13+Danilo!J13+Marcos!J13+Carlos!J13+Alessandro!J13</f>
    </oc>
    <nc r="E13">
      <f>Diego!J13+Aelton!J13+Leonam!J13+Danilo!J13+Marcos!J13+Carlos!J13+Alessandro!J13</f>
    </nc>
  </rcc>
  <rcc rId="930" sId="3" odxf="1" dxf="1">
    <oc r="F13">
      <f>Diego!Z13+Aelton!Z13+Leonam!Z13+Danilo!Z13+Marcos!Z13+Carlos!Z13+Alessandro!Z13</f>
    </oc>
    <nc r="F13">
      <f>Diego!Z13+Aelton!Z13+Leonam!Z13+Danilo!Z13+Marcos!Z13+Carlos!Z13+Alessandro!Z13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1" sId="3" odxf="1" dxf="1">
    <oc r="G13">
      <f>Diego!AF13+Aelton!AF13+Leonam!AF13+Danilo!AF13+Marcos!AF13+Carlos!AF13+Alessandro!AF13</f>
    </oc>
    <nc r="G13">
      <f>Diego!AF13+Aelton!AF13+Leonam!AF13+Danilo!AF13+Marcos!AF13+Carlos!AF13+Alessandro!AF13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2" sId="3" odxf="1" dxf="1">
    <oc r="H13">
      <f>Diego!AL13+Aelton!AL13+Leonam!AL13+Danilo!AL13+Marcos!AL13+Carlos!AL13+Alessandro!AL13</f>
    </oc>
    <nc r="H13">
      <f>Diego!AL13+Aelton!AL13+Leonam!AL13+Danilo!AL13+Marcos!AL13+Carlos!AL13+Alessandro!AL13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3" sId="3" odxf="1" dxf="1">
    <oc r="I13">
      <f>Diego!AM13+Aelton!AM13+Leonam!AM13+Danilo!AM13+Marcos!AM13+Carlos!AM13+Alessandro!AM13</f>
    </oc>
    <nc r="I13">
      <f>Diego!AM13+Aelton!AM13+Leonam!AM13+Danilo!AM13+Marcos!AM13+Carlos!AM13+Alessandro!AM13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4" sId="3" odxf="1" dxf="1">
    <oc r="J13">
      <f>Diego!AN13+Aelton!AN13+Leonam!AN13+Danilo!AN13+Marcos!AN13+Carlos!AN13+Alessandro!AN13</f>
    </oc>
    <nc r="J13">
      <f>Diego!AN13+Aelton!AN13+Leonam!AN13+Danilo!AN13+Marcos!AN13+Carlos!AN13+Alessandro!AN13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5" sId="3" odxf="1" dxf="1">
    <oc r="K13">
      <f>Diego!BD13+Aelton!BD13+Leonam!BD13+Danilo!BD13+Marcos!BD13+Carlos!BD13+Alessandro!BD13</f>
    </oc>
    <nc r="K13">
      <f>Diego!BD13+Aelton!BD13+Leonam!BD13+Danilo!BD13+Marcos!BD13+Carlos!BD13+Alessandro!BD13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6" sId="3">
    <oc r="C15">
      <f>Diego!H15+Aelton!H15+Leonam!H15+Danilo!H15+Marcos!H15+Carlos!H15+Alessandro!H15</f>
    </oc>
    <nc r="C15">
      <f>Diego!H15+Aelton!H15+Leonam!H15+Danilo!H15+Marcos!H15+Carlos!H15+Alessandro!H15</f>
    </nc>
  </rcc>
  <rcc rId="937" sId="3" odxf="1" dxf="1">
    <oc r="D15">
      <f>Diego!N15+Aelton!N15+Leonam!N15+Danilo!N15+Marcos!N15+Carlos!N15+Alessandro!N15</f>
    </oc>
    <nc r="D15">
      <f>Diego!N15+Aelton!N15+Leonam!N15+Danilo!N15+Marcos!N15+Carlos!N15+Alessandro!N15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8" sId="3">
    <oc r="E15">
      <f>Diego!J15+Aelton!J15+Leonam!J15+Danilo!J15+Marcos!J15+Carlos!J15+Alessandro!J15</f>
    </oc>
    <nc r="E15">
      <f>Diego!J15+Aelton!J15+Leonam!J15+Danilo!J15+Marcos!J15+Carlos!J15+Alessandro!J15</f>
    </nc>
  </rcc>
  <rcc rId="939" sId="3" odxf="1" dxf="1">
    <oc r="F15">
      <f>Diego!Z15+Aelton!Z15+Leonam!Z15+Danilo!Z15+Marcos!Z15+Carlos!Z15+Alessandro!Z15</f>
    </oc>
    <nc r="F15">
      <f>Diego!Z15+Aelton!Z15+Leonam!Z15+Danilo!Z15+Marcos!Z15+Carlos!Z15+Alessandro!Z15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40" sId="3" odxf="1" dxf="1">
    <oc r="G15">
      <f>Diego!AF15+Aelton!AF15+Leonam!AF15+Danilo!AF15+Marcos!AF15+Carlos!AF15+Alessandro!AF15</f>
    </oc>
    <nc r="G15">
      <f>Diego!AF15+Aelton!AF15+Leonam!AF15+Danilo!AF15+Marcos!AF15+Carlos!AF15+Alessandro!AF15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41" sId="3" odxf="1" dxf="1">
    <oc r="H15">
      <f>Diego!AL15+Aelton!AL15+Leonam!AL15+Danilo!AL15+Marcos!AL15+Carlos!AL15+Alessandro!AL15</f>
    </oc>
    <nc r="H15">
      <f>Diego!AL15+Aelton!AL15+Leonam!AL15+Danilo!AL15+Marcos!AL15+Carlos!AL15+Alessandro!AL15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42" sId="3" odxf="1" dxf="1">
    <oc r="I15">
      <f>Diego!AM15+Aelton!AM15+Leonam!AM15+Danilo!AM15+Marcos!AM15+Carlos!AM15+Alessandro!AM15</f>
    </oc>
    <nc r="I15">
      <f>Diego!AM15+Aelton!AM15+Leonam!AM15+Danilo!AM15+Marcos!AM15+Carlos!AM15+Alessandro!AM15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43" sId="3" odxf="1" dxf="1">
    <oc r="J15">
      <f>Diego!AN15+Aelton!AN15+Leonam!AN15+Danilo!AN15+Marcos!AN15+Carlos!AN15+Alessandro!AN15</f>
    </oc>
    <nc r="J15">
      <f>Diego!AN15+Aelton!AN15+Leonam!AN15+Danilo!AN15+Marcos!AN15+Carlos!AN15+Alessandro!AN15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44" sId="3" odxf="1" dxf="1">
    <oc r="K15">
      <f>Diego!BD15+Aelton!BD15+Leonam!BD15+Danilo!BD15+Marcos!BD15+Carlos!BD15+Alessandro!BD15</f>
    </oc>
    <nc r="K15">
      <f>Diego!BD15+Aelton!BD15+Leonam!BD15+Danilo!BD15+Marcos!BD15+Carlos!BD15+Alessandro!BD15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Danilo!$A$1:$A$31</formula>
    <oldFormula>Danilo!$A$1:$A$31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9" customView="1" name="Z_18A482E0_C8B6_4AA1_9E04_15FA7C9CD5E3_.wvu.FilterData" hidden="1" oldHidden="1">
    <formula>Carlos!$A$1:$A$18</formula>
    <oldFormula>Carlos!$A$1:$A$18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cv guid="{18A482E0-C8B6-4AA1-9E04-15FA7C9CD5E3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U18" start="0" length="0">
    <dxf>
      <alignment wrapText="1"/>
    </dxf>
  </rfmt>
  <rcc rId="955" sId="4" odxf="1" dxf="1">
    <nc r="U17" t="inlineStr">
      <is>
        <t>DIGITALIZANDO LIVROS DA LBA</t>
      </is>
    </nc>
    <odxf>
      <alignment wrapText="0"/>
    </odxf>
    <ndxf>
      <alignment wrapText="1"/>
    </ndxf>
  </rcc>
  <rcc rId="956" sId="4">
    <nc r="U18" t="inlineStr">
      <is>
        <t>MUDANÇA NO PERÍODO DA MANHA PARA 2° ANDAR</t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7" sId="7">
    <nc r="O11">
      <v>2</v>
    </nc>
  </rcc>
  <rcc rId="958" sId="7">
    <nc r="O12">
      <v>78</v>
    </nc>
  </rcc>
  <rcc rId="959" sId="7">
    <nc r="P11">
      <v>3</v>
    </nc>
  </rcc>
  <rcc rId="960" sId="7">
    <nc r="P12">
      <v>58</v>
    </nc>
  </rcc>
  <rcc rId="961" sId="7">
    <nc r="Q11">
      <v>2</v>
    </nc>
  </rcc>
  <rcc rId="962" sId="7">
    <nc r="Q12">
      <v>46</v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3" sId="7">
    <oc r="S15">
      <v>5</v>
    </oc>
    <nc r="S15"/>
  </rcc>
  <rcc rId="974" sId="7">
    <nc r="O7">
      <v>8</v>
    </nc>
  </rcc>
  <rcc rId="975" sId="7">
    <nc r="Q7">
      <v>8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6" sId="7">
    <nc r="U11">
      <v>2</v>
    </nc>
  </rcc>
  <rcc rId="977" sId="7">
    <nc r="U12">
      <v>54</v>
    </nc>
  </rcc>
  <rcc rId="978" sId="7">
    <nc r="U7">
      <v>10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9" sId="7">
    <nc r="R18" t="inlineStr">
      <is>
        <t>FERIADO</t>
      </is>
    </nc>
  </rcc>
  <rcc rId="980" sId="7">
    <nc r="S18" t="inlineStr">
      <is>
        <t>FERIADO</t>
      </is>
    </nc>
  </rcc>
  <rcc rId="981" sId="7">
    <nc r="Q18" t="inlineStr">
      <is>
        <t>ALMOÇO COM A EQUIPE</t>
      </is>
    </nc>
  </rcc>
  <rfmt sheetId="7" sqref="Q18">
    <dxf>
      <alignment wrapText="1"/>
    </dxf>
  </rfmt>
  <rfmt sheetId="7" sqref="R18">
    <dxf>
      <alignment wrapText="1"/>
    </dxf>
  </rfmt>
  <rfmt sheetId="7" sqref="S18">
    <dxf>
      <alignment wrapText="1"/>
    </dxf>
  </rfmt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U16" start="0" length="0">
    <dxf>
      <border outline="0">
        <bottom/>
      </border>
    </dxf>
  </rfmt>
  <rfmt sheetId="5" sqref="V16" start="0" length="0">
    <dxf>
      <border outline="0">
        <bottom/>
      </border>
    </dxf>
  </rfmt>
  <rcc rId="982" sId="5" odxf="1" dxf="1">
    <nc r="U17" t="inlineStr">
      <is>
        <t xml:space="preserve">1. Pela manhã - Nossa mudança do subsolo sala 1S 3.11 para o 2º andar sala 24.32.
2. Digitalização material da LBA, solicitado pela professora Gracyelle - Email de 12/02/2025. </t>
      </is>
    </nc>
    <odxf>
      <alignment wrapText="0"/>
    </odxf>
    <ndxf>
      <alignment wrapText="1"/>
    </ndxf>
  </rcc>
  <rcc rId="983" sId="5" odxf="1" dxf="1">
    <nc r="V17" t="inlineStr">
      <is>
        <t xml:space="preserve">Digitalização material da LBA, solicitado pela professora Gracyelle - Email de 12/02/2025. 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4" sId="5">
    <oc r="U17" t="inlineStr">
      <is>
        <t xml:space="preserve">1. Pela manhã - Nossa mudança do subsolo sala 1S 3.11 para o 2º andar sala 24.32.
2. Digitalização material da LBA, solicitado pela professora Gracyelle - Email de 12/02/2025. </t>
      </is>
    </oc>
    <nc r="U17" t="inlineStr">
      <is>
        <t xml:space="preserve">1. Pela manhã - Nossa mudança do subsolo sala 1S 3.11 para o 2º andar sala 24.32.
2. Digitalização material da LBA, solicitado pela professora Gracyelle - Email de 12/02/2025. </t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5" sId="4" odxf="1" dxf="1">
    <nc r="V17" t="inlineStr">
      <is>
        <t>DIGITALIZANDO LIVROS DA LBA</t>
      </is>
    </nc>
    <odxf>
      <alignment wrapText="0"/>
    </odxf>
    <ndxf>
      <alignment wrapText="1"/>
    </ndxf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6" sId="4" odxf="1" dxf="1">
    <nc r="W17" t="inlineStr">
      <is>
        <t>DIGITALIZANDO LIVROS DA LBA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7" sId="5" odxf="1" dxf="1">
    <nc r="W17" t="inlineStr">
      <is>
        <t xml:space="preserve">Digitalização material da LBA, solicitado pela professora Gracyelle - Email de 12/02/2025. 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X16" start="0" length="0">
    <dxf>
      <border outline="0">
        <bottom/>
      </border>
    </dxf>
  </rfmt>
  <rfmt sheetId="5" sqref="Y16" start="0" length="0">
    <dxf>
      <border outline="0">
        <bottom/>
      </border>
    </dxf>
  </rfmt>
  <rcc rId="1028" sId="5" odxf="1" dxf="1">
    <nc r="X17" t="inlineStr">
      <is>
        <t xml:space="preserve"> 1. Digitalização material da LBA, solicitado pela professora Gracyelle - Email de 12/02/2025. 
2. Ajuda na pesquisa do documento averbação da servidora MARILUZA PORTELA RIOS VIEIRA. 
</t>
      </is>
    </nc>
    <odxf>
      <alignment wrapText="0"/>
    </odxf>
    <ndxf>
      <alignment wrapText="1"/>
    </ndxf>
  </rcc>
  <rcc rId="1029" sId="5" odxf="1" dxf="1">
    <n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</is>
    </nc>
    <odxf>
      <alignment wrapText="0"/>
    </odxf>
    <ndxf>
      <alignment wrapText="1"/>
    </ndxf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0" sId="5">
    <o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</is>
    </oc>
    <n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  <r>
          <rPr>
            <sz val="11"/>
            <color theme="1"/>
            <rFont val="Aptos Narrow"/>
            <family val="2"/>
          </rPr>
          <t xml:space="preserve">
2. Inventário microfilmes.</t>
        </r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1" sId="5">
    <nc r="Y15">
      <v>5</v>
    </nc>
  </rcc>
  <rcc rId="1032" sId="5">
    <nc r="Y16">
      <v>9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1033" sheetId="5" source="Y15:Y16" destination="X15:X16" sourceSheetId="5">
    <undo index="65535" exp="area" dr="U15:Y15" r="Z15" sId="5"/>
    <undo index="65535" exp="area" dr="U16:Y16" r="Z16" sId="5"/>
    <rfmt sheetId="5" sqref="X15" start="0" length="0">
      <dxf>
        <alignment horizontal="center" vertical="center"/>
      </dxf>
    </rfmt>
    <rfmt sheetId="5" sqref="X16" start="0" length="0">
      <dxf>
        <alignment horizontal="center" vertical="center"/>
      </dxf>
    </rfmt>
  </rm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4" sId="6" odxf="1" dxf="1">
    <nc r="Q17" t="inlineStr">
      <is>
        <t>DIGITALIZANDO LIVROS DA LBA</t>
      </is>
    </nc>
    <odxf>
      <alignment wrapText="0"/>
    </odxf>
    <ndxf>
      <alignment wrapText="1"/>
    </ndxf>
  </rcc>
  <rcc rId="1045" sId="6" odxf="1" dxf="1">
    <nc r="Q18" t="inlineStr">
      <is>
        <t xml:space="preserve">ALMOÇO PELA PARTE DA TARDE </t>
      </is>
    </nc>
    <odxf>
      <alignment wrapText="0"/>
    </odxf>
    <ndxf>
      <alignment wrapText="1"/>
    </ndxf>
  </rcc>
  <rfmt sheetId="6" xfDxf="1" sqref="U17" start="0" length="0">
    <dxf>
      <alignment horizontal="center" vertical="center"/>
    </dxf>
  </rfmt>
  <rfmt sheetId="6" sqref="U17">
    <dxf>
      <alignment wrapText="1"/>
    </dxf>
  </rfmt>
  <rcc rId="1046" sId="6">
    <nc r="U17" t="inlineStr">
      <is>
        <t xml:space="preserve"> Pela manhã - Nossa mudança do subsolo sala 1S 3.11 para o 2º andar sala 24.32.</t>
      </is>
    </nc>
  </rcc>
  <rcc rId="1047" sId="6" odxf="1" dxf="1">
    <nc r="V17" t="inlineStr">
      <is>
        <t>DIGITALIZANDO LIVROS DA LBA</t>
      </is>
    </nc>
    <odxf>
      <alignment wrapText="0"/>
    </odxf>
    <ndxf>
      <alignment wrapText="1"/>
    </ndxf>
  </rcc>
  <rcc rId="1048" sId="6" odxf="1" dxf="1">
    <nc r="W17" t="inlineStr">
      <is>
        <t>DIGITALIZANDO LIVROS DA LBA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9" sId="6">
    <nc r="X11">
      <v>4</v>
    </nc>
  </rcc>
  <rcc rId="1060" sId="6">
    <nc r="Y11">
      <v>4</v>
    </nc>
  </rcc>
  <rcc rId="1061" sId="6">
    <nc r="X12">
      <v>136</v>
    </nc>
  </rcc>
  <rcc rId="1062" sId="6">
    <nc r="Y12">
      <v>136</v>
    </nc>
  </rcc>
  <rcc rId="1063" sId="6">
    <nc r="AA11">
      <v>3</v>
    </nc>
  </rcc>
  <rcc rId="1064" sId="6">
    <nc r="AA12">
      <v>102</v>
    </nc>
  </rcc>
  <rcc rId="1065" sId="6">
    <nc r="AA4">
      <v>4</v>
    </nc>
  </rcc>
  <rcc rId="1066" sId="6">
    <nc r="AA13">
      <v>1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E3" start="0" length="0">
    <dxf>
      <fill>
        <patternFill>
          <bgColor rgb="FFFFFF00"/>
        </patternFill>
      </fill>
    </dxf>
  </rfmt>
  <rcc rId="1067" sId="3">
    <oc r="E4">
      <f>Diego!J4+Aelton!J4+Leonam!J4+Danilo!J4+Marcos!J4+Carlos!J4+Alessandro!J4</f>
    </oc>
    <nc r="E4">
      <f>Diego!T4+Aelton!T4+Leonam!T4+Danilo!T4+Marcos!T4+Carlos!T4+Alessandro!T4</f>
    </nc>
  </rcc>
  <rfmt sheetId="3" sqref="E5" start="0" length="0">
    <dxf>
      <fill>
        <patternFill>
          <bgColor rgb="FFFFFF00"/>
        </patternFill>
      </fill>
    </dxf>
  </rfmt>
  <rcc rId="1068" sId="3">
    <oc r="E6">
      <f>Diego!J6+Aelton!J6+Leonam!J6+Danilo!J6+Marcos!J6+Carlos!J6+Alessandro!J6</f>
    </oc>
    <nc r="E6">
      <f>Diego!T6+Aelton!T6+Leonam!T6+Danilo!T6+Marcos!T6+Carlos!T6+Alessandro!T6</f>
    </nc>
  </rcc>
  <rfmt sheetId="3" sqref="E7" start="0" length="0">
    <dxf>
      <fill>
        <patternFill>
          <bgColor rgb="FFFFFF00"/>
        </patternFill>
      </fill>
    </dxf>
  </rfmt>
  <rcc rId="1069" sId="3">
    <oc r="E8">
      <f>Diego!J8+Aelton!J8+Leonam!J8+Danilo!J8+Marcos!J8+Carlos!J8+Alessandro!J8</f>
    </oc>
    <nc r="E8">
      <f>Diego!T8+Aelton!T8+Leonam!T8+Danilo!T8+Marcos!T8+Carlos!T8+Alessandro!T8</f>
    </nc>
  </rcc>
  <rfmt sheetId="3" sqref="E9" start="0" length="0">
    <dxf>
      <fill>
        <patternFill>
          <bgColor rgb="FFFFFF00"/>
        </patternFill>
      </fill>
    </dxf>
  </rfmt>
  <rcc rId="1070" sId="3">
    <oc r="E10">
      <f>Diego!J10+Aelton!J10+Leonam!J10+Danilo!J10+Marcos!J10+Carlos!J10+Alessandro!J10</f>
    </oc>
    <nc r="E10">
      <f>Diego!T10+Aelton!T10+Leonam!T10+Danilo!T10+Marcos!T10+Carlos!T10+Alessandro!T10</f>
    </nc>
  </rcc>
  <rfmt sheetId="3" sqref="E11" start="0" length="0">
    <dxf>
      <fill>
        <patternFill>
          <bgColor rgb="FFFFFF00"/>
        </patternFill>
      </fill>
    </dxf>
  </rfmt>
  <rcc rId="1071" sId="3">
    <oc r="E12">
      <f>Diego!J12+Aelton!J12+Leonam!J12+Danilo!J12+Marcos!J12+Carlos!J12+Alessandro!J12</f>
    </oc>
    <nc r="E12">
      <f>Diego!T12+Aelton!T12+Leonam!T12+Danilo!T12+Marcos!T12+Carlos!T12+Alessandro!T12</f>
    </nc>
  </rcc>
  <rfmt sheetId="3" sqref="E13" start="0" length="0">
    <dxf>
      <fill>
        <patternFill>
          <bgColor rgb="FFFFFF00"/>
        </patternFill>
      </fill>
    </dxf>
  </rfmt>
  <rcc rId="1072" sId="3">
    <oc r="E14">
      <f>Diego!J14+Aelton!J14+Leonam!J14+Danilo!J14+Marcos!J14+Carlos!J14+Alessandro!J14</f>
    </oc>
    <nc r="E14">
      <f>Diego!T14+Aelton!T14+Leonam!T14+Danilo!T14+Marcos!T14+Carlos!T14+Alessandro!T14</f>
    </nc>
  </rcc>
  <rfmt sheetId="3" sqref="E15" start="0" length="0">
    <dxf>
      <fill>
        <patternFill>
          <bgColor rgb="FFFFFF00"/>
        </patternFill>
      </fill>
    </dxf>
  </rfmt>
  <rcc rId="1073" sId="3">
    <oc r="E16">
      <f>Diego!J16+Aelton!J16+Leonam!J16+Danilo!J16+Marcos!J16+Carlos!J16+Alessandro!J16</f>
    </oc>
    <nc r="E16">
      <f>Diego!T16+Aelton!T16+Leonam!T16+Danilo!T16+Marcos!T16+Carlos!T16+Alessandro!T16</f>
    </nc>
  </rcc>
  <rcc rId="1074" sId="3" odxf="1" dxf="1">
    <oc r="E3">
      <f>Diego!J3+Aelton!J3+Leonam!J3+Danilo!J3+Marcos!J3+Carlos!J3+Alessandro!J3</f>
    </oc>
    <nc r="E3">
      <f>Diego!T3+Aelton!T3+Leonam!T3+Danilo!T3+Marcos!T3+Carlos!T3+Alessandro!T3</f>
    </nc>
    <ndxf>
      <fill>
        <patternFill>
          <bgColor theme="0"/>
        </patternFill>
      </fill>
    </ndxf>
  </rcc>
  <rcc rId="1075" sId="3" odxf="1" dxf="1">
    <oc r="E5">
      <f>Diego!J5+Aelton!J5+Leonam!J5+Danilo!J5+Marcos!J5+Carlos!J5+Alessandro!J5</f>
    </oc>
    <nc r="E5">
      <f>Diego!T5+Aelton!T5+Leonam!T5+Danilo!T5+Marcos!T5+Carlos!T5+Alessandro!T5</f>
    </nc>
    <ndxf>
      <fill>
        <patternFill>
          <bgColor theme="0"/>
        </patternFill>
      </fill>
    </ndxf>
  </rcc>
  <rcc rId="1076" sId="3" odxf="1" dxf="1">
    <oc r="E7">
      <f>Diego!J7+Aelton!J7+Leonam!J7+Danilo!J7+Marcos!J7+Carlos!J7+Alessandro!J7</f>
    </oc>
    <nc r="E7">
      <f>Diego!T7+Aelton!T7+Leonam!T7+Danilo!T7+Marcos!T7+Carlos!T7+Alessandro!T7</f>
    </nc>
    <ndxf>
      <fill>
        <patternFill>
          <bgColor theme="0"/>
        </patternFill>
      </fill>
    </ndxf>
  </rcc>
  <rcc rId="1077" sId="3" odxf="1" dxf="1">
    <oc r="E9">
      <f>Diego!J9+Aelton!J9+Leonam!J9+Danilo!J9+Marcos!J9+Carlos!J9+Alessandro!J9</f>
    </oc>
    <nc r="E9">
      <f>Diego!T9+Aelton!T9+Leonam!T9+Danilo!T9+Marcos!T9+Carlos!T9+Alessandro!T9</f>
    </nc>
    <ndxf>
      <fill>
        <patternFill>
          <bgColor theme="0"/>
        </patternFill>
      </fill>
    </ndxf>
  </rcc>
  <rcc rId="1078" sId="3" odxf="1" dxf="1">
    <oc r="E11">
      <f>Diego!J11+Aelton!J11+Leonam!J11+Danilo!J11+Marcos!J11+Carlos!J11+Alessandro!J11</f>
    </oc>
    <nc r="E11">
      <f>Diego!T11+Aelton!T11+Leonam!T11+Danilo!T11+Marcos!T11+Carlos!T11+Alessandro!T11</f>
    </nc>
    <ndxf>
      <fill>
        <patternFill>
          <bgColor theme="0"/>
        </patternFill>
      </fill>
    </ndxf>
  </rcc>
  <rcc rId="1079" sId="3" odxf="1" dxf="1">
    <oc r="E13">
      <f>Diego!J13+Aelton!J13+Leonam!J13+Danilo!J13+Marcos!J13+Carlos!J13+Alessandro!J13</f>
    </oc>
    <nc r="E13">
      <f>Diego!T13+Aelton!T13+Leonam!T13+Danilo!T13+Marcos!T13+Carlos!T13+Alessandro!T13</f>
    </nc>
    <ndxf>
      <fill>
        <patternFill>
          <bgColor theme="0"/>
        </patternFill>
      </fill>
    </ndxf>
  </rcc>
  <rcc rId="1080" sId="3" odxf="1" dxf="1">
    <oc r="E15">
      <f>Diego!J15+Aelton!J15+Leonam!J15+Danilo!J15+Marcos!J15+Carlos!J15+Alessandro!J15</f>
    </oc>
    <nc r="E15">
      <f>Diego!T15+Aelton!T15+Leonam!T15+Danilo!T15+Marcos!T15+Carlos!T15+Alessandro!T15</f>
    </nc>
    <ndxf>
      <fill>
        <patternFill>
          <bgColor theme="0"/>
        </patternFill>
      </fill>
    </ndxf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1" sId="5">
    <nc r="Y12">
      <v>67</v>
    </nc>
  </rcc>
  <rcc rId="1082" sId="5">
    <nc r="AA12">
      <v>138</v>
    </nc>
  </rcc>
  <rcc rId="1083" sId="5" xfDxf="1" dxf="1">
    <nc r="AA17" t="inlineStr">
      <is>
        <t xml:space="preserve"> Inventário microfilmes.</t>
      </is>
    </nc>
    <ndxf>
      <alignment horizontal="center" vertical="center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4" sId="5" odxf="1" dxf="1">
    <oc r="AA17" t="inlineStr">
      <is>
        <t xml:space="preserve"> Inventário microfilmes.</t>
      </is>
    </oc>
    <nc r="AA17" t="inlineStr">
      <is>
        <t xml:space="preserve"> Inventário microfilmes:
4 Caixas
138 microfilmes.</t>
      </is>
    </nc>
    <odxf>
      <alignment wrapText="0"/>
    </odxf>
    <ndxf>
      <alignment wrapText="1"/>
    </ndxf>
  </rcc>
  <rcc rId="1095" sId="5">
    <o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  <r>
          <rPr>
            <sz val="11"/>
            <color theme="1"/>
            <rFont val="Aptos Narrow"/>
            <family val="2"/>
          </rPr>
          <t xml:space="preserve">
2. Inventário microfilmes.</t>
        </r>
      </is>
    </oc>
    <n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  <r>
          <rPr>
            <sz val="11"/>
            <color theme="1"/>
            <rFont val="Aptos Narrow"/>
            <family val="2"/>
          </rPr>
          <t xml:space="preserve">
2. Inventário microfilmes:
2 Caixas
67 microfilmes.</t>
        </r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6" sId="4">
    <nc r="W11">
      <v>2</v>
    </nc>
  </rcc>
  <rcc rId="1097" sId="4">
    <nc r="W18" t="inlineStr">
      <is>
        <t xml:space="preserve">65  FITAS DE MICRO FILMES NUMERADAS 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8" sId="8" odxf="1" dxf="1">
    <nc r="U17" t="inlineStr">
      <is>
        <t xml:space="preserve">1. Pela manhã - Nossa mudança do subsolo sala 1S 3.11 para o 2º andar sala 24.32.
2. Digitalização material da LBA, solicitado pela professora Gracyelle - Email de 12/02/2025. </t>
      </is>
    </nc>
    <odxf>
      <alignment wrapText="0"/>
    </odxf>
    <ndxf>
      <alignment wrapText="1"/>
    </ndxf>
  </rcc>
  <rcc rId="1099" sId="8" odxf="1" dxf="1">
    <nc r="V17" t="inlineStr">
      <is>
        <t xml:space="preserve">Digitalização material da LBA, solicitado pela professora Gracyelle - Email de 12/02/2025. 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8" sqref="W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8" sqref="X17" start="0" length="0">
    <dxf>
      <alignment wrapText="1"/>
    </dxf>
  </rfmt>
  <rfmt sheetId="8" sqref="Y17" start="0" length="0">
    <dxf>
      <alignment wrapText="1"/>
    </dxf>
  </rfmt>
  <rfmt sheetId="8" sqref="AA17" start="0" length="0">
    <dxf>
      <alignment wrapText="1"/>
    </dxf>
  </rfmt>
  <rfmt sheetId="8" sqref="Y17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100" sId="8">
    <nc r="W17" t="inlineStr">
      <is>
        <t xml:space="preserve">Digitalização material da LBA, solicitado pela professora Gracyelle - Email de 12/02/2025. Inventário microfilmes:
2 Caixas 170 microfilmes. </t>
      </is>
    </nc>
  </rcc>
  <rcc rId="1101" sId="8">
    <nc r="X17" t="inlineStr">
      <is>
        <t xml:space="preserve"> Inventário microfilmes:
4 Caixas
140 microfilmes.</t>
      </is>
    </nc>
  </rcc>
  <rfmt sheetId="8" sqref="Y17" start="0" length="0">
    <dxf>
      <border outline="0">
        <left/>
        <right/>
        <top/>
        <bottom/>
      </border>
    </dxf>
  </rfmt>
  <rcc rId="1102" sId="8">
    <nc r="Y17" t="inlineStr">
      <is>
        <t xml:space="preserve"> Inventário microfilmes:
4 Caixas
140 microfilmes.</t>
      </is>
    </nc>
  </rcc>
  <rcc rId="1103" sId="8">
    <nc r="AA17" t="inlineStr">
      <is>
        <t xml:space="preserve"> Inventário microfilmes:
4 Caixas
139 microfilmes.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W18">
    <dxf>
      <alignment wrapText="1"/>
    </dxf>
  </rfmt>
  <rfmt sheetId="4" sqref="X18" start="0" length="0">
    <dxf>
      <alignment wrapText="1"/>
    </dxf>
  </rfmt>
  <rfmt sheetId="4" sqref="X18">
    <dxf>
      <alignment wrapText="0"/>
    </dxf>
  </rfmt>
  <rfmt sheetId="4" sqref="X18">
    <dxf>
      <alignment wrapText="1"/>
    </dxf>
  </rfmt>
  <rcc rId="1114" sId="4">
    <nc r="X11">
      <v>4</v>
    </nc>
  </rcc>
  <rcc rId="1115" sId="4">
    <nc r="Y11">
      <v>3</v>
    </nc>
  </rcc>
  <rcc rId="1116" sId="4">
    <nc r="AA11">
      <v>2</v>
    </nc>
  </rcc>
  <rfmt sheetId="4" sqref="Y18" start="0" length="0">
    <dxf>
      <alignment wrapText="1"/>
    </dxf>
  </rfmt>
  <rcc rId="1117" sId="4">
    <nc r="Y18" t="inlineStr">
      <is>
        <t xml:space="preserve">78 FITAS DE MICRO FILMES NUMERADAS </t>
      </is>
    </nc>
  </rcc>
  <rfmt sheetId="4" sqref="Z18" start="0" length="0">
    <dxf>
      <alignment wrapText="1"/>
    </dxf>
  </rfmt>
  <rcc rId="1118" sId="4">
    <nc r="X18" t="inlineStr">
      <is>
        <t xml:space="preserve">144  FITAS DE MICRO FILMES NUMERADAS </t>
      </is>
    </nc>
  </rcc>
  <rcc rId="1119" sId="4" odxf="1" dxf="1">
    <nc r="AA18" t="inlineStr">
      <is>
        <t xml:space="preserve">72 FITAS DE MICRO FILMES NUMERADAS </t>
      </is>
    </nc>
    <odxf>
      <alignment wrapText="0"/>
    </odxf>
    <ndxf>
      <alignment wrapText="1"/>
    </ndxf>
  </rcc>
  <rcc rId="1120" sId="4">
    <oc r="W18" t="inlineStr">
      <is>
        <t xml:space="preserve">65  FITAS DE MICRO FILMES NUMERADAS </t>
      </is>
    </oc>
    <nc r="W18" t="inlineStr">
      <is>
        <t xml:space="preserve">78  FITAS DE MICRO FILMES NUMERADAS </t>
      </is>
    </nc>
  </rcc>
  <rcc rId="1121" sId="4">
    <nc r="AA17" t="inlineStr">
      <is>
        <t xml:space="preserve">PROCURANDO CAIXAS PARA ELIMINAÇÃO </t>
      </is>
    </nc>
  </rcc>
  <rfmt sheetId="4" sqref="AA17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2" sId="8">
    <oc r="W17" t="inlineStr">
      <is>
        <t xml:space="preserve">Digitalização material da LBA, solicitado pela professora Gracyelle - Email de 12/02/2025. Inventário microfilmes:
2 Caixas 170 microfilmes. </t>
      </is>
    </oc>
    <nc r="W17" t="inlineStr">
      <is>
        <t xml:space="preserve">Digitalização material da LBA, solicitado pela professora Gracyelle - Email de 12/02/2025. Inventário microfilmes:
2 Caixas 70 microfilmes. </t>
      </is>
    </nc>
  </rcc>
  <rcc rId="1133" sId="8">
    <nc r="W11">
      <v>70</v>
    </nc>
  </rcc>
  <rcc rId="1134" sId="8">
    <nc r="X11">
      <v>140</v>
    </nc>
  </rcc>
  <rcc rId="1135" sId="8">
    <nc r="Y11">
      <v>140</v>
    </nc>
  </rcc>
  <rcc rId="1136" sId="8">
    <nc r="AA11">
      <v>139</v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7" sId="8">
    <nc r="R17" t="inlineStr">
      <is>
        <t>FERIADO</t>
      </is>
    </nc>
  </rcc>
  <rcc rId="1138" sId="8">
    <nc r="S17" t="inlineStr">
      <is>
        <t>PONTO FACULTATIVO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9" sId="7">
    <nc r="V11">
      <v>4</v>
    </nc>
  </rcc>
  <rcc rId="1140" sId="7">
    <nc r="V12">
      <v>39</v>
    </nc>
  </rcc>
  <rcc rId="1141" sId="7">
    <nc r="W11">
      <v>3</v>
    </nc>
  </rcc>
  <rcc rId="1142" sId="7">
    <nc r="W12">
      <v>53</v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3" sId="7">
    <nc r="V7">
      <v>2</v>
    </nc>
  </rcc>
  <rcc rId="1154" sId="7">
    <nc r="X13">
      <v>1</v>
    </nc>
  </rcc>
  <rcc rId="1155" sId="7">
    <nc r="X3">
      <v>4</v>
    </nc>
  </rcc>
  <rcc rId="1156" sId="7">
    <nc r="X2">
      <v>1</v>
    </nc>
  </rcc>
  <rcc rId="1157" sId="7">
    <nc r="Y11">
      <v>4</v>
    </nc>
  </rcc>
  <rcc rId="1158" sId="7">
    <nc r="Y12">
      <v>136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9" sId="7">
    <nc r="AA11">
      <v>4</v>
    </nc>
  </rcc>
  <rcc rId="1160" sId="7">
    <nc r="AA12">
      <v>136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B17" start="0" length="0">
    <dxf>
      <alignment wrapText="1"/>
    </dxf>
  </rfmt>
  <rcc rId="1161" sId="8">
    <nc r="AB17" t="inlineStr">
      <is>
        <t xml:space="preserve"> Procurando caixas para eleiminação p/ Sr. Carlos 12 cxs. Inventário microfilmes:
3 Caixas
105 microfilmes.</t>
      </is>
    </nc>
  </rcc>
  <rcc rId="1162" sId="8">
    <nc r="AB11">
      <v>105</v>
    </nc>
  </rcc>
  <rcc rId="1163" sId="8">
    <nc r="AB9">
      <v>12</v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B18" start="0" length="0">
    <dxf>
      <alignment wrapText="1"/>
    </dxf>
  </rfmt>
  <rcc rId="1174" sId="4">
    <nc r="AB18" t="inlineStr">
      <is>
        <t xml:space="preserve">96 FITAS DE MICRO FILMES NUMERADAS </t>
      </is>
    </nc>
  </rcc>
  <rcc rId="1175" sId="4">
    <nc r="AB11">
      <v>3</v>
    </nc>
  </rcc>
  <rcc rId="1176" sId="4">
    <nc r="AB6">
      <v>12</v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7" sId="6">
    <nc r="AB11">
      <v>2</v>
    </nc>
  </rcc>
  <rcc rId="1178" sId="6">
    <nc r="AB12">
      <v>63</v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9" sId="6">
    <nc r="AA17" t="inlineStr">
      <is>
        <t xml:space="preserve">fazendo etiquetas para os micros-filmes </t>
      </is>
    </nc>
  </rcc>
  <rfmt sheetId="6" sqref="AA17">
    <dxf>
      <alignment wrapText="1"/>
    </dxf>
  </rfmt>
  <rcc rId="1180" sId="6" odxf="1" dxf="1">
    <nc r="AB17" t="inlineStr">
      <is>
        <t xml:space="preserve">fazendo etiquetas para os micros-filmes </t>
      </is>
    </nc>
    <odxf>
      <alignment wrapText="0"/>
    </odxf>
    <ndxf>
      <alignment wrapText="1"/>
    </ndxf>
  </rcc>
  <rcc rId="1181" sId="6" odxf="1" dxf="1">
    <nc r="Y17" t="inlineStr">
      <is>
        <t xml:space="preserve">fazendo etiquetas para os micros-filmes </t>
      </is>
    </nc>
    <odxf>
      <alignment wrapText="0"/>
    </odxf>
    <ndxf>
      <alignment wrapText="1"/>
    </ndxf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2" sId="10">
    <nc r="O11">
      <v>4</v>
    </nc>
  </rcc>
  <rcc rId="1183" sId="10">
    <nc r="O12">
      <v>60</v>
    </nc>
  </rcc>
  <rcc rId="1184" sId="10">
    <nc r="Q18" t="inlineStr">
      <is>
        <t>Almoço com a Equipe</t>
      </is>
    </nc>
  </rcc>
  <rfmt sheetId="10" sqref="Q18">
    <dxf>
      <alignment wrapText="1"/>
    </dxf>
  </rfmt>
  <rfmt sheetId="10" sqref="R2:R16">
    <dxf>
      <alignment horizontal="general"/>
    </dxf>
  </rfmt>
  <rfmt sheetId="10" sqref="R2:R16">
    <dxf>
      <alignment horizontal="left"/>
    </dxf>
  </rfmt>
  <rfmt sheetId="10" sqref="R2:R16">
    <dxf>
      <alignment horizontal="center"/>
    </dxf>
  </rfmt>
  <rfmt sheetId="10" sqref="A18">
    <dxf>
      <alignment vertical="bottom" textRotation="255"/>
    </dxf>
  </rfmt>
  <ris rId="1185" sheetId="11" name="[INDICADORES - Junho-Julho_2025.xlsx]Planilha1" sheetPosition="10"/>
  <rfmt sheetId="11" sqref="L1:L15">
    <dxf>
      <alignment horizontal="center" vertical="center" wrapText="1" readingOrder="2"/>
    </dxf>
  </rfmt>
  <rfmt sheetId="11" sqref="L1:L15">
    <dxf>
      <alignment vertical="bottom" textRotation="255"/>
    </dxf>
  </rfmt>
  <rcc rId="1186" sId="10">
    <nc r="R2" t="inlineStr">
      <is>
        <t>FERIADO</t>
      </is>
    </nc>
  </rcc>
  <rcc rId="1187" sId="10">
    <nc r="S2" t="inlineStr">
      <is>
        <t>RECESSO</t>
      </is>
    </nc>
  </rcc>
  <rfmt sheetId="10" sqref="R2:S2" start="0" length="2147483647">
    <dxf>
      <font>
        <sz val="10"/>
      </font>
    </dxf>
  </rfmt>
  <rcc rId="1188" sId="10">
    <nc r="R3" t="inlineStr">
      <is>
        <t>FERIADO</t>
      </is>
    </nc>
  </rcc>
  <rcc rId="1189" sId="10">
    <nc r="S3" t="inlineStr">
      <is>
        <t>RECESSO</t>
      </is>
    </nc>
  </rcc>
  <rcc rId="1190" sId="10">
    <nc r="R4" t="inlineStr">
      <is>
        <t>FERIADO</t>
      </is>
    </nc>
  </rcc>
  <rcc rId="1191" sId="10">
    <nc r="S4" t="inlineStr">
      <is>
        <t>RECESSO</t>
      </is>
    </nc>
  </rcc>
  <rcc rId="1192" sId="10">
    <nc r="R5" t="inlineStr">
      <is>
        <t>FERIADO</t>
      </is>
    </nc>
  </rcc>
  <rcc rId="1193" sId="10">
    <nc r="S5" t="inlineStr">
      <is>
        <t>RECESSO</t>
      </is>
    </nc>
  </rcc>
  <rcc rId="1194" sId="10">
    <nc r="R6" t="inlineStr">
      <is>
        <t>FERIADO</t>
      </is>
    </nc>
  </rcc>
  <rcc rId="1195" sId="10">
    <nc r="S6" t="inlineStr">
      <is>
        <t>RECESSO</t>
      </is>
    </nc>
  </rcc>
  <rcc rId="1196" sId="10">
    <nc r="R7" t="inlineStr">
      <is>
        <t>FERIADO</t>
      </is>
    </nc>
  </rcc>
  <rcc rId="1197" sId="10">
    <nc r="S7" t="inlineStr">
      <is>
        <t>RECESSO</t>
      </is>
    </nc>
  </rcc>
  <rcc rId="1198" sId="10">
    <nc r="R8" t="inlineStr">
      <is>
        <t>FERIADO</t>
      </is>
    </nc>
  </rcc>
  <rcc rId="1199" sId="10">
    <nc r="S8" t="inlineStr">
      <is>
        <t>RECESSO</t>
      </is>
    </nc>
  </rcc>
  <rcc rId="1200" sId="10">
    <nc r="R9" t="inlineStr">
      <is>
        <t>FERIADO</t>
      </is>
    </nc>
  </rcc>
  <rcc rId="1201" sId="10">
    <nc r="S9" t="inlineStr">
      <is>
        <t>RECESSO</t>
      </is>
    </nc>
  </rcc>
  <rcc rId="1202" sId="10">
    <nc r="R10" t="inlineStr">
      <is>
        <t>FERIADO</t>
      </is>
    </nc>
  </rcc>
  <rcc rId="1203" sId="10">
    <nc r="S10" t="inlineStr">
      <is>
        <t>RECESSO</t>
      </is>
    </nc>
  </rcc>
  <rcc rId="1204" sId="10">
    <nc r="R11" t="inlineStr">
      <is>
        <t>FERIADO</t>
      </is>
    </nc>
  </rcc>
  <rcc rId="1205" sId="10">
    <nc r="S11" t="inlineStr">
      <is>
        <t>RECESSO</t>
      </is>
    </nc>
  </rcc>
  <rcc rId="1206" sId="10">
    <nc r="R12" t="inlineStr">
      <is>
        <t>FERIADO</t>
      </is>
    </nc>
  </rcc>
  <rcc rId="1207" sId="10">
    <nc r="S12" t="inlineStr">
      <is>
        <t>RECESSO</t>
      </is>
    </nc>
  </rcc>
  <rcc rId="1208" sId="10">
    <nc r="R13" t="inlineStr">
      <is>
        <t>FERIADO</t>
      </is>
    </nc>
  </rcc>
  <rcc rId="1209" sId="10">
    <nc r="S13" t="inlineStr">
      <is>
        <t>RECESSO</t>
      </is>
    </nc>
  </rcc>
  <rcc rId="1210" sId="10">
    <nc r="R14" t="inlineStr">
      <is>
        <t>FERIADO</t>
      </is>
    </nc>
  </rcc>
  <rcc rId="1211" sId="10">
    <nc r="S14" t="inlineStr">
      <is>
        <t>RECESSO</t>
      </is>
    </nc>
  </rcc>
  <rcc rId="1212" sId="10">
    <nc r="R15" t="inlineStr">
      <is>
        <t>FERIADO</t>
      </is>
    </nc>
  </rcc>
  <rcc rId="1213" sId="10">
    <nc r="S15" t="inlineStr">
      <is>
        <t>RECESSO</t>
      </is>
    </nc>
  </rcc>
  <rcc rId="1214" sId="10">
    <nc r="R16" t="inlineStr">
      <is>
        <t>FERIADO</t>
      </is>
    </nc>
  </rcc>
  <rcc rId="1215" sId="10">
    <nc r="S16" t="inlineStr">
      <is>
        <t>RECESSO</t>
      </is>
    </nc>
  </rcc>
  <rfmt sheetId="10" sqref="R2:S16" start="0" length="2147483647">
    <dxf>
      <font>
        <b/>
      </font>
    </dxf>
  </rfmt>
  <rfmt sheetId="10" sqref="R3:S16" start="0" length="2147483647">
    <dxf>
      <font>
        <sz val="10"/>
      </font>
    </dxf>
  </rfmt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6" sId="10">
    <nc r="P11">
      <v>1</v>
    </nc>
  </rcc>
  <rcc rId="1227" sId="10">
    <nc r="P12">
      <v>54</v>
    </nc>
  </rcc>
  <rcc rId="1228" sId="10">
    <nc r="Q11">
      <v>1</v>
    </nc>
  </rcc>
  <rcc rId="1229" sId="10">
    <nc r="Q12">
      <v>18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" sId="10">
    <nc r="U11">
      <v>1</v>
    </nc>
  </rcc>
  <rcc rId="1231" sId="10">
    <nc r="U12">
      <v>25</v>
    </nc>
  </rcc>
  <rcc rId="1232" sId="10">
    <nc r="U7">
      <v>64</v>
    </nc>
  </rcc>
  <rcc rId="1233" sId="10">
    <nc r="V11">
      <v>4</v>
    </nc>
  </rcc>
  <rcc rId="1234" sId="10">
    <nc r="V12">
      <v>61</v>
    </nc>
  </rcc>
  <rcc rId="1235" sId="10">
    <nc r="W11">
      <v>3</v>
    </nc>
  </rcc>
  <rcc rId="1236" sId="10">
    <nc r="W12">
      <v>36</v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" sId="10">
    <nc r="X11">
      <v>3</v>
    </nc>
  </rcc>
  <rcc rId="1238" sId="10">
    <nc r="X12">
      <v>92</v>
    </nc>
  </rcc>
  <rcc rId="1239" sId="10">
    <nc r="Y11">
      <v>3</v>
    </nc>
  </rcc>
  <rcc rId="1240" sId="10">
    <nc r="Y12">
      <v>66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1" sId="10">
    <nc r="AB11">
      <v>2</v>
    </nc>
  </rcc>
  <rcc rId="1242" sId="10">
    <nc r="AB12">
      <v>68</v>
    </nc>
  </rcc>
  <rcc rId="1243" sId="10">
    <nc r="AA11">
      <v>3</v>
    </nc>
  </rcc>
  <rcc rId="1244" sId="10">
    <nc r="AA12">
      <v>66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5" sId="10">
    <nc r="C7">
      <v>25</v>
    </nc>
  </rcc>
  <rcc rId="1246" sId="10">
    <nc r="D7">
      <v>5</v>
    </nc>
  </rcc>
  <rcc rId="1247" sId="10">
    <nc r="E7">
      <v>15</v>
    </nc>
  </rcc>
  <rcc rId="1248" sId="10">
    <nc r="F7">
      <v>34</v>
    </nc>
  </rcc>
  <rcc rId="1249" sId="10">
    <nc r="G7">
      <v>21</v>
    </nc>
  </rcc>
  <rcc rId="1250" sId="10">
    <nc r="G6">
      <v>2</v>
    </nc>
  </rcc>
  <rcc rId="1251" sId="10">
    <nc r="F6">
      <v>2</v>
    </nc>
  </rcc>
  <rcc rId="1252" sId="10">
    <nc r="E6">
      <v>2</v>
    </nc>
  </rcc>
  <rcc rId="1253" sId="10">
    <nc r="D6">
      <v>1</v>
    </nc>
  </rcc>
  <rcc rId="1254" sId="10">
    <nc r="C6">
      <v>3</v>
    </nc>
  </rcc>
  <rcc rId="1255" sId="10">
    <nc r="I6">
      <v>2</v>
    </nc>
  </rcc>
  <rcc rId="1256" sId="10">
    <nc r="I7">
      <v>18</v>
    </nc>
  </rcc>
  <rcc rId="1257" sId="10">
    <nc r="J6">
      <v>2</v>
    </nc>
  </rcc>
  <rcc rId="1258" sId="10">
    <nc r="J7">
      <v>19</v>
    </nc>
  </rcc>
  <rcc rId="1259" sId="10">
    <nc r="K6">
      <v>1</v>
    </nc>
  </rcc>
  <rcc rId="1260" sId="10">
    <nc r="K7">
      <v>22</v>
    </nc>
  </rcc>
  <rcc rId="1261" sId="10">
    <nc r="L6">
      <v>1</v>
    </nc>
  </rcc>
  <rcc rId="1262" sId="10">
    <nc r="L7">
      <v>3</v>
    </nc>
  </rcc>
  <rcc rId="1263" sId="10">
    <nc r="M7">
      <v>24</v>
    </nc>
  </rcc>
  <rcc rId="1264" sId="10">
    <nc r="M6">
      <v>2</v>
    </nc>
  </rcc>
  <rcc rId="1265" sId="10">
    <nc r="O6">
      <v>1</v>
    </nc>
  </rcc>
  <rcc rId="1266" sId="10">
    <nc r="O7">
      <v>13</v>
    </nc>
  </rcc>
  <rcc rId="1267" sId="10">
    <nc r="Q6">
      <v>1</v>
    </nc>
  </rcc>
  <rcc rId="1268" sId="10">
    <nc r="Q7">
      <v>1</v>
    </nc>
  </rcc>
  <rcc rId="1269" sId="10">
    <nc r="U6">
      <v>1</v>
    </nc>
  </rcc>
  <rcc rId="1270" sId="10">
    <oc r="U7">
      <v>64</v>
    </oc>
    <nc r="U7">
      <v>21</v>
    </nc>
  </rcc>
  <rcc rId="1271" sId="10">
    <nc r="W6">
      <v>1</v>
    </nc>
  </rcc>
  <rcc rId="1272" sId="10">
    <nc r="W7">
      <v>1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Danilo!$A$1:$A$31</formula>
    <oldFormula>Danilo!$A$1:$A$31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9" customView="1" name="Z_18A482E0_C8B6_4AA1_9E04_15FA7C9CD5E3_.wvu.FilterData" hidden="1" oldHidden="1">
    <formula>Carlos!$A$1:$A$18</formula>
    <oldFormula>Carlos!$A$1:$A$18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cv guid="{18A482E0-C8B6-4AA1-9E04-15FA7C9CD5E3}" action="add"/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B16" start="0" length="0">
    <dxf>
      <border outline="0">
        <bottom/>
      </border>
    </dxf>
  </rfmt>
  <rfmt sheetId="5" sqref="AC16" start="0" length="0">
    <dxf>
      <border outline="0">
        <bottom/>
      </border>
    </dxf>
  </rfmt>
  <rfmt sheetId="5" sqref="AB17" start="0" length="0">
    <dxf>
      <alignment wrapText="1"/>
    </dxf>
  </rfmt>
  <rfmt sheetId="5" sqref="AC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293" sId="5">
    <nc r="AB12">
      <v>102</v>
    </nc>
  </rcc>
  <rfmt sheetId="5" sqref="AB16" start="0" length="0">
    <dxf>
      <border outline="0">
        <bottom style="thin">
          <color indexed="64"/>
        </bottom>
      </border>
    </dxf>
  </rfmt>
  <rfmt sheetId="5" sqref="AC16" start="0" length="0">
    <dxf>
      <border outline="0">
        <bottom style="thin">
          <color indexed="64"/>
        </bottom>
      </border>
    </dxf>
  </rfmt>
  <rcc rId="1294" sId="5">
    <nc r="AB17" t="inlineStr">
      <is>
        <t xml:space="preserve">1. Inventário microfilmes.
3 Caixas
102 microfilmes
2. Ajuda na pesquisa do documento averbação da servidora MARILUZA PORTELA RIOS VIEIRA. </t>
      </is>
    </nc>
  </rcc>
  <rcc rId="1295" sId="5" odxf="1" dxf="1">
    <nc r="AC17" t="inlineStr">
      <is>
        <r>
          <t xml:space="preserve">Ajuda na pesquisa do documento </t>
        </r>
        <r>
          <rPr>
            <b/>
            <sz val="11"/>
            <color theme="1"/>
            <rFont val="Aptos Narrow"/>
            <family val="2"/>
          </rPr>
          <t>averbação</t>
        </r>
        <r>
          <rPr>
            <sz val="11"/>
            <color theme="1"/>
            <rFont val="Aptos Narrow"/>
            <family val="2"/>
          </rPr>
          <t xml:space="preserve"> da servidora MARILUZA PORTELA RIOS VIEIRA. </t>
        </r>
      </is>
    </nc>
    <ndxf>
      <border outline="0">
        <left/>
        <right/>
        <top/>
        <bottom/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6" sId="4">
    <nc r="AC11">
      <v>3</v>
    </nc>
  </rcc>
  <rfmt sheetId="4" sqref="AC18" start="0" length="0">
    <dxf>
      <alignment wrapText="1"/>
    </dxf>
  </rfmt>
  <rcc rId="1307" sId="4">
    <nc r="AC18" t="inlineStr">
      <is>
        <t xml:space="preserve">97 FITAS DE MICRO FILMES NUMERADAS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8" sId="8">
    <nc r="AC11">
      <v>137</v>
    </nc>
  </rcc>
  <rfmt sheetId="8" sqref="AC17" start="0" length="0">
    <dxf>
      <alignment wrapText="1"/>
    </dxf>
  </rfmt>
  <rcc rId="1319" sId="8">
    <nc r="AC17" t="inlineStr">
      <is>
        <t xml:space="preserve"> Inventário microfilmes:
4 Caixas
137 microfilmes.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0" sId="1">
    <nc r="AC13">
      <v>1</v>
    </nc>
  </rcc>
  <rcc rId="1321" sId="1">
    <nc r="AA13">
      <v>1</v>
    </nc>
  </rcc>
  <rcc rId="1322" sId="1">
    <nc r="V13">
      <v>1</v>
    </nc>
  </rcc>
  <rcc rId="1323" sId="1">
    <nc r="U13">
      <v>1</v>
    </nc>
  </rcc>
  <rcc rId="1324" sId="1">
    <nc r="P13">
      <v>1</v>
    </nc>
  </rcc>
  <rcc rId="1325" sId="1">
    <nc r="M13">
      <v>1</v>
    </nc>
  </rcc>
  <rcc rId="1326" sId="1">
    <nc r="J13">
      <v>1</v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7" sId="6">
    <oc r="AA12">
      <v>102</v>
    </oc>
    <nc r="AA12">
      <v>90</v>
    </nc>
  </rcc>
  <rcc rId="1328" sId="6">
    <nc r="AC12">
      <v>2</v>
    </nc>
  </rcc>
  <rcc rId="1329" sId="6">
    <nc r="AC13">
      <v>55</v>
    </nc>
  </rcc>
  <rm rId="1330" sheetId="6" source="AC12:AC13" destination="AC11:AC12" sourceSheetId="6">
    <rfmt sheetId="6" sqref="AC11" start="0" length="0">
      <dxf>
        <alignment horizontal="center" vertical="center"/>
      </dxf>
    </rfmt>
  </rm>
  <rm rId="1331" sheetId="6" source="AB17" destination="AB18" sourceSheetId="6">
    <rfmt sheetId="6" sqref="AB18" start="0" length="0">
      <dxf>
        <alignment horizontal="center" vertical="center"/>
      </dxf>
    </rfmt>
  </rm>
  <rcc rId="1332" sId="6" odxf="1" dxf="1">
    <nc r="AB17" t="inlineStr">
      <is>
        <t xml:space="preserve">fazendo etiquetas para os micros-filmes </t>
      </is>
    </nc>
    <odxf>
      <alignment wrapText="0"/>
    </odxf>
    <ndxf>
      <alignment wrapText="1"/>
    </ndxf>
  </rcc>
  <rcc rId="1333" sId="6" odxf="1" dxf="1">
    <nc r="AC17" t="inlineStr">
      <is>
        <t xml:space="preserve">fazendo etiquetas para os micros-filmes </t>
      </is>
    </nc>
    <odxf>
      <alignment wrapText="0"/>
    </odxf>
    <ndxf>
      <alignment wrapText="1"/>
    </ndxf>
  </rcc>
  <rm rId="1334" sheetId="6" source="AB18" destination="AC18" sourceSheetId="6">
    <rfmt sheetId="6" sqref="AC18" start="0" length="0">
      <dxf>
        <alignment horizontal="center" vertical="center"/>
      </dxf>
    </rfmt>
  </rm>
  <rm rId="1335" sheetId="6" source="AC18" destination="AD18" sourceSheetId="6">
    <rfmt sheetId="6" sqref="AD18" start="0" length="0">
      <dxf>
        <alignment horizontal="center" vertical="center"/>
      </dxf>
    </rfmt>
  </rm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6" sId="6">
    <nc r="AD2">
      <v>2</v>
    </nc>
  </rcc>
  <rcc rId="1357" sId="6">
    <nc r="AD3">
      <v>30</v>
    </nc>
  </rcc>
  <rcc rId="1358" sId="6">
    <nc r="AD13">
      <v>1</v>
    </nc>
  </rcc>
  <rcc rId="1359" sId="6">
    <nc r="AD11">
      <v>1</v>
    </nc>
  </rcc>
  <rcc rId="1360" sId="6">
    <nc r="AD12">
      <v>30</v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1" sId="4">
    <nc r="AD13">
      <v>1</v>
    </nc>
  </rcc>
  <rcc rId="1372" sId="4">
    <nc r="AD18" t="inlineStr">
      <is>
        <t xml:space="preserve">PROCURANDO CAIXAS DA CGEOF/SESAN </t>
      </is>
    </nc>
  </rcc>
  <rfmt sheetId="4" sqref="AD18">
    <dxf>
      <alignment wrapText="1"/>
    </dxf>
  </rfmt>
  <rcc rId="1373" sId="4">
    <nc r="AD3">
      <v>30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4" sId="4">
    <nc r="AD2">
      <v>2</v>
    </nc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5" sId="4" odxf="1" dxf="1">
    <nc r="AD17" t="inlineStr">
      <is>
        <t xml:space="preserve">PROCURANDO CAIXAS DA CGEOF/SESAN </t>
      </is>
    </nc>
    <odxf>
      <alignment wrapText="0"/>
    </odxf>
    <ndxf>
      <alignment wrapText="1"/>
    </ndxf>
  </rcc>
  <rcc rId="1386" sId="4">
    <oc r="AD18" t="inlineStr">
      <is>
        <t xml:space="preserve">PROCURANDO CAIXAS DA CGEOF/SESAN </t>
      </is>
    </oc>
    <nc r="AD18" t="inlineStr">
      <is>
        <t>2 PROCESSOS COM 34 VOLUMES</t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7" sId="6" odxf="1" dxf="1">
    <nc r="AD17" t="inlineStr">
      <is>
        <t xml:space="preserve">PROCURANDO CAIXAS DA CGEOF/SESAN </t>
      </is>
    </nc>
    <odxf>
      <alignment wrapText="0"/>
    </odxf>
    <ndxf>
      <alignment wrapText="1"/>
    </ndxf>
  </rcc>
  <rcc rId="1388" sId="6">
    <oc r="AD18" t="inlineStr">
      <is>
        <t xml:space="preserve">fazendo etiquetas para os micros-filmes </t>
      </is>
    </oc>
    <nc r="AD18" t="inlineStr">
      <is>
        <t>2 PROCESSOS COM 34 VOLUMES</t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9" sId="5">
    <nc r="AD2">
      <v>2</v>
    </nc>
  </rcc>
  <rcc rId="1390" sId="5" odxf="1" dxf="1">
    <nc r="AD17" t="inlineStr">
      <is>
        <t xml:space="preserve">1. Pesquisa do documento averbação da servidora MARILUZA PORTELA RIOS VIEIRA.
2.  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1" sId="5">
    <oc r="AD17" t="inlineStr">
      <is>
        <t xml:space="preserve">1. Pesquisa do documento averbação da servidora MARILUZA PORTELA RIOS VIEIRA.
2.  </t>
      </is>
    </oc>
    <nc r="AD17" t="inlineStr">
      <is>
        <t>1. Pesquisa do documento averbação da servidora MARILUZA PORTELA RIOS VIEIRA.
2.  Pesquisa e busca processos: 00070.002379/2003-10 00070.007055/2003-78
3. Inventário microfilmes.
1 Caixa
35 microfilmes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2" sId="5">
    <nc r="AD12">
      <v>35</v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3" sId="8">
    <nc r="AD13">
      <v>1</v>
    </nc>
  </rcc>
  <rcc rId="1434" sId="8" odxf="1" dxf="1">
    <nc r="AD17" t="inlineStr">
      <is>
        <t xml:space="preserve">PROCURANDO CAIXAS DA CGEOF/SESAN </t>
      </is>
    </nc>
    <odxf>
      <alignment wrapText="0"/>
    </odxf>
    <ndxf>
      <alignment wrapText="1"/>
    </ndxf>
  </rcc>
  <rcc rId="1435" sId="8" odxf="1" dxf="1">
    <nc r="AD18" t="inlineStr">
      <is>
        <t>2 PROCESSOS COM 34 VOLUMES</t>
      </is>
    </nc>
    <odxf>
      <alignment wrapText="0"/>
    </odxf>
    <ndxf>
      <alignment wrapText="1"/>
    </ndxf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E17" start="0" length="0">
    <dxf>
      <alignment wrapText="1"/>
    </dxf>
  </rfmt>
  <rcc rId="1457" sId="5">
    <nc r="AE17" t="inlineStr">
      <is>
        <t xml:space="preserve"> 1. Pesquisa do documento averbação da servidora
 MARILUZA PORTELA RIOS VIEIRA.
2. Inventário microfilmes.
1 Caixa
30 microfilmes.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8" sId="5">
    <nc r="AE12">
      <v>30</v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" sId="5">
    <oc r="AD17" t="inlineStr">
      <is>
        <t>1. Pesquisa do documento averbação da servidora MARILUZA PORTELA RIOS VIEIRA.
2.  Pesquisa e busca processos: 00070.002379/2003-10 00070.007055/2003-78
3. Inventário microfilmes.
1 Caixa
35 microfilmes</t>
      </is>
    </oc>
    <nc r="AD17" t="inlineStr">
      <is>
        <t>1. Pesquisa do documento averbação da servidora MARILUZA PORTELA RIOS VIEIRA.
2.  Pesquisa e busca processos: 00070.002379/2003-10 00070.007055/2003-78
3. Inventário microfilmes.
1 Caixa
30 microfilmes</t>
      </is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0" sId="5" odxf="1" dxf="1">
    <nc r="AG17" t="inlineStr">
      <is>
        <t>1. Inventário microfilmes.
1 Caixa
30 microfilmes.
2. Envio de 70 caixas para DAP/CGPC.
3. Recebimento de 70 caixas para DAP/CGPC.</t>
      </is>
    </nc>
    <odxf>
      <alignment wrapText="0"/>
    </odxf>
    <ndxf>
      <alignment wrapText="1"/>
    </ndxf>
  </rcc>
  <rcc rId="1481" sId="5">
    <nc r="AG2">
      <v>1</v>
    </nc>
  </rcc>
  <rcc rId="1482" sId="5">
    <nc r="AG4">
      <v>1</v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3" sId="4">
    <nc r="AE11">
      <v>3</v>
    </nc>
  </rcc>
  <rcc rId="1494" sId="4" odxf="1" dxf="1">
    <nc r="AE18" t="inlineStr">
      <is>
        <t xml:space="preserve">96 FITAS DE MICRO FILMES NUMERADAS </t>
      </is>
    </nc>
    <odxf>
      <alignment wrapText="0"/>
    </odxf>
    <ndxf>
      <alignment wrapText="1"/>
    </ndxf>
  </rcc>
  <rcc rId="1495" sId="4">
    <nc r="AG6">
      <v>20</v>
    </nc>
  </rcc>
  <rcc rId="1496" sId="4">
    <nc r="AG8">
      <v>20</v>
    </nc>
  </rcc>
  <rcc rId="1497" sId="4">
    <nc r="AG15">
      <v>95</v>
    </nc>
  </rcc>
  <rcc rId="1498" sId="4">
    <nc r="AG17" t="inlineStr">
      <is>
        <t xml:space="preserve">PROCURANDO CAIXAS PARA ELIMINAÇÃO PRA SEU CARLOS </t>
      </is>
    </nc>
  </rcc>
  <rfmt sheetId="4" sqref="AG17">
    <dxf>
      <alignment wrapText="1"/>
    </dxf>
  </rfmt>
  <rcc rId="1499" sId="4">
    <nc r="AG18" t="inlineStr">
      <is>
        <t>RECEBIMENTO DE 150 CAIXAS DA CGPC,MANDANDO MAIS 150 CAIXAS PARA CGPC</t>
      </is>
    </nc>
  </rcc>
  <rfmt sheetId="4" sqref="AH18">
    <dxf>
      <alignment wrapText="1"/>
    </dxf>
  </rfmt>
  <rfmt sheetId="4" sqref="AG18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0" sId="4">
    <oc r="AG18" t="inlineStr">
      <is>
        <t>RECEBIMENTO DE 150 CAIXAS DA CGPC,MANDANDO MAIS 150 CAIXAS PARA CGPC</t>
      </is>
    </oc>
    <nc r="AG18" t="inlineStr">
      <is>
        <t>RECEBIMENTO DE 150 CAIXAS DA CGPC E MANDANDO MAIS 150 CAIXAS PARA CGPC</t>
      </is>
    </nc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" sId="4">
    <oc r="AG18" t="inlineStr">
      <is>
        <t>RECEBIMENTO DE 150 CAIXAS DA CGPC E MANDANDO MAIS 150 CAIXAS PARA CGPC</t>
      </is>
    </oc>
    <nc r="AG18" t="inlineStr">
      <is>
        <t>RECEBIMENTO DE 70 CAIXAS DA CGPC E MANDANDO MAIS 70 CAIXAS PARA CGPC</t>
      </is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2" sId="7">
    <nc r="AB11">
      <v>3</v>
    </nc>
  </rcc>
  <rcc rId="1513" sId="7">
    <nc r="AE11">
      <v>2</v>
    </nc>
  </rcc>
  <rcc rId="1514" sId="7">
    <nc r="AE12">
      <v>72</v>
    </nc>
  </rcc>
  <rcc rId="1515" sId="7">
    <nc r="AB12">
      <v>108</v>
    </nc>
  </rcc>
  <rcc rId="1516" sId="7">
    <nc r="AC11">
      <v>3</v>
    </nc>
  </rcc>
  <rcc rId="1517" sId="7">
    <nc r="AC12">
      <v>108</v>
    </nc>
  </rcc>
  <rcc rId="1518" sId="7" odxf="1" dxf="1">
    <nc r="AD17" t="inlineStr">
      <is>
        <t xml:space="preserve">PROCURANDO CAIXAS DA CGEOF/SESAN </t>
      </is>
    </nc>
    <odxf>
      <alignment wrapText="0"/>
    </odxf>
    <ndxf>
      <alignment wrapText="1"/>
    </ndxf>
  </rcc>
  <rcc rId="1519" sId="7" odxf="1" dxf="1">
    <nc r="AD18" t="inlineStr">
      <is>
        <t>2 PROCESSOS COM 34 VOLUMES</t>
      </is>
    </nc>
    <odxf>
      <alignment wrapText="0"/>
    </odxf>
    <ndxf>
      <alignment wrapText="1"/>
    </ndxf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0" sId="10">
    <nc r="AC11">
      <v>3</v>
    </nc>
  </rcc>
  <rcc rId="1531" sId="10">
    <nc r="AC12">
      <v>77</v>
    </nc>
  </rcc>
  <rcc rId="1532" sId="10">
    <nc r="AD11">
      <v>1</v>
    </nc>
  </rcc>
  <rcc rId="1533" sId="10">
    <nc r="AD12">
      <v>34</v>
    </nc>
  </rcc>
  <rcc rId="1534" sId="10">
    <nc r="AA15">
      <v>3</v>
    </nc>
  </rcc>
  <rcc rId="1535" sId="10">
    <nc r="AB15">
      <v>2</v>
    </nc>
  </rcc>
  <rcc rId="1536" sId="10">
    <nc r="AC15">
      <v>3</v>
    </nc>
  </rcc>
  <rcc rId="1537" sId="10">
    <nc r="AD15">
      <v>1</v>
    </nc>
  </rcc>
  <rcc rId="1538" sId="10">
    <nc r="U15">
      <v>1</v>
    </nc>
  </rcc>
  <rcc rId="1539" sId="10">
    <nc r="V15">
      <v>4</v>
    </nc>
  </rcc>
  <rcc rId="1540" sId="10">
    <nc r="W15">
      <v>3</v>
    </nc>
  </rcc>
  <rcc rId="1541" sId="10">
    <nc r="X15">
      <v>3</v>
    </nc>
  </rcc>
  <rcc rId="1542" sId="10">
    <nc r="Y15">
      <v>3</v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3" sId="10">
    <nc r="AE11">
      <v>2</v>
    </nc>
  </rcc>
  <rcc rId="1554" sId="10">
    <nc r="AE15">
      <v>2</v>
    </nc>
  </rcc>
  <rcc rId="1555" sId="10">
    <nc r="AE12">
      <v>71</v>
    </nc>
  </rcc>
  <rcc rId="1556" sId="10" odxf="1" dxf="1">
    <nc r="AG17" t="inlineStr">
      <is>
        <t>Consolidação da Planilha do ARCEM
(Em andamento)</t>
      </is>
    </nc>
    <odxf>
      <alignment wrapText="0"/>
    </odxf>
    <ndxf>
      <alignment wrapText="1"/>
    </ndxf>
  </rcc>
  <rcc rId="1557" sId="10">
    <nc r="AG13">
      <v>1</v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8" sId="10" odxf="1" dxf="1">
    <nc r="AD17" t="inlineStr">
      <is>
        <t xml:space="preserve">PROCURANDO CAIXAS DA CGEOF/SESAN </t>
      </is>
    </nc>
    <odxf>
      <alignment wrapText="0"/>
    </odxf>
    <ndxf>
      <alignment wrapText="1"/>
    </ndxf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9" sId="4">
    <nc r="AH11">
      <v>2</v>
    </nc>
  </rcc>
  <rcc rId="1560" sId="4">
    <nc r="AH18" t="inlineStr">
      <is>
        <t xml:space="preserve">72 FITAS DE MICRO FILMES NUMERADAS </t>
      </is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7" sId="5" odxf="1" dxf="1">
    <nc r="AJ16">
      <v>30</v>
    </nc>
    <odxf>
      <border outline="0">
        <bottom style="thin">
          <color indexed="64"/>
        </bottom>
      </border>
    </odxf>
    <ndxf>
      <border outline="0">
        <bottom/>
      </border>
    </ndxf>
  </rcc>
  <rcc rId="1618" sId="5" odxf="1" dxf="1">
    <nc r="AJ17" t="inlineStr">
      <is>
        <t>Conferência das caixas da 
CGPC/DEFNAS.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9" sId="6" odxf="1" dxf="1">
    <nc r="AH17" t="inlineStr">
      <is>
        <t>1. Ida ao Bloco A com os chefes, Patrícia e Marcelo, para ver localização dos microfilmes para inventáriá-los. 
2.  Ida ao Bloco A para localização e análise das prováveis caixas onde possa estar o processo do FUNDESPORTE.</t>
      </is>
    </nc>
    <odxf>
      <alignment wrapText="0"/>
    </odxf>
    <ndxf>
      <alignment wrapText="1"/>
    </ndxf>
  </rcc>
  <rcc rId="1640" sId="6">
    <nc r="AG2">
      <v>1</v>
    </nc>
  </rcc>
  <rcc rId="1641" sId="6">
    <nc r="AG4">
      <v>1</v>
    </nc>
  </rcc>
  <rcc rId="1642" sId="6" odxf="1" dxf="1">
    <nc r="AG17" t="inlineStr">
      <is>
        <t>1. Inventário microfilmes.
1 Caixa
30 microfilmes.
2. Envio de 70 caixas para DAP/CGPC.
3. Recebimento de 70 caixas para DAP/CGPC.</t>
      </is>
    </nc>
    <odxf>
      <alignment wrapText="0"/>
    </odxf>
    <ndxf>
      <alignment wrapText="1"/>
    </ndxf>
  </rcc>
  <rcc rId="1643" sId="6">
    <nc r="AI15">
      <v>51</v>
    </nc>
  </rcc>
  <rcc rId="1644" sId="6">
    <nc r="AK17" t="inlineStr">
      <is>
        <t xml:space="preserve">confatrenização da festa junina </t>
      </is>
    </nc>
  </rcc>
  <rfmt sheetId="6" sqref="AK17">
    <dxf>
      <alignment wrapText="1"/>
    </dxf>
  </rfmt>
  <rcc rId="1645" sId="6">
    <nc r="AG18" t="inlineStr">
      <is>
        <t xml:space="preserve">fazendo curso </t>
      </is>
    </nc>
  </rcc>
  <rcc rId="1646" sId="6">
    <nc r="AH18" t="inlineStr">
      <is>
        <t xml:space="preserve">fazendo curso </t>
      </is>
    </nc>
  </rcc>
  <rcc rId="1647" sId="6">
    <nc r="AI18" t="inlineStr">
      <is>
        <t xml:space="preserve">fazendo curso </t>
      </is>
    </nc>
  </rcc>
  <rcc rId="1648" sId="6">
    <nc r="AJ18" t="inlineStr">
      <is>
        <t xml:space="preserve">fazendo curso </t>
      </is>
    </nc>
  </rcc>
  <rcc rId="1649" sId="6">
    <nc r="AK18" t="inlineStr">
      <is>
        <t xml:space="preserve">fazendo curso </t>
      </is>
    </nc>
  </rcc>
  <rfmt sheetId="6" sqref="AG18:AK18">
    <dxf>
      <alignment wrapText="1"/>
    </dxf>
  </rfmt>
  <rcc rId="1650" sId="6">
    <nc r="AI17" t="inlineStr">
      <is>
        <t>passando a planilha escrita dos micros-filmes para planilha digital</t>
      </is>
    </nc>
  </rcc>
  <rfmt sheetId="6" sqref="AI17">
    <dxf>
      <alignment wrapText="1"/>
    </dxf>
  </rfmt>
  <rcc rId="1651" sId="6" odxf="1" dxf="1">
    <nc r="AJ17" t="inlineStr">
      <is>
        <t>passando a planilha escrita dos micros-filmes para planilha digital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2192" sheetId="12" name="[INDICADORES - Junho-Julho_2025.xlsx]Planilha2" sheetPosition="3"/>
  <rcc rId="2193" sId="12" odxf="1" dxf="1">
    <nc r="A1" t="inlineStr">
      <is>
        <t>INDICADORES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1" start="0" length="0">
    <dxf>
      <font>
        <b/>
        <sz val="16"/>
        <color theme="1"/>
        <name val="Aptos Narrow"/>
        <family val="2"/>
        <scheme val="minor"/>
      </font>
      <fill>
        <patternFill patternType="solid">
          <bgColor theme="2" tint="-9.9978637043366805E-2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4" sId="12" odxf="1" dxf="1">
    <nc r="A2" t="inlineStr">
      <is>
        <t>Desarquivamento de Processos/Documentos - Saída de Guia Fora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EDEDE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2" start="0" length="0">
    <dxf>
      <font>
        <b/>
        <sz val="9"/>
        <color theme="1"/>
        <name val="Calibri"/>
        <family val="2"/>
        <scheme val="none"/>
      </font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5" sId="12" odxf="1" dxf="1">
    <nc r="A3" t="inlineStr">
      <is>
        <t>Caixas consultadas em pesquisa de desarquivamento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EDEDE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3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6" sId="12" odxf="1" dxf="1">
    <nc r="A4" t="inlineStr">
      <is>
        <t>Retorno de Processos/Documentos Desarquivados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4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EDEDE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7" sId="12" odxf="1" dxf="1">
    <nc r="A5" t="inlineStr">
      <is>
        <t>Recebimento de Documentos - Guia de Transferência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5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8" sId="12" odxf="1" dxf="1">
    <nc r="A6" t="inlineStr">
      <is>
        <t>Caixas separadas para classificação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6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9" sId="12" odxf="1" dxf="1">
    <nc r="A7" t="inlineStr">
      <is>
        <t>Processos/Documentos classificados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0" sId="12" odxf="1" dxf="1">
    <nc r="B7" t="inlineStr">
      <is>
        <t>PLANILHA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1" sId="12" odxf="1" dxf="1">
    <nc r="A8" t="inlineStr">
      <is>
        <t>Caixas separadas para eliminação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8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202" sId="12" odxf="1" dxf="1">
    <nc r="A9" t="inlineStr">
      <is>
        <t xml:space="preserve">Caixas listadas para eliminação 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3" sId="12" odxf="1" dxf="1">
    <nc r="B9" t="inlineStr">
      <is>
        <t>PLANILHA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4" sId="12" odxf="1" dxf="1">
    <nc r="A10" t="inlineStr">
      <is>
        <t>Processos/Documentos listados para eliminação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5" sId="12" odxf="1" dxf="1">
    <nc r="B10" t="inlineStr">
      <is>
        <t>PLANILHA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EDEDE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6" sId="12" odxf="1" dxf="1">
    <nc r="A11" t="inlineStr">
      <is>
        <t>Caixas inventariadas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7" sId="12" odxf="1" dxf="1">
    <nc r="B11" t="inlineStr">
      <is>
        <t>PLANILHA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8" sId="12" odxf="1" dxf="1">
    <nc r="A12" t="inlineStr">
      <is>
        <t>Processos/documentos inventariados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9" sId="12" odxf="1" dxf="1">
    <nc r="B12" t="inlineStr">
      <is>
        <t>PLANILHA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10" sId="12" odxf="1" dxf="1">
    <nc r="A13" t="inlineStr">
      <is>
        <t>Documentos administrativos produzidos (Despacho, Nota Técnica, minutas diversas)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13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211" sId="12" odxf="1" dxf="1">
    <nc r="A14" t="inlineStr">
      <is>
        <t>Orientação técnica / atendimentos realizados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12" sId="12" odxf="1" dxf="1">
    <nc r="B14" t="inlineStr">
      <is>
        <t>SEI, E-MAIL, TELEFONE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13" sId="12" odxf="1" dxf="1">
    <nc r="A15" t="inlineStr">
      <is>
        <t>Caixas remanejada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EDEDE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15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214" sId="12" odxf="1" dxf="1">
    <nc r="A16" t="inlineStr">
      <is>
        <t>Caixas conferidas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EDEDE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16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12" sqref="B1" start="0" length="2147483647">
    <dxf>
      <font>
        <sz val="14"/>
      </font>
    </dxf>
  </rfmt>
  <rcc rId="2215" sId="12">
    <nc r="B1" t="inlineStr">
      <is>
        <t>FONTE</t>
      </is>
    </nc>
  </rcc>
  <rfmt sheetId="12" sqref="B1" start="0" length="2147483647">
    <dxf>
      <font>
        <sz val="12"/>
      </font>
    </dxf>
  </rfmt>
  <rfmt sheetId="12" sqref="B1" start="0" length="2147483647">
    <dxf>
      <font>
        <sz val="11"/>
      </font>
    </dxf>
  </rfmt>
  <rfmt sheetId="12" sqref="B1" start="0" length="2147483647">
    <dxf>
      <font>
        <b val="0"/>
      </font>
    </dxf>
  </rfmt>
  <rfmt sheetId="12" sqref="A1" start="0" length="2147483647">
    <dxf>
      <font>
        <sz val="12"/>
      </font>
    </dxf>
  </rfmt>
  <rfmt sheetId="12" sqref="A1" start="0" length="2147483647">
    <dxf>
      <font>
        <sz val="14"/>
      </font>
    </dxf>
  </rfmt>
  <rfmt sheetId="12" sqref="A1" start="0" length="2147483647">
    <dxf>
      <font>
        <sz val="16"/>
      </font>
    </dxf>
  </rfmt>
  <rfmt sheetId="12" sqref="A1" start="0" length="2147483647">
    <dxf>
      <font>
        <sz val="18"/>
      </font>
    </dxf>
  </rfmt>
  <rfmt sheetId="12" sqref="B1" start="0" length="2147483647">
    <dxf>
      <font>
        <b/>
      </font>
    </dxf>
  </rfmt>
  <rfmt sheetId="12" sqref="B2:B16" start="0" length="2147483647">
    <dxf>
      <font>
        <sz val="10"/>
      </font>
    </dxf>
  </rfmt>
  <rfmt sheetId="12" sqref="B2:B16" start="0" length="2147483647">
    <dxf>
      <font>
        <sz val="11"/>
      </font>
    </dxf>
  </rfmt>
  <rfmt sheetId="12" sqref="B2:B16" start="0" length="2147483647">
    <dxf>
      <font>
        <sz val="12"/>
      </font>
    </dxf>
  </rfmt>
  <rfmt sheetId="12" sqref="B2:B16" start="0" length="2147483647">
    <dxf>
      <font>
        <sz val="14"/>
      </font>
    </dxf>
  </rfmt>
  <rfmt sheetId="12" sqref="B2:B16" start="0" length="2147483647">
    <dxf>
      <font>
        <sz val="12"/>
      </font>
    </dxf>
  </rfmt>
  <rfmt sheetId="12" sqref="A2:A16" start="0" length="2147483647">
    <dxf>
      <font>
        <sz val="12"/>
      </font>
    </dxf>
  </rfmt>
  <rfmt sheetId="12" sqref="A2:A16" start="0" length="2147483647">
    <dxf>
      <font>
        <sz val="14"/>
      </font>
    </dxf>
  </rfmt>
  <rfmt sheetId="12" sqref="A2:A16" start="0" length="2147483647">
    <dxf>
      <font>
        <sz val="12"/>
      </font>
    </dxf>
  </rfmt>
  <rfmt sheetId="12" sqref="A2:A16" start="0" length="2147483647">
    <dxf>
      <font>
        <sz val="14"/>
      </font>
    </dxf>
  </rfmt>
  <rcc rId="2216" sId="12">
    <nc r="B2" t="inlineStr">
      <is>
        <t>SEI (Depachos ou Ofícios assinados na unidade Diarq)</t>
      </is>
    </nc>
  </rcc>
  <rfmt sheetId="12" sqref="B2">
    <dxf>
      <alignment horizontal="left"/>
    </dxf>
  </rfmt>
  <rfmt sheetId="12" sqref="B2:B16">
    <dxf>
      <alignment horizontal="general"/>
    </dxf>
  </rfmt>
  <rfmt sheetId="12" sqref="B2:B16">
    <dxf>
      <alignment horizontal="left"/>
    </dxf>
  </rfmt>
  <rcc rId="2217" sId="12">
    <nc r="B3" t="inlineStr">
      <is>
        <t>CONTAGEM INDIVIDUAL (Caixas abertas para verificação de conteúdo em contexto de pesquisa para desarquivamento)</t>
      </is>
    </nc>
  </rcc>
  <rcc rId="2218" sId="12" odxf="1" dxf="1">
    <nc r="B4" t="inlineStr">
      <is>
        <t>SEI (Depachos ou Ofícios assinados na unidade Diarq)</t>
      </is>
    </nc>
    <ndxf>
      <font>
        <sz val="12"/>
        <color auto="1"/>
        <name val="Calibri"/>
        <scheme val="none"/>
      </font>
      <fill>
        <patternFill>
          <fgColor indexed="64"/>
        </patternFill>
      </fill>
      <alignment wrapText="0"/>
    </ndxf>
  </rcc>
  <rcc rId="2219" sId="12">
    <nc r="B5" t="inlineStr">
      <is>
        <t>SEI  (Depachos ou Ofícios assinados na unidade Diarq)</t>
      </is>
    </nc>
  </rcc>
  <rcc rId="2220" sId="12">
    <nc r="B6" t="inlineStr">
      <is>
        <t>CONTAGEM INDIVIDUAL (Caixas  "puxadas" nas estantes como uma pré-seleção para classificação)</t>
      </is>
    </nc>
  </rcc>
  <rcc rId="2221" sId="12">
    <nc r="B8" t="inlineStr">
      <is>
        <t>CONTAGEM INDIVIDUAL (Caixas "puxadas" nas estantes como uma pré-seleção para eliminação)</t>
      </is>
    </nc>
  </rcc>
  <rcc rId="2222" sId="12">
    <nc r="B15" t="inlineStr">
      <is>
        <t>CONTAGEM INDIVIDUAL (Caixas deslocadas/movimentadas visando reorganização temporária ou permanente)</t>
      </is>
    </nc>
  </rcc>
  <rcc rId="2223" sId="12">
    <nc r="B16" t="inlineStr">
      <is>
        <t>CONTAGEM INDIVIDUAL (Caixas consultadas para simples 'conferência de quantitativo' ou do 'conteúdo do espelho' em atividades diversas)</t>
      </is>
    </nc>
  </rcc>
  <rcc rId="2224" sId="12">
    <nc r="B13" t="inlineStr">
      <is>
        <t>SEI (Depachos, Ofícios ou outros documentos assinados na unidade Diarq)</t>
      </is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25" sId="3">
    <oc r="J16">
      <f>Diego!AN16+Aelton!AN16+Leonam!AN16+Danilo!AN16+Marcos!AN16+Carlos!AN16+Alessandro!AN16</f>
    </oc>
    <nc r="J16">
      <f>Diego!AX16+Aelton!AX16+Leonam!AX16+Danilo!AX16+Marcos!AX16+Carlos!AX16+Alessandro!AX16</f>
    </nc>
  </rcc>
  <rcc rId="2226" sId="3">
    <oc r="J12">
      <f>Diego!AN12+Aelton!AN12+Leonam!AN12+Danilo!AN12+Marcos!AN12+Carlos!AN12+Alessandro!AN12</f>
    </oc>
    <nc r="J12">
      <f>Diego!AX12+Aelton!AX12+Leonam!AX12+Danilo!AX12+Marcos!AX12+Carlos!AX12+Alessandro!AX12</f>
    </nc>
  </rcc>
  <rcc rId="2227" sId="3">
    <oc r="J10">
      <f>Diego!AN10+Aelton!AN10+Leonam!AN10+Danilo!AN10+Marcos!AN10+Carlos!AN10+Alessandro!AN10</f>
    </oc>
    <nc r="J10">
      <f>Diego!AX10+Aelton!AX10+Leonam!AX10+Danilo!AX10+Marcos!AX10+Carlos!AX10+Alessandro!AX10</f>
    </nc>
  </rcc>
  <rcc rId="2228" sId="3">
    <oc r="J8">
      <f>Diego!AN8+Aelton!AN8+Leonam!AN8+Danilo!AN8+Marcos!AN8+Carlos!AN8+Alessandro!AN8</f>
    </oc>
    <nc r="J8">
      <f>Diego!AX8+Aelton!AX8+Leonam!AX8+Danilo!AX8+Marcos!AX8+Carlos!AX8+Alessandro!AX8</f>
    </nc>
  </rcc>
  <rcc rId="2229" sId="3">
    <oc r="J6">
      <f>Diego!AN6+Aelton!AN6+Leonam!AN6+Danilo!AN6+Marcos!AN6+Carlos!AN6+Alessandro!AN6</f>
    </oc>
    <nc r="J6">
      <f>Diego!AX6+Aelton!AX6+Leonam!AX6+Danilo!AX6+Marcos!AX6+Carlos!AX6+Alessandro!AX6</f>
    </nc>
  </rcc>
  <rcc rId="2230" sId="3">
    <oc r="J4">
      <f>Diego!AN4+Aelton!AN4+Leonam!AN4+Danilo!AN4+Marcos!AN4+Carlos!AN4+Alessandro!AN4</f>
    </oc>
    <nc r="J4">
      <f>Diego!AX4+Aelton!AX4+Leonam!AX4+Danilo!AX4+Marcos!AX4+Carlos!AX4+Alessandro!AX4</f>
    </nc>
  </rcc>
  <rcc rId="2231" sId="3">
    <oc r="J2">
      <f>Diego!AX2+Aelton!AX2+Leonam!AX2+Danilo!AX2+Marcos!AX2+Carlos!AX2+Alessandro!AX2</f>
    </oc>
    <nc r="J2">
      <f>Diego!AX2+Aelton!AX2+Leonam!AX2+Danilo!AX2+Marcos!AX2+Carlos!AX2+Alessandro!AX2</f>
    </nc>
  </rcc>
  <rcc rId="2232" sId="3">
    <oc r="J3">
      <f>Diego!AN3+Aelton!AN3+Leonam!AN3+Danilo!AN3+Marcos!AN3+Carlos!AN3+Alessandro!AN3</f>
    </oc>
    <nc r="J3">
      <f>Diego!AX3+Aelton!AX3+Leonam!AX3+Danilo!AX3+Marcos!AX3+Carlos!AX3+Alessandro!AX3</f>
    </nc>
  </rcc>
  <rcc rId="2233" sId="3">
    <oc r="J5">
      <f>Diego!AN5+Aelton!AN5+Leonam!AN5+Danilo!AN5+Marcos!AN5+Carlos!AN5+Alessandro!AN5</f>
    </oc>
    <nc r="J5">
      <f>Diego!AX5+Aelton!AX5+Leonam!AX5+Danilo!AX5+Marcos!AX5+Carlos!AX5+Alessandro!AX5</f>
    </nc>
  </rcc>
  <rcc rId="2234" sId="3">
    <oc r="J7">
      <f>Diego!AN7+Aelton!AN7+Leonam!AN7+Danilo!AN7+Marcos!AN7+Carlos!AN7+Alessandro!AN7</f>
    </oc>
    <nc r="J7">
      <f>Diego!AX7+Aelton!AX7+Leonam!AX7+Danilo!AX7+Marcos!AX7+Carlos!AX7+Alessandro!AX7</f>
    </nc>
  </rcc>
  <rcc rId="2235" sId="3">
    <oc r="J9">
      <f>Diego!AN9+Aelton!AN9+Leonam!AN9+Danilo!AN9+Marcos!AN9+Carlos!AN9+Alessandro!AN9</f>
    </oc>
    <nc r="J9">
      <f>Diego!AX9+Aelton!AX9+Leonam!AX9+Danilo!AX9+Marcos!AX9+Carlos!AX9+Alessandro!AX9</f>
    </nc>
  </rcc>
  <rcc rId="2236" sId="3">
    <oc r="J13">
      <f>Diego!AN13+Aelton!AN13+Leonam!AN13+Danilo!AN13+Marcos!AN13+Carlos!AN13+Alessandro!AN13</f>
    </oc>
    <nc r="J13">
      <f>Diego!AX13+Aelton!AX13+Leonam!AX13+Danilo!AX13+Marcos!AX13+Carlos!AX13+Alessandro!AX13</f>
    </nc>
  </rcc>
  <rcc rId="2237" sId="3">
    <oc r="J15">
      <f>Diego!AN15+Aelton!AN15+Leonam!AN15+Danilo!AN15+Marcos!AN15+Carlos!AN15+Alessandro!AN15</f>
    </oc>
    <nc r="J15">
      <f>Diego!AX15+Aelton!AX15+Leonam!AX15+Danilo!AX15+Marcos!AX15+Carlos!AX15+Alessandro!AX15</f>
    </nc>
  </rcc>
  <rcc rId="2238" sId="7">
    <oc r="AX12">
      <f>SUM(AS12:AW12)</f>
    </oc>
    <nc r="AX12">
      <f>SUM(AS12:AW12)</f>
    </nc>
  </rcc>
  <rcc rId="2239" sId="7">
    <oc r="AX15">
      <f>SUM(AS15:AW15)</f>
    </oc>
    <nc r="AX15">
      <f>SUM(AS15:AW15)</f>
    </nc>
  </rcc>
  <rcc rId="2240" sId="3">
    <oc r="J14">
      <f>Diego!AN14+Aelton!AN14+Leonam!AN14+Danilo!AN14+Marcos!AN14+Carlos!AN14+Alessandro!AN14</f>
    </oc>
    <nc r="J14">
      <f>Diego!AX14+Aelton!AX14+Leonam!AX14+Danilo!AX14+Marcos!AX14+Carlos!AX14+Alessandro!AX14</f>
    </nc>
  </rcc>
  <rcc rId="2241" sId="3">
    <oc r="J11">
      <f>Diego!AN11+Aelton!AN11+Leonam!AN11+Danilo!AN11+Marcos!AN11+Carlos!AN11+Alessandro!AN11</f>
    </oc>
    <nc r="J11">
      <f>Diego!AX11+Aelton!AX11+Leonam!AX11+Danilo!AX11+Marcos!AX11+Carlos!AX11+Alessandro!AX11</f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2" sId="9">
    <nc r="W10">
      <v>6</v>
    </nc>
  </rcc>
  <rcc rId="2243" sId="9">
    <nc r="W9">
      <v>4</v>
    </nc>
  </rcc>
  <rcc rId="2244" sId="9">
    <oc r="W11">
      <v>4</v>
    </oc>
    <nc r="W11"/>
  </rcc>
  <rcc rId="2245" sId="9">
    <oc r="W12">
      <v>5</v>
    </oc>
    <nc r="W12"/>
  </rcc>
  <rcc rId="2246" sId="9">
    <nc r="AB9">
      <v>12</v>
    </nc>
  </rcc>
  <rcc rId="2247" sId="9">
    <nc r="AB10">
      <v>12</v>
    </nc>
  </rcc>
  <rcc rId="2248" sId="9">
    <oc r="AB11">
      <v>12</v>
    </oc>
    <nc r="AB11"/>
  </rcc>
  <rcc rId="2249" sId="9">
    <oc r="AB12">
      <v>12</v>
    </oc>
    <nc r="AB12"/>
  </rcc>
  <rcc rId="2250" sId="9">
    <nc r="AH9">
      <v>13</v>
    </nc>
  </rcc>
  <rcc rId="2251" sId="9">
    <nc r="AH10">
      <v>13</v>
    </nc>
  </rcc>
  <rcc rId="2252" sId="9">
    <oc r="AH11">
      <v>14</v>
    </oc>
    <nc r="AH11"/>
  </rcc>
  <rcc rId="2253" sId="9">
    <oc r="AH12">
      <v>14</v>
    </oc>
    <nc r="AH12"/>
  </rcc>
  <rcc rId="2254" sId="9">
    <nc r="AN9">
      <v>13</v>
    </nc>
  </rcc>
  <rcc rId="2255" sId="9">
    <nc r="AN10">
      <v>13</v>
    </nc>
  </rcc>
  <rcc rId="2256" sId="9">
    <nc r="AQ10">
      <v>9</v>
    </nc>
  </rcc>
  <rcc rId="2257" sId="9">
    <nc r="AQ9">
      <v>9</v>
    </nc>
  </rcc>
  <rcc rId="2258" sId="9">
    <nc r="AT10">
      <v>5</v>
    </nc>
  </rcc>
  <rcc rId="2259" sId="9">
    <nc r="AT9">
      <v>5</v>
    </nc>
  </rcc>
  <rcc rId="2260" sId="9">
    <nc r="AV10">
      <v>5</v>
    </nc>
  </rcc>
  <rcc rId="2261" sId="9">
    <nc r="AV9">
      <v>5</v>
    </nc>
  </rcc>
  <rcc rId="2262" sId="9">
    <nc r="AW10">
      <v>5</v>
    </nc>
  </rcc>
  <rcc rId="2263" sId="9">
    <nc r="AW9">
      <v>5</v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4" sId="4">
    <nc r="AW12">
      <v>12</v>
    </nc>
  </rcc>
  <rcc rId="2265" sId="4">
    <nc r="AY12">
      <v>118</v>
    </nc>
  </rcc>
  <rcc rId="2266" sId="4">
    <nc r="AY15">
      <v>22</v>
    </nc>
  </rcc>
  <rcc rId="2267" sId="4" odxf="1" dxf="1">
    <nc r="AY18" t="inlineStr">
      <is>
        <t>passando a planilha escrita dos micros-filmes para planilha digital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8" sId="10">
    <nc r="AV15">
      <v>7</v>
    </nc>
  </rcc>
  <rcc rId="2279" sId="10">
    <nc r="AW16">
      <v>6</v>
    </nc>
  </rcc>
  <rcc rId="2280" sId="10">
    <nc r="AS11">
      <v>4</v>
    </nc>
  </rcc>
  <rcc rId="2281" sId="10">
    <nc r="AS12">
      <v>42</v>
    </nc>
  </rcc>
  <rcc rId="2282" sId="10">
    <nc r="AO16">
      <v>227</v>
    </nc>
  </rcc>
  <rcc rId="2283" sId="10">
    <nc r="AP16">
      <v>264</v>
    </nc>
  </rcc>
  <rcc rId="2284" sId="10">
    <nc r="AQ16">
      <v>1235</v>
    </nc>
  </rcc>
  <rcc rId="2285" sId="10">
    <oc r="AO15">
      <v>227</v>
    </oc>
    <nc r="AO15"/>
  </rcc>
  <rcc rId="2286" sId="10">
    <oc r="AP15">
      <v>264</v>
    </oc>
    <nc r="AP15"/>
  </rcc>
  <rcc rId="2287" sId="10">
    <oc r="AQ15">
      <v>1235</v>
    </oc>
    <nc r="AQ15"/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8" sId="10">
    <nc r="AT11">
      <v>2</v>
    </nc>
  </rcc>
  <rcc rId="2289" sId="10">
    <nc r="AT12">
      <v>68</v>
    </nc>
  </rcc>
  <rcc rId="2290" sId="10">
    <nc r="AU11">
      <v>3</v>
    </nc>
  </rcc>
  <rcc rId="2291" sId="10">
    <nc r="AU12">
      <v>105</v>
    </nc>
  </rcc>
  <rcc rId="2292" sId="10">
    <nc r="AV11">
      <v>2</v>
    </nc>
  </rcc>
  <rcc rId="2293" sId="10">
    <nc r="AV12">
      <v>68</v>
    </nc>
  </rcc>
  <rcc rId="2294" sId="10" odxf="1" dxf="1">
    <nc r="AW17" t="inlineStr">
      <is>
        <t xml:space="preserve">  Pesquisa e busca por processo 
referente ao  214/95 (SIAFI nº 138116)
FUNDESPORTE.
23132.000438/95-22.
Total: 13 caixas.
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295" sId="10" odxf="1" dxf="1">
    <nc r="AS17" t="inlineStr">
      <is>
        <t>Preenchimento de planilha com inventário de microfilmes/audiovisual</t>
      </is>
    </nc>
    <odxf>
      <alignment wrapText="0"/>
    </odxf>
    <ndxf>
      <alignment wrapText="1"/>
    </ndxf>
  </rcc>
  <rcc rId="2296" sId="10" odxf="1" dxf="1">
    <nc r="AT17" t="inlineStr">
      <is>
        <t>Preenchimento de planilha com inventário de microfilmes/audiovisual</t>
      </is>
    </nc>
    <odxf>
      <alignment wrapText="0"/>
    </odxf>
    <ndxf>
      <alignment wrapText="1"/>
    </ndxf>
  </rcc>
  <rcc rId="2297" sId="10" odxf="1" dxf="1">
    <nc r="AU17" t="inlineStr">
      <is>
        <t>Preenchimento de planilha com inventário de microfilmes/audiovisual</t>
      </is>
    </nc>
    <odxf>
      <alignment wrapText="0"/>
    </odxf>
    <ndxf>
      <alignment wrapText="1"/>
    </ndxf>
  </rcc>
  <rcc rId="2298" sId="10" odxf="1" dxf="1">
    <nc r="AV17" t="inlineStr">
      <is>
        <t>Preenchimento de planilha com inventário de microfilmes/audiovisual</t>
      </is>
    </nc>
    <odxf>
      <alignment wrapText="0"/>
    </odxf>
    <ndxf>
      <alignment wrapText="1"/>
    </ndxf>
  </rcc>
  <rcc rId="2299" sId="10" odxf="1" dxf="1">
    <nc r="AM17" t="inlineStr">
      <is>
        <t>Preenchimento de planilha com inventário de microfilmes/audiovisual</t>
      </is>
    </nc>
    <odxf>
      <alignment wrapText="0"/>
    </odxf>
    <ndxf>
      <alignment wrapText="1"/>
    </ndxf>
  </rcc>
  <rcc rId="2300" sId="10" odxf="1" dxf="1">
    <nc r="AN17" t="inlineStr">
      <is>
        <t>Preenchimento de planilha com inventário de microfilmes/audiovisual</t>
      </is>
    </nc>
    <odxf>
      <alignment wrapText="0"/>
    </odxf>
    <ndxf>
      <alignment wrapText="1"/>
    </ndxf>
  </rcc>
  <rcc rId="2301" sId="10">
    <oc r="AO17" t="inlineStr">
      <is>
        <t>caixa remanejadas pra identificação se faz parte Microfilmagens/LBA</t>
      </is>
    </oc>
    <nc r="AO17" t="inlineStr">
      <is>
        <t>caixa remanejadas pra identificação se faz parte Microfilmagens/LBA
E
Preenchimento de planilha com inventário de microfilmes/audiovisual</t>
      </is>
    </nc>
  </rcc>
  <rcc rId="2302" sId="10">
    <oc r="AP17" t="inlineStr">
      <is>
        <t>caixa remanejadas pra identificação se faz parte Microfilmagens/LBA</t>
      </is>
    </oc>
    <nc r="AP17" t="inlineStr">
      <is>
        <t>caixa remanejadas pra identificação se faz parte Microfilmagens/LBA
E
Preenchimento de planilha com inventário de microfilmes/audiovisual</t>
      </is>
    </nc>
  </rcc>
  <rcc rId="2303" sId="10">
    <oc r="AQ17" t="inlineStr">
      <is>
        <t>caixa remanejadas pra identificação se faz parte Microfilmagens/LBA</t>
      </is>
    </oc>
    <nc r="AQ17" t="inlineStr">
      <is>
        <t>caixa remanejadas pra identificação se faz parte Microfilmagens/LBA
E
Preenchimento de planilha com inventário de microfilmes/audiovisual</t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Y17" start="0" length="0">
    <dxf>
      <alignment wrapText="1"/>
    </dxf>
  </rfmt>
  <rcc rId="2314" sId="8">
    <nc r="AY17" t="inlineStr">
      <is>
        <t>PROCURANDO CAIXAS PARA ELIMINAÇÃO PARA SR. CARLOS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5" sId="4" odxf="1" dxf="1">
    <nc r="AZ18" t="inlineStr">
      <is>
        <t>passando a planilha escrita dos micros-filmes para planilha digital</t>
      </is>
    </nc>
    <odxf>
      <alignment wrapText="0"/>
    </odxf>
    <ndxf>
      <alignment wrapText="1"/>
    </ndxf>
  </rcc>
  <rcc rId="2326" sId="4">
    <nc r="AZ12">
      <v>85</v>
    </nc>
  </rcc>
  <rfmt sheetId="4" sqref="AZ17">
    <dxf>
      <alignment wrapText="1"/>
    </dxf>
  </rfmt>
  <rcc rId="2327" sId="4">
    <nc r="AZ17" t="inlineStr">
      <is>
        <t xml:space="preserve">Olhando tds a salas na parte da tarde com a  CPMT 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Y17">
    <dxf>
      <alignment wrapText="1"/>
    </dxf>
  </rfmt>
  <rfmt sheetId="10" sqref="AZ17" start="0" length="0">
    <dxf>
      <alignment wrapText="1"/>
    </dxf>
  </rfmt>
  <rcc rId="2338" sId="10">
    <nc r="AZ17" t="inlineStr">
      <is>
        <r>
          <t>Continuação Revisão planilha do Inventário do</t>
        </r>
        <r>
          <rPr>
            <b/>
            <sz val="11"/>
            <color theme="1"/>
            <rFont val="Aptos Narrow"/>
            <family val="2"/>
          </rPr>
          <t xml:space="preserve"> ARCEN</t>
        </r>
        <r>
          <rPr>
            <sz val="11"/>
            <color theme="1"/>
            <rFont val="Aptos Narrow"/>
            <family val="2"/>
          </rPr>
          <t xml:space="preserve">
e Consolidação auxílio do Marcelo</t>
        </r>
      </is>
    </nc>
  </rcc>
  <rcc rId="2339" sId="10">
    <nc r="AY17" t="inlineStr">
      <is>
        <r>
          <t xml:space="preserve">Revisão planilha do Inventário do </t>
        </r>
        <r>
          <rPr>
            <b/>
            <sz val="11"/>
            <color theme="1"/>
            <rFont val="Aptos Narrow"/>
            <family val="2"/>
          </rPr>
          <t>ARCEN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0" sId="8">
    <nc r="AZ17" t="inlineStr">
      <is>
        <t>CONTAGEM DE ESPAÇO VAGOS NOS MODULOS E ESTANTES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BB17">
    <dxf>
      <alignment wrapText="1"/>
    </dxf>
  </rfmt>
  <rfmt sheetId="8" sqref="AZ17">
    <dxf>
      <alignment wrapText="1"/>
    </dxf>
  </rfmt>
  <rcc rId="2361" sId="8" odxf="1" dxf="1">
    <nc r="BA17" t="inlineStr">
      <is>
        <t>CONTAGEM DE ESPAÇO VAGOS NOS MODULOS E ESTANTES</t>
      </is>
    </nc>
    <odxf>
      <alignment wrapText="0"/>
    </odxf>
    <ndxf>
      <alignment wrapText="1"/>
    </ndxf>
  </rcc>
  <rcc rId="2362" sId="8">
    <oc r="AZ17" t="inlineStr">
      <is>
        <t>CONTAGEM DE ESPAÇO VAGOS NOS MODULOS E ESTANTES</t>
      </is>
    </oc>
    <nc r="AZ17"/>
  </rcc>
  <rcc rId="2363" sId="8">
    <nc r="AY12">
      <v>10</v>
    </nc>
  </rcc>
  <rcc rId="2364" sId="8">
    <nc r="BA12">
      <v>87</v>
    </nc>
  </rcc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5" sId="8">
    <oc r="BA17" t="inlineStr">
      <is>
        <t>CONTAGEM DE ESPAÇO VAGOS NOS MODULOS E ESTANTES</t>
      </is>
    </oc>
    <nc r="BA17" t="inlineStr">
      <is>
        <t>CONTAGEM DE ESPAÇO VAGOS NOS MODULOS E ESTANTES SALA 4.47</t>
      </is>
    </nc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6" sId="6" odxf="1" dxf="1">
    <nc r="AY17" t="inlineStr">
      <is>
        <t>passando a planilha escrita dos micros-filmes para planilha digital</t>
      </is>
    </nc>
    <odxf>
      <alignment wrapText="0"/>
    </odxf>
    <ndxf>
      <alignment wrapText="1"/>
    </ndxf>
  </rcc>
  <rcc rId="2367" sId="6" odxf="1" dxf="1">
    <nc r="AZ17" t="inlineStr">
      <is>
        <t>passando a planilha escrita dos micros-filmes para planilha digital</t>
      </is>
    </nc>
    <odxf>
      <alignment wrapText="0"/>
    </odxf>
    <ndxf>
      <alignment wrapText="1"/>
    </ndxf>
  </rcc>
  <rcc rId="2368" sId="6" odxf="1" dxf="1">
    <nc r="BA17" t="inlineStr">
      <is>
        <t>passando a planilha escrita dos micros-filmes para planilha digital</t>
      </is>
    </nc>
    <odxf>
      <alignment wrapText="0"/>
    </odxf>
    <ndxf>
      <alignment wrapText="1"/>
    </ndxf>
  </rcc>
  <rfmt sheetId="6" sqref="AY18">
    <dxf>
      <alignment wrapText="1"/>
    </dxf>
  </rfmt>
  <rcc rId="2369" sId="6" odxf="1" dxf="1">
    <nc r="AZ18" t="inlineStr">
      <is>
        <t xml:space="preserve">procurando caixas de eliminação p/ o Carlos </t>
      </is>
    </nc>
    <odxf>
      <alignment wrapText="0"/>
    </odxf>
    <ndxf>
      <alignment wrapText="1"/>
    </ndxf>
  </rcc>
  <rcc rId="2370" sId="6" odxf="1" dxf="1">
    <nc r="BA18" t="inlineStr">
      <is>
        <t xml:space="preserve">procurando caixas de eliminação p/ o Carlos </t>
      </is>
    </nc>
    <odxf>
      <alignment wrapText="0"/>
    </odxf>
    <ndxf>
      <alignment wrapText="1"/>
    </ndxf>
  </rcc>
  <rcc rId="2371" sId="6" odxf="1" dxf="1">
    <nc r="BB18" t="inlineStr">
      <is>
        <t xml:space="preserve">procurando caixas de eliminação p/ o Carlos </t>
      </is>
    </nc>
    <odxf>
      <alignment wrapText="0"/>
    </odxf>
    <ndxf>
      <alignment wrapText="1"/>
    </ndxf>
  </rcc>
  <rcc rId="2372" sId="6" odxf="1" dxf="1">
    <nc r="BB17" t="inlineStr">
      <is>
        <t>passando a planilha escrita dos micros-filmes para planilha digital</t>
      </is>
    </nc>
    <odxf>
      <alignment wrapText="0"/>
    </odxf>
    <ndxf>
      <alignment wrapText="1"/>
    </ndxf>
  </rcc>
  <rcc rId="2373" sId="6">
    <nc r="AY12">
      <v>81</v>
    </nc>
  </rcc>
  <rcc rId="2374" sId="6">
    <nc r="AZ12">
      <v>31</v>
    </nc>
  </rcc>
  <rcc rId="2375" sId="6">
    <nc r="AS12">
      <v>39</v>
    </nc>
  </rcc>
  <rcc rId="2376" sId="6">
    <nc r="AT12">
      <v>32</v>
    </nc>
  </rcc>
  <rcc rId="2377" sId="6">
    <nc r="AU12">
      <v>30</v>
    </nc>
  </rcc>
  <rcc rId="2378" sId="6">
    <nc r="AV12">
      <v>26</v>
    </nc>
  </rcc>
  <rcc rId="2379" sId="6">
    <oc r="AW17" t="inlineStr">
      <is>
        <t>passando a planilha escrita dos micros-filmes para planilha digital</t>
      </is>
    </oc>
    <nc r="AW17" t="inlineStr">
      <is>
        <t xml:space="preserve">procurando caixas de eliminação p/ o Carlos 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0" sId="10" odxf="1" dxf="1">
    <nc r="BA17" t="inlineStr">
      <is>
        <r>
          <t>Continuação Revisão planilha do Inventário do</t>
        </r>
        <r>
          <rPr>
            <b/>
            <sz val="11"/>
            <color theme="1"/>
            <rFont val="Aptos Narrow"/>
            <family val="2"/>
          </rPr>
          <t xml:space="preserve"> ARCEN</t>
        </r>
        <r>
          <rPr>
            <sz val="11"/>
            <color theme="1"/>
            <rFont val="Aptos Narrow"/>
            <family val="2"/>
          </rPr>
          <t xml:space="preserve">
e Consolidação auxílio do Marcelo</t>
        </r>
      </is>
    </nc>
    <odxf>
      <alignment wrapText="0"/>
    </odxf>
    <ndxf>
      <alignment wrapText="1"/>
    </ndxf>
  </rcc>
  <rcc rId="2391" sId="10" odxf="1" dxf="1">
    <nc r="BB17" t="inlineStr">
      <is>
        <r>
          <t>Continuação Revisão planilha do Inventário do</t>
        </r>
        <r>
          <rPr>
            <b/>
            <sz val="11"/>
            <color theme="1"/>
            <rFont val="Aptos Narrow"/>
            <family val="2"/>
          </rPr>
          <t xml:space="preserve"> ARCEN</t>
        </r>
        <r>
          <rPr>
            <sz val="11"/>
            <color theme="1"/>
            <rFont val="Aptos Narrow"/>
            <family val="2"/>
          </rPr>
          <t xml:space="preserve">
e Consolidação auxílio do Marcelo</t>
        </r>
      </is>
    </nc>
    <odxf>
      <alignment wrapText="0"/>
    </odxf>
    <ndxf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2" sId="4">
    <nc r="BA12">
      <v>24</v>
    </nc>
  </rcc>
  <rcc rId="2403" sId="4">
    <nc r="BA15">
      <v>14</v>
    </nc>
  </rcc>
  <rcc rId="2404" sId="4">
    <nc r="BA18" t="inlineStr">
      <is>
        <t xml:space="preserve">PROCURANDO CAIXAS PARA ELIMINAÇÃO </t>
      </is>
    </nc>
  </rcc>
  <rfmt sheetId="4" sqref="BA18">
    <dxf>
      <alignment wrapText="1"/>
    </dxf>
  </rfmt>
  <rfmt sheetId="4" sqref="BB18" start="0" length="0">
    <dxf>
      <alignment wrapText="1"/>
    </dxf>
  </rfmt>
  <rcc rId="2405" sId="4">
    <nc r="BB18" t="inlineStr">
      <is>
        <t xml:space="preserve">PROCURANDO CAIXAS PARA ELIMINAÇÃO NO TOTAL OLHEI 3000 MIL CAIXAS  </t>
      </is>
    </nc>
  </rcc>
  <rcc rId="2406" sId="4">
    <nc r="BB12">
      <v>18</v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7" sId="8">
    <nc r="AZ17" t="inlineStr">
      <is>
        <t>CONTAGEM DE ESPAÇO VAGOS NOS MODULOS E ESTANTES SALA 4.47</t>
      </is>
    </nc>
  </rcc>
  <rcc rId="2408" sId="8">
    <oc r="BA17" t="inlineStr">
      <is>
        <t>CONTAGEM DE ESPAÇO VAGOS NOS MODULOS E ESTANTES SALA 4.47</t>
      </is>
    </oc>
    <nc r="BA17" t="inlineStr">
      <is>
        <t>CONTAGEM DE ESPAÇO VAGOS NOS MODULOS E ESTANTES SALA 3.60</t>
      </is>
    </nc>
  </rcc>
  <rcc rId="2409" sId="8">
    <nc r="BB17" t="inlineStr">
      <is>
        <t>CONTAGEM DE ESPAÇO VAGOS NOS MODULOS E ESTANTES SALA 3.35 e 3.61</t>
      </is>
    </nc>
  </rcc>
  <rcc rId="2410" sId="8">
    <nc r="AZ12">
      <v>87</v>
    </nc>
  </rcc>
  <rcc rId="2411" sId="8">
    <oc r="BA12">
      <v>87</v>
    </oc>
    <nc r="BA12"/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2" sId="7">
    <oc r="AL15">
      <f>SUM(AG15:AK15)</f>
    </oc>
    <nc r="AL15">
      <f>SUM(AG15:AK15)</f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3" sId="6">
    <nc r="BB12">
      <v>35</v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Z2" start="0" length="0">
    <dxf>
      <alignment wrapText="1"/>
    </dxf>
  </rfmt>
  <rfmt sheetId="5" sqref="AZ3" start="0" length="0">
    <dxf>
      <alignment wrapText="1"/>
    </dxf>
  </rfmt>
  <rfmt sheetId="5" sqref="AZ4" start="0" length="0">
    <dxf>
      <alignment wrapText="1"/>
    </dxf>
  </rfmt>
  <rfmt sheetId="5" sqref="AZ5" start="0" length="0">
    <dxf>
      <alignment wrapText="1"/>
    </dxf>
  </rfmt>
  <rfmt sheetId="5" sqref="AZ6" start="0" length="0">
    <dxf>
      <alignment wrapText="1"/>
    </dxf>
  </rfmt>
  <rfmt sheetId="5" sqref="AZ7" start="0" length="0">
    <dxf>
      <alignment wrapText="1"/>
    </dxf>
  </rfmt>
  <rfmt sheetId="5" sqref="AZ8" start="0" length="0">
    <dxf>
      <alignment wrapText="1"/>
    </dxf>
  </rfmt>
  <rfmt sheetId="5" sqref="AZ9" start="0" length="0">
    <dxf>
      <alignment wrapText="1"/>
    </dxf>
  </rfmt>
  <rfmt sheetId="5" sqref="AZ10" start="0" length="0">
    <dxf>
      <alignment wrapText="1"/>
    </dxf>
  </rfmt>
  <rfmt sheetId="5" sqref="AZ11" start="0" length="0">
    <dxf>
      <alignment wrapText="1"/>
    </dxf>
  </rfmt>
  <rcc rId="2434" sId="5" odxf="1" dxf="1">
    <nc r="AZ12">
      <v>21</v>
    </nc>
    <odxf>
      <alignment wrapText="0"/>
    </odxf>
    <ndxf>
      <alignment wrapText="1"/>
    </ndxf>
  </rcc>
  <rfmt sheetId="5" sqref="AZ13" start="0" length="0">
    <dxf>
      <alignment wrapText="1"/>
    </dxf>
  </rfmt>
  <rfmt sheetId="5" sqref="AZ14" start="0" length="0">
    <dxf>
      <alignment wrapText="1"/>
    </dxf>
  </rfmt>
  <rfmt sheetId="5" sqref="AZ15" start="0" length="0">
    <dxf>
      <alignment wrapText="1"/>
    </dxf>
  </rfmt>
  <rcc rId="2435" sId="5" odxf="1" dxf="1">
    <nc r="AY16">
      <v>4</v>
    </nc>
    <odxf>
      <border outline="0">
        <bottom style="thin">
          <color indexed="64"/>
        </bottom>
      </border>
    </odxf>
    <ndxf>
      <border outline="0">
        <bottom/>
      </border>
    </ndxf>
  </rcc>
  <rfmt sheetId="5" sqref="AZ16" start="0" length="0">
    <dxf>
      <alignment wrapText="1"/>
      <border outline="0">
        <bottom/>
      </border>
    </dxf>
  </rfmt>
  <rfmt sheetId="5" sqref="BA16" start="0" length="0">
    <dxf>
      <border outline="0">
        <bottom/>
      </border>
    </dxf>
  </rfmt>
  <rfmt sheetId="5" sqref="BB16" start="0" length="0">
    <dxf>
      <border outline="0">
        <bottom/>
      </border>
    </dxf>
  </rfmt>
  <rfmt sheetId="5" sqref="BC16" start="0" length="0">
    <dxf>
      <border outline="0">
        <bottom/>
      </border>
    </dxf>
  </rfmt>
  <rcc rId="2436" sId="5" odxf="1" dxf="1">
    <nc r="AY17" t="inlineStr">
      <is>
        <t>1. Busca e conferência de caixas de microfilmes LBA.
Total: 4 caixas, sendo 1 de fita k-7.
2. Aguardando o pessoal para retirar as 6 baias da sala 3.11.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437" sId="5" odxf="1" dxf="1">
    <nc r="AZ17" t="inlineStr">
      <is>
        <t>1. Aguardando o pessoal para retirar as 6 baias da sala 3.11.
2. Reunião às 10h da manhã com a chefe Patrícia.
3. Inventário fitas k-7 LBA.
Total: 21</t>
      </is>
    </nc>
    <odxf>
      <alignment wrapText="0"/>
    </odxf>
    <ndxf>
      <alignment wrapText="1"/>
    </ndxf>
  </rcc>
  <rcc rId="2438" sId="5" odxf="1" dxf="1">
    <nc r="BA17" t="inlineStr">
      <is>
        <t>Levantamento de espaços de caixa nos Arquivos - DNIT.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439" sId="5" odxf="1" dxf="1">
    <nc r="BB17" t="inlineStr">
      <is>
        <t>Levantamento de espaços de caixa nos Arquivos - DNIT.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440" sId="5" odxf="1" dxf="1">
    <nc r="BC17" t="inlineStr">
      <is>
        <t>Alimentação planilha Espaços em Aberto de caixa nos Arquivos - DNIT.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61" sId="4">
    <nc r="BC12">
      <v>78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2" sId="5">
    <oc r="BB17" t="inlineStr">
      <is>
        <t>Levantamento de espaços de caixa nos Arquivos - DNIT.</t>
      </is>
    </oc>
    <nc r="BB17" t="inlineStr">
      <is>
        <r>
          <t xml:space="preserve">Levantamento de espaços de caixa nos Arquivos - DNIT.
</t>
        </r>
        <r>
          <rPr>
            <b/>
            <sz val="11"/>
            <color theme="1"/>
            <rFont val="Aptos Narrow"/>
            <family val="2"/>
          </rPr>
          <t>Total de espaços: 1604.</t>
        </r>
      </is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BC17">
    <dxf>
      <alignment wrapText="1"/>
    </dxf>
  </rfmt>
  <rcc rId="2473" sId="8">
    <nc r="BC17" t="inlineStr">
      <is>
        <t>ALIMENTANDO A PLANILHA DE ESPAÇOS NOS ARQUIVO TOTAL DE 1.604 ESPAÇOS</t>
      </is>
    </nc>
  </rcc>
  <rcc rId="2474" sId="8">
    <oc r="AZ12">
      <v>87</v>
    </oc>
    <nc r="AZ12"/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5" sId="6">
    <nc r="BC12">
      <v>35</v>
    </nc>
  </rcc>
  <rcc rId="2486" sId="6" odxf="1" dxf="1">
    <nc r="BC17" t="inlineStr">
      <is>
        <t>passando a planilha escrita dos micros-filmes para planilha digital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7" sId="7" odxf="1" dxf="1">
    <nc r="AY17" t="inlineStr">
      <is>
        <t>PROCURANDO CAIXAS PARA ELIMINAÇÃO PARA SR. CARLOS</t>
      </is>
    </nc>
    <odxf>
      <alignment wrapText="0"/>
    </odxf>
    <ndxf>
      <alignment wrapText="1"/>
    </ndxf>
  </rcc>
  <rcc rId="2508" sId="7">
    <nc r="AZ12">
      <v>21</v>
    </nc>
  </rcc>
  <rcc rId="2509" sId="7" odxf="1" dxf="1">
    <nc r="BA17" t="inlineStr">
      <is>
        <t>Levantamento de espaços de caixa nos Arquivos - DNIT.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510" sId="7">
    <nc r="BB3">
      <v>3</v>
    </nc>
  </rcc>
  <rcc rId="2511" sId="7">
    <nc r="BB2">
      <v>1</v>
    </nc>
  </rcc>
  <rcc rId="2512" sId="7">
    <nc r="BB13">
      <v>2</v>
    </nc>
  </rcc>
  <rcc rId="2513" sId="7">
    <nc r="BC15">
      <v>14</v>
    </nc>
  </rcc>
  <rcc rId="2514" sId="8">
    <nc r="BC15">
      <v>14</v>
    </nc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15" sId="8">
    <nc r="AZ12">
      <v>21</v>
    </nc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16" sId="5" odxf="1" dxf="1" numFmtId="21">
    <nc r="BE1">
      <v>45873</v>
    </nc>
    <odxf>
      <numFmt numFmtId="0" formatCode="General"/>
    </odxf>
    <ndxf>
      <numFmt numFmtId="21" formatCode="dd/mmm"/>
    </ndxf>
  </rcc>
  <rcc rId="2517" sId="5" odxf="1" dxf="1">
    <nc r="BE17" t="inlineStr">
      <is>
        <t>1. Procura de caixas para eliminação.
2. Acompanhamento da conferência dos parimônios no Bloco A, sala G-15</t>
      </is>
    </nc>
    <odxf>
      <alignment wrapText="0"/>
    </odxf>
    <ndxf>
      <alignment wrapText="1"/>
    </ndxf>
  </rcc>
  <rcc rId="2518" sId="5" odxf="1" dxf="1" numFmtId="21">
    <nc r="BF1">
      <v>45874</v>
    </nc>
    <odxf>
      <numFmt numFmtId="0" formatCode="General"/>
    </odxf>
    <ndxf>
      <numFmt numFmtId="21" formatCode="dd/mmm"/>
    </ndxf>
  </rcc>
  <rcc rId="2519" sId="5" odxf="1" dxf="1" numFmtId="21">
    <nc r="BG1">
      <v>45875</v>
    </nc>
    <odxf>
      <numFmt numFmtId="0" formatCode="General"/>
    </odxf>
    <ndxf>
      <numFmt numFmtId="21" formatCode="dd/mmm"/>
    </ndxf>
  </rcc>
  <rcc rId="2520" sId="5" odxf="1" dxf="1" numFmtId="21">
    <nc r="BH1">
      <v>45876</v>
    </nc>
    <odxf>
      <numFmt numFmtId="0" formatCode="General"/>
    </odxf>
    <ndxf>
      <numFmt numFmtId="21" formatCode="dd/mmm"/>
    </ndxf>
  </rcc>
  <rcc rId="2521" sId="5" odxf="1" dxf="1" numFmtId="21">
    <nc r="BI1">
      <v>45877</v>
    </nc>
    <odxf>
      <numFmt numFmtId="0" formatCode="General"/>
    </odxf>
    <ndxf>
      <numFmt numFmtId="21" formatCode="dd/mmm"/>
    </ndxf>
  </rcc>
  <rcc rId="2522" sId="5" odxf="1" dxf="1">
    <nc r="BJ1" t="inlineStr">
      <is>
        <t>TOTAL SEMANA</t>
      </is>
    </nc>
    <odxf>
      <fill>
        <patternFill patternType="none">
          <bgColor indexed="65"/>
        </patternFill>
      </fill>
      <border outline="0">
        <right/>
        <top/>
        <bottom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23" sId="5" odxf="1" dxf="1">
    <nc r="BJ2">
      <f>SUM(BE2:BI2)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4" sId="5" odxf="1" dxf="1">
    <nc r="BJ3">
      <f>SUM(BE3:BI3)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5" sId="5" odxf="1" dxf="1">
    <nc r="BJ4">
      <f>SUM(BE4:BI4)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6" sId="5" odxf="1" dxf="1">
    <nc r="BJ5">
      <f>SUM(BE5:BI5)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7" sId="5" odxf="1" dxf="1">
    <nc r="BJ6">
      <f>SUM(BE6:BI6)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8" sId="5" odxf="1" dxf="1">
    <nc r="BJ7">
      <f>SUM(BE7:BI7)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9" sId="5" odxf="1" dxf="1">
    <nc r="BJ8">
      <f>SUM(BE8:BI8)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0" sId="5" odxf="1" dxf="1">
    <nc r="BJ9">
      <f>SUM(BE9:BI9)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1" sId="5" odxf="1" dxf="1">
    <nc r="BJ10">
      <f>SUM(BE10:BI10)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2" sId="5" odxf="1" dxf="1">
    <nc r="BJ11">
      <f>SUM(BE11:BI11)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3" sId="5" odxf="1" dxf="1">
    <nc r="BJ12">
      <f>SUM(BE12:BI12)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4" sId="5" odxf="1" dxf="1">
    <nc r="BJ13">
      <f>SUM(BE13:BI13)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5" sId="5" odxf="1" dxf="1">
    <nc r="BJ14">
      <f>SUM(BE14:BI14)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6" sId="5" odxf="1" dxf="1">
    <nc r="BJ15">
      <f>SUM(BE15:BI15)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7" sId="5" odxf="1" dxf="1">
    <nc r="BJ16">
      <f>SUM(BE16:BI16)</f>
    </nc>
    <odxf>
      <fill>
        <patternFill patternType="none">
          <bgColor indexed="65"/>
        </patternFill>
      </fill>
      <border outline="0">
        <right/>
        <bottom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  <bottom style="thin">
          <color indexed="64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xfDxf="1" sqref="BF17" start="0" length="0">
    <dxf>
      <alignment horizontal="center" vertical="center"/>
    </dxf>
  </rfmt>
  <rcc rId="2548" sId="5" odxf="1" dxf="1">
    <nc r="BF17" t="inlineStr">
      <is>
        <t xml:space="preserve"> Procura de caixas para 
eliminação.</t>
      </is>
    </nc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H1" start="0" length="0">
    <dxf>
      <numFmt numFmtId="19" formatCode="dd/mm/yyyy"/>
      <fill>
        <patternFill patternType="solid">
          <bgColor theme="6" tint="0.79998168889431442"/>
        </patternFill>
      </fill>
    </dxf>
  </rfmt>
  <rfmt sheetId="5" sqref="BH2" start="0" length="0">
    <dxf>
      <fill>
        <patternFill patternType="solid">
          <bgColor theme="6" tint="0.79998168889431442"/>
        </patternFill>
      </fill>
    </dxf>
  </rfmt>
  <rfmt sheetId="5" sqref="BH3" start="0" length="0">
    <dxf>
      <fill>
        <patternFill patternType="solid">
          <bgColor theme="6" tint="0.79998168889431442"/>
        </patternFill>
      </fill>
    </dxf>
  </rfmt>
  <rfmt sheetId="5" sqref="BH4" start="0" length="0">
    <dxf>
      <fill>
        <patternFill patternType="solid">
          <bgColor theme="6" tint="0.79998168889431442"/>
        </patternFill>
      </fill>
    </dxf>
  </rfmt>
  <rfmt sheetId="5" sqref="BH5" start="0" length="0">
    <dxf>
      <fill>
        <patternFill patternType="solid">
          <bgColor theme="6" tint="0.79998168889431442"/>
        </patternFill>
      </fill>
    </dxf>
  </rfmt>
  <rfmt sheetId="5" sqref="BH6" start="0" length="0">
    <dxf>
      <fill>
        <patternFill patternType="solid">
          <bgColor theme="6" tint="0.79998168889431442"/>
        </patternFill>
      </fill>
    </dxf>
  </rfmt>
  <rfmt sheetId="5" sqref="BH7" start="0" length="0">
    <dxf>
      <fill>
        <patternFill patternType="solid">
          <bgColor theme="6" tint="0.79998168889431442"/>
        </patternFill>
      </fill>
    </dxf>
  </rfmt>
  <rfmt sheetId="5" sqref="BH8" start="0" length="0">
    <dxf>
      <fill>
        <patternFill patternType="solid">
          <bgColor theme="6" tint="0.79998168889431442"/>
        </patternFill>
      </fill>
    </dxf>
  </rfmt>
  <rfmt sheetId="5" sqref="BH9" start="0" length="0">
    <dxf>
      <fill>
        <patternFill patternType="solid">
          <bgColor theme="6" tint="0.79998168889431442"/>
        </patternFill>
      </fill>
    </dxf>
  </rfmt>
  <rfmt sheetId="5" sqref="BH10" start="0" length="0">
    <dxf>
      <fill>
        <patternFill patternType="solid">
          <bgColor theme="6" tint="0.79998168889431442"/>
        </patternFill>
      </fill>
    </dxf>
  </rfmt>
  <rfmt sheetId="5" sqref="BH11" start="0" length="0">
    <dxf>
      <fill>
        <patternFill patternType="solid">
          <bgColor theme="6" tint="0.79998168889431442"/>
        </patternFill>
      </fill>
    </dxf>
  </rfmt>
  <rfmt sheetId="5" sqref="BH12" start="0" length="0">
    <dxf>
      <fill>
        <patternFill patternType="solid">
          <bgColor theme="6" tint="0.79998168889431442"/>
        </patternFill>
      </fill>
    </dxf>
  </rfmt>
  <rfmt sheetId="5" sqref="BH13" start="0" length="0">
    <dxf>
      <fill>
        <patternFill patternType="solid">
          <bgColor theme="6" tint="0.79998168889431442"/>
        </patternFill>
      </fill>
    </dxf>
  </rfmt>
  <rfmt sheetId="5" sqref="BH14" start="0" length="0">
    <dxf>
      <fill>
        <patternFill patternType="solid">
          <bgColor theme="6" tint="0.79998168889431442"/>
        </patternFill>
      </fill>
    </dxf>
  </rfmt>
  <rfmt sheetId="5" sqref="BH15" start="0" length="0">
    <dxf>
      <fill>
        <patternFill patternType="solid">
          <bgColor theme="6" tint="0.79998168889431442"/>
        </patternFill>
      </fill>
    </dxf>
  </rfmt>
  <rfmt sheetId="5" sqref="BH16" start="0" length="0">
    <dxf>
      <fill>
        <patternFill patternType="solid">
          <bgColor theme="6" tint="0.79998168889431442"/>
        </patternFill>
      </fill>
    </dxf>
  </rfmt>
  <rcc rId="2569" sId="5" odxf="1" dxf="1">
    <nc r="BH17" t="inlineStr">
      <is>
        <t>Palestra no Arquivo Nacional
Fomos liberados do Ponto Eletrônico.</t>
      </is>
    </nc>
    <odxf>
      <fill>
        <patternFill patternType="none">
          <bgColor indexed="65"/>
        </patternFill>
      </fill>
      <alignment wrapText="0"/>
      <border outline="0">
        <left/>
        <right/>
        <top/>
        <bottom/>
      </border>
    </odxf>
    <ndxf>
      <fill>
        <patternFill patternType="solid">
          <bgColor theme="6" tint="0.79998168889431442"/>
        </patternFill>
      </fill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E1" start="0" length="0">
    <dxf>
      <numFmt numFmtId="19" formatCode="dd/mm/yyyy"/>
    </dxf>
  </rfmt>
  <rfmt sheetId="5" sqref="BF1" start="0" length="0">
    <dxf>
      <numFmt numFmtId="19" formatCode="dd/mm/yyyy"/>
    </dxf>
  </rfmt>
  <rfmt sheetId="5" sqref="BG1" start="0" length="0">
    <dxf>
      <numFmt numFmtId="19" formatCode="dd/mm/yyyy"/>
    </dxf>
  </rfmt>
  <rfmt sheetId="5" sqref="BI1" start="0" length="0">
    <dxf>
      <numFmt numFmtId="19" formatCode="dd/mm/yyyy"/>
    </dxf>
  </rfmt>
  <rcc rId="2570" sId="5" odxf="1" dxf="1">
    <nc r="BG17" t="inlineStr">
      <is>
        <t xml:space="preserve"> Procura de caixas para 
eliminação.</t>
      </is>
    </nc>
    <odxf>
      <alignment wrapText="0"/>
    </odxf>
    <ndxf>
      <alignment wrapText="1"/>
    </ndxf>
  </rcc>
  <rcc rId="2571" sId="5" odxf="1" dxf="1">
    <nc r="BI17" t="inlineStr">
      <is>
        <t xml:space="preserve"> Pesquisa e busca pelo processo
71000.004542/2005-12 (SESAN)</t>
      </is>
    </nc>
    <odxf>
      <alignment wrapText="0"/>
    </odxf>
    <ndxf>
      <alignment wrapText="1"/>
    </ndxf>
  </rcc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E1" start="0" length="0">
    <dxf>
      <numFmt numFmtId="21" formatCode="dd/mmm"/>
      <border outline="0">
        <top style="thin">
          <color indexed="64"/>
        </top>
        <bottom style="thin">
          <color indexed="64"/>
        </bottom>
      </border>
    </dxf>
  </rfmt>
  <rfmt sheetId="5" sqref="BF1" start="0" length="0">
    <dxf>
      <numFmt numFmtId="21" formatCode="dd/mmm"/>
      <border outline="0">
        <top style="thin">
          <color indexed="64"/>
        </top>
        <bottom style="thin">
          <color indexed="64"/>
        </bottom>
      </border>
    </dxf>
  </rfmt>
  <rfmt sheetId="5" sqref="BG1" start="0" length="0">
    <dxf>
      <numFmt numFmtId="21" formatCode="dd/mmm"/>
      <border outline="0">
        <top style="thin">
          <color indexed="64"/>
        </top>
        <bottom style="thin">
          <color indexed="64"/>
        </bottom>
      </border>
    </dxf>
  </rfmt>
  <rfmt sheetId="5" sqref="BH1" start="0" length="0">
    <dxf>
      <numFmt numFmtId="21" formatCode="dd/mmm"/>
      <fill>
        <patternFill patternType="none">
          <bgColor indexed="65"/>
        </patternFill>
      </fill>
      <border outline="0">
        <top style="thin">
          <color indexed="64"/>
        </top>
        <bottom style="thin">
          <color indexed="64"/>
        </bottom>
      </border>
    </dxf>
  </rfmt>
  <rfmt sheetId="5" sqref="BI1" start="0" length="0">
    <dxf>
      <numFmt numFmtId="21" formatCode="dd/mmm"/>
      <border outline="0">
        <top style="thin">
          <color indexed="64"/>
        </top>
        <bottom style="thin">
          <color indexed="64"/>
        </bottom>
      </border>
    </dxf>
  </rfmt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2" sId="5">
    <oc r="BG17" t="inlineStr">
      <is>
        <t xml:space="preserve"> Procura de caixas para 
eliminação.</t>
      </is>
    </oc>
    <nc r="BG17" t="inlineStr">
      <is>
        <t>1. Procura de caixas para eliminação.
2. Acompanhamento da conferência dos parimônios no Bloco A, sala G-15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3" sId="8" odxf="1" dxf="1">
    <nc r="BE17" t="inlineStr">
      <is>
        <t xml:space="preserve"> Procura de caixas para 
eliminação.</t>
      </is>
    </nc>
    <odxf>
      <alignment wrapText="0" readingOrder="0"/>
    </odxf>
    <ndxf>
      <alignment wrapText="1" readingOrder="0"/>
    </ndxf>
  </rcc>
  <rcc rId="2584" sId="8" odxf="1" dxf="1">
    <nc r="BF17" t="inlineStr">
      <is>
        <t xml:space="preserve"> Procura de caixas para 
eliminação.</t>
      </is>
    </nc>
    <odxf>
      <alignment wrapText="0" readingOrder="0"/>
    </odxf>
    <ndxf>
      <alignment wrapText="1" readingOrder="0"/>
    </ndxf>
  </rcc>
  <rcc rId="2585" sId="8" odxf="1" dxf="1">
    <nc r="BG17" t="inlineStr">
      <is>
        <t xml:space="preserve"> Procura de caixas para 
eliminação.</t>
      </is>
    </nc>
    <odxf>
      <alignment wrapText="0" readingOrder="0"/>
    </odxf>
    <ndxf>
      <alignment wrapText="1" readingOrder="0"/>
    </ndxf>
  </rcc>
  <rcc rId="2586" sId="8" odxf="1" dxf="1">
    <nc r="BH17" t="inlineStr">
      <is>
        <t>Palestra no Arquivo Nacional
Fomos liberados do Ponto Eletrônico.</t>
      </is>
    </nc>
    <odxf>
      <fill>
        <patternFill patternType="none">
          <bgColor indexed="65"/>
        </patternFill>
      </fill>
      <alignment wrapText="0" readingOrder="0"/>
      <border outline="0">
        <left/>
        <right/>
        <top/>
        <bottom/>
      </border>
    </odxf>
    <ndxf>
      <fill>
        <patternFill patternType="solid">
          <bgColor theme="6" tint="0.79998168889431442"/>
        </patternFill>
      </fill>
      <alignment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587" sId="8" odxf="1" dxf="1">
    <nc r="BI17" t="inlineStr">
      <is>
        <t xml:space="preserve"> Procura de caixas para 
eliminação.</t>
      </is>
    </nc>
    <odxf>
      <alignment wrapText="0" readingOrder="0"/>
    </odxf>
    <ndxf>
      <alignment wrapText="1" readingOrder="0"/>
    </ndxf>
  </rcc>
  <rcc rId="2588" sId="8" odxf="1" dxf="1" numFmtId="21">
    <nc r="BE1">
      <v>45873</v>
    </nc>
    <odxf>
      <numFmt numFmtId="0" formatCode="General"/>
    </odxf>
    <ndxf>
      <numFmt numFmtId="21" formatCode="dd/mmm"/>
    </ndxf>
  </rcc>
  <rcc rId="2589" sId="8" odxf="1" dxf="1" numFmtId="21">
    <nc r="BF1">
      <v>45874</v>
    </nc>
    <odxf>
      <numFmt numFmtId="0" formatCode="General"/>
    </odxf>
    <ndxf>
      <numFmt numFmtId="21" formatCode="dd/mmm"/>
    </ndxf>
  </rcc>
  <rcc rId="2590" sId="8" odxf="1" dxf="1" numFmtId="21">
    <nc r="BG1">
      <v>45875</v>
    </nc>
    <odxf>
      <numFmt numFmtId="0" formatCode="General"/>
    </odxf>
    <ndxf>
      <numFmt numFmtId="21" formatCode="dd/mmm"/>
    </ndxf>
  </rcc>
  <rcc rId="2591" sId="8" odxf="1" dxf="1" numFmtId="21">
    <nc r="BH1">
      <v>45876</v>
    </nc>
    <odxf>
      <numFmt numFmtId="0" formatCode="General"/>
    </odxf>
    <ndxf>
      <numFmt numFmtId="21" formatCode="dd/mmm"/>
    </ndxf>
  </rcc>
  <rcc rId="2592" sId="8" odxf="1" dxf="1" numFmtId="21">
    <nc r="BI1">
      <v>45877</v>
    </nc>
    <odxf>
      <numFmt numFmtId="0" formatCode="General"/>
    </odxf>
    <ndxf>
      <numFmt numFmtId="21" formatCode="dd/mmm"/>
    </ndxf>
  </rcc>
  <rcc rId="2593" sId="8" odxf="1" dxf="1">
    <nc r="BJ1" t="inlineStr">
      <is>
        <t>TOTAL SEMANA</t>
      </is>
    </nc>
    <odxf>
      <fill>
        <patternFill patternType="none">
          <bgColor indexed="65"/>
        </patternFill>
      </fill>
      <border outline="0">
        <right/>
        <top/>
        <bottom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94" sId="8" odxf="1" dxf="1" numFmtId="21">
    <nc r="BK1">
      <v>45880</v>
    </nc>
    <odxf>
      <numFmt numFmtId="0" formatCode="General"/>
    </odxf>
    <ndxf>
      <numFmt numFmtId="21" formatCode="dd/mmm"/>
    </ndxf>
  </rcc>
  <rcc rId="2595" sId="8" odxf="1" dxf="1" numFmtId="21">
    <nc r="BL1">
      <v>45881</v>
    </nc>
    <odxf>
      <numFmt numFmtId="0" formatCode="General"/>
    </odxf>
    <ndxf>
      <numFmt numFmtId="21" formatCode="dd/mmm"/>
    </ndxf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6" sId="8" odxf="1" dxf="1" numFmtId="21">
    <nc r="BM1">
      <v>45882</v>
    </nc>
    <odxf>
      <numFmt numFmtId="0" formatCode="General"/>
    </odxf>
    <ndxf>
      <numFmt numFmtId="21" formatCode="dd/mmm"/>
    </ndxf>
  </rcc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7" sId="8">
    <nc r="BM17" t="inlineStr">
      <is>
        <t>Procurando processos no bloco A</t>
      </is>
    </nc>
  </rcc>
  <rfmt sheetId="8" sqref="BM17">
    <dxf>
      <alignment wrapText="1"/>
    </dxf>
  </rfmt>
  <rcc rId="2608" sId="8" odxf="1" dxf="1">
    <nc r="BK17" t="inlineStr">
      <is>
        <t xml:space="preserve"> Procura de caixas para 
eliminação.</t>
      </is>
    </nc>
    <odxf>
      <alignment wrapText="0"/>
    </odxf>
    <ndxf>
      <alignment wrapText="1"/>
    </ndxf>
  </rcc>
  <rcc rId="2609" sId="8" odxf="1" dxf="1">
    <nc r="BL17" t="inlineStr">
      <is>
        <t xml:space="preserve"> Procura de caixas para 
eliminação.</t>
      </is>
    </nc>
    <odxf>
      <alignment wrapText="0"/>
    </odxf>
    <ndxf>
      <alignment wrapText="1"/>
    </ndxf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0" sId="5" odxf="1" dxf="1" numFmtId="21">
    <nc r="BK1">
      <v>45880</v>
    </nc>
    <odxf>
      <numFmt numFmtId="0" formatCode="General"/>
    </odxf>
    <ndxf>
      <numFmt numFmtId="21" formatCode="dd/mmm"/>
    </ndxf>
  </rcc>
  <rcc rId="2611" sId="5" odxf="1" dxf="1" numFmtId="21">
    <nc r="BL1">
      <v>45881</v>
    </nc>
    <odxf>
      <numFmt numFmtId="0" formatCode="General"/>
    </odxf>
    <ndxf>
      <numFmt numFmtId="21" formatCode="dd/mmm"/>
    </ndxf>
  </rcc>
  <rcc rId="2612" sId="5" odxf="1" dxf="1" numFmtId="21">
    <nc r="BM1">
      <v>45882</v>
    </nc>
    <odxf>
      <numFmt numFmtId="0" formatCode="General"/>
    </odxf>
    <ndxf>
      <numFmt numFmtId="21" formatCode="dd/mmm"/>
    </ndxf>
  </rcc>
  <rcc rId="2613" sId="5" odxf="1" dxf="1" numFmtId="21">
    <nc r="BN1">
      <v>45883</v>
    </nc>
    <odxf>
      <numFmt numFmtId="0" formatCode="General"/>
    </odxf>
    <ndxf>
      <numFmt numFmtId="21" formatCode="dd/mmm"/>
    </ndxf>
  </rcc>
  <rcc rId="2614" sId="5" odxf="1" dxf="1" numFmtId="21">
    <nc r="BO1">
      <v>45884</v>
    </nc>
    <odxf>
      <numFmt numFmtId="0" formatCode="General"/>
    </odxf>
    <ndxf>
      <numFmt numFmtId="21" formatCode="dd/mmm"/>
    </ndxf>
  </rcc>
  <rcc rId="2615" sId="5" odxf="1" dxf="1">
    <nc r="BP1" t="inlineStr">
      <is>
        <t>TOTAL SEMANA</t>
      </is>
    </nc>
    <odxf>
      <fill>
        <patternFill patternType="none">
          <bgColor indexed="65"/>
        </patternFill>
      </fill>
      <border outline="0">
        <right/>
        <top/>
        <bottom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6" sId="5" odxf="1" dxf="1">
    <nc r="BP2">
      <f>SUM(BK2:BO2)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17" sId="5" odxf="1" dxf="1">
    <nc r="BP3">
      <f>SUM(BK3:BO3)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18" sId="5" odxf="1" dxf="1">
    <nc r="BP4">
      <f>SUM(BK4:BO4)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19" sId="5" odxf="1" dxf="1">
    <nc r="BP5">
      <f>SUM(BK5:BO5)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0" sId="5" odxf="1" dxf="1">
    <nc r="BP6">
      <f>SUM(BK6:BO6)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1" sId="5" odxf="1" dxf="1">
    <nc r="BP7">
      <f>SUM(BK7:BO7)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2" sId="5" odxf="1" dxf="1">
    <nc r="BP8">
      <f>SUM(BK8:BO8)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3" sId="5" odxf="1" dxf="1">
    <nc r="BP9">
      <f>SUM(BK9:BO9)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4" sId="5" odxf="1" dxf="1">
    <nc r="BP10">
      <f>SUM(BK10:BO10)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5" sId="5" odxf="1" dxf="1">
    <nc r="BP11">
      <f>SUM(BK11:BO11)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6" sId="5" odxf="1" dxf="1">
    <nc r="BP12">
      <f>SUM(BK12:BO12)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7" sId="5" odxf="1" dxf="1">
    <nc r="BP13">
      <f>SUM(BK13:BO13)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8" sId="5" odxf="1" dxf="1">
    <nc r="BP14">
      <f>SUM(BK14:BO14)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9" sId="5" odxf="1" dxf="1">
    <nc r="BP15">
      <f>SUM(BK15:BO15)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30" sId="5" odxf="1" dxf="1">
    <nc r="BP16">
      <f>SUM(BK16:BO16)</f>
    </nc>
    <odxf>
      <fill>
        <patternFill patternType="none">
          <bgColor indexed="65"/>
        </patternFill>
      </fill>
      <border outline="0">
        <right/>
        <bottom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  <bottom style="thin">
          <color indexed="64"/>
        </bottom>
      </border>
    </ndxf>
  </rcc>
  <rcc rId="2631" sId="5">
    <nc r="BL14">
      <v>1</v>
    </nc>
  </rcc>
  <rcc rId="2632" sId="5" odxf="1" dxf="1">
    <nc r="BK17" t="inlineStr">
      <is>
        <r>
          <t xml:space="preserve"> Pesquisa e busca pelo processo
71000.004542/2005-12 (SESAN)
</t>
        </r>
        <r>
          <rPr>
            <sz val="11"/>
            <color rgb="FFFF0000"/>
            <rFont val="Aptos Narrow"/>
            <family val="2"/>
          </rPr>
          <t>Não encontrado registro de entrada neste arquivo.</t>
        </r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633" sId="5" odxf="1" dxf="1">
    <nc r="BL17" t="inlineStr">
      <is>
        <t xml:space="preserve">1. E-mail de orientação de desarquivamento para o Wederson da CGPC.
2. Pesquisa e busca pelo processo  44000.006180/1997-51 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634" sId="5" odxf="1" dxf="1">
    <nc r="BM17" t="inlineStr">
      <is>
        <t>1. Pesquisa e busca pelo processo  44000.006180/1997-51.
2. Pesquisa e busca pela pasta funcional - DYLENY TEIXEIRA ALVES DA SILVA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635" sId="5" odxf="1" dxf="1">
    <nc r="BN17" t="inlineStr">
      <is>
        <t xml:space="preserve"> 1. Pesquisa e busca pelo processo  44000.006180/1997-51.
2. Inventário de fotos LBA.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636" sId="5" odxf="1" dxf="1">
    <nc r="BO17" t="inlineStr">
      <is>
        <t>Inventário de Fotos LBA.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7" sId="5">
    <nc r="BN11">
      <v>1</v>
    </nc>
  </rcc>
  <rcc rId="2648" sId="5">
    <nc r="BO11">
      <v>2</v>
    </nc>
  </rcc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9" sId="10" odxf="1" dxf="1">
    <nc r="BC17" t="inlineStr">
      <is>
        <r>
          <t>Continuação Revisão planilha do Inventário do</t>
        </r>
        <r>
          <rPr>
            <b/>
            <sz val="11"/>
            <color theme="1"/>
            <rFont val="Aptos Narrow"/>
            <family val="2"/>
          </rPr>
          <t xml:space="preserve"> ARCEN</t>
        </r>
        <r>
          <rPr>
            <sz val="11"/>
            <color theme="1"/>
            <rFont val="Aptos Narrow"/>
            <family val="2"/>
          </rPr>
          <t xml:space="preserve">
e Consolidação auxílio do Marcelo</t>
        </r>
      </is>
    </nc>
    <odxf>
      <alignment wrapText="0"/>
    </odxf>
    <ndxf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0" sId="8">
    <oc r="BM17" t="inlineStr">
      <is>
        <t>Procurando processos no bloco A</t>
      </is>
    </oc>
    <nc r="BM17"/>
  </rcc>
  <rcc rId="2681" sId="8">
    <oc r="BL17" t="inlineStr">
      <is>
        <t xml:space="preserve"> Procura de caixas para 
eliminação.</t>
      </is>
    </oc>
    <nc r="BL17"/>
  </rcc>
  <rcc rId="2682" sId="8">
    <oc r="BK17" t="inlineStr">
      <is>
        <t xml:space="preserve"> Procura de caixas para 
eliminação.</t>
      </is>
    </oc>
    <nc r="BK17"/>
  </rcc>
  <rcc rId="2683" sId="8">
    <oc r="BI17" t="inlineStr">
      <is>
        <t xml:space="preserve"> Procura de caixas para 
eliminação.</t>
      </is>
    </oc>
    <nc r="BI17"/>
  </rcc>
  <rcc rId="2684" sId="8">
    <oc r="BH17" t="inlineStr">
      <is>
        <t>Palestra no Arquivo Nacional
Fomos liberados do Ponto Eletrônico.</t>
      </is>
    </oc>
    <nc r="BH17"/>
  </rcc>
  <rcc rId="2685" sId="8">
    <oc r="BG17" t="inlineStr">
      <is>
        <t xml:space="preserve"> Procura de caixas para 
eliminação.</t>
      </is>
    </oc>
    <nc r="BG17"/>
  </rcc>
  <rcc rId="2686" sId="8">
    <oc r="BF17" t="inlineStr">
      <is>
        <t xml:space="preserve"> Procura de caixas para 
eliminação.</t>
      </is>
    </oc>
    <nc r="BF17"/>
  </rcc>
  <rcc rId="2687" sId="8">
    <oc r="BE17" t="inlineStr">
      <is>
        <t xml:space="preserve"> Procura de caixas para 
eliminação.</t>
      </is>
    </oc>
    <nc r="BE17"/>
  </rcc>
  <rcc rId="2688" sId="8">
    <oc r="BC17" t="inlineStr">
      <is>
        <t>ALIMENTANDO A PLANILHA DE ESPAÇOS NOS ARQUIVO TOTAL DE 1.604 ESPAÇOS</t>
      </is>
    </oc>
    <nc r="BC17"/>
  </rcc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99" sId="4">
    <oc r="H16">
      <f>SUM(C16:G16)</f>
    </oc>
    <nc r="H16">
      <f>SUM(C16:G16)</f>
    </nc>
  </rcc>
  <rcc rId="2700" sId="3">
    <oc r="I16">
      <f>Diego!AM16+Aelton!AM16+Leonam!AM16+Danilo!AM16+Marcos!AM16+Carlos!AM16+Alessandro!AM16</f>
    </oc>
    <nc r="I16">
      <f>Aelton!C2=Diego!AM16+Aelton!AM16+Leonam!AM16+Danilo!AM16+Marcos!AM16+Carlos!AM16+Alessandro!AM16</f>
    </nc>
  </rcc>
  <rcc rId="2701" sId="3">
    <oc r="E13">
      <f>Diego!T13+Aelton!T13+Leonam!T13+Danilo!T13+Marcos!T13+Carlos!T13+Alessandro!T13</f>
    </oc>
    <nc r="E13">
      <f>Diego!T13+Aelton!T13+Leonam!T13+Danilo!T13+Marcos!T13+Carlos!T13+Alessandro!T13+Patrícia!T13</f>
    </nc>
  </rcc>
  <rcc rId="2702" sId="8">
    <oc r="Z11">
      <f>SUM(U11:Y11)</f>
    </oc>
    <nc r="Z11">
      <f>SUM(U11:Y11)</f>
    </nc>
  </rcc>
  <rcc rId="2703" sId="8">
    <nc r="W12">
      <v>70</v>
    </nc>
  </rcc>
  <rcc rId="2704" sId="8">
    <nc r="X12">
      <v>140</v>
    </nc>
  </rcc>
  <rcc rId="2705" sId="8">
    <nc r="Y12">
      <v>140</v>
    </nc>
  </rcc>
  <rcc rId="2706" sId="8">
    <oc r="W11">
      <v>70</v>
    </oc>
    <nc r="W11"/>
  </rcc>
  <rcc rId="2707" sId="8">
    <oc r="X11">
      <v>140</v>
    </oc>
    <nc r="X11"/>
  </rcc>
  <rcc rId="2708" sId="8">
    <oc r="Y11">
      <v>140</v>
    </oc>
    <nc r="Y11"/>
  </rcc>
  <rcc rId="2709" sId="8">
    <nc r="AA12">
      <v>139</v>
    </nc>
  </rcc>
  <rcc rId="2710" sId="8">
    <nc r="AB12">
      <v>105</v>
    </nc>
  </rcc>
  <rcc rId="2711" sId="8">
    <nc r="AC12">
      <v>137</v>
    </nc>
  </rcc>
  <rcc rId="2712" sId="8">
    <oc r="AA11">
      <v>139</v>
    </oc>
    <nc r="AA11"/>
  </rcc>
  <rcc rId="2713" sId="8">
    <oc r="AB11">
      <v>105</v>
    </oc>
    <nc r="AB11"/>
  </rcc>
  <rcc rId="2714" sId="8">
    <oc r="AC11">
      <v>137</v>
    </oc>
    <nc r="AC11"/>
  </rcc>
  <rcc rId="2715" sId="4">
    <nc r="Y12">
      <v>78</v>
    </nc>
  </rcc>
  <rcc rId="2716" sId="4">
    <nc r="X12">
      <v>144</v>
    </nc>
  </rcc>
  <rcc rId="2717" sId="4">
    <nc r="W12">
      <v>78</v>
    </nc>
  </rcc>
  <rcc rId="2718" sId="4">
    <nc r="AA12">
      <v>72</v>
    </nc>
  </rcc>
  <rcc rId="2719" sId="4">
    <nc r="AB12">
      <v>96</v>
    </nc>
  </rcc>
  <rcc rId="2720" sId="4">
    <nc r="AC12">
      <v>97</v>
    </nc>
  </rcc>
  <rcc rId="2721" sId="4">
    <nc r="AE12">
      <v>96</v>
    </nc>
  </rcc>
  <rcc rId="2722" sId="4">
    <nc r="AD11">
      <v>2</v>
    </nc>
  </rcc>
  <rcc rId="2723" sId="4">
    <nc r="AD12">
      <v>34</v>
    </nc>
  </rcc>
  <rcc rId="2724" sId="4">
    <nc r="AH12">
      <v>72</v>
    </nc>
  </rcc>
  <rcc rId="2725" sId="4">
    <nc r="AK11">
      <v>1</v>
    </nc>
  </rcc>
  <rcc rId="2726" sId="4">
    <nc r="AJ11">
      <v>1</v>
    </nc>
  </rcc>
  <rcc rId="2727" sId="4">
    <nc r="AN11">
      <v>1</v>
    </nc>
  </rcc>
  <rcc rId="2728" sId="4">
    <nc r="AO11">
      <v>1</v>
    </nc>
  </rcc>
  <rcc rId="2729" sId="4">
    <nc r="AP11">
      <v>1</v>
    </nc>
  </rcc>
  <rcc rId="2730" sId="4">
    <nc r="AQ11">
      <v>1</v>
    </nc>
  </rcc>
  <rcc rId="2731" sId="4">
    <nc r="AT11">
      <v>1</v>
    </nc>
  </rcc>
  <rcc rId="2732" sId="4">
    <nc r="AU11">
      <v>1</v>
    </nc>
  </rcc>
  <rcc rId="2733" sId="4">
    <nc r="AV11">
      <v>1</v>
    </nc>
  </rcc>
  <rcc rId="2734" sId="4">
    <nc r="AY11">
      <v>4</v>
    </nc>
  </rcc>
  <rcc rId="2735" sId="4">
    <nc r="AZ11">
      <v>3</v>
    </nc>
  </rcc>
  <rcc rId="2736" sId="5">
    <nc r="AA11">
      <v>4</v>
    </nc>
  </rcc>
  <rcc rId="2737" sId="5">
    <nc r="AB11">
      <v>3</v>
    </nc>
  </rcc>
  <rcc rId="2738" sId="5">
    <nc r="AD11">
      <v>1</v>
    </nc>
  </rcc>
  <rcc rId="2739" sId="5">
    <nc r="AE11">
      <v>1</v>
    </nc>
  </rcc>
  <rcc rId="2740" sId="5">
    <oc r="AD17" t="inlineStr">
      <is>
        <t>1. Pesquisa do documento averbação da servidora MARILUZA PORTELA RIOS VIEIRA.
2.  Pesquisa e busca processos: 00070.002379/2003-10 00070.007055/2003-78
3. Inventário microfilmes.
1 Caixa
30 microfilmes</t>
      </is>
    </oc>
    <nc r="AD17" t="inlineStr">
      <is>
        <t>1. Pesquisa do documento averbação da servidora MARILUZA PORTELA RIOS VIEIRA.
2.  Pesquisa e busca processos: 00070.002379/2003-10 00070.007055/2003-78
3. Inventário microfilmes.
1 Caixa
35 microfilmes</t>
      </is>
    </nc>
  </rcc>
  <rcc rId="2741" sId="5">
    <nc r="AG11">
      <v>1</v>
    </nc>
  </rcc>
  <rcc rId="2742" sId="5">
    <nc r="AG12">
      <v>30</v>
    </nc>
  </rcc>
  <rcc rId="2743" sId="5">
    <oc r="A15" t="inlineStr">
      <is>
        <t>Caixas remanejadas</t>
      </is>
    </oc>
    <nc r="A15" t="inlineStr">
      <is>
        <t>Recebimento/Caixas remanejadas</t>
      </is>
    </nc>
  </rcc>
  <rcc rId="2744" sId="5">
    <nc r="AG15">
      <v>70</v>
    </nc>
  </rcc>
  <rcc rId="2745" sId="5">
    <nc r="AM11">
      <v>2</v>
    </nc>
  </rcc>
  <rcc rId="2746" sId="5">
    <nc r="AN11">
      <v>2</v>
    </nc>
  </rcc>
  <rcc rId="2747" sId="5">
    <nc r="AO11">
      <v>2</v>
    </nc>
  </rcc>
  <rcc rId="2748" sId="5">
    <nc r="AP11">
      <v>2</v>
    </nc>
  </rcc>
  <rcc rId="2749" sId="5">
    <nc r="AQ11">
      <v>2</v>
    </nc>
  </rcc>
  <rcc rId="2750" sId="5">
    <nc r="AS11">
      <v>7</v>
    </nc>
  </rcc>
  <rcc rId="2751" sId="5">
    <nc r="AZ11">
      <v>3</v>
    </nc>
  </rcc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52" sId="6">
    <nc r="AG11">
      <v>1</v>
    </nc>
  </rcc>
  <rcc rId="2753" sId="6">
    <nc r="AG12">
      <v>30</v>
    </nc>
  </rcc>
  <rcc rId="2754" sId="8">
    <nc r="X11">
      <v>4</v>
    </nc>
  </rcc>
  <rcc rId="2755" sId="8">
    <nc r="Y11">
      <v>4</v>
    </nc>
  </rcc>
  <rcc rId="2756" sId="8">
    <nc r="AA11">
      <v>4</v>
    </nc>
  </rcc>
  <rcc rId="2757" sId="8">
    <nc r="AB11">
      <v>3</v>
    </nc>
  </rcc>
  <rcc rId="2758" sId="8">
    <nc r="AC11">
      <v>4</v>
    </nc>
  </rcc>
  <rcc rId="2759" sId="8">
    <nc r="AE11">
      <v>3</v>
    </nc>
  </rcc>
  <rcc rId="2760" sId="8">
    <nc r="AE12">
      <v>103</v>
    </nc>
  </rcc>
  <rcc rId="2761" sId="8">
    <oc r="AO12">
      <v>74</v>
    </oc>
    <nc r="AO12">
      <v>73</v>
    </nc>
  </rcc>
  <rcc rId="2762" sId="3">
    <oc r="F11">
      <f>Diego!Z11+Aelton!Z11+Leonam!Z11+Danilo!Z11+Marcos!Z11+Carlos!Z11+Alessandro!Z11</f>
    </oc>
    <nc r="F11">
      <f>Diego!Z11+Leonam!Z11+Danilo!Z11+Marcos!Z11+Alessandro!AX11</f>
    </nc>
  </rcc>
  <rcc rId="2763" sId="3">
    <oc r="F12">
      <f>Diego!Z12+Aelton!Z12+Leonam!Z12+Danilo!Z12+Marcos!Z12+Carlos!Z12+Alessandro!Z12</f>
    </oc>
    <nc r="F12">
      <f>Diego!Z12+Aelton!Z12+Leonam!AF12+Danilo!AF12+Marcos!AF12+Alessandro!Z12</f>
    </nc>
  </rcc>
  <rcc rId="2764" sId="3">
    <oc r="F13">
      <f>Diego!Z13+Aelton!Z13+Leonam!Z13+Danilo!Z13+Marcos!Z13+Carlos!Z13+Alessandro!Z13</f>
    </oc>
    <nc r="F13">
      <f>Patrícia!Z13+Danilo!Z13+Alessandro!Z13</f>
    </nc>
  </rcc>
  <rcc rId="2765" sId="6">
    <oc r="T2">
      <f>SUM(O2:S2)</f>
    </oc>
    <nc r="T2">
      <f>SUM(O2:S2)</f>
    </nc>
  </rcc>
  <rcc rId="2766" sId="3">
    <oc r="H13">
      <f>Diego!AL13+Aelton!AL13+Leonam!AL13+Danilo!AL13+Marcos!AL13+Carlos!AL13+Alessandro!AL13</f>
    </oc>
    <nc r="H13">
      <f>Patrícia!AL13+Marcelo!AL13+Diego!AL13+Aelton!AL13+Leonam!AL13+Danilo!AL13+Marcos!AL13+Carlos!AL13+Alessandro!AL13</f>
    </nc>
  </rcc>
  <rcc rId="2767" sId="3">
    <oc r="I5">
      <f>Diego!AM5+Aelton!AM5+Leonam!AM5+Danilo!AM5+Marcos!AM5+Carlos!AM5+Alessandro!AM5</f>
    </oc>
    <nc r="I5">
      <f>Diego!AR5+Aelton!AR5+Leonam!AR5+Danilo!AR5+Marcos!AR5+Carlos!AR5+Alessandro!AR5</f>
    </nc>
  </rcc>
  <rfmt sheetId="3" sqref="A1:A16">
    <dxf>
      <alignment horizontal="left"/>
    </dxf>
  </rfmt>
  <rcc rId="2768" sId="3">
    <oc r="I6">
      <f>Diego!AM6+Aelton!AM6+Leonam!AM6+Danilo!AM6+Marcos!AM6+Carlos!AM6+Alessandro!AM6</f>
    </oc>
    <nc r="I6">
      <f>Diego!AR6+Aelton!AR6+Leonam!AR6+Danilo!AR6+Marcos!AR6+Carlos!AR6+Alessandro!AR6</f>
    </nc>
  </rcc>
  <rcc rId="2769" sId="3">
    <oc r="I7">
      <f>Diego!AM7+Aelton!AM7+Leonam!AM7+Danilo!AM7+Marcos!AM7+Carlos!AM7+Alessandro!AM7</f>
    </oc>
    <nc r="I7">
      <f>Diego!AR7+Aelton!AR7+Leonam!AR7+Danilo!AR7+Marcos!AR7+Carlos!AR7+Alessandro!AR7</f>
    </nc>
  </rcc>
  <rcc rId="2770" sId="3">
    <oc r="I8">
      <f>Diego!AM8+Aelton!AM8+Leonam!AM8+Danilo!AM8+Marcos!AM8+Carlos!AM8+Alessandro!AM8</f>
    </oc>
    <nc r="I8">
      <f>Diego!AR8+Aelton!AR8+Leonam!AR8+Danilo!AR8+Marcos!AR8+Carlos!AR8+Alessandro!AR8</f>
    </nc>
  </rcc>
  <rcc rId="2771" sId="3">
    <oc r="I9">
      <f>Diego!AM9+Aelton!AM9+Leonam!AM9+Danilo!AM9+Marcos!AM9+Carlos!AM9+Alessandro!AM9</f>
    </oc>
    <nc r="I9">
      <f>Diego!AR9+Aelton!AR9+Leonam!AR9+Danilo!AR9+Marcos!AR9+Carlos!AR9+Alessandro!AR9</f>
    </nc>
  </rcc>
  <rcc rId="2772" sId="3">
    <oc r="I10">
      <f>Diego!AM10+Aelton!AM10+Leonam!AM10+Danilo!AM10+Marcos!AM10+Carlos!AM10+Alessandro!AM10</f>
    </oc>
    <nc r="I10">
      <f>Diego!AR10+Aelton!AR10+Leonam!AR10+Danilo!AR10+Marcos!AR10+Carlos!AR10+Alessandro!AR10</f>
    </nc>
  </rcc>
  <rcc rId="2773" sId="3">
    <oc r="I11">
      <f>Diego!AM11+Aelton!AM11+Leonam!AM11+Danilo!AM11+Marcos!AM11+Carlos!AM11+Alessandro!AM11</f>
    </oc>
    <nc r="I11">
      <f>Diego!AR11+Aelton!AR11+Leonam!AR11+Danilo!AR11+Marcos!AR11+Carlos!AR11+Alessandro!AR11</f>
    </nc>
  </rcc>
  <rcc rId="2774" sId="3">
    <oc r="I12">
      <f>Diego!AM12+Aelton!AM12+Leonam!AM12+Danilo!AM12+Marcos!AM12+Carlos!AM12+Alessandro!AM12</f>
    </oc>
    <nc r="I12">
      <f>Diego!AR12+Aelton!AR12+Leonam!AR12+Danilo!AR12+Marcos!AR12+Carlos!AR12+Alessandro!AR12</f>
    </nc>
  </rcc>
  <rcc rId="2775" sId="3">
    <oc r="I13">
      <f>Diego!AM13+Aelton!AM13+Leonam!AM13+Danilo!AM13+Marcos!AM13+Carlos!AM13+Alessandro!AM13</f>
    </oc>
    <nc r="I13">
      <f>Diego!AR13+Aelton!AR13+Leonam!AR13+Danilo!AR13+Marcos!AR13+Carlos!AR13+Alessandro!AR13+Patrícia!AR13+Marcelo!AR13</f>
    </nc>
  </rcc>
  <rcc rId="2776" sId="3">
    <oc r="I14">
      <f>Diego!AM14+Aelton!AM14+Leonam!AM14+Danilo!AM14+Marcos!AM14+Carlos!AM14+Alessandro!AM14</f>
    </oc>
    <nc r="I14">
      <f>Patrícia!AR14+Marcelo!AR14</f>
    </nc>
  </rcc>
  <rcc rId="2777" sId="3" numFmtId="4">
    <oc r="I15">
      <f>Diego!AM15+Aelton!AM15+Leonam!AM15+Danilo!AM15+Marcos!AM15+Carlos!AM15+Alessandro!AM15</f>
    </oc>
    <nc r="I15">
      <v>71</v>
    </nc>
  </rcc>
  <rcc rId="2778" sId="3">
    <oc r="I16">
      <f>Aelton!C2=Diego!AM16+Aelton!AM16+Leonam!AM16+Danilo!AM16+Marcos!AM16+Carlos!AM16+Alessandro!AM16</f>
    </oc>
    <nc r="I16">
      <f>Diego!AR16+Aelton!AR16+Leonam!AR16+Danilo!AR16+Marcos!AR16+Carlos!AR16+Alessandro!AR16</f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9" sId="3">
    <oc r="J4">
      <f>Diego!AX4+Aelton!AX4+Leonam!AX4+Danilo!AX4+Marcos!AX4+Carlos!AX4+Alessandro!AX4</f>
    </oc>
    <nc r="J4">
      <f>Diego!AX4+Aelton!AX4+Leonam!AX4+Danilo!Z4+Marcos!AX4+Carlos!AX4+Alessandro!AX4</f>
    </nc>
  </rcc>
  <rcc rId="2790" sId="3">
    <oc r="J7">
      <f>Diego!AX7+Aelton!AX7+Leonam!AX7+Danilo!AX7+Marcos!AX7+Carlos!AX7+Alessandro!AX7</f>
    </oc>
    <nc r="J7">
      <f>Diego!AX7+Aelton!AX7+Leonam!AX7+Danilo!AX7+Marcos!AX7+Carlos!AX7+Alessandro!AX7</f>
    </nc>
  </rcc>
  <rfmt sheetId="3" sqref="A11" start="0" length="0">
    <dxf>
      <alignment horizontal="right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3" sqref="A11">
    <dxf>
      <alignment horizontal="left"/>
    </dxf>
  </rfmt>
  <rcc rId="2791" sId="3">
    <oc r="J13">
      <f>Diego!AX13+Aelton!AX13+Leonam!AX13+Danilo!AX13+Marcos!AX13+Carlos!AX13+Alessandro!AX13</f>
    </oc>
    <nc r="J13">
      <f>Patrícia!AX13+Marcelo!AX13+Diego!AX13+Aelton!AX13+Leonam!AX13+Danilo!AX13+Marcos!AX13+Carlos!AX13+Alessandro!AX13</f>
    </nc>
  </rcc>
  <rcc rId="2792" sId="3">
    <oc r="J14">
      <f>Diego!AX14+Aelton!AX14+Leonam!AX14+Danilo!AX14+Marcos!AX14+Carlos!AX14+Alessandro!AX14</f>
    </oc>
    <nc r="J14">
      <f>Patrícia!AX14+Marcelo!AX14</f>
    </nc>
  </rcc>
  <rcc rId="2793" sId="3">
    <oc r="K13">
      <f>Diego!BD13+Aelton!BD13+Leonam!BD13+Danilo!BD13+Marcos!BD13+Carlos!BD13+Alessandro!BD13</f>
    </oc>
    <nc r="K13">
      <f>Patrícia!BD13+Marcelo!BD13+Diego!BD13+Aelton!BD13+Leonam!BD13+Danilo!BD13+Marcos!BD13+Carlos!BD13+Alessandro!BD13</f>
    </nc>
  </rcc>
  <rcc rId="2794" sId="3">
    <oc r="K14">
      <f>Diego!BD14+Aelton!BD14+Leonam!BD14+Danilo!BD14+Marcos!BD14+Carlos!BD14+Alessandro!BD14</f>
    </oc>
    <nc r="K14">
      <f>Patrícia!BD14+Marcelo!BD14</f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9">
  <userInfo guid="{C2A20258-9F99-4BA6-8D33-29922802D4E5}" name="Diego Santos de Abreu" id="-678729049" dateTime="2025-06-17T10:29:52"/>
  <userInfo guid="{6738F86D-A203-4323-AB0F-6A3FF0764D5D}" name="Diego Santos de Abreu" id="-678718990" dateTime="2025-06-23T09:03:37"/>
  <userInfo guid="{4607D3AC-E4CA-4739-8695-02BEE3BC0EFC}" name="Marcos Neves de Almeida" id="-830210254" dateTime="2025-06-24T08:29:26"/>
  <userInfo guid="{AA0432D1-B842-4893-B375-E1C9B47D1C73}" name="Marcelo Lucio Saboia Fonseca" id="-1979051998" dateTime="2025-07-02T15:27:28"/>
  <userInfo guid="{3DA37686-3FE7-4B6C-BB56-6FA32C0B5DDC}" name="Marcos Neves de Almeida" id="-830237265" dateTime="2025-07-04T14:29:20"/>
  <userInfo guid="{DEB64982-3361-476D-93A4-405DF6BD3D45}" name="Leonam Morrison Monteiro de Oliveira" id="-1618913845" dateTime="2025-07-07T13:50:52"/>
  <userInfo guid="{1C7AC174-A991-414F-9066-34FB3BBB60FA}" name="Danilo Rafael Basilio da Silva" id="-1332264726" dateTime="2025-07-08T08:55:03"/>
  <userInfo guid="{C75F8921-B831-44C0-9C1D-6CA402D99E2F}" name="Marcelo Lucio Saboia Fonseca" id="-1978993370" dateTime="2025-07-10T10:12:08"/>
  <userInfo guid="{94DA70BD-4D53-4481-9F49-BCF561C35078}" name="Danilo Rafael Basilio da Silva" id="-1332248875" dateTime="2025-07-10T10:12:44"/>
  <userInfo guid="{1D9B5513-83FF-4845-81E7-DA7B1DC60461}" name="Aelton de Jesus Nunes" id="-687487506" dateTime="2025-07-10T17:04:15"/>
  <userInfo guid="{1D9B5513-83FF-4845-81E7-DA7B1DC60461}" name="Danilo Rafael Basilio da Silva" id="-1332263918" dateTime="2025-07-11T10:05:56"/>
  <userInfo guid="{005555E9-04FC-4857-88CE-A3AF5FCB5B00}" name="Aelton de Jesus Nunes" id="-687503586" dateTime="2025-07-14T14:21:34"/>
  <userInfo guid="{3F9CB36B-082E-4199-B0BC-0276E896CD81}" name="Danilo Rafael Basilio da Silva" id="-1332220481" dateTime="2025-07-15T10:12:59"/>
  <userInfo guid="{78A189D5-01F7-411B-8460-A35EE3662084}" name="Danilo Rafael Basilio da Silva" id="-1332254621" dateTime="2025-08-01T09:27:48"/>
  <userInfo guid="{9EB227E7-B774-4D6E-A62A-7175F0877B52}" name="Diego Santos de Abreu" id="-678738821" dateTime="2025-08-01T11:20:14"/>
  <userInfo guid="{374E5801-FD68-48E8-9E2C-AB5F5288E5B4}" name="Diego Santos de Abreu" id="-678711119" dateTime="2025-08-04T08:53:02"/>
  <userInfo guid="{9E26D4B2-5C1A-4651-AA8C-88FA2A31492D}" name="Marcos Neves de Almeida" id="-830214021" dateTime="2025-08-08T09:17:42"/>
  <userInfo guid="{92F6B190-F2AD-4339-8A62-9FFB390FBD9C}" name="Marcos Neves de Almeida" id="-830271437" dateTime="2025-08-14T08:34:22"/>
  <userInfo guid="{889EA2D9-0516-4A1E-8BCA-080F5E75D027}" name="Aelton de Jesus Nunes" id="-687537098" dateTime="2025-08-15T09:20:19"/>
</us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3" sqref="B13"/>
    </sheetView>
  </sheetViews>
  <sheetFormatPr defaultRowHeight="15" x14ac:dyDescent="0.25"/>
  <cols>
    <col min="1" max="1" width="77.42578125" bestFit="1" customWidth="1"/>
    <col min="2" max="2" width="97.42578125" customWidth="1"/>
  </cols>
  <sheetData>
    <row r="1" spans="1:2" ht="24" x14ac:dyDescent="0.25">
      <c r="A1" s="59" t="s">
        <v>9</v>
      </c>
      <c r="B1" s="58" t="s">
        <v>134</v>
      </c>
    </row>
    <row r="2" spans="1:2" ht="18.75" x14ac:dyDescent="0.25">
      <c r="A2" s="60" t="s">
        <v>18</v>
      </c>
      <c r="B2" s="64" t="s">
        <v>135</v>
      </c>
    </row>
    <row r="3" spans="1:2" ht="31.5" x14ac:dyDescent="0.25">
      <c r="A3" s="61" t="s">
        <v>0</v>
      </c>
      <c r="B3" s="65" t="s">
        <v>136</v>
      </c>
    </row>
    <row r="4" spans="1:2" ht="18.75" x14ac:dyDescent="0.25">
      <c r="A4" s="62" t="s">
        <v>17</v>
      </c>
      <c r="B4" s="64" t="s">
        <v>135</v>
      </c>
    </row>
    <row r="5" spans="1:2" ht="18.75" x14ac:dyDescent="0.25">
      <c r="A5" s="63" t="s">
        <v>16</v>
      </c>
      <c r="B5" s="65" t="s">
        <v>137</v>
      </c>
    </row>
    <row r="6" spans="1:2" ht="31.5" x14ac:dyDescent="0.25">
      <c r="A6" s="62" t="s">
        <v>1</v>
      </c>
      <c r="B6" s="67" t="s">
        <v>138</v>
      </c>
    </row>
    <row r="7" spans="1:2" ht="18.75" x14ac:dyDescent="0.25">
      <c r="A7" s="63" t="s">
        <v>2</v>
      </c>
      <c r="B7" s="65" t="s">
        <v>24</v>
      </c>
    </row>
    <row r="8" spans="1:2" ht="18.75" x14ac:dyDescent="0.25">
      <c r="A8" s="62" t="s">
        <v>3</v>
      </c>
      <c r="B8" s="67" t="s">
        <v>139</v>
      </c>
    </row>
    <row r="9" spans="1:2" ht="18.75" x14ac:dyDescent="0.25">
      <c r="A9" s="63" t="s">
        <v>26</v>
      </c>
      <c r="B9" s="65" t="s">
        <v>24</v>
      </c>
    </row>
    <row r="10" spans="1:2" ht="18.75" x14ac:dyDescent="0.25">
      <c r="A10" s="62" t="s">
        <v>12</v>
      </c>
      <c r="B10" s="66" t="s">
        <v>24</v>
      </c>
    </row>
    <row r="11" spans="1:2" ht="18.75" x14ac:dyDescent="0.25">
      <c r="A11" s="63" t="s">
        <v>4</v>
      </c>
      <c r="B11" s="68" t="s">
        <v>24</v>
      </c>
    </row>
    <row r="12" spans="1:2" ht="18.75" x14ac:dyDescent="0.25">
      <c r="A12" s="62" t="s">
        <v>5</v>
      </c>
      <c r="B12" s="67" t="s">
        <v>24</v>
      </c>
    </row>
    <row r="13" spans="1:2" ht="37.5" x14ac:dyDescent="0.25">
      <c r="A13" s="63" t="s">
        <v>8</v>
      </c>
      <c r="B13" s="65" t="s">
        <v>142</v>
      </c>
    </row>
    <row r="14" spans="1:2" ht="18.75" x14ac:dyDescent="0.25">
      <c r="A14" s="62" t="s">
        <v>6</v>
      </c>
      <c r="B14" s="67" t="s">
        <v>27</v>
      </c>
    </row>
    <row r="15" spans="1:2" ht="31.5" x14ac:dyDescent="0.25">
      <c r="A15" s="61" t="s">
        <v>19</v>
      </c>
      <c r="B15" s="65" t="s">
        <v>140</v>
      </c>
    </row>
    <row r="16" spans="1:2" ht="31.5" x14ac:dyDescent="0.25">
      <c r="A16" s="60" t="s">
        <v>14</v>
      </c>
      <c r="B16" s="67" t="s">
        <v>141</v>
      </c>
    </row>
  </sheetData>
  <customSheetViews>
    <customSheetView guid="{3D987F8E-A6EA-454D-9537-6BFC5053CB00}">
      <selection activeCell="B13" sqref="B13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B13" sqref="B13"/>
      <pageMargins left="0.511811024" right="0.511811024" top="0.78740157499999996" bottom="0.78740157499999996" header="0.31496062000000002" footer="0.31496062000000002"/>
    </customSheetView>
    <customSheetView guid="{9B623083-AA7B-440B-95EA-C33E1AB3D963}">
      <selection activeCell="B13" sqref="B13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B13" sqref="B13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B13" sqref="B13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13" sqref="B1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8"/>
  <sheetViews>
    <sheetView topLeftCell="AK1" workbookViewId="0">
      <selection activeCell="AS2" sqref="AS2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6"/>
      <c r="C1" s="5">
        <v>45810</v>
      </c>
      <c r="D1" s="5">
        <v>45811</v>
      </c>
      <c r="E1" s="5">
        <v>45812</v>
      </c>
      <c r="F1" s="5">
        <v>45813</v>
      </c>
      <c r="G1" s="5">
        <v>45814</v>
      </c>
      <c r="H1" s="13" t="s">
        <v>15</v>
      </c>
      <c r="I1" s="5">
        <v>45817</v>
      </c>
      <c r="J1" s="5">
        <v>45818</v>
      </c>
      <c r="K1" s="5">
        <v>45819</v>
      </c>
      <c r="L1" s="5">
        <v>45820</v>
      </c>
      <c r="M1" s="5">
        <v>45821</v>
      </c>
      <c r="N1" s="12" t="s">
        <v>15</v>
      </c>
      <c r="O1" s="5">
        <v>45824</v>
      </c>
      <c r="P1" s="5">
        <v>45825</v>
      </c>
      <c r="Q1" s="5">
        <v>45826</v>
      </c>
      <c r="R1" s="5">
        <v>45827</v>
      </c>
      <c r="S1" s="5">
        <v>45828</v>
      </c>
      <c r="T1" s="12" t="s">
        <v>15</v>
      </c>
      <c r="U1" s="5">
        <v>45831</v>
      </c>
      <c r="V1" s="5">
        <v>45832</v>
      </c>
      <c r="W1" s="5">
        <v>45833</v>
      </c>
      <c r="X1" s="5">
        <v>45834</v>
      </c>
      <c r="Y1" s="5">
        <v>45835</v>
      </c>
      <c r="Z1" s="12" t="s">
        <v>15</v>
      </c>
      <c r="AA1" s="5">
        <v>45838</v>
      </c>
      <c r="AB1" s="5">
        <v>45839</v>
      </c>
      <c r="AC1" s="5">
        <v>45840</v>
      </c>
      <c r="AD1" s="5">
        <v>45841</v>
      </c>
      <c r="AE1" s="5">
        <v>45842</v>
      </c>
      <c r="AF1" s="12" t="s">
        <v>15</v>
      </c>
      <c r="AG1" s="5">
        <v>45845</v>
      </c>
      <c r="AH1" s="5">
        <v>45846</v>
      </c>
      <c r="AI1" s="5">
        <v>45847</v>
      </c>
      <c r="AJ1" s="5">
        <v>45848</v>
      </c>
      <c r="AK1" s="5">
        <v>45849</v>
      </c>
      <c r="AL1" s="12" t="s">
        <v>15</v>
      </c>
      <c r="AM1" s="5">
        <v>45852</v>
      </c>
      <c r="AN1" s="5">
        <v>45853</v>
      </c>
      <c r="AO1" s="5">
        <v>45854</v>
      </c>
      <c r="AP1" s="5">
        <v>45855</v>
      </c>
      <c r="AQ1" s="5">
        <v>45856</v>
      </c>
      <c r="AR1" s="26" t="s">
        <v>15</v>
      </c>
      <c r="AS1" s="5">
        <v>45859</v>
      </c>
      <c r="AT1" s="5">
        <v>45860</v>
      </c>
      <c r="AU1" s="5">
        <v>45861</v>
      </c>
      <c r="AV1" s="5">
        <v>45862</v>
      </c>
      <c r="AW1" s="5">
        <v>45863</v>
      </c>
      <c r="AX1" s="26" t="s">
        <v>15</v>
      </c>
      <c r="AY1" s="5">
        <v>45866</v>
      </c>
      <c r="AZ1" s="5">
        <v>45867</v>
      </c>
      <c r="BA1" s="5">
        <v>45868</v>
      </c>
      <c r="BB1" s="5">
        <v>45869</v>
      </c>
      <c r="BC1" s="5">
        <v>45870</v>
      </c>
      <c r="BD1" s="26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1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1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1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1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1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1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1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1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1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F11" s="15">
        <f t="shared" si="4"/>
        <v>0</v>
      </c>
      <c r="AL11" s="25">
        <f t="shared" si="5"/>
        <v>0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15">
        <f t="shared" si="4"/>
        <v>0</v>
      </c>
      <c r="AL12" s="25">
        <f t="shared" si="5"/>
        <v>0</v>
      </c>
      <c r="AR12" s="29">
        <f t="shared" si="6"/>
        <v>0</v>
      </c>
      <c r="AX12" s="29">
        <f t="shared" si="7"/>
        <v>0</v>
      </c>
      <c r="BD12" s="27">
        <f t="shared" si="8"/>
        <v>0</v>
      </c>
    </row>
    <row r="13" spans="1:56" ht="30" x14ac:dyDescent="0.25">
      <c r="A13" s="2" t="s">
        <v>8</v>
      </c>
      <c r="B13" s="24">
        <v>12</v>
      </c>
      <c r="C13" s="14"/>
      <c r="H13" s="25">
        <f t="shared" si="1"/>
        <v>0</v>
      </c>
      <c r="J13" s="1">
        <v>1</v>
      </c>
      <c r="M13" s="1">
        <v>1</v>
      </c>
      <c r="N13" s="25">
        <f t="shared" si="2"/>
        <v>2</v>
      </c>
      <c r="P13" s="1">
        <v>1</v>
      </c>
      <c r="T13" s="25">
        <f t="shared" si="0"/>
        <v>1</v>
      </c>
      <c r="U13" s="1">
        <v>1</v>
      </c>
      <c r="V13" s="1">
        <v>1</v>
      </c>
      <c r="Z13" s="25">
        <f t="shared" si="3"/>
        <v>2</v>
      </c>
      <c r="AA13" s="1">
        <v>1</v>
      </c>
      <c r="AC13" s="1">
        <v>1</v>
      </c>
      <c r="AF13" s="15">
        <f t="shared" si="4"/>
        <v>2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1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1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17"/>
      <c r="G16" s="17"/>
      <c r="H16" s="18">
        <f t="shared" si="1"/>
        <v>0</v>
      </c>
      <c r="I16" s="17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22">
        <f t="shared" si="4"/>
        <v>0</v>
      </c>
      <c r="AG16" s="17"/>
      <c r="AH16" s="17"/>
      <c r="AI16" s="17"/>
      <c r="AJ16" s="17"/>
      <c r="AK16" s="17"/>
      <c r="AL16" s="25">
        <f t="shared" si="5"/>
        <v>0</v>
      </c>
      <c r="AM16" s="17"/>
      <c r="AN16" s="17"/>
      <c r="AO16" s="17"/>
      <c r="AP16" s="17"/>
      <c r="AQ16" s="17"/>
      <c r="AR16" s="29">
        <f t="shared" si="6"/>
        <v>0</v>
      </c>
      <c r="AS16" s="17"/>
      <c r="AT16" s="17"/>
      <c r="AU16" s="17"/>
      <c r="AV16" s="17"/>
      <c r="AW16" s="17"/>
      <c r="AX16" s="29">
        <f t="shared" si="7"/>
        <v>0</v>
      </c>
      <c r="AY16" s="17"/>
      <c r="AZ16" s="17"/>
      <c r="BA16" s="17"/>
      <c r="BB16" s="17"/>
      <c r="BC16" s="17"/>
      <c r="BD16" s="27">
        <f t="shared" si="8"/>
        <v>0</v>
      </c>
    </row>
    <row r="17" spans="1:19" x14ac:dyDescent="0.25">
      <c r="A17" s="1" t="s">
        <v>11</v>
      </c>
      <c r="C17" s="4"/>
      <c r="D17" s="4"/>
      <c r="E17" s="4"/>
      <c r="F17" s="4"/>
      <c r="G17" s="4"/>
      <c r="H17" s="4"/>
      <c r="K17" s="4"/>
      <c r="M17" s="4"/>
      <c r="S17" s="4"/>
    </row>
    <row r="18" spans="1:19" x14ac:dyDescent="0.25">
      <c r="A18" s="1" t="s">
        <v>10</v>
      </c>
      <c r="C18" s="4"/>
    </row>
  </sheetData>
  <customSheetViews>
    <customSheetView guid="{3D987F8E-A6EA-454D-9537-6BFC5053CB00}" topLeftCell="S1">
      <selection activeCell="AS2" sqref="AS2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selection activeCell="E4" sqref="E4"/>
      <pageMargins left="0.511811024" right="0.511811024" top="0.78740157499999996" bottom="0.78740157499999996" header="0.31496062000000002" footer="0.31496062000000002"/>
      <autoFilter ref="A1:A18" xr:uid="{27B20A64-6D60-4B9A-B754-13253AAA07F1}"/>
    </customSheetView>
    <customSheetView guid="{552DFCCD-1786-4D75-8B10-27DD730384DD}">
      <selection activeCell="D12" sqref="D12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4" sqref="A14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T1" activePane="topRight" state="frozen"/>
      <selection pane="topRight" activeCell="CE1" sqref="CE1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>
      <selection activeCell="A14" sqref="A14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selection activeCell="A16" sqref="A16:XFD1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E1" sqref="E1:E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8"/>
  <sheetViews>
    <sheetView topLeftCell="AG1" workbookViewId="0">
      <selection activeCell="AS2" sqref="AS2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6"/>
      <c r="C1" s="5">
        <v>45810</v>
      </c>
      <c r="D1" s="5">
        <v>45811</v>
      </c>
      <c r="E1" s="5">
        <v>45812</v>
      </c>
      <c r="F1" s="5">
        <v>45813</v>
      </c>
      <c r="G1" s="5">
        <v>45814</v>
      </c>
      <c r="H1" s="13" t="s">
        <v>15</v>
      </c>
      <c r="I1" s="5">
        <v>45817</v>
      </c>
      <c r="J1" s="5">
        <v>45818</v>
      </c>
      <c r="K1" s="5">
        <v>45819</v>
      </c>
      <c r="L1" s="5">
        <v>45820</v>
      </c>
      <c r="M1" s="5">
        <v>45821</v>
      </c>
      <c r="N1" s="12" t="s">
        <v>15</v>
      </c>
      <c r="O1" s="5">
        <v>45824</v>
      </c>
      <c r="P1" s="5">
        <v>45825</v>
      </c>
      <c r="Q1" s="5">
        <v>45826</v>
      </c>
      <c r="R1" s="5">
        <v>45827</v>
      </c>
      <c r="S1" s="5">
        <v>45828</v>
      </c>
      <c r="T1" s="12" t="s">
        <v>15</v>
      </c>
      <c r="U1" s="5">
        <v>45831</v>
      </c>
      <c r="V1" s="5">
        <v>45832</v>
      </c>
      <c r="W1" s="5">
        <v>45833</v>
      </c>
      <c r="X1" s="5">
        <v>45834</v>
      </c>
      <c r="Y1" s="5">
        <v>45835</v>
      </c>
      <c r="Z1" s="12" t="s">
        <v>15</v>
      </c>
      <c r="AA1" s="5">
        <v>45838</v>
      </c>
      <c r="AB1" s="5">
        <v>45839</v>
      </c>
      <c r="AC1" s="5">
        <v>45840</v>
      </c>
      <c r="AD1" s="5">
        <v>45841</v>
      </c>
      <c r="AE1" s="5">
        <v>45842</v>
      </c>
      <c r="AF1" s="12" t="s">
        <v>15</v>
      </c>
      <c r="AG1" s="5">
        <v>45845</v>
      </c>
      <c r="AH1" s="5">
        <v>45846</v>
      </c>
      <c r="AI1" s="5">
        <v>45847</v>
      </c>
      <c r="AJ1" s="5">
        <v>45848</v>
      </c>
      <c r="AK1" s="5">
        <v>45849</v>
      </c>
      <c r="AL1" s="12" t="s">
        <v>15</v>
      </c>
      <c r="AM1" s="5">
        <v>45852</v>
      </c>
      <c r="AN1" s="5">
        <v>45853</v>
      </c>
      <c r="AO1" s="5">
        <v>45854</v>
      </c>
      <c r="AP1" s="5">
        <v>45855</v>
      </c>
      <c r="AQ1" s="5">
        <v>45856</v>
      </c>
      <c r="AR1" s="26" t="s">
        <v>15</v>
      </c>
      <c r="AS1" s="5">
        <v>45859</v>
      </c>
      <c r="AT1" s="5">
        <v>45860</v>
      </c>
      <c r="AU1" s="5">
        <v>45861</v>
      </c>
      <c r="AV1" s="5">
        <v>45862</v>
      </c>
      <c r="AW1" s="5">
        <v>45863</v>
      </c>
      <c r="AX1" s="26" t="s">
        <v>15</v>
      </c>
      <c r="AY1" s="5">
        <v>45866</v>
      </c>
      <c r="AZ1" s="5">
        <v>45867</v>
      </c>
      <c r="BA1" s="5">
        <v>45868</v>
      </c>
      <c r="BB1" s="5">
        <v>45869</v>
      </c>
      <c r="BC1" s="5">
        <v>45870</v>
      </c>
      <c r="BD1" s="26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1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1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1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1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1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1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1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1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1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F11" s="15">
        <f t="shared" si="4"/>
        <v>0</v>
      </c>
      <c r="AL11" s="25">
        <f t="shared" si="5"/>
        <v>0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15">
        <f t="shared" si="4"/>
        <v>0</v>
      </c>
      <c r="AL12" s="25">
        <f t="shared" si="5"/>
        <v>0</v>
      </c>
      <c r="AR12" s="29">
        <f t="shared" si="6"/>
        <v>0</v>
      </c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N13" s="25">
        <f t="shared" si="2"/>
        <v>0</v>
      </c>
      <c r="T13" s="25">
        <f t="shared" si="0"/>
        <v>0</v>
      </c>
      <c r="Z13" s="25">
        <f t="shared" si="3"/>
        <v>0</v>
      </c>
      <c r="AF13" s="15">
        <f t="shared" si="4"/>
        <v>0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1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1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17"/>
      <c r="G16" s="17"/>
      <c r="H16" s="18">
        <f t="shared" si="1"/>
        <v>0</v>
      </c>
      <c r="I16" s="17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22">
        <f t="shared" si="4"/>
        <v>0</v>
      </c>
      <c r="AG16" s="17"/>
      <c r="AH16" s="17"/>
      <c r="AI16" s="17"/>
      <c r="AJ16" s="17"/>
      <c r="AK16" s="17"/>
      <c r="AL16" s="25">
        <f t="shared" si="5"/>
        <v>0</v>
      </c>
      <c r="AM16" s="17"/>
      <c r="AN16" s="17"/>
      <c r="AO16" s="17"/>
      <c r="AP16" s="17"/>
      <c r="AQ16" s="17"/>
      <c r="AR16" s="29">
        <f t="shared" si="6"/>
        <v>0</v>
      </c>
      <c r="AS16" s="17"/>
      <c r="AT16" s="17"/>
      <c r="AU16" s="17"/>
      <c r="AV16" s="17"/>
      <c r="AW16" s="17"/>
      <c r="AX16" s="29">
        <f t="shared" si="7"/>
        <v>0</v>
      </c>
      <c r="AY16" s="17"/>
      <c r="AZ16" s="17"/>
      <c r="BA16" s="17"/>
      <c r="BB16" s="17"/>
      <c r="BC16" s="17"/>
      <c r="BD16" s="27">
        <f t="shared" si="8"/>
        <v>0</v>
      </c>
    </row>
    <row r="17" spans="1:19" x14ac:dyDescent="0.25">
      <c r="A17" s="1" t="s">
        <v>11</v>
      </c>
      <c r="C17" s="4"/>
      <c r="D17" s="4"/>
      <c r="E17" s="4"/>
      <c r="F17" s="4"/>
      <c r="G17" s="4"/>
      <c r="H17" s="4"/>
      <c r="K17" s="4"/>
      <c r="M17" s="4"/>
      <c r="S17" s="4"/>
    </row>
    <row r="18" spans="1:19" x14ac:dyDescent="0.25">
      <c r="A18" s="1" t="s">
        <v>10</v>
      </c>
      <c r="C18" s="4"/>
    </row>
  </sheetData>
  <customSheetViews>
    <customSheetView guid="{3D987F8E-A6EA-454D-9537-6BFC5053CB00}" topLeftCell="R1">
      <selection activeCell="AS2" sqref="AS2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selection sqref="A1:XFD1048576"/>
      <pageMargins left="0.511811024" right="0.511811024" top="0.78740157499999996" bottom="0.78740157499999996" header="0.31496062000000002" footer="0.31496062000000002"/>
      <autoFilter ref="A1:A18" xr:uid="{D92BA559-8778-4568-84C6-38E9C5DECC02}"/>
    </customSheetView>
    <customSheetView guid="{552DFCCD-1786-4D75-8B10-27DD730384DD}">
      <selection activeCell="C13" sqref="C13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A12">
      <selection activeCell="A9" sqref="A9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F1" sqref="CF1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A12">
      <selection activeCell="A9" sqref="A9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tabSelected="1" zoomScaleNormal="100" workbookViewId="0">
      <pane xSplit="1" topLeftCell="B1" activePane="topRight" state="frozen"/>
      <selection pane="topRight" activeCell="K15" sqref="K15"/>
    </sheetView>
  </sheetViews>
  <sheetFormatPr defaultRowHeight="15" x14ac:dyDescent="0.25"/>
  <cols>
    <col min="1" max="1" width="76.28515625" customWidth="1"/>
    <col min="2" max="2" width="59.5703125" style="7" customWidth="1"/>
    <col min="7" max="7" width="8.42578125" bestFit="1" customWidth="1"/>
  </cols>
  <sheetData>
    <row r="1" spans="1:11" ht="36" x14ac:dyDescent="0.25">
      <c r="A1" s="71" t="s">
        <v>9</v>
      </c>
      <c r="B1" s="38" t="s">
        <v>20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</row>
    <row r="2" spans="1:11" x14ac:dyDescent="0.25">
      <c r="A2" s="72" t="s">
        <v>18</v>
      </c>
      <c r="B2" s="51" t="s">
        <v>21</v>
      </c>
      <c r="C2" s="45">
        <f>Diego!H2+Aelton!H2+Leonam!H2+Danilo!H2+Marcos!H2+Carlos!H2+Alessandro!H2</f>
        <v>6</v>
      </c>
      <c r="D2" s="45">
        <f>Diego!N2+Aelton!N2+Leonam!N2+Danilo!N2+Marcos!N2+Carlos!N2+Alessandro!N2</f>
        <v>3</v>
      </c>
      <c r="E2" s="45">
        <f>Diego!T2+Aelton!T2+Leonam!T2+Danilo!T2+Marcos!T2+Carlos!T2+Alessandro!T2</f>
        <v>0</v>
      </c>
      <c r="F2" s="45">
        <f>Diego!Z2+Aelton!Z2+Leonam!Z2+Danilo!Z2+Marcos!Z2+Carlos!Z2+Alessandro!Z2</f>
        <v>1</v>
      </c>
      <c r="G2" s="45">
        <f>Diego!AF2+Aelton!AF2+Leonam!AF2+Danilo!AF2+Marcos!AF2+Carlos!AF2+Alessandro!AF2</f>
        <v>6</v>
      </c>
      <c r="H2" s="45">
        <f>Diego!AL2+Aelton!AL2+Leonam!AL2+Danilo!AL2+Marcos!AL2+Carlos!AL2+Alessandro!AL2</f>
        <v>3</v>
      </c>
      <c r="I2" s="45">
        <f>Diego!AR2+Aelton!AR2+Leonam!AR2+Danilo!AR2+Marcos!AR2+Carlos!AR2+Alessandro!AR2</f>
        <v>0</v>
      </c>
      <c r="J2" s="45">
        <f>Diego!AX2+Aelton!AX2+Leonam!AX2+Danilo!AX2+Marcos!AX2+Carlos!AX2+Alessandro!AX2</f>
        <v>0</v>
      </c>
      <c r="K2" s="45">
        <f>Diego!BD2+Aelton!BD2+Leonam!BD2+Danilo!BD2+Marcos!BD2+Carlos!BD2+Alessandro!BD2</f>
        <v>1</v>
      </c>
    </row>
    <row r="3" spans="1:11" ht="24" x14ac:dyDescent="0.25">
      <c r="A3" s="73" t="s">
        <v>0</v>
      </c>
      <c r="B3" s="52" t="s">
        <v>22</v>
      </c>
      <c r="C3" s="46">
        <f>Diego!H3+Aelton!H3+Leonam!H3+Danilo!H3+Marcos!H3+Carlos!H3+Alessandro!H3</f>
        <v>2</v>
      </c>
      <c r="D3" s="46">
        <f>Diego!N3+Aelton!N3+Leonam!N3+Danilo!N3+Marcos!N3+Carlos!N3+Alessandro!N3</f>
        <v>1</v>
      </c>
      <c r="E3" s="46">
        <f>Diego!T3+Aelton!T3+Leonam!T3+Danilo!T3+Marcos!T3+Carlos!T3+Alessandro!T3</f>
        <v>0</v>
      </c>
      <c r="F3" s="46">
        <f>Diego!Z3+Aelton!Z3+Leonam!Z3+Danilo!Z3+Marcos!Z3+Carlos!Z3+Alessandro!Z3</f>
        <v>4</v>
      </c>
      <c r="G3" s="46">
        <f>Diego!AF3+Aelton!AF3+Leonam!AF3+Danilo!AF3+Marcos!AF3+Carlos!AF3+Alessandro!AF3</f>
        <v>60</v>
      </c>
      <c r="H3" s="46">
        <f>Diego!AL3+Aelton!AL3+Leonam!AL3+Danilo!AL3+Marcos!AL3+Carlos!AL3+Alessandro!AL3</f>
        <v>0</v>
      </c>
      <c r="I3" s="46">
        <f>Diego!AM3+Aelton!AM3+Leonam!AM3+Danilo!AM3+Marcos!AM3+Carlos!AM3+Alessandro!AM3</f>
        <v>0</v>
      </c>
      <c r="J3" s="46">
        <f>Diego!AX3+Aelton!AX3+Leonam!AX3+Danilo!AX3+Marcos!AX3+Carlos!AX3+Alessandro!AX3</f>
        <v>0</v>
      </c>
      <c r="K3" s="46">
        <f>Diego!BD3+Aelton!BD3+Leonam!BD3+Danilo!BD3+Marcos!BD3+Carlos!BD3+Alessandro!BD3</f>
        <v>3</v>
      </c>
    </row>
    <row r="4" spans="1:11" x14ac:dyDescent="0.25">
      <c r="A4" s="74" t="s">
        <v>17</v>
      </c>
      <c r="B4" s="53" t="s">
        <v>21</v>
      </c>
      <c r="C4" s="45">
        <f>Diego!H4+Aelton!H4+Leonam!H4+Danilo!H4+Marcos!H4+Carlos!H4+Alessandro!H4</f>
        <v>0</v>
      </c>
      <c r="D4" s="45">
        <f>Diego!N4+Aelton!N4+Leonam!N4+Danilo!N4+Marcos!N4+Carlos!N4+Alessandro!N4</f>
        <v>41</v>
      </c>
      <c r="E4" s="45">
        <f>Diego!T4+Aelton!T4+Leonam!T4+Danilo!T4+Marcos!T4+Carlos!T4+Alessandro!T4</f>
        <v>6</v>
      </c>
      <c r="F4" s="45">
        <f>Diego!Z4+Aelton!Z4+Leonam!Z4+Danilo!Z4+Marcos!Z4+Carlos!Z4+Alessandro!Z4</f>
        <v>0</v>
      </c>
      <c r="G4" s="45">
        <f>Diego!AF4+Aelton!AF4+Leonam!AF4+Danilo!AF4+Marcos!AF4+Carlos!AF4+Alessandro!AF4</f>
        <v>4</v>
      </c>
      <c r="H4" s="45">
        <f>Diego!AL4+Aelton!AL4+Leonam!AL4+Danilo!AL4+Marcos!AL4+Carlos!AL4+Alessandro!AL4</f>
        <v>3</v>
      </c>
      <c r="I4" s="45">
        <f>Diego!AM4+Aelton!AM4+Leonam!AM4+Danilo!AM4+Marcos!AM4+Carlos!AM4+Alessandro!AM4</f>
        <v>0</v>
      </c>
      <c r="J4" s="45">
        <f>Diego!AX4+Aelton!AX4+Leonam!AX4+Danilo!Z4+Marcos!AX4+Carlos!AX4+Alessandro!AX4</f>
        <v>0</v>
      </c>
      <c r="K4" s="45">
        <f>Diego!BD4+Aelton!BD4+Leonam!BD4+Danilo!BD4+Marcos!BD4+Carlos!BD4+Alessandro!BD4</f>
        <v>0</v>
      </c>
    </row>
    <row r="5" spans="1:11" x14ac:dyDescent="0.25">
      <c r="A5" s="75" t="s">
        <v>16</v>
      </c>
      <c r="B5" s="52" t="s">
        <v>21</v>
      </c>
      <c r="C5" s="46">
        <f>Diego!H5+Aelton!H5+Leonam!H5+Danilo!H5+Marcos!H5+Carlos!H5+Alessandro!H5</f>
        <v>0</v>
      </c>
      <c r="D5" s="46">
        <f>Diego!N5+Aelton!N5+Leonam!N5+Danilo!N5+Marcos!N5+Carlos!N5+Alessandro!N5</f>
        <v>0</v>
      </c>
      <c r="E5" s="46">
        <f>Diego!T5+Aelton!T5+Leonam!T5+Danilo!T5+Marcos!T5+Carlos!T5+Alessandro!T5</f>
        <v>0</v>
      </c>
      <c r="F5" s="46">
        <f>Diego!Z5+Aelton!Z5+Leonam!Z5+Danilo!Z5+Marcos!Z5+Carlos!Z5+Alessandro!Z5</f>
        <v>0</v>
      </c>
      <c r="G5" s="46">
        <f>Diego!AF5+Aelton!AF5+Leonam!AF5+Danilo!AF5+Marcos!AF5+Carlos!AF5+Alessandro!AF5</f>
        <v>0</v>
      </c>
      <c r="H5" s="46">
        <f>Diego!AL5+Aelton!AL5+Leonam!AL5+Danilo!AL5+Marcos!AL5+Carlos!AL5+Alessandro!AL5</f>
        <v>0</v>
      </c>
      <c r="I5" s="46">
        <f>Diego!AR5+Aelton!AR5+Leonam!AR5+Danilo!AR5+Marcos!AR5+Carlos!AR5+Alessandro!AR5</f>
        <v>8</v>
      </c>
      <c r="J5" s="46">
        <f>Diego!AX5+Aelton!AX5+Leonam!AX5+Danilo!AX5+Marcos!AX5+Carlos!AX5+Alessandro!AX5</f>
        <v>0</v>
      </c>
      <c r="K5" s="46">
        <f>Diego!BD5+Aelton!BD5+Leonam!BD5+Danilo!BD5+Marcos!BD5+Carlos!BD5+Alessandro!BD5</f>
        <v>0</v>
      </c>
    </row>
    <row r="6" spans="1:11" ht="24" x14ac:dyDescent="0.25">
      <c r="A6" s="74" t="s">
        <v>1</v>
      </c>
      <c r="B6" s="54" t="s">
        <v>23</v>
      </c>
      <c r="C6" s="45">
        <f>Diego!H6+Aelton!H6+Leonam!H6+Danilo!H6+Marcos!H6+Carlos!H6+Alessandro!H6</f>
        <v>10</v>
      </c>
      <c r="D6" s="45">
        <f>Diego!N6+Aelton!N6+Leonam!N6+Danilo!N6+Marcos!N6+Carlos!N6+Alessandro!N6</f>
        <v>8</v>
      </c>
      <c r="E6" s="45">
        <f>Diego!T6+Aelton!T6+Leonam!T6+Danilo!T6+Marcos!T6+Carlos!T6+Alessandro!T6</f>
        <v>2</v>
      </c>
      <c r="F6" s="45">
        <f>Diego!Z6+Aelton!Z6+Leonam!Z6+Danilo!Z6+Marcos!Z6+Carlos!Z6+Alessandro!Z6</f>
        <v>2</v>
      </c>
      <c r="G6" s="45">
        <f>Diego!AF6+Aelton!AF6+Leonam!AF6+Danilo!AF6+Marcos!AF6+Carlos!AF6+Alessandro!AF6</f>
        <v>12</v>
      </c>
      <c r="H6" s="45">
        <f>Diego!AL6+Aelton!AL6+Leonam!AL6+Danilo!AL6+Marcos!AL6+Carlos!AL6+Alessandro!AL6</f>
        <v>30</v>
      </c>
      <c r="I6" s="45">
        <f>Diego!AR6+Aelton!AR6+Leonam!AR6+Danilo!AR6+Marcos!AR6+Carlos!AR6+Alessandro!AR6</f>
        <v>0</v>
      </c>
      <c r="J6" s="45">
        <f>Diego!AX6+Aelton!AX6+Leonam!AX6+Danilo!AX6+Marcos!AX6+Carlos!AX6+Alessandro!AX6</f>
        <v>0</v>
      </c>
      <c r="K6" s="45">
        <f>Diego!BD6+Aelton!BD6+Leonam!BD6+Danilo!BD6+Marcos!BD6+Carlos!BD6+Alessandro!BD6</f>
        <v>0</v>
      </c>
    </row>
    <row r="7" spans="1:11" x14ac:dyDescent="0.25">
      <c r="A7" s="75" t="s">
        <v>2</v>
      </c>
      <c r="B7" s="52" t="s">
        <v>24</v>
      </c>
      <c r="C7" s="46">
        <f>Diego!H7+Aelton!H7+Leonam!H7+Danilo!H7+Marcos!H7+Carlos!H7+Alessandro!H7</f>
        <v>256</v>
      </c>
      <c r="D7" s="46">
        <f>Diego!N7+Aelton!N7+Leonam!N7+Danilo!N7+Marcos!N7+Carlos!N7+Alessandro!N7</f>
        <v>118</v>
      </c>
      <c r="E7" s="46">
        <f>Diego!T7+Aelton!T7+Leonam!T7+Danilo!T7+Marcos!T7+Carlos!T7+Alessandro!T7</f>
        <v>30</v>
      </c>
      <c r="F7" s="46">
        <f>Diego!Z7+Aelton!Z7+Leonam!Z7+Danilo!Z7+Marcos!Z7+Carlos!Z7+Alessandro!Z7</f>
        <v>34</v>
      </c>
      <c r="G7" s="46">
        <f>Diego!AF7+Aelton!AF7+Leonam!AF7+Danilo!AF7+Marcos!AF7+Carlos!AF7+Alessandro!AF7</f>
        <v>0</v>
      </c>
      <c r="H7" s="46">
        <f>Diego!AL7+Aelton!AL7+Leonam!AL7+Danilo!AL7+Marcos!AL7+Carlos!AL7+Alessandro!AL7</f>
        <v>0</v>
      </c>
      <c r="I7" s="46">
        <f>Diego!AR7+Aelton!AR7+Leonam!AR7+Danilo!AR7+Marcos!AR7+Carlos!AR7+Alessandro!AR7</f>
        <v>0</v>
      </c>
      <c r="J7" s="46">
        <f>Diego!AX7+Aelton!AX7+Leonam!AX7+Danilo!AX7+Marcos!AX7+Carlos!AX7+Alessandro!AX7</f>
        <v>0</v>
      </c>
      <c r="K7" s="46">
        <f>Diego!BD7+Aelton!BD7+Leonam!BD7+Danilo!BD7+Marcos!BD7+Carlos!BD7+Alessandro!BD7</f>
        <v>0</v>
      </c>
    </row>
    <row r="8" spans="1:11" ht="24" x14ac:dyDescent="0.25">
      <c r="A8" s="74" t="s">
        <v>3</v>
      </c>
      <c r="B8" s="54" t="s">
        <v>25</v>
      </c>
      <c r="C8" s="45">
        <f>Diego!H8+Aelton!H8+Leonam!H8+Danilo!H8+Marcos!H8+Carlos!H8+Alessandro!H8</f>
        <v>123</v>
      </c>
      <c r="D8" s="45">
        <f>Diego!N8+Aelton!N8+Leonam!N8+Danilo!N8+Marcos!N8+Carlos!N8+Alessandro!N8</f>
        <v>52</v>
      </c>
      <c r="E8" s="45">
        <f>Diego!T8+Aelton!T8+Leonam!T8+Danilo!T8+Marcos!T8+Carlos!T8+Alessandro!T8</f>
        <v>0</v>
      </c>
      <c r="F8" s="45">
        <f>Diego!Z8+Aelton!Z8+Leonam!Z8+Danilo!Z8+Marcos!Z8+Carlos!Z8+Alessandro!Z8</f>
        <v>0</v>
      </c>
      <c r="G8" s="45">
        <f>Diego!AF8+Aelton!AF8+Leonam!AF8+Danilo!AF8+Marcos!AF8+Carlos!AF8+Alessandro!AF8</f>
        <v>0</v>
      </c>
      <c r="H8" s="45">
        <f>Diego!AL8+Aelton!AL8+Leonam!AL8+Danilo!AL8+Marcos!AL8+Carlos!AL8+Alessandro!AL8</f>
        <v>30</v>
      </c>
      <c r="I8" s="45">
        <f>Diego!AR8+Aelton!AR8+Leonam!AR8+Danilo!AR8+Marcos!AR8+Carlos!AR8+Alessandro!AR8</f>
        <v>0</v>
      </c>
      <c r="J8" s="45">
        <f>Diego!AX8+Aelton!AX8+Leonam!AX8+Danilo!AX8+Marcos!AX8+Carlos!AX8+Alessandro!AX8</f>
        <v>0</v>
      </c>
      <c r="K8" s="45">
        <f>Diego!BD8+Aelton!BD8+Leonam!BD8+Danilo!BD8+Marcos!BD8+Carlos!BD8+Alessandro!BD8</f>
        <v>0</v>
      </c>
    </row>
    <row r="9" spans="1:11" x14ac:dyDescent="0.25">
      <c r="A9" s="75" t="s">
        <v>26</v>
      </c>
      <c r="B9" s="52" t="s">
        <v>24</v>
      </c>
      <c r="C9" s="46">
        <f>Diego!H9+Aelton!H9+Leonam!H9+Danilo!H9+Marcos!H9+Carlos!H9+Alessandro!H9</f>
        <v>123</v>
      </c>
      <c r="D9" s="46">
        <f>Diego!N9+Aelton!N9+Leonam!N9+Danilo!N9+Marcos!N9+Carlos!N9+Alessandro!N9</f>
        <v>83</v>
      </c>
      <c r="E9" s="46">
        <f>Diego!T9+Aelton!T9+Leonam!T9+Danilo!T9+Marcos!T9+Carlos!T9+Alessandro!T9</f>
        <v>0</v>
      </c>
      <c r="F9" s="46">
        <f>Diego!Z9+Aelton!Z9+Leonam!Z9+Danilo!Z9+Marcos!Z9+Carlos!Z9+Alessandro!Z9</f>
        <v>4</v>
      </c>
      <c r="G9" s="46">
        <f>Diego!AF9+Aelton!AF9+Leonam!AF9+Danilo!AF9+Marcos!AF9+Carlos!AF9+Alessandro!AF9</f>
        <v>24</v>
      </c>
      <c r="H9" s="46">
        <f>Diego!AL9+Aelton!AL9+Leonam!AL9+Danilo!AL9+Marcos!AL9+Carlos!AL9+Alessandro!AL9</f>
        <v>13</v>
      </c>
      <c r="I9" s="46">
        <f>Diego!AR9+Aelton!AR9+Leonam!AR9+Danilo!AR9+Marcos!AR9+Carlos!AR9+Alessandro!AR9</f>
        <v>22</v>
      </c>
      <c r="J9" s="46">
        <f>Diego!AX9+Aelton!AX9+Leonam!AX9+Danilo!AX9+Marcos!AX9+Carlos!AX9+Alessandro!AX9</f>
        <v>15</v>
      </c>
      <c r="K9" s="46">
        <f>Diego!BD9+Aelton!BD9+Leonam!BD9+Danilo!BD9+Marcos!BD9+Carlos!BD9+Alessandro!BD9</f>
        <v>0</v>
      </c>
    </row>
    <row r="10" spans="1:11" x14ac:dyDescent="0.25">
      <c r="A10" s="74" t="s">
        <v>12</v>
      </c>
      <c r="B10" s="53" t="s">
        <v>24</v>
      </c>
      <c r="C10" s="45">
        <f>Diego!H10+Aelton!H10+Leonam!H10+Danilo!H10+Marcos!H10+Carlos!H10+Alessandro!H10</f>
        <v>0</v>
      </c>
      <c r="D10" s="45">
        <f>Diego!N10+Aelton!N10+Leonam!N10+Danilo!N10+Marcos!N10+Carlos!N10+Alessandro!N10</f>
        <v>23</v>
      </c>
      <c r="E10" s="45">
        <f>Diego!T10+Aelton!T10+Leonam!T10+Danilo!T10+Marcos!T10+Carlos!T10+Alessandro!T10</f>
        <v>0</v>
      </c>
      <c r="F10" s="45">
        <f>Diego!Z10+Aelton!Z10+Leonam!Z10+Danilo!Z10+Marcos!Z10+Carlos!Z10+Alessandro!Z10</f>
        <v>6</v>
      </c>
      <c r="G10" s="45">
        <f>Diego!AF10+Aelton!AF10+Leonam!AF10+Danilo!AF10+Marcos!AF10+Carlos!AF10+Alessandro!AF10</f>
        <v>12</v>
      </c>
      <c r="H10" s="45">
        <f>Diego!AL10+Aelton!AL10+Leonam!AL10+Danilo!AL10+Marcos!AL10+Carlos!AL10+Alessandro!AL10</f>
        <v>13</v>
      </c>
      <c r="I10" s="45">
        <f>Diego!AR10+Aelton!AR10+Leonam!AR10+Danilo!AR10+Marcos!AR10+Carlos!AR10+Alessandro!AR10</f>
        <v>22</v>
      </c>
      <c r="J10" s="45">
        <f>Diego!AX10+Aelton!AX10+Leonam!AX10+Danilo!AX10+Marcos!AX10+Carlos!AX10+Alessandro!AX10</f>
        <v>15</v>
      </c>
      <c r="K10" s="45">
        <f>Diego!BD10+Aelton!BD10+Leonam!BD10+Danilo!BD10+Marcos!BD10+Carlos!BD10+Alessandro!BD10</f>
        <v>0</v>
      </c>
    </row>
    <row r="11" spans="1:11" x14ac:dyDescent="0.25">
      <c r="A11" s="76" t="s">
        <v>4</v>
      </c>
      <c r="B11" s="55" t="s">
        <v>24</v>
      </c>
      <c r="C11" s="46">
        <f>Diego!H11+Aelton!H11+Leonam!H11+Danilo!H11+Marcos!H11+Carlos!H11+Alessandro!H11</f>
        <v>28</v>
      </c>
      <c r="D11" s="46">
        <f>Diego!N11+Aelton!N11+Leonam!N11+Danilo!N11+Marcos!N11+Carlos!N11+Alessandro!N11</f>
        <v>56</v>
      </c>
      <c r="E11" s="46">
        <f>Diego!T11+Aelton!T11+Leonam!T11+Danilo!T11+Marcos!T11+Carlos!T11+Alessandro!T11</f>
        <v>13</v>
      </c>
      <c r="F11" s="46">
        <f>Diego!Z11+Leonam!Z11+Danilo!Z11+Marcos!Z11+Alessandro!AX11</f>
        <v>49</v>
      </c>
      <c r="G11" s="46">
        <f>Diego!AF11+Aelton!AF11+Leonam!AF11+Danilo!AF11+Marcos!AF11+Carlos!AF11+Alessandro!AF11</f>
        <v>67</v>
      </c>
      <c r="H11" s="46">
        <f>Diego!AL11+Aelton!AL11+Leonam!AL11+Danilo!AL11+Marcos!AL11+Carlos!AL11+Alessandro!AL11</f>
        <v>9</v>
      </c>
      <c r="I11" s="46">
        <f>Diego!AR11+Aelton!AR11+Leonam!AR11+Danilo!AR11+Marcos!AR11+Carlos!AR11+Alessandro!AR11</f>
        <v>43</v>
      </c>
      <c r="J11" s="46">
        <f>Diego!AX11+Aelton!AX11+Leonam!AX11+Danilo!AX11+Marcos!AX11+Carlos!AX11+Alessandro!AX11</f>
        <v>25</v>
      </c>
      <c r="K11" s="46">
        <f>Diego!BD11+Aelton!BD11+Leonam!BD11+Danilo!BD11+Marcos!BD11+Carlos!BD11+Alessandro!BD11</f>
        <v>10</v>
      </c>
    </row>
    <row r="12" spans="1:11" x14ac:dyDescent="0.25">
      <c r="A12" s="74" t="s">
        <v>5</v>
      </c>
      <c r="B12" s="54" t="s">
        <v>24</v>
      </c>
      <c r="C12" s="45">
        <f>Diego!H12+Aelton!H12+Leonam!H12+Danilo!H12+Marcos!H12+Carlos!H12+Alessandro!H12</f>
        <v>543</v>
      </c>
      <c r="D12" s="45">
        <f>Diego!N12+Aelton!N12+Leonam!N12+Danilo!N12+Marcos!N12+Carlos!N12+Alessandro!N12</f>
        <v>685</v>
      </c>
      <c r="E12" s="45">
        <f>Diego!T12+Aelton!T12+Leonam!T12+Danilo!T12+Marcos!T12+Carlos!T12+Alessandro!T12</f>
        <v>314</v>
      </c>
      <c r="F12" s="45">
        <f>Diego!Z12+Aelton!Z12+Leonam!AF12+Danilo!AF12+Marcos!AF12+Alessandro!Z12</f>
        <v>1793</v>
      </c>
      <c r="G12" s="45">
        <f>Diego!AF12+Aelton!AF12+Leonam!AF12+Danilo!AF12+Marcos!AF12+Carlos!AF12+Alessandro!AF12</f>
        <v>2162</v>
      </c>
      <c r="H12" s="45">
        <f>Diego!AL12+Aelton!AL12+Leonam!AL12+Danilo!AL12+Marcos!AL12+Carlos!AL12+Alessandro!AL12</f>
        <v>304</v>
      </c>
      <c r="I12" s="45">
        <f>Diego!AR12+Aelton!AR12+Leonam!AR12+Danilo!AR12+Marcos!AR12+Carlos!AR12+Alessandro!AR12</f>
        <v>1511</v>
      </c>
      <c r="J12" s="45">
        <f>Diego!AX12+Aelton!AX12+Leonam!AX12+Danilo!AX12+Marcos!AX12+Carlos!AX12+Alessandro!AX12</f>
        <v>958</v>
      </c>
      <c r="K12" s="45">
        <f>Diego!BD12+Aelton!BD12+Leonam!BD12+Danilo!BD12+Marcos!BD12+Carlos!BD12+Alessandro!BD12</f>
        <v>578</v>
      </c>
    </row>
    <row r="13" spans="1:11" x14ac:dyDescent="0.25">
      <c r="A13" s="75" t="s">
        <v>8</v>
      </c>
      <c r="B13" s="52" t="s">
        <v>21</v>
      </c>
      <c r="C13" s="46">
        <f>Diego!H13+Aelton!H13+Leonam!H13+Danilo!H13+Marcos!H13+Carlos!H13+Alessandro!H13</f>
        <v>2</v>
      </c>
      <c r="D13" s="46">
        <f>Diego!N13+Aelton!N13+Leonam!N13+Danilo!N13+Marcos!N13+Carlos!N13+Alessandro!N13</f>
        <v>5</v>
      </c>
      <c r="E13" s="46">
        <f>Diego!T13+Aelton!T13+Leonam!T13+Danilo!T13+Marcos!T13+Carlos!T13+Alessandro!T13+Patrícia!T13</f>
        <v>1</v>
      </c>
      <c r="F13" s="46">
        <f>Patrícia!Z13+Danilo!Z13+Alessandro!Z13</f>
        <v>3</v>
      </c>
      <c r="G13" s="46">
        <f>Diego!AF13+Aelton!AF13+Leonam!AF13+Danilo!AF13+Marcos!AF13+Carlos!AF13+Alessandro!AF13</f>
        <v>4</v>
      </c>
      <c r="H13" s="46">
        <f>Patrícia!AL13+Marcelo!AL13+Diego!AL13+Aelton!AL13+Leonam!AL13+Danilo!AL13+Marcos!AL13+Carlos!AL13+Alessandro!AL13</f>
        <v>3</v>
      </c>
      <c r="I13" s="46">
        <f>Diego!AR13+Aelton!AR13+Leonam!AR13+Danilo!AR13+Marcos!AR13+Carlos!AR13+Alessandro!AR13+Patrícia!AR13+Marcelo!AR13</f>
        <v>1</v>
      </c>
      <c r="J13" s="46">
        <f>Patrícia!AX13+Marcelo!AX13+Diego!AX13+Aelton!AX13+Leonam!AX13+Danilo!AX13+Marcos!AX13+Carlos!AX13+Alessandro!AX13</f>
        <v>0</v>
      </c>
      <c r="K13" s="46">
        <f>Patrícia!BD13+Marcelo!BD13+Diego!BD13+Aelton!BD13+Leonam!BD13+Danilo!BD13+Marcos!BD13+Carlos!BD13+Alessandro!BD13</f>
        <v>2</v>
      </c>
    </row>
    <row r="14" spans="1:11" x14ac:dyDescent="0.25">
      <c r="A14" s="74" t="s">
        <v>6</v>
      </c>
      <c r="B14" s="54" t="s">
        <v>27</v>
      </c>
      <c r="C14" s="45">
        <f>Diego!H14+Aelton!H14+Leonam!H14+Danilo!H14+Marcos!H14+Carlos!H14+Alessandro!H14</f>
        <v>0</v>
      </c>
      <c r="D14" s="45">
        <f>Diego!N14+Aelton!N14+Leonam!N14+Danilo!N14+Marcos!N14+Carlos!N14+Alessandro!N14</f>
        <v>1</v>
      </c>
      <c r="E14" s="45">
        <f>Diego!T14+Aelton!T14+Leonam!T14+Danilo!T14+Marcos!T14+Carlos!T14+Alessandro!T14</f>
        <v>0</v>
      </c>
      <c r="F14" s="45">
        <f>Diego!Z14+Aelton!Z14+Leonam!Z14+Danilo!Z14+Marcos!Z14+Carlos!Z14+Alessandro!Z14</f>
        <v>0</v>
      </c>
      <c r="G14" s="45">
        <f>Diego!AF14+Aelton!AF14+Leonam!AF14+Danilo!AF14+Marcos!AF14+Carlos!AF14+Alessandro!AF14</f>
        <v>0</v>
      </c>
      <c r="H14" s="45">
        <f>Diego!AL14+Aelton!AL14+Leonam!AL14+Danilo!AL14+Marcos!AL14+Carlos!AL14+Alessandro!AL14</f>
        <v>0</v>
      </c>
      <c r="I14" s="45">
        <f>Patrícia!AR14+Marcelo!AR14</f>
        <v>0</v>
      </c>
      <c r="J14" s="45">
        <f>Patrícia!AX14+Marcelo!AX14</f>
        <v>0</v>
      </c>
      <c r="K14" s="45">
        <f>Patrícia!BD14+Marcelo!BD14</f>
        <v>0</v>
      </c>
    </row>
    <row r="15" spans="1:11" ht="24" x14ac:dyDescent="0.25">
      <c r="A15" s="73" t="s">
        <v>19</v>
      </c>
      <c r="B15" s="52" t="s">
        <v>28</v>
      </c>
      <c r="C15" s="46">
        <f>Diego!H15+Aelton!H15+Leonam!H15+Danilo!H15+Marcos!H15+Carlos!H15+Alessandro!H15</f>
        <v>259</v>
      </c>
      <c r="D15" s="46">
        <f>Diego!N15+Aelton!N15+Leonam!N15+Danilo!N15+Marcos!N15+Carlos!N15+Alessandro!N15</f>
        <v>603</v>
      </c>
      <c r="E15" s="46">
        <f>Diego!T15+Aelton!T15+Leonam!T15+Danilo!T15+Marcos!T15+Carlos!T15+Alessandro!T15</f>
        <v>11</v>
      </c>
      <c r="F15" s="46">
        <f>Diego!Z15+Aelton!Z15+Leonam!Z15+Danilo!Z15+Marcos!Z15+Carlos!Z15+Alessandro!Z15</f>
        <v>19</v>
      </c>
      <c r="G15" s="46">
        <f>Diego!AF15+Aelton!AF15+Leonam!AF15+Danilo!AF15+Marcos!AF15+Carlos!AF15+Alessandro!AF15</f>
        <v>11</v>
      </c>
      <c r="H15" s="46">
        <f>Diego!AL15+Aelton!AL15+Leonam!AL15+Danilo!AL15+Marcos!AL15+Carlos!AL15+Alessandro!AL15</f>
        <v>318</v>
      </c>
      <c r="I15" s="46">
        <v>71</v>
      </c>
      <c r="J15" s="46">
        <f>Diego!AX15+Aelton!AX15+Leonam!AX15+Danilo!AX15+Marcos!AX15+Carlos!AX15+Alessandro!AX15</f>
        <v>114</v>
      </c>
      <c r="K15" s="46">
        <f>Diego!BD15+Aelton!BD15+Leonam!BD15+Danilo!BD15+Marcos!BD15+Carlos!BD15+Alessandro!BD15</f>
        <v>64</v>
      </c>
    </row>
    <row r="16" spans="1:11" ht="24" x14ac:dyDescent="0.25">
      <c r="A16" s="72" t="s">
        <v>14</v>
      </c>
      <c r="B16" s="54" t="s">
        <v>29</v>
      </c>
      <c r="C16" s="45">
        <f>Diego!H16+Aelton!H16+Leonam!H16+Danilo!H16+Marcos!H16+Carlos!H16+Alessandro!H16</f>
        <v>38881</v>
      </c>
      <c r="D16" s="45">
        <f>Diego!N16+Aelton!N16+Leonam!N16+Danilo!N16+Marcos!N16+Carlos!N16+Alessandro!N16</f>
        <v>11355</v>
      </c>
      <c r="E16" s="45">
        <f>Diego!T16+Aelton!T16+Leonam!T16+Danilo!T16+Marcos!T16+Carlos!T16+Alessandro!T16</f>
        <v>0</v>
      </c>
      <c r="F16" s="45">
        <f>Diego!Z16+Aelton!Z16+Leonam!Z16+Danilo!Z16+Marcos!Z16+Carlos!Z16+Alessandro!Z16</f>
        <v>9</v>
      </c>
      <c r="G16" s="45">
        <f>Diego!AF16+Aelton!AF16+Leonam!AF16+Danilo!AF16+Marcos!AF16+Carlos!AF16+Alessandro!AF16</f>
        <v>0</v>
      </c>
      <c r="H16" s="45">
        <f>Diego!AL16+Aelton!AL16+Leonam!AL16+Danilo!AL16+Marcos!AL16+Carlos!AL16+Alessandro!AL16</f>
        <v>60</v>
      </c>
      <c r="I16" s="45">
        <f>Diego!AR16+Aelton!AR16+Leonam!AR16+Danilo!AR16+Marcos!AR16+Carlos!AR16+Alessandro!AR16</f>
        <v>1736</v>
      </c>
      <c r="J16" s="45">
        <f>Diego!AX16+Aelton!AX16+Leonam!AX16+Danilo!AX16+Marcos!AX16+Carlos!AX16+Alessandro!AX16</f>
        <v>13</v>
      </c>
      <c r="K16" s="45">
        <f>Diego!BD16+Aelton!BD16+Leonam!BD16+Danilo!BD16+Marcos!BD16+Carlos!BD16+Alessandro!BD16</f>
        <v>4</v>
      </c>
    </row>
    <row r="17" spans="1:2" x14ac:dyDescent="0.25">
      <c r="A17" s="1" t="s">
        <v>11</v>
      </c>
      <c r="B17" s="1"/>
    </row>
    <row r="18" spans="1:2" x14ac:dyDescent="0.25">
      <c r="A18" s="1" t="s">
        <v>10</v>
      </c>
      <c r="B18" s="1"/>
    </row>
    <row r="20" spans="1:2" x14ac:dyDescent="0.25">
      <c r="A20" s="9"/>
    </row>
    <row r="22" spans="1:2" x14ac:dyDescent="0.25">
      <c r="A22" s="10"/>
    </row>
    <row r="23" spans="1:2" x14ac:dyDescent="0.25">
      <c r="A23" s="11"/>
    </row>
  </sheetData>
  <customSheetViews>
    <customSheetView guid="{3D987F8E-A6EA-454D-9537-6BFC5053CB00}" scale="130">
      <pane xSplit="1" topLeftCell="C1" activePane="topRight" state="frozen"/>
      <selection pane="topRight" activeCell="I17" sqref="I17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 topLeftCell="B1">
      <selection activeCell="H7" sqref="H7"/>
      <pageMargins left="0.511811024" right="0.511811024" top="0.78740157499999996" bottom="0.78740157499999996" header="0.31496062000000002" footer="0.31496062000000002"/>
      <autoFilter ref="A1:A18" xr:uid="{4CF68EC0-B663-4DC2-8B68-0009306085C4}"/>
    </customSheetView>
    <customSheetView guid="{18A482E0-C8B6-4AA1-9E04-15FA7C9CD5E3}">
      <pane xSplit="1" topLeftCell="B1" activePane="topRight" state="frozen"/>
      <selection pane="topRight" activeCell="B7" sqref="B7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E3" sqref="E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18"/>
  <sheetViews>
    <sheetView zoomScale="90" zoomScaleNormal="90" workbookViewId="0">
      <pane xSplit="1" topLeftCell="AO1" activePane="topRight" state="frozen"/>
      <selection pane="topRight" activeCell="BD6" sqref="BD6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6" width="7.140625" style="1" bestFit="1" customWidth="1"/>
    <col min="17" max="17" width="14.5703125" style="1" customWidth="1"/>
    <col min="18" max="18" width="7.140625" style="1" bestFit="1" customWidth="1"/>
    <col min="19" max="19" width="7.5703125" style="1" customWidth="1"/>
    <col min="20" max="20" width="14.28515625" style="1" bestFit="1" customWidth="1"/>
    <col min="21" max="21" width="7.140625" style="1" bestFit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13.140625" style="1" customWidth="1"/>
    <col min="28" max="31" width="9.140625" style="1"/>
    <col min="32" max="32" width="15.28515625" style="1" customWidth="1"/>
    <col min="33" max="33" width="19.42578125" style="1" customWidth="1"/>
    <col min="34" max="35" width="9.140625" style="1"/>
    <col min="36" max="36" width="6.85546875" style="1" customWidth="1"/>
    <col min="37" max="37" width="16.5703125" style="1" customWidth="1"/>
    <col min="38" max="38" width="17.42578125" style="1" customWidth="1"/>
    <col min="39" max="39" width="16.42578125" style="1" customWidth="1"/>
    <col min="40" max="40" width="13.85546875" style="1" customWidth="1"/>
    <col min="41" max="41" width="16.140625" style="1" customWidth="1"/>
    <col min="42" max="42" width="13.42578125" style="1" customWidth="1"/>
    <col min="43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31"/>
      <c r="C1" s="32">
        <v>45810</v>
      </c>
      <c r="D1" s="33">
        <v>45811</v>
      </c>
      <c r="E1" s="33">
        <v>45812</v>
      </c>
      <c r="F1" s="33">
        <v>45813</v>
      </c>
      <c r="G1" s="33">
        <v>45814</v>
      </c>
      <c r="H1" s="34" t="s">
        <v>15</v>
      </c>
      <c r="I1" s="33">
        <v>45817</v>
      </c>
      <c r="J1" s="33">
        <v>45818</v>
      </c>
      <c r="K1" s="33">
        <v>45819</v>
      </c>
      <c r="L1" s="33">
        <v>45820</v>
      </c>
      <c r="M1" s="33">
        <v>45821</v>
      </c>
      <c r="N1" s="35" t="s">
        <v>15</v>
      </c>
      <c r="O1" s="33">
        <v>45824</v>
      </c>
      <c r="P1" s="33">
        <v>45825</v>
      </c>
      <c r="Q1" s="33">
        <v>45826</v>
      </c>
      <c r="R1" s="33">
        <v>45827</v>
      </c>
      <c r="S1" s="33">
        <v>45828</v>
      </c>
      <c r="T1" s="35" t="s">
        <v>15</v>
      </c>
      <c r="U1" s="33">
        <v>45831</v>
      </c>
      <c r="V1" s="33">
        <v>45832</v>
      </c>
      <c r="W1" s="33">
        <v>45833</v>
      </c>
      <c r="X1" s="33">
        <v>45834</v>
      </c>
      <c r="Y1" s="33">
        <v>45835</v>
      </c>
      <c r="Z1" s="35" t="s">
        <v>15</v>
      </c>
      <c r="AA1" s="33">
        <v>45838</v>
      </c>
      <c r="AB1" s="33">
        <v>45839</v>
      </c>
      <c r="AC1" s="33">
        <v>45840</v>
      </c>
      <c r="AD1" s="33">
        <v>45841</v>
      </c>
      <c r="AE1" s="33">
        <v>45842</v>
      </c>
      <c r="AF1" s="35" t="s">
        <v>15</v>
      </c>
      <c r="AG1" s="33">
        <v>45845</v>
      </c>
      <c r="AH1" s="33">
        <v>45846</v>
      </c>
      <c r="AI1" s="33" t="s">
        <v>133</v>
      </c>
      <c r="AJ1" s="33">
        <v>45848</v>
      </c>
      <c r="AK1" s="33">
        <v>45849</v>
      </c>
      <c r="AL1" s="35" t="s">
        <v>15</v>
      </c>
      <c r="AM1" s="33">
        <v>45852</v>
      </c>
      <c r="AN1" s="33">
        <v>45853</v>
      </c>
      <c r="AO1" s="33">
        <v>45854</v>
      </c>
      <c r="AP1" s="33">
        <v>45855</v>
      </c>
      <c r="AQ1" s="33">
        <v>45856</v>
      </c>
      <c r="AR1" s="36" t="s">
        <v>15</v>
      </c>
      <c r="AS1" s="33">
        <v>45859</v>
      </c>
      <c r="AT1" s="33">
        <v>45860</v>
      </c>
      <c r="AU1" s="33">
        <v>45861</v>
      </c>
      <c r="AV1" s="33">
        <v>45862</v>
      </c>
      <c r="AW1" s="33">
        <v>45863</v>
      </c>
      <c r="AX1" s="36" t="s">
        <v>15</v>
      </c>
      <c r="AY1" s="33">
        <v>45866</v>
      </c>
      <c r="AZ1" s="33">
        <v>45867</v>
      </c>
      <c r="BA1" s="33">
        <v>45868</v>
      </c>
      <c r="BB1" s="33">
        <v>45869</v>
      </c>
      <c r="BC1" s="33">
        <v>45870</v>
      </c>
      <c r="BD1" s="37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D2" s="1">
        <v>2</v>
      </c>
      <c r="AF2" s="25">
        <f>SUM(AA2:AE2)</f>
        <v>2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D3" s="1">
        <v>30</v>
      </c>
      <c r="AF3" s="25">
        <f t="shared" ref="AF3:AF16" si="4">SUM(AA3:AE3)</f>
        <v>30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2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N5" s="1">
        <v>7</v>
      </c>
      <c r="AR5" s="29">
        <f t="shared" si="6"/>
        <v>7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B6" s="1">
        <v>12</v>
      </c>
      <c r="AF6" s="25">
        <f t="shared" si="4"/>
        <v>12</v>
      </c>
      <c r="AG6" s="1">
        <v>20</v>
      </c>
      <c r="AL6" s="25">
        <f t="shared" si="5"/>
        <v>20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D8" s="1">
        <v>9</v>
      </c>
      <c r="E8" s="1">
        <v>34</v>
      </c>
      <c r="H8" s="25">
        <f t="shared" si="1"/>
        <v>43</v>
      </c>
      <c r="K8" s="1">
        <v>20</v>
      </c>
      <c r="L8" s="1">
        <v>14</v>
      </c>
      <c r="N8" s="25">
        <f t="shared" si="2"/>
        <v>34</v>
      </c>
      <c r="T8" s="25">
        <f t="shared" si="0"/>
        <v>0</v>
      </c>
      <c r="Z8" s="25">
        <f t="shared" si="3"/>
        <v>0</v>
      </c>
      <c r="AF8" s="25">
        <f t="shared" si="4"/>
        <v>0</v>
      </c>
      <c r="AG8" s="1">
        <v>20</v>
      </c>
      <c r="AL8" s="25">
        <f t="shared" si="5"/>
        <v>20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D9" s="1">
        <v>9</v>
      </c>
      <c r="E9" s="1">
        <v>34</v>
      </c>
      <c r="H9" s="25">
        <f t="shared" si="1"/>
        <v>43</v>
      </c>
      <c r="K9" s="1">
        <v>20</v>
      </c>
      <c r="L9" s="1">
        <v>14</v>
      </c>
      <c r="M9" s="1">
        <v>9</v>
      </c>
      <c r="N9" s="25">
        <f t="shared" si="2"/>
        <v>43</v>
      </c>
      <c r="T9" s="25">
        <f t="shared" si="0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W11" s="1">
        <v>2</v>
      </c>
      <c r="X11" s="1">
        <v>4</v>
      </c>
      <c r="Y11" s="1">
        <v>3</v>
      </c>
      <c r="Z11" s="25">
        <f t="shared" si="3"/>
        <v>9</v>
      </c>
      <c r="AA11" s="1">
        <v>2</v>
      </c>
      <c r="AB11" s="1">
        <v>3</v>
      </c>
      <c r="AC11" s="1">
        <v>3</v>
      </c>
      <c r="AD11" s="1">
        <v>2</v>
      </c>
      <c r="AE11" s="1">
        <v>3</v>
      </c>
      <c r="AF11" s="25">
        <f t="shared" si="4"/>
        <v>13</v>
      </c>
      <c r="AH11" s="1">
        <v>2</v>
      </c>
      <c r="AJ11" s="1">
        <v>1</v>
      </c>
      <c r="AK11" s="1">
        <v>1</v>
      </c>
      <c r="AL11" s="25">
        <f t="shared" si="5"/>
        <v>4</v>
      </c>
      <c r="AN11" s="1">
        <v>1</v>
      </c>
      <c r="AO11" s="1">
        <v>1</v>
      </c>
      <c r="AP11" s="1">
        <v>1</v>
      </c>
      <c r="AQ11" s="1">
        <v>1</v>
      </c>
      <c r="AR11" s="29">
        <f t="shared" si="6"/>
        <v>4</v>
      </c>
      <c r="AS11" s="1" t="s">
        <v>131</v>
      </c>
      <c r="AT11" s="1">
        <v>1</v>
      </c>
      <c r="AU11" s="1">
        <v>1</v>
      </c>
      <c r="AV11" s="1">
        <v>1</v>
      </c>
      <c r="AX11" s="29">
        <f t="shared" si="7"/>
        <v>3</v>
      </c>
      <c r="AY11" s="1">
        <v>4</v>
      </c>
      <c r="AZ11" s="1">
        <v>3</v>
      </c>
      <c r="BD11" s="27">
        <f t="shared" si="8"/>
        <v>7</v>
      </c>
    </row>
    <row r="12" spans="1:56" ht="14.25" customHeight="1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W12" s="1">
        <v>78</v>
      </c>
      <c r="X12" s="1">
        <v>144</v>
      </c>
      <c r="Y12" s="1">
        <v>78</v>
      </c>
      <c r="Z12" s="25">
        <f t="shared" si="3"/>
        <v>300</v>
      </c>
      <c r="AA12" s="1">
        <v>72</v>
      </c>
      <c r="AB12" s="1">
        <v>96</v>
      </c>
      <c r="AC12" s="1">
        <v>97</v>
      </c>
      <c r="AD12" s="1">
        <v>34</v>
      </c>
      <c r="AE12" s="1">
        <v>96</v>
      </c>
      <c r="AF12" s="25">
        <f t="shared" si="4"/>
        <v>395</v>
      </c>
      <c r="AH12" s="1">
        <v>72</v>
      </c>
      <c r="AJ12" s="1">
        <v>34</v>
      </c>
      <c r="AK12" s="1">
        <v>30</v>
      </c>
      <c r="AL12" s="25">
        <f t="shared" si="5"/>
        <v>136</v>
      </c>
      <c r="AN12" s="1">
        <v>52</v>
      </c>
      <c r="AO12" s="1">
        <v>53</v>
      </c>
      <c r="AP12" s="1">
        <v>47</v>
      </c>
      <c r="AQ12" s="1">
        <v>52</v>
      </c>
      <c r="AR12" s="29">
        <f t="shared" si="6"/>
        <v>204</v>
      </c>
      <c r="AT12" s="1">
        <v>52</v>
      </c>
      <c r="AU12" s="1">
        <v>43</v>
      </c>
      <c r="AV12" s="1">
        <v>35</v>
      </c>
      <c r="AW12" s="1">
        <v>12</v>
      </c>
      <c r="AX12" s="29">
        <f t="shared" si="7"/>
        <v>142</v>
      </c>
      <c r="AY12" s="1">
        <v>118</v>
      </c>
      <c r="AZ12" s="1">
        <v>85</v>
      </c>
      <c r="BA12" s="1">
        <v>24</v>
      </c>
      <c r="BB12" s="1">
        <v>18</v>
      </c>
      <c r="BC12" s="1">
        <v>78</v>
      </c>
      <c r="BD12" s="27">
        <f t="shared" si="8"/>
        <v>323</v>
      </c>
    </row>
    <row r="13" spans="1:56" x14ac:dyDescent="0.25">
      <c r="A13" s="2" t="s">
        <v>8</v>
      </c>
      <c r="B13" s="24">
        <v>12</v>
      </c>
      <c r="C13" s="14"/>
      <c r="G13" s="1">
        <v>1</v>
      </c>
      <c r="H13" s="25">
        <f t="shared" si="1"/>
        <v>1</v>
      </c>
      <c r="J13" s="1">
        <v>1</v>
      </c>
      <c r="K13" s="1">
        <v>1</v>
      </c>
      <c r="M13" s="1">
        <v>1</v>
      </c>
      <c r="N13" s="25">
        <f t="shared" si="2"/>
        <v>3</v>
      </c>
      <c r="T13" s="25">
        <f t="shared" si="0"/>
        <v>0</v>
      </c>
      <c r="Z13" s="25">
        <f t="shared" si="3"/>
        <v>0</v>
      </c>
      <c r="AD13" s="1">
        <v>1</v>
      </c>
      <c r="AF13" s="25">
        <f t="shared" si="4"/>
        <v>1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L14" s="1">
        <v>1</v>
      </c>
      <c r="N14" s="25">
        <f t="shared" si="2"/>
        <v>1</v>
      </c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>
        <v>10</v>
      </c>
      <c r="D15" s="1">
        <v>30</v>
      </c>
      <c r="F15" s="1">
        <v>55</v>
      </c>
      <c r="H15" s="25">
        <f t="shared" si="1"/>
        <v>95</v>
      </c>
      <c r="J15" s="1">
        <v>140</v>
      </c>
      <c r="L15" s="1">
        <v>30</v>
      </c>
      <c r="M15" s="1">
        <v>27</v>
      </c>
      <c r="N15" s="25">
        <f t="shared" si="2"/>
        <v>197</v>
      </c>
      <c r="P15" s="1">
        <v>11</v>
      </c>
      <c r="T15" s="25">
        <f t="shared" si="0"/>
        <v>11</v>
      </c>
      <c r="Z15" s="25">
        <f t="shared" si="3"/>
        <v>0</v>
      </c>
      <c r="AF15" s="25">
        <f t="shared" si="4"/>
        <v>0</v>
      </c>
      <c r="AG15" s="1">
        <v>95</v>
      </c>
      <c r="AI15" s="1">
        <v>51</v>
      </c>
      <c r="AL15" s="25">
        <f t="shared" si="5"/>
        <v>146</v>
      </c>
      <c r="AM15" s="1">
        <v>40</v>
      </c>
      <c r="AN15" s="1">
        <v>20</v>
      </c>
      <c r="AP15" s="1">
        <v>11</v>
      </c>
      <c r="AR15" s="29">
        <f t="shared" si="6"/>
        <v>71</v>
      </c>
      <c r="AV15" s="1">
        <v>15</v>
      </c>
      <c r="AX15" s="29">
        <f t="shared" si="7"/>
        <v>15</v>
      </c>
      <c r="AY15" s="1">
        <v>22</v>
      </c>
      <c r="BA15" s="1">
        <v>14</v>
      </c>
      <c r="BD15" s="27">
        <f t="shared" si="8"/>
        <v>36</v>
      </c>
    </row>
    <row r="16" spans="1:56" x14ac:dyDescent="0.25">
      <c r="A16" s="20" t="s">
        <v>14</v>
      </c>
      <c r="B16" s="21">
        <v>15</v>
      </c>
      <c r="C16" s="16"/>
      <c r="D16" s="17"/>
      <c r="E16" s="17">
        <v>164</v>
      </c>
      <c r="F16" s="40">
        <v>2286</v>
      </c>
      <c r="G16" s="40">
        <v>15687</v>
      </c>
      <c r="H16" s="18">
        <f>SUM(C16:G16)</f>
        <v>18137</v>
      </c>
      <c r="I16" s="40">
        <v>3724</v>
      </c>
      <c r="J16" s="17"/>
      <c r="K16" s="17"/>
      <c r="L16" s="17"/>
      <c r="M16" s="17"/>
      <c r="N16" s="18">
        <f t="shared" si="2"/>
        <v>3724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18">
        <f t="shared" si="4"/>
        <v>0</v>
      </c>
      <c r="AG16" s="17"/>
      <c r="AH16" s="17"/>
      <c r="AI16" s="17"/>
      <c r="AJ16" s="17"/>
      <c r="AK16" s="17"/>
      <c r="AL16" s="18">
        <f t="shared" si="5"/>
        <v>0</v>
      </c>
      <c r="AM16" s="17"/>
      <c r="AN16" s="17"/>
      <c r="AO16" s="17"/>
      <c r="AP16" s="17"/>
      <c r="AQ16" s="17"/>
      <c r="AR16" s="30">
        <f t="shared" si="6"/>
        <v>0</v>
      </c>
      <c r="AS16" s="17"/>
      <c r="AT16" s="17"/>
      <c r="AU16" s="17"/>
      <c r="AV16" s="17"/>
      <c r="AW16" s="17"/>
      <c r="AX16" s="30">
        <f t="shared" si="7"/>
        <v>0</v>
      </c>
      <c r="AY16" s="17"/>
      <c r="AZ16" s="17"/>
      <c r="BA16" s="17"/>
      <c r="BB16" s="17"/>
      <c r="BC16" s="17"/>
      <c r="BD16" s="28">
        <f t="shared" si="8"/>
        <v>0</v>
      </c>
    </row>
    <row r="17" spans="1:54" ht="105" x14ac:dyDescent="0.25">
      <c r="A17" s="1" t="s">
        <v>11</v>
      </c>
      <c r="C17" s="4" t="s">
        <v>31</v>
      </c>
      <c r="D17" s="4"/>
      <c r="E17" s="4"/>
      <c r="F17" s="4" t="s">
        <v>31</v>
      </c>
      <c r="G17" s="4" t="s">
        <v>31</v>
      </c>
      <c r="H17" s="4"/>
      <c r="I17" s="4" t="s">
        <v>31</v>
      </c>
      <c r="J17" s="4" t="s">
        <v>31</v>
      </c>
      <c r="K17" s="4"/>
      <c r="M17" s="4"/>
      <c r="O17" s="4" t="s">
        <v>47</v>
      </c>
      <c r="Q17" s="4" t="s">
        <v>54</v>
      </c>
      <c r="R17" s="4" t="s">
        <v>52</v>
      </c>
      <c r="S17" s="4" t="s">
        <v>53</v>
      </c>
      <c r="U17" s="4" t="s">
        <v>54</v>
      </c>
      <c r="V17" s="4" t="s">
        <v>54</v>
      </c>
      <c r="W17" s="4" t="s">
        <v>54</v>
      </c>
      <c r="AA17" s="4" t="s">
        <v>31</v>
      </c>
      <c r="AD17" s="4" t="s">
        <v>89</v>
      </c>
      <c r="AG17" s="4" t="s">
        <v>94</v>
      </c>
      <c r="AK17" s="4" t="s">
        <v>100</v>
      </c>
      <c r="AM17" s="4" t="s">
        <v>103</v>
      </c>
      <c r="AS17" s="4" t="s">
        <v>123</v>
      </c>
      <c r="AT17" s="4" t="s">
        <v>103</v>
      </c>
      <c r="AV17" s="4" t="s">
        <v>31</v>
      </c>
      <c r="AW17" s="4" t="s">
        <v>129</v>
      </c>
      <c r="AZ17" s="4" t="s">
        <v>146</v>
      </c>
    </row>
    <row r="18" spans="1:54" ht="195" x14ac:dyDescent="0.25">
      <c r="A18" s="1" t="s">
        <v>10</v>
      </c>
      <c r="C18" s="4"/>
      <c r="J18" s="4" t="s">
        <v>39</v>
      </c>
      <c r="Q18" s="4" t="s">
        <v>55</v>
      </c>
      <c r="U18" s="4" t="s">
        <v>57</v>
      </c>
      <c r="W18" s="4" t="s">
        <v>76</v>
      </c>
      <c r="X18" s="4" t="s">
        <v>75</v>
      </c>
      <c r="Y18" s="4" t="s">
        <v>73</v>
      </c>
      <c r="Z18" s="4"/>
      <c r="AA18" s="4" t="s">
        <v>74</v>
      </c>
      <c r="AB18" s="4" t="s">
        <v>79</v>
      </c>
      <c r="AC18" s="4" t="s">
        <v>87</v>
      </c>
      <c r="AD18" s="4" t="s">
        <v>90</v>
      </c>
      <c r="AE18" s="4" t="s">
        <v>79</v>
      </c>
      <c r="AG18" s="4" t="s">
        <v>95</v>
      </c>
      <c r="AH18" s="4" t="s">
        <v>74</v>
      </c>
      <c r="AJ18" s="4" t="s">
        <v>102</v>
      </c>
      <c r="AK18" s="4" t="s">
        <v>102</v>
      </c>
      <c r="AN18" s="4" t="s">
        <v>102</v>
      </c>
      <c r="AO18" s="4" t="s">
        <v>102</v>
      </c>
      <c r="AP18" s="4" t="s">
        <v>102</v>
      </c>
      <c r="AQ18" s="4" t="s">
        <v>102</v>
      </c>
      <c r="AT18" s="4" t="s">
        <v>102</v>
      </c>
      <c r="AU18" s="4" t="s">
        <v>102</v>
      </c>
      <c r="AW18" s="4" t="s">
        <v>130</v>
      </c>
      <c r="AY18" s="4" t="s">
        <v>102</v>
      </c>
      <c r="AZ18" s="4" t="s">
        <v>102</v>
      </c>
      <c r="BA18" s="4" t="s">
        <v>31</v>
      </c>
      <c r="BB18" s="4" t="s">
        <v>154</v>
      </c>
    </row>
  </sheetData>
  <customSheetViews>
    <customSheetView guid="{3D987F8E-A6EA-454D-9537-6BFC5053CB00}" scale="90">
      <pane xSplit="1" topLeftCell="AD1" activePane="topRight" state="frozen"/>
      <selection pane="topRight" activeCell="AR11" sqref="AR11"/>
      <pageMargins left="0.511811024" right="0.511811024" top="0.78740157499999996" bottom="0.78740157499999996" header="0.31496062000000002" footer="0.31496062000000002"/>
    </customSheetView>
    <customSheetView guid="{E3841903-5B68-44FD-8F09-58E03D1025C5}" scale="80" topLeftCell="AG10">
      <selection activeCell="AV17" sqref="AV17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AR1" activePane="topRight" state="frozen"/>
      <selection pane="topRight" activeCell="AZ18" sqref="AZ18"/>
      <pageMargins left="0.511811024" right="0.511811024" top="0.78740157499999996" bottom="0.78740157499999996" header="0.31496062000000002" footer="0.31496062000000002"/>
      <autoFilter ref="A1:A18" xr:uid="{7ACA287F-7843-4355-8C8C-6B1FD8472A2A}"/>
    </customSheetView>
    <customSheetView guid="{552DFCCD-1786-4D75-8B10-27DD730384DD}">
      <pane xSplit="1" topLeftCell="I1" activePane="topRight" state="frozen"/>
      <selection pane="topRight" activeCell="M11" sqref="M1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D11" sqref="D11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Z1" activePane="topRight" state="frozen"/>
      <selection pane="topRight" activeCell="AG15" sqref="AG15"/>
      <pageMargins left="0.511811024" right="0.511811024" top="0.78740157499999996" bottom="0.78740157499999996" header="0.31496062000000002" footer="0.31496062000000002"/>
    </customSheetView>
    <customSheetView guid="{20CB6D8F-C24D-4D4B-A424-AF380F620455}" scale="90" showPageBreaks="1">
      <pane xSplit="1" topLeftCell="AP1" activePane="topRight" state="frozen"/>
      <selection pane="topRight" activeCell="BC12" sqref="BC12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 topLeftCell="A10">
      <pane xSplit="1" topLeftCell="AL1" activePane="topRight" state="frozen"/>
      <selection pane="topRight" activeCell="AM15" sqref="AM15:AQ18"/>
      <pageMargins left="0.511811024" right="0.511811024" top="0.78740157499999996" bottom="0.78740157499999996" header="0.31496062000000002" footer="0.31496062000000002"/>
    </customSheetView>
    <customSheetView guid="{86039CF8-B158-4D70-9A6F-A10C29CBD68A}" scale="90" topLeftCell="Y1">
      <selection activeCell="AK17" sqref="AK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18"/>
  <sheetViews>
    <sheetView zoomScaleNormal="90" workbookViewId="0">
      <pane xSplit="1" topLeftCell="AY1" activePane="topRight" state="frozen"/>
      <selection activeCell="A5" sqref="A5"/>
      <selection pane="topRight" activeCell="A13" sqref="A13:XFD13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0.5703125" style="1" customWidth="1"/>
    <col min="4" max="4" width="17.85546875" style="1" customWidth="1"/>
    <col min="5" max="5" width="20.7109375" style="1" customWidth="1"/>
    <col min="6" max="6" width="23.28515625" style="1" customWidth="1"/>
    <col min="7" max="7" width="24" style="1" customWidth="1"/>
    <col min="8" max="8" width="14.28515625" style="1" bestFit="1" customWidth="1"/>
    <col min="9" max="9" width="22" style="1" customWidth="1"/>
    <col min="10" max="10" width="20.5703125" style="1" customWidth="1"/>
    <col min="11" max="11" width="33.140625" style="1" customWidth="1"/>
    <col min="12" max="12" width="15.28515625" style="1" customWidth="1"/>
    <col min="13" max="13" width="40" style="1" customWidth="1"/>
    <col min="14" max="14" width="14.28515625" style="1" bestFit="1" customWidth="1"/>
    <col min="15" max="16" width="21" style="1" customWidth="1"/>
    <col min="17" max="17" width="21.28515625" style="1" customWidth="1"/>
    <col min="18" max="18" width="11.85546875" style="1" customWidth="1"/>
    <col min="19" max="19" width="19.85546875" style="1" bestFit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27" width="20.140625" style="1" customWidth="1"/>
    <col min="28" max="28" width="17.85546875" style="1" customWidth="1"/>
    <col min="29" max="29" width="15.7109375" style="1" customWidth="1"/>
    <col min="30" max="30" width="36.28515625" style="1" customWidth="1"/>
    <col min="31" max="31" width="30" style="1" customWidth="1"/>
    <col min="32" max="32" width="15.28515625" style="1" customWidth="1"/>
    <col min="33" max="33" width="24" style="1" customWidth="1"/>
    <col min="34" max="34" width="18" style="1" customWidth="1"/>
    <col min="35" max="35" width="15.140625" style="1" customWidth="1"/>
    <col min="36" max="36" width="17.140625" style="1" customWidth="1"/>
    <col min="37" max="37" width="12.42578125" style="1" customWidth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1" width="20.85546875" style="1" customWidth="1"/>
    <col min="52" max="52" width="17.140625" style="1" customWidth="1"/>
    <col min="53" max="53" width="18.7109375" style="1" customWidth="1"/>
    <col min="54" max="54" width="17.28515625" style="1" customWidth="1"/>
    <col min="55" max="55" width="16.85546875" style="1" customWidth="1"/>
    <col min="56" max="56" width="16.140625" style="1" customWidth="1"/>
    <col min="57" max="57" width="20.140625" style="1" customWidth="1"/>
    <col min="58" max="58" width="19.5703125" style="1" customWidth="1"/>
    <col min="59" max="59" width="17.42578125" style="1" customWidth="1"/>
    <col min="60" max="60" width="18.7109375" style="1" customWidth="1"/>
    <col min="61" max="61" width="23" style="1" customWidth="1"/>
    <col min="62" max="62" width="14.28515625" style="1" bestFit="1" customWidth="1"/>
    <col min="63" max="63" width="14.7109375" style="1" customWidth="1"/>
    <col min="64" max="64" width="16" style="1" customWidth="1"/>
    <col min="65" max="65" width="19" style="1" customWidth="1"/>
    <col min="66" max="66" width="14.85546875" style="1" customWidth="1"/>
    <col min="67" max="67" width="17.28515625" style="1" customWidth="1"/>
    <col min="68" max="68" width="14.28515625" style="1" bestFit="1" customWidth="1"/>
    <col min="69" max="16384" width="9.140625" style="1"/>
  </cols>
  <sheetData>
    <row r="1" spans="1:68" ht="45" x14ac:dyDescent="0.25">
      <c r="A1" s="19" t="s">
        <v>9</v>
      </c>
      <c r="B1" s="31"/>
      <c r="C1" s="32">
        <v>45810</v>
      </c>
      <c r="D1" s="33">
        <v>45811</v>
      </c>
      <c r="E1" s="33">
        <v>45812</v>
      </c>
      <c r="F1" s="33">
        <v>45813</v>
      </c>
      <c r="G1" s="33">
        <v>45814</v>
      </c>
      <c r="H1" s="34" t="s">
        <v>15</v>
      </c>
      <c r="I1" s="33">
        <v>45817</v>
      </c>
      <c r="J1" s="33">
        <v>45818</v>
      </c>
      <c r="K1" s="33">
        <v>45819</v>
      </c>
      <c r="L1" s="33">
        <v>45820</v>
      </c>
      <c r="M1" s="33">
        <v>45821</v>
      </c>
      <c r="N1" s="35" t="s">
        <v>15</v>
      </c>
      <c r="O1" s="33">
        <v>45824</v>
      </c>
      <c r="P1" s="33">
        <v>45825</v>
      </c>
      <c r="Q1" s="33">
        <v>45826</v>
      </c>
      <c r="R1" s="33">
        <v>45827</v>
      </c>
      <c r="S1" s="33">
        <v>45828</v>
      </c>
      <c r="T1" s="35" t="s">
        <v>15</v>
      </c>
      <c r="U1" s="33">
        <v>45831</v>
      </c>
      <c r="V1" s="33">
        <v>45832</v>
      </c>
      <c r="W1" s="33">
        <v>45833</v>
      </c>
      <c r="X1" s="33">
        <v>45834</v>
      </c>
      <c r="Y1" s="33">
        <v>45835</v>
      </c>
      <c r="Z1" s="35" t="s">
        <v>15</v>
      </c>
      <c r="AA1" s="33">
        <v>45838</v>
      </c>
      <c r="AB1" s="33">
        <v>45839</v>
      </c>
      <c r="AC1" s="33">
        <v>45840</v>
      </c>
      <c r="AD1" s="33">
        <v>45841</v>
      </c>
      <c r="AE1" s="33">
        <v>45842</v>
      </c>
      <c r="AF1" s="35" t="s">
        <v>15</v>
      </c>
      <c r="AG1" s="33">
        <v>45845</v>
      </c>
      <c r="AH1" s="33">
        <v>45846</v>
      </c>
      <c r="AI1" s="33">
        <v>45847</v>
      </c>
      <c r="AJ1" s="33">
        <v>45848</v>
      </c>
      <c r="AK1" s="56" t="s">
        <v>104</v>
      </c>
      <c r="AL1" s="35" t="s">
        <v>15</v>
      </c>
      <c r="AM1" s="33">
        <v>45852</v>
      </c>
      <c r="AN1" s="33">
        <v>45853</v>
      </c>
      <c r="AO1" s="33">
        <v>45854</v>
      </c>
      <c r="AP1" s="33">
        <v>45855</v>
      </c>
      <c r="AQ1" s="33">
        <v>45856</v>
      </c>
      <c r="AR1" s="36" t="s">
        <v>15</v>
      </c>
      <c r="AS1" s="33">
        <v>45859</v>
      </c>
      <c r="AT1" s="33">
        <v>45860</v>
      </c>
      <c r="AU1" s="33">
        <v>45861</v>
      </c>
      <c r="AV1" s="33">
        <v>45862</v>
      </c>
      <c r="AW1" s="33">
        <v>45863</v>
      </c>
      <c r="AX1" s="36" t="s">
        <v>15</v>
      </c>
      <c r="AY1" s="33">
        <v>45866</v>
      </c>
      <c r="AZ1" s="33">
        <v>45867</v>
      </c>
      <c r="BA1" s="33">
        <v>45868</v>
      </c>
      <c r="BB1" s="33">
        <v>45869</v>
      </c>
      <c r="BC1" s="33">
        <v>45870</v>
      </c>
      <c r="BD1" s="37" t="s">
        <v>15</v>
      </c>
      <c r="BE1" s="33">
        <v>45873</v>
      </c>
      <c r="BF1" s="33">
        <v>45874</v>
      </c>
      <c r="BG1" s="33">
        <v>45875</v>
      </c>
      <c r="BH1" s="33">
        <v>45876</v>
      </c>
      <c r="BI1" s="33">
        <v>45877</v>
      </c>
      <c r="BJ1" s="37" t="s">
        <v>15</v>
      </c>
      <c r="BK1" s="41">
        <v>45880</v>
      </c>
      <c r="BL1" s="41">
        <v>45881</v>
      </c>
      <c r="BM1" s="41">
        <v>45882</v>
      </c>
      <c r="BN1" s="41">
        <v>45883</v>
      </c>
      <c r="BO1" s="41">
        <v>45884</v>
      </c>
      <c r="BP1" s="37" t="s">
        <v>15</v>
      </c>
    </row>
    <row r="2" spans="1:68" x14ac:dyDescent="0.25">
      <c r="A2" s="2" t="s">
        <v>18</v>
      </c>
      <c r="B2" s="23">
        <v>1</v>
      </c>
      <c r="C2" s="14"/>
      <c r="G2" s="1">
        <v>6</v>
      </c>
      <c r="H2" s="25">
        <f>SUM(C2:G2)</f>
        <v>6</v>
      </c>
      <c r="N2" s="25">
        <f>SUM(I2:M2)</f>
        <v>0</v>
      </c>
      <c r="R2" s="44" t="s">
        <v>52</v>
      </c>
      <c r="S2" s="44" t="s">
        <v>53</v>
      </c>
      <c r="T2" s="25">
        <f t="shared" ref="T2:T16" si="0">SUM(O2:S2)</f>
        <v>0</v>
      </c>
      <c r="Z2" s="25">
        <f>SUM(U2:Y2)</f>
        <v>0</v>
      </c>
      <c r="AD2" s="1">
        <v>2</v>
      </c>
      <c r="AF2" s="25">
        <f>SUM(AA2:AE2)</f>
        <v>2</v>
      </c>
      <c r="AG2" s="1">
        <v>1</v>
      </c>
      <c r="AH2" s="1">
        <v>1</v>
      </c>
      <c r="AL2" s="25">
        <f>SUM(AG2:AK2)</f>
        <v>2</v>
      </c>
      <c r="AR2" s="29">
        <f>SUM(AM2:AQ2)</f>
        <v>0</v>
      </c>
      <c r="AX2" s="29">
        <f>SUM(AS2:AW2)</f>
        <v>0</v>
      </c>
      <c r="AZ2" s="4"/>
      <c r="BD2" s="27">
        <f>SUM(AY2:BC2)</f>
        <v>0</v>
      </c>
      <c r="BH2" s="69"/>
      <c r="BJ2" s="27">
        <f>SUM(BE2:BI2)</f>
        <v>0</v>
      </c>
      <c r="BP2" s="27">
        <f>SUM(BK2:BO2)</f>
        <v>0</v>
      </c>
    </row>
    <row r="3" spans="1:68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4" si="3">SUM(U3:Y3)</f>
        <v>0</v>
      </c>
      <c r="AF3" s="2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AZ3" s="4"/>
      <c r="BD3" s="27">
        <f t="shared" ref="BD3:BD16" si="8">SUM(AY3:BC3)</f>
        <v>0</v>
      </c>
      <c r="BH3" s="69"/>
      <c r="BJ3" s="27">
        <f t="shared" ref="BJ3:BJ16" si="9">SUM(BE3:BI3)</f>
        <v>0</v>
      </c>
      <c r="BP3" s="27">
        <f t="shared" ref="BP3:BP16" si="10">SUM(BK3:BO3)</f>
        <v>0</v>
      </c>
    </row>
    <row r="4" spans="1:68" x14ac:dyDescent="0.25">
      <c r="A4" s="3" t="s">
        <v>17</v>
      </c>
      <c r="B4" s="24">
        <v>3</v>
      </c>
      <c r="C4" s="14"/>
      <c r="H4" s="25">
        <f t="shared" si="1"/>
        <v>0</v>
      </c>
      <c r="K4" s="1">
        <v>41</v>
      </c>
      <c r="N4" s="25">
        <f t="shared" si="2"/>
        <v>41</v>
      </c>
      <c r="Q4" s="1">
        <v>6</v>
      </c>
      <c r="T4" s="25">
        <f t="shared" si="0"/>
        <v>6</v>
      </c>
      <c r="Z4" s="25">
        <f t="shared" si="3"/>
        <v>0</v>
      </c>
      <c r="AF4" s="25">
        <f t="shared" si="4"/>
        <v>0</v>
      </c>
      <c r="AG4" s="1">
        <v>1</v>
      </c>
      <c r="AH4" s="1">
        <v>1</v>
      </c>
      <c r="AL4" s="25">
        <f t="shared" si="5"/>
        <v>2</v>
      </c>
      <c r="AR4" s="29">
        <f t="shared" si="6"/>
        <v>0</v>
      </c>
      <c r="AX4" s="29">
        <f t="shared" si="7"/>
        <v>0</v>
      </c>
      <c r="AZ4" s="4"/>
      <c r="BD4" s="27">
        <f t="shared" si="8"/>
        <v>0</v>
      </c>
      <c r="BH4" s="69"/>
      <c r="BJ4" s="27">
        <f t="shared" si="9"/>
        <v>0</v>
      </c>
      <c r="BP4" s="27">
        <f t="shared" si="10"/>
        <v>0</v>
      </c>
    </row>
    <row r="5" spans="1:68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AZ5" s="4"/>
      <c r="BD5" s="27">
        <f t="shared" si="8"/>
        <v>0</v>
      </c>
      <c r="BH5" s="69"/>
      <c r="BJ5" s="27">
        <f t="shared" si="9"/>
        <v>0</v>
      </c>
      <c r="BP5" s="27">
        <f t="shared" si="10"/>
        <v>0</v>
      </c>
    </row>
    <row r="6" spans="1:68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2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AZ6" s="4"/>
      <c r="BD6" s="27">
        <f t="shared" si="8"/>
        <v>0</v>
      </c>
      <c r="BH6" s="69"/>
      <c r="BJ6" s="27">
        <f t="shared" si="9"/>
        <v>0</v>
      </c>
      <c r="BP6" s="27">
        <f t="shared" si="10"/>
        <v>0</v>
      </c>
    </row>
    <row r="7" spans="1:68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AZ7" s="4"/>
      <c r="BD7" s="27">
        <f t="shared" si="8"/>
        <v>0</v>
      </c>
      <c r="BH7" s="69"/>
      <c r="BJ7" s="27">
        <f t="shared" si="9"/>
        <v>0</v>
      </c>
      <c r="BP7" s="27">
        <f t="shared" si="10"/>
        <v>0</v>
      </c>
    </row>
    <row r="8" spans="1:68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2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AZ8" s="4"/>
      <c r="BD8" s="27">
        <f t="shared" si="8"/>
        <v>0</v>
      </c>
      <c r="BH8" s="69"/>
      <c r="BJ8" s="27">
        <f t="shared" si="9"/>
        <v>0</v>
      </c>
      <c r="BP8" s="27">
        <f t="shared" si="10"/>
        <v>0</v>
      </c>
    </row>
    <row r="9" spans="1:68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AZ9" s="4"/>
      <c r="BD9" s="27">
        <f t="shared" si="8"/>
        <v>0</v>
      </c>
      <c r="BH9" s="69"/>
      <c r="BJ9" s="27">
        <f t="shared" si="9"/>
        <v>0</v>
      </c>
      <c r="BP9" s="27">
        <f t="shared" si="10"/>
        <v>0</v>
      </c>
    </row>
    <row r="10" spans="1:68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AZ10" s="4"/>
      <c r="BD10" s="27">
        <f t="shared" si="8"/>
        <v>0</v>
      </c>
      <c r="BH10" s="69"/>
      <c r="BJ10" s="27">
        <f t="shared" si="9"/>
        <v>0</v>
      </c>
      <c r="BP10" s="27">
        <f t="shared" si="10"/>
        <v>0</v>
      </c>
    </row>
    <row r="11" spans="1:68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A11" s="1">
        <v>4</v>
      </c>
      <c r="AB11" s="1">
        <v>3</v>
      </c>
      <c r="AD11" s="1">
        <v>1</v>
      </c>
      <c r="AE11" s="1">
        <v>1</v>
      </c>
      <c r="AF11" s="25">
        <f t="shared" si="4"/>
        <v>9</v>
      </c>
      <c r="AG11" s="1">
        <v>1</v>
      </c>
      <c r="AL11" s="25">
        <f t="shared" si="5"/>
        <v>1</v>
      </c>
      <c r="AM11" s="1">
        <v>2</v>
      </c>
      <c r="AN11" s="1">
        <v>2</v>
      </c>
      <c r="AO11" s="1">
        <v>2</v>
      </c>
      <c r="AP11" s="1">
        <v>2</v>
      </c>
      <c r="AQ11" s="1">
        <v>2</v>
      </c>
      <c r="AR11" s="29">
        <f t="shared" si="6"/>
        <v>10</v>
      </c>
      <c r="AS11" s="1">
        <v>7</v>
      </c>
      <c r="AX11" s="29">
        <f t="shared" si="7"/>
        <v>7</v>
      </c>
      <c r="AZ11" s="4">
        <v>3</v>
      </c>
      <c r="BD11" s="27">
        <f t="shared" si="8"/>
        <v>3</v>
      </c>
      <c r="BH11" s="69"/>
      <c r="BJ11" s="27">
        <f t="shared" si="9"/>
        <v>0</v>
      </c>
      <c r="BN11" s="1">
        <v>1</v>
      </c>
      <c r="BO11" s="1">
        <v>2</v>
      </c>
      <c r="BP11" s="27">
        <f t="shared" si="10"/>
        <v>3</v>
      </c>
    </row>
    <row r="12" spans="1:68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Y12" s="1">
        <v>67</v>
      </c>
      <c r="Z12" s="25">
        <f t="shared" si="3"/>
        <v>67</v>
      </c>
      <c r="AA12" s="1">
        <v>138</v>
      </c>
      <c r="AB12" s="1">
        <v>102</v>
      </c>
      <c r="AD12" s="1">
        <v>35</v>
      </c>
      <c r="AE12" s="1">
        <v>30</v>
      </c>
      <c r="AF12" s="25">
        <f t="shared" si="4"/>
        <v>305</v>
      </c>
      <c r="AG12" s="1">
        <v>30</v>
      </c>
      <c r="AL12" s="25">
        <f t="shared" si="5"/>
        <v>30</v>
      </c>
      <c r="AM12" s="1">
        <v>70</v>
      </c>
      <c r="AN12" s="1">
        <v>68</v>
      </c>
      <c r="AO12" s="1">
        <v>66</v>
      </c>
      <c r="AP12" s="1">
        <v>63</v>
      </c>
      <c r="AQ12" s="1">
        <v>70</v>
      </c>
      <c r="AR12" s="29">
        <f t="shared" si="6"/>
        <v>337</v>
      </c>
      <c r="AS12" s="1">
        <v>36</v>
      </c>
      <c r="AX12" s="29">
        <f t="shared" si="7"/>
        <v>36</v>
      </c>
      <c r="AZ12" s="4">
        <v>21</v>
      </c>
      <c r="BD12" s="27">
        <f t="shared" si="8"/>
        <v>21</v>
      </c>
      <c r="BH12" s="69"/>
      <c r="BJ12" s="27">
        <f t="shared" si="9"/>
        <v>0</v>
      </c>
      <c r="BP12" s="27">
        <f t="shared" si="10"/>
        <v>0</v>
      </c>
    </row>
    <row r="13" spans="1:68" x14ac:dyDescent="0.25">
      <c r="A13" s="2" t="s">
        <v>8</v>
      </c>
      <c r="B13" s="24">
        <v>12</v>
      </c>
      <c r="C13" s="14"/>
      <c r="G13" s="1">
        <v>1</v>
      </c>
      <c r="H13" s="25">
        <f t="shared" si="1"/>
        <v>1</v>
      </c>
      <c r="N13" s="25">
        <f t="shared" si="2"/>
        <v>0</v>
      </c>
      <c r="T13" s="25">
        <f t="shared" si="0"/>
        <v>0</v>
      </c>
      <c r="Z13" s="25">
        <f t="shared" si="3"/>
        <v>0</v>
      </c>
      <c r="AF13" s="25">
        <f t="shared" si="4"/>
        <v>0</v>
      </c>
      <c r="AH13" s="1">
        <v>1</v>
      </c>
      <c r="AL13" s="25">
        <f t="shared" si="5"/>
        <v>1</v>
      </c>
      <c r="AR13" s="29">
        <f t="shared" si="6"/>
        <v>0</v>
      </c>
      <c r="AX13" s="29">
        <f t="shared" si="7"/>
        <v>0</v>
      </c>
      <c r="AZ13" s="4"/>
      <c r="BD13" s="27">
        <f t="shared" si="8"/>
        <v>0</v>
      </c>
      <c r="BH13" s="69"/>
      <c r="BJ13" s="27">
        <f t="shared" si="9"/>
        <v>0</v>
      </c>
      <c r="BP13" s="27">
        <f t="shared" si="10"/>
        <v>0</v>
      </c>
    </row>
    <row r="14" spans="1:68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AZ14" s="4"/>
      <c r="BD14" s="27">
        <f t="shared" si="8"/>
        <v>0</v>
      </c>
      <c r="BH14" s="69"/>
      <c r="BJ14" s="27">
        <f t="shared" si="9"/>
        <v>0</v>
      </c>
      <c r="BL14" s="1">
        <v>1</v>
      </c>
      <c r="BP14" s="27">
        <f t="shared" si="10"/>
        <v>1</v>
      </c>
    </row>
    <row r="15" spans="1:68" x14ac:dyDescent="0.25">
      <c r="A15" s="2" t="s">
        <v>170</v>
      </c>
      <c r="B15" s="23">
        <v>14</v>
      </c>
      <c r="C15" s="14"/>
      <c r="G15" s="1">
        <v>14</v>
      </c>
      <c r="H15" s="25">
        <f t="shared" si="1"/>
        <v>14</v>
      </c>
      <c r="M15" s="1">
        <v>12</v>
      </c>
      <c r="N15" s="25">
        <f t="shared" si="2"/>
        <v>12</v>
      </c>
      <c r="T15" s="25">
        <f t="shared" si="0"/>
        <v>0</v>
      </c>
      <c r="X15" s="1">
        <v>5</v>
      </c>
      <c r="Z15" s="25">
        <f>SUM(U15:X15)</f>
        <v>5</v>
      </c>
      <c r="AF15" s="25">
        <f t="shared" si="4"/>
        <v>0</v>
      </c>
      <c r="AG15" s="1">
        <v>70</v>
      </c>
      <c r="AL15" s="25">
        <f t="shared" si="5"/>
        <v>70</v>
      </c>
      <c r="AR15" s="29">
        <f t="shared" si="6"/>
        <v>0</v>
      </c>
      <c r="AV15" s="1">
        <v>6</v>
      </c>
      <c r="AX15" s="29">
        <f t="shared" si="7"/>
        <v>6</v>
      </c>
      <c r="AZ15" s="4"/>
      <c r="BD15" s="27">
        <f t="shared" si="8"/>
        <v>0</v>
      </c>
      <c r="BH15" s="69"/>
      <c r="BJ15" s="27">
        <f t="shared" si="9"/>
        <v>0</v>
      </c>
      <c r="BP15" s="27">
        <f t="shared" si="10"/>
        <v>0</v>
      </c>
    </row>
    <row r="16" spans="1:68" x14ac:dyDescent="0.25">
      <c r="A16" s="20" t="s">
        <v>14</v>
      </c>
      <c r="B16" s="21">
        <v>15</v>
      </c>
      <c r="C16" s="16"/>
      <c r="D16" s="17"/>
      <c r="E16" s="17"/>
      <c r="F16" s="17">
        <v>7</v>
      </c>
      <c r="H16" s="18">
        <f t="shared" si="1"/>
        <v>7</v>
      </c>
      <c r="I16" s="1">
        <v>13</v>
      </c>
      <c r="J16" s="17"/>
      <c r="N16" s="18">
        <f t="shared" si="2"/>
        <v>13</v>
      </c>
      <c r="O16" s="17"/>
      <c r="P16" s="17"/>
      <c r="R16" s="17"/>
      <c r="S16" s="17"/>
      <c r="T16" s="18">
        <f t="shared" si="0"/>
        <v>0</v>
      </c>
      <c r="W16" s="17"/>
      <c r="X16" s="1">
        <v>9</v>
      </c>
      <c r="Z16" s="18">
        <f>SUM(U16:X16)</f>
        <v>9</v>
      </c>
      <c r="AA16" s="17"/>
      <c r="AB16" s="17"/>
      <c r="AC16" s="17"/>
      <c r="AD16" s="17"/>
      <c r="AE16" s="17"/>
      <c r="AF16" s="18">
        <f t="shared" si="4"/>
        <v>0</v>
      </c>
      <c r="AG16" s="17"/>
      <c r="AI16" s="1">
        <v>30</v>
      </c>
      <c r="AJ16" s="1">
        <v>30</v>
      </c>
      <c r="AK16" s="17"/>
      <c r="AL16" s="18">
        <f t="shared" si="5"/>
        <v>60</v>
      </c>
      <c r="AR16" s="30">
        <f t="shared" si="6"/>
        <v>0</v>
      </c>
      <c r="AW16" s="1">
        <v>7</v>
      </c>
      <c r="AX16" s="30">
        <f t="shared" si="7"/>
        <v>7</v>
      </c>
      <c r="AY16" s="1">
        <v>4</v>
      </c>
      <c r="AZ16" s="4"/>
      <c r="BD16" s="28">
        <f t="shared" si="8"/>
        <v>4</v>
      </c>
      <c r="BH16" s="69"/>
      <c r="BJ16" s="28">
        <f t="shared" si="9"/>
        <v>0</v>
      </c>
      <c r="BP16" s="28">
        <f t="shared" si="10"/>
        <v>0</v>
      </c>
    </row>
    <row r="17" spans="1:67" ht="178.5" customHeight="1" x14ac:dyDescent="0.25">
      <c r="A17" s="1" t="s">
        <v>11</v>
      </c>
      <c r="C17" s="39" t="s">
        <v>30</v>
      </c>
      <c r="D17" s="39" t="s">
        <v>32</v>
      </c>
      <c r="E17" s="39" t="s">
        <v>30</v>
      </c>
      <c r="F17" s="4" t="s">
        <v>34</v>
      </c>
      <c r="G17" s="4" t="s">
        <v>35</v>
      </c>
      <c r="H17" s="4"/>
      <c r="I17" s="39" t="s">
        <v>40</v>
      </c>
      <c r="J17" s="39" t="s">
        <v>41</v>
      </c>
      <c r="K17" s="4" t="s">
        <v>44</v>
      </c>
      <c r="L17" s="4" t="s">
        <v>46</v>
      </c>
      <c r="M17" s="4" t="s">
        <v>50</v>
      </c>
      <c r="O17" s="4" t="s">
        <v>51</v>
      </c>
      <c r="P17" s="4" t="s">
        <v>51</v>
      </c>
      <c r="Q17" s="4" t="s">
        <v>56</v>
      </c>
      <c r="S17" s="4"/>
      <c r="U17" s="4" t="s">
        <v>68</v>
      </c>
      <c r="V17" s="39" t="s">
        <v>51</v>
      </c>
      <c r="W17" s="39" t="s">
        <v>51</v>
      </c>
      <c r="X17" s="4" t="s">
        <v>69</v>
      </c>
      <c r="Y17" s="4" t="s">
        <v>72</v>
      </c>
      <c r="AA17" s="4" t="s">
        <v>71</v>
      </c>
      <c r="AB17" s="4" t="s">
        <v>85</v>
      </c>
      <c r="AC17" s="4" t="s">
        <v>86</v>
      </c>
      <c r="AD17" s="4" t="s">
        <v>169</v>
      </c>
      <c r="AE17" s="4" t="s">
        <v>92</v>
      </c>
      <c r="AG17" s="4" t="s">
        <v>93</v>
      </c>
      <c r="AH17" s="4" t="s">
        <v>98</v>
      </c>
      <c r="AI17" s="4" t="s">
        <v>97</v>
      </c>
      <c r="AJ17" s="4" t="s">
        <v>97</v>
      </c>
      <c r="AM17" s="39" t="s">
        <v>112</v>
      </c>
      <c r="AN17" s="39" t="s">
        <v>113</v>
      </c>
      <c r="AO17" s="39" t="s">
        <v>114</v>
      </c>
      <c r="AP17" s="39" t="s">
        <v>115</v>
      </c>
      <c r="AQ17" s="39" t="s">
        <v>112</v>
      </c>
      <c r="AS17" s="39" t="s">
        <v>125</v>
      </c>
      <c r="AT17" s="39" t="s">
        <v>126</v>
      </c>
      <c r="AU17" s="39" t="s">
        <v>126</v>
      </c>
      <c r="AV17" s="39" t="s">
        <v>127</v>
      </c>
      <c r="AW17" s="39" t="s">
        <v>132</v>
      </c>
      <c r="AY17" s="39" t="s">
        <v>155</v>
      </c>
      <c r="AZ17" s="4" t="s">
        <v>156</v>
      </c>
      <c r="BA17" s="39" t="s">
        <v>157</v>
      </c>
      <c r="BB17" s="39" t="s">
        <v>159</v>
      </c>
      <c r="BC17" s="39" t="s">
        <v>158</v>
      </c>
      <c r="BE17" s="4" t="s">
        <v>160</v>
      </c>
      <c r="BF17" s="4" t="s">
        <v>161</v>
      </c>
      <c r="BG17" s="4" t="s">
        <v>160</v>
      </c>
      <c r="BH17" s="70" t="s">
        <v>162</v>
      </c>
      <c r="BI17" s="4" t="s">
        <v>163</v>
      </c>
      <c r="BK17" s="39" t="s">
        <v>164</v>
      </c>
      <c r="BL17" s="39" t="s">
        <v>165</v>
      </c>
      <c r="BM17" s="39" t="s">
        <v>166</v>
      </c>
      <c r="BN17" s="39" t="s">
        <v>167</v>
      </c>
      <c r="BO17" s="39" t="s">
        <v>168</v>
      </c>
    </row>
    <row r="18" spans="1:67" x14ac:dyDescent="0.25">
      <c r="A18" s="1" t="s">
        <v>10</v>
      </c>
      <c r="C18" s="4"/>
    </row>
  </sheetData>
  <customSheetViews>
    <customSheetView guid="{3D987F8E-A6EA-454D-9537-6BFC5053CB00}">
      <pane xSplit="1" topLeftCell="AF1" activePane="topRight" state="frozen"/>
      <selection pane="topRight" activeCell="A5" sqref="A5:XFD5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BA7">
      <selection activeCell="BF17" sqref="BF17"/>
      <pageMargins left="0.511811024" right="0.511811024" top="0.78740157499999996" bottom="0.78740157499999996" header="0.31496062000000002" footer="0.31496062000000002"/>
    </customSheetView>
    <customSheetView guid="{9B623083-AA7B-440B-95EA-C33E1AB3D963}" scale="90" showAutoFilter="1">
      <pane xSplit="1" topLeftCell="AE1" activePane="topRight" state="frozen"/>
      <selection pane="topRight" activeCell="AG2" sqref="AG2:AG17"/>
      <pageMargins left="0.511811024" right="0.511811024" top="0.78740157499999996" bottom="0.78740157499999996" header="0.31496062000000002" footer="0.31496062000000002"/>
      <autoFilter ref="A1:A18" xr:uid="{9CF51A83-D33E-4670-92B4-856DB9E6E71A}"/>
    </customSheetView>
    <customSheetView guid="{552DFCCD-1786-4D75-8B10-27DD730384DD}">
      <selection activeCell="E3" sqref="E3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F5" sqref="F5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R1" activePane="topRight" state="frozen"/>
      <selection pane="topRight" activeCell="AC12" sqref="AC12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>
      <selection activeCell="BP18" sqref="BP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pane xSplit="1" topLeftCell="AE1" activePane="topRight" state="frozen"/>
      <selection pane="topRight" activeCell="AG17" sqref="AG17"/>
      <pageMargins left="0.511811024" right="0.511811024" top="0.78740157499999996" bottom="0.78740157499999996" header="0.31496062000000002" footer="0.31496062000000002"/>
    </customSheetView>
    <customSheetView guid="{86039CF8-B158-4D70-9A6F-A10C29CBD68A}" scale="90">
      <pane xSplit="1" topLeftCell="BG1" activePane="topRight" state="frozen"/>
      <selection pane="topRight" activeCell="BK2" sqref="BK2:BO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18"/>
  <sheetViews>
    <sheetView zoomScaleNormal="90" workbookViewId="0">
      <pane xSplit="1" topLeftCell="AN1" activePane="topRight" state="frozen"/>
      <selection pane="topRight" activeCell="A13" sqref="A13:XFD13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3" width="9.140625" style="1"/>
    <col min="34" max="34" width="12.28515625" style="1" customWidth="1"/>
    <col min="35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31"/>
      <c r="C1" s="32">
        <v>45810</v>
      </c>
      <c r="D1" s="33">
        <v>45811</v>
      </c>
      <c r="E1" s="33">
        <v>45812</v>
      </c>
      <c r="F1" s="33">
        <v>45813</v>
      </c>
      <c r="G1" s="33">
        <v>45814</v>
      </c>
      <c r="H1" s="34" t="s">
        <v>15</v>
      </c>
      <c r="I1" s="33">
        <v>45817</v>
      </c>
      <c r="J1" s="33">
        <v>45818</v>
      </c>
      <c r="K1" s="33">
        <v>45819</v>
      </c>
      <c r="L1" s="33">
        <v>45820</v>
      </c>
      <c r="M1" s="33">
        <v>45821</v>
      </c>
      <c r="N1" s="35" t="s">
        <v>15</v>
      </c>
      <c r="O1" s="33">
        <v>45824</v>
      </c>
      <c r="P1" s="33">
        <v>45825</v>
      </c>
      <c r="Q1" s="33">
        <v>45826</v>
      </c>
      <c r="R1" s="33">
        <v>45827</v>
      </c>
      <c r="S1" s="33">
        <v>45828</v>
      </c>
      <c r="T1" s="35" t="s">
        <v>15</v>
      </c>
      <c r="U1" s="33">
        <v>45831</v>
      </c>
      <c r="V1" s="33">
        <v>45832</v>
      </c>
      <c r="W1" s="33">
        <v>45833</v>
      </c>
      <c r="X1" s="33">
        <v>45834</v>
      </c>
      <c r="Y1" s="33">
        <v>45835</v>
      </c>
      <c r="Z1" s="35" t="s">
        <v>15</v>
      </c>
      <c r="AA1" s="33">
        <v>45838</v>
      </c>
      <c r="AB1" s="33">
        <v>45839</v>
      </c>
      <c r="AC1" s="33">
        <v>45840</v>
      </c>
      <c r="AD1" s="33">
        <v>45841</v>
      </c>
      <c r="AE1" s="33">
        <v>45842</v>
      </c>
      <c r="AF1" s="35" t="s">
        <v>15</v>
      </c>
      <c r="AG1" s="33">
        <v>45845</v>
      </c>
      <c r="AH1" s="33">
        <v>45846</v>
      </c>
      <c r="AI1" s="33">
        <v>45847</v>
      </c>
      <c r="AJ1" s="33">
        <v>45848</v>
      </c>
      <c r="AK1" s="33">
        <v>45849</v>
      </c>
      <c r="AL1" s="35" t="s">
        <v>15</v>
      </c>
      <c r="AM1" s="33">
        <v>45852</v>
      </c>
      <c r="AN1" s="33">
        <v>45853</v>
      </c>
      <c r="AO1" s="33">
        <v>45854</v>
      </c>
      <c r="AP1" s="33">
        <v>45855</v>
      </c>
      <c r="AQ1" s="33">
        <v>45856</v>
      </c>
      <c r="AR1" s="36" t="s">
        <v>15</v>
      </c>
      <c r="AS1" s="33">
        <v>45859</v>
      </c>
      <c r="AT1" s="33">
        <v>45860</v>
      </c>
      <c r="AU1" s="33">
        <v>45861</v>
      </c>
      <c r="AV1" s="33">
        <v>45862</v>
      </c>
      <c r="AW1" s="33">
        <v>45863</v>
      </c>
      <c r="AX1" s="36" t="s">
        <v>15</v>
      </c>
      <c r="AY1" s="33">
        <v>45866</v>
      </c>
      <c r="AZ1" s="33">
        <v>45867</v>
      </c>
      <c r="BA1" s="33">
        <v>45868</v>
      </c>
      <c r="BB1" s="33">
        <v>45869</v>
      </c>
      <c r="BC1" s="33">
        <v>45870</v>
      </c>
      <c r="BD1" s="37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M2" s="1">
        <v>3</v>
      </c>
      <c r="N2" s="25">
        <f>SUM(I2:M2)</f>
        <v>3</v>
      </c>
      <c r="T2" s="25">
        <f>SUM(O2:S2)</f>
        <v>0</v>
      </c>
      <c r="Z2" s="25">
        <f>SUM(U2:Y2)</f>
        <v>0</v>
      </c>
      <c r="AD2" s="1">
        <v>2</v>
      </c>
      <c r="AF2" s="25">
        <f>SUM(AA2:AE2)</f>
        <v>2</v>
      </c>
      <c r="AG2" s="1">
        <v>1</v>
      </c>
      <c r="AL2" s="25">
        <f>SUM(AG2:AK2)</f>
        <v>1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F3" s="1">
        <v>2</v>
      </c>
      <c r="H3" s="25">
        <f t="shared" ref="H3:H16" si="0">SUM(C3:G3)</f>
        <v>2</v>
      </c>
      <c r="J3" s="1">
        <v>1</v>
      </c>
      <c r="N3" s="25">
        <f t="shared" ref="N3:N16" si="1">SUM(I3:M3)</f>
        <v>1</v>
      </c>
      <c r="T3" s="25">
        <f t="shared" ref="T2:T16" si="2">SUM(O3:S3)</f>
        <v>0</v>
      </c>
      <c r="Z3" s="25">
        <f t="shared" ref="Z3:Z16" si="3">SUM(U3:Y3)</f>
        <v>0</v>
      </c>
      <c r="AD3" s="1">
        <v>30</v>
      </c>
      <c r="AF3" s="25">
        <f t="shared" ref="AF3:AF16" si="4">SUM(AA3:AE3)</f>
        <v>30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0"/>
        <v>0</v>
      </c>
      <c r="N4" s="25">
        <f t="shared" si="1"/>
        <v>0</v>
      </c>
      <c r="T4" s="25">
        <f t="shared" si="2"/>
        <v>0</v>
      </c>
      <c r="Z4" s="25">
        <f t="shared" si="3"/>
        <v>0</v>
      </c>
      <c r="AA4" s="1">
        <v>4</v>
      </c>
      <c r="AF4" s="25">
        <f t="shared" si="4"/>
        <v>4</v>
      </c>
      <c r="AG4" s="1">
        <v>1</v>
      </c>
      <c r="AL4" s="25">
        <f t="shared" si="5"/>
        <v>1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0"/>
        <v>0</v>
      </c>
      <c r="N5" s="25">
        <f t="shared" si="1"/>
        <v>0</v>
      </c>
      <c r="T5" s="25">
        <f t="shared" si="2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M5" s="1">
        <v>1</v>
      </c>
      <c r="AR5" s="29">
        <f t="shared" si="6"/>
        <v>1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0"/>
        <v>0</v>
      </c>
      <c r="N6" s="25">
        <f t="shared" si="1"/>
        <v>0</v>
      </c>
      <c r="T6" s="25">
        <f t="shared" si="2"/>
        <v>0</v>
      </c>
      <c r="Z6" s="25">
        <f t="shared" si="3"/>
        <v>0</v>
      </c>
      <c r="AF6" s="2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0"/>
        <v>0</v>
      </c>
      <c r="N7" s="25">
        <f t="shared" si="1"/>
        <v>0</v>
      </c>
      <c r="T7" s="25">
        <f t="shared" si="2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D8" s="1">
        <v>9</v>
      </c>
      <c r="E8" s="1">
        <v>38</v>
      </c>
      <c r="H8" s="25">
        <f t="shared" si="0"/>
        <v>47</v>
      </c>
      <c r="K8" s="1">
        <v>18</v>
      </c>
      <c r="N8" s="25">
        <f t="shared" si="1"/>
        <v>18</v>
      </c>
      <c r="T8" s="25">
        <f t="shared" si="2"/>
        <v>0</v>
      </c>
      <c r="Z8" s="25">
        <f t="shared" si="3"/>
        <v>0</v>
      </c>
      <c r="AF8" s="2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D9" s="1">
        <v>9</v>
      </c>
      <c r="E9" s="1">
        <v>38</v>
      </c>
      <c r="H9" s="25">
        <f t="shared" si="0"/>
        <v>47</v>
      </c>
      <c r="K9" s="1">
        <v>19</v>
      </c>
      <c r="N9" s="25">
        <f t="shared" si="1"/>
        <v>19</v>
      </c>
      <c r="T9" s="25">
        <f t="shared" si="2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0"/>
        <v>0</v>
      </c>
      <c r="N10" s="25">
        <f t="shared" si="1"/>
        <v>0</v>
      </c>
      <c r="T10" s="25">
        <f t="shared" si="2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0"/>
        <v>0</v>
      </c>
      <c r="N11" s="25">
        <f t="shared" si="1"/>
        <v>0</v>
      </c>
      <c r="T11" s="25">
        <f t="shared" si="2"/>
        <v>0</v>
      </c>
      <c r="X11" s="1">
        <v>4</v>
      </c>
      <c r="Y11" s="1">
        <v>4</v>
      </c>
      <c r="Z11" s="25">
        <f t="shared" si="3"/>
        <v>8</v>
      </c>
      <c r="AA11" s="1">
        <v>3</v>
      </c>
      <c r="AB11" s="1">
        <v>2</v>
      </c>
      <c r="AC11" s="1">
        <v>2</v>
      </c>
      <c r="AD11" s="1">
        <v>1</v>
      </c>
      <c r="AF11" s="25">
        <f t="shared" si="4"/>
        <v>8</v>
      </c>
      <c r="AG11" s="1">
        <v>1</v>
      </c>
      <c r="AL11" s="25">
        <f t="shared" si="5"/>
        <v>1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0"/>
        <v>0</v>
      </c>
      <c r="N12" s="25">
        <f t="shared" si="1"/>
        <v>0</v>
      </c>
      <c r="T12" s="25">
        <f t="shared" si="2"/>
        <v>0</v>
      </c>
      <c r="X12" s="1">
        <v>136</v>
      </c>
      <c r="Y12" s="1">
        <v>136</v>
      </c>
      <c r="Z12" s="25">
        <f t="shared" si="3"/>
        <v>272</v>
      </c>
      <c r="AA12" s="1">
        <v>90</v>
      </c>
      <c r="AB12" s="1">
        <v>63</v>
      </c>
      <c r="AC12" s="1">
        <v>55</v>
      </c>
      <c r="AD12" s="1">
        <v>30</v>
      </c>
      <c r="AF12" s="25">
        <f t="shared" si="4"/>
        <v>238</v>
      </c>
      <c r="AG12" s="1">
        <v>30</v>
      </c>
      <c r="AL12" s="25">
        <f t="shared" si="5"/>
        <v>30</v>
      </c>
      <c r="AR12" s="29">
        <f t="shared" si="6"/>
        <v>0</v>
      </c>
      <c r="AS12" s="1">
        <v>39</v>
      </c>
      <c r="AT12" s="1">
        <v>32</v>
      </c>
      <c r="AU12" s="1">
        <v>30</v>
      </c>
      <c r="AV12" s="1">
        <v>26</v>
      </c>
      <c r="AX12" s="29">
        <f t="shared" si="7"/>
        <v>127</v>
      </c>
      <c r="AY12" s="1">
        <v>81</v>
      </c>
      <c r="AZ12" s="1">
        <v>31</v>
      </c>
      <c r="BB12" s="1">
        <v>35</v>
      </c>
      <c r="BC12" s="1">
        <v>35</v>
      </c>
      <c r="BD12" s="27">
        <f t="shared" si="8"/>
        <v>182</v>
      </c>
    </row>
    <row r="13" spans="1:56" x14ac:dyDescent="0.25">
      <c r="A13" s="2" t="s">
        <v>8</v>
      </c>
      <c r="B13" s="24">
        <v>12</v>
      </c>
      <c r="C13" s="14"/>
      <c r="H13" s="25">
        <f t="shared" si="0"/>
        <v>0</v>
      </c>
      <c r="J13" s="1">
        <v>1</v>
      </c>
      <c r="M13" s="1">
        <v>1</v>
      </c>
      <c r="N13" s="25">
        <f t="shared" si="1"/>
        <v>2</v>
      </c>
      <c r="T13" s="25">
        <f t="shared" si="2"/>
        <v>0</v>
      </c>
      <c r="Z13" s="25">
        <f t="shared" si="3"/>
        <v>0</v>
      </c>
      <c r="AA13" s="1">
        <v>1</v>
      </c>
      <c r="AD13" s="1">
        <v>1</v>
      </c>
      <c r="AF13" s="25">
        <f t="shared" si="4"/>
        <v>2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0"/>
        <v>0</v>
      </c>
      <c r="N14" s="25">
        <f t="shared" si="1"/>
        <v>0</v>
      </c>
      <c r="T14" s="25">
        <f t="shared" si="2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F15" s="1">
        <v>55</v>
      </c>
      <c r="H15" s="25">
        <f t="shared" si="0"/>
        <v>55</v>
      </c>
      <c r="J15" s="1">
        <v>140</v>
      </c>
      <c r="L15" s="1">
        <v>30</v>
      </c>
      <c r="M15" s="1">
        <v>27</v>
      </c>
      <c r="N15" s="25">
        <f t="shared" si="1"/>
        <v>197</v>
      </c>
      <c r="T15" s="25">
        <f t="shared" si="2"/>
        <v>0</v>
      </c>
      <c r="Z15" s="25">
        <f t="shared" si="3"/>
        <v>0</v>
      </c>
      <c r="AF15" s="25">
        <f t="shared" si="4"/>
        <v>0</v>
      </c>
      <c r="AI15" s="1">
        <v>51</v>
      </c>
      <c r="AL15" s="25">
        <f t="shared" si="5"/>
        <v>51</v>
      </c>
      <c r="AR15" s="29">
        <f t="shared" si="6"/>
        <v>0</v>
      </c>
      <c r="AS15" s="1">
        <v>40</v>
      </c>
      <c r="AT15" s="1">
        <v>20</v>
      </c>
      <c r="AV15" s="1">
        <v>11</v>
      </c>
      <c r="AX15" s="29">
        <f t="shared" si="7"/>
        <v>71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>
        <v>164</v>
      </c>
      <c r="F16" s="40">
        <v>2286</v>
      </c>
      <c r="G16" s="40">
        <v>15687</v>
      </c>
      <c r="H16" s="18">
        <f t="shared" si="0"/>
        <v>18137</v>
      </c>
      <c r="I16" s="40">
        <v>3724</v>
      </c>
      <c r="J16" s="17"/>
      <c r="K16" s="17"/>
      <c r="L16" s="17"/>
      <c r="M16" s="17"/>
      <c r="N16" s="18">
        <f t="shared" si="1"/>
        <v>3724</v>
      </c>
      <c r="O16" s="17"/>
      <c r="P16" s="17"/>
      <c r="Q16" s="17"/>
      <c r="R16" s="17"/>
      <c r="S16" s="17"/>
      <c r="T16" s="18">
        <f t="shared" si="2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18">
        <f t="shared" si="4"/>
        <v>0</v>
      </c>
      <c r="AG16" s="17"/>
      <c r="AH16" s="17"/>
      <c r="AI16" s="17"/>
      <c r="AJ16" s="17"/>
      <c r="AK16" s="17"/>
      <c r="AL16" s="18">
        <f t="shared" si="5"/>
        <v>0</v>
      </c>
      <c r="AM16" s="17">
        <v>10</v>
      </c>
      <c r="AN16" s="17"/>
      <c r="AO16" s="17"/>
      <c r="AP16" s="17"/>
      <c r="AQ16" s="17"/>
      <c r="AR16" s="30">
        <f t="shared" si="6"/>
        <v>10</v>
      </c>
      <c r="AS16" s="17"/>
      <c r="AT16" s="17"/>
      <c r="AU16" s="17"/>
      <c r="AV16" s="17"/>
      <c r="AW16" s="17"/>
      <c r="AX16" s="30">
        <f t="shared" si="7"/>
        <v>0</v>
      </c>
      <c r="AY16" s="17"/>
      <c r="AZ16" s="17"/>
      <c r="BA16" s="17"/>
      <c r="BB16" s="17"/>
      <c r="BC16" s="17"/>
      <c r="BD16" s="28">
        <f t="shared" si="8"/>
        <v>0</v>
      </c>
    </row>
    <row r="17" spans="1:55" ht="360" x14ac:dyDescent="0.25">
      <c r="A17" s="1" t="s">
        <v>11</v>
      </c>
      <c r="C17" s="4"/>
      <c r="D17" s="4"/>
      <c r="E17" s="4"/>
      <c r="F17" s="4"/>
      <c r="G17" s="4" t="s">
        <v>36</v>
      </c>
      <c r="H17" s="4"/>
      <c r="I17" s="4" t="s">
        <v>31</v>
      </c>
      <c r="J17" s="4" t="s">
        <v>31</v>
      </c>
      <c r="K17" s="4"/>
      <c r="M17" s="4"/>
      <c r="O17" s="4" t="s">
        <v>47</v>
      </c>
      <c r="Q17" s="4" t="s">
        <v>54</v>
      </c>
      <c r="S17" s="4"/>
      <c r="U17" s="4" t="s">
        <v>70</v>
      </c>
      <c r="V17" s="4" t="s">
        <v>54</v>
      </c>
      <c r="W17" s="4" t="s">
        <v>54</v>
      </c>
      <c r="Y17" s="4" t="s">
        <v>82</v>
      </c>
      <c r="AA17" s="4" t="s">
        <v>82</v>
      </c>
      <c r="AB17" s="4" t="s">
        <v>82</v>
      </c>
      <c r="AC17" s="4" t="s">
        <v>82</v>
      </c>
      <c r="AD17" s="4" t="s">
        <v>89</v>
      </c>
      <c r="AG17" s="4" t="s">
        <v>93</v>
      </c>
      <c r="AH17" s="4" t="s">
        <v>98</v>
      </c>
      <c r="AI17" s="4" t="s">
        <v>102</v>
      </c>
      <c r="AJ17" s="4" t="s">
        <v>102</v>
      </c>
      <c r="AK17" s="4" t="s">
        <v>100</v>
      </c>
      <c r="AM17" s="4" t="s">
        <v>118</v>
      </c>
      <c r="AN17" s="4" t="s">
        <v>102</v>
      </c>
      <c r="AO17" s="1" t="s">
        <v>117</v>
      </c>
      <c r="AP17" s="1" t="s">
        <v>117</v>
      </c>
      <c r="AQ17" s="1" t="s">
        <v>117</v>
      </c>
      <c r="AS17" s="4" t="s">
        <v>119</v>
      </c>
      <c r="AT17" s="4" t="s">
        <v>119</v>
      </c>
      <c r="AU17" s="4" t="s">
        <v>102</v>
      </c>
      <c r="AV17" s="4" t="s">
        <v>102</v>
      </c>
      <c r="AW17" s="4" t="s">
        <v>152</v>
      </c>
      <c r="AY17" s="4" t="s">
        <v>102</v>
      </c>
      <c r="AZ17" s="4" t="s">
        <v>102</v>
      </c>
      <c r="BA17" s="4" t="s">
        <v>102</v>
      </c>
      <c r="BB17" s="4" t="s">
        <v>102</v>
      </c>
      <c r="BC17" s="4" t="s">
        <v>102</v>
      </c>
    </row>
    <row r="18" spans="1:55" ht="105" x14ac:dyDescent="0.25">
      <c r="A18" s="1" t="s">
        <v>10</v>
      </c>
      <c r="C18" s="4" t="s">
        <v>31</v>
      </c>
      <c r="D18" s="4" t="s">
        <v>33</v>
      </c>
      <c r="F18" s="4" t="s">
        <v>31</v>
      </c>
      <c r="G18" s="4" t="s">
        <v>31</v>
      </c>
      <c r="J18" s="4" t="s">
        <v>39</v>
      </c>
      <c r="Q18" s="4" t="s">
        <v>55</v>
      </c>
      <c r="AD18" s="4" t="s">
        <v>90</v>
      </c>
      <c r="AG18" s="4" t="s">
        <v>101</v>
      </c>
      <c r="AH18" s="4" t="s">
        <v>101</v>
      </c>
      <c r="AI18" s="4" t="s">
        <v>101</v>
      </c>
      <c r="AJ18" s="4" t="s">
        <v>108</v>
      </c>
      <c r="AK18" s="4" t="s">
        <v>101</v>
      </c>
      <c r="AM18" s="4" t="s">
        <v>101</v>
      </c>
      <c r="AN18" s="4" t="s">
        <v>101</v>
      </c>
      <c r="AS18" s="4" t="s">
        <v>101</v>
      </c>
      <c r="AT18" s="4" t="s">
        <v>101</v>
      </c>
      <c r="AU18" s="4" t="s">
        <v>101</v>
      </c>
      <c r="AV18" s="4" t="s">
        <v>101</v>
      </c>
      <c r="AW18" s="4" t="s">
        <v>101</v>
      </c>
      <c r="AY18" s="4"/>
      <c r="AZ18" s="4" t="s">
        <v>152</v>
      </c>
      <c r="BA18" s="4" t="s">
        <v>152</v>
      </c>
      <c r="BB18" s="4" t="s">
        <v>152</v>
      </c>
    </row>
  </sheetData>
  <customSheetViews>
    <customSheetView guid="{3D987F8E-A6EA-454D-9537-6BFC5053CB00}">
      <pane xSplit="1" topLeftCell="AM1" activePane="topRight" state="frozen"/>
      <selection pane="topRight" activeCell="A5" sqref="A5:XFD5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12" sqref="A12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 topLeftCell="A16">
      <pane xSplit="1" topLeftCell="AR1" activePane="topRight" state="frozen"/>
      <selection pane="topRight" activeCell="AY17" sqref="AY17"/>
      <pageMargins left="0.511811024" right="0.511811024" top="0.78740157499999996" bottom="0.78740157499999996" header="0.31496062000000002" footer="0.31496062000000002"/>
      <autoFilter ref="A1:BD18" xr:uid="{025878D0-8451-4AEE-896A-6DC6FD4BF653}"/>
    </customSheetView>
    <customSheetView guid="{552DFCCD-1786-4D75-8B10-27DD730384DD}">
      <selection activeCell="G12" sqref="G12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D1">
      <selection activeCell="L10" sqref="L10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BN9" sqref="BN9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AJ1">
      <selection activeCell="AK17" sqref="AK1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pane xSplit="1" topLeftCell="T1" activePane="topRight" state="frozen"/>
      <selection pane="topRight" activeCell="BQ18" sqref="BQ18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B1" sqref="BB1:BB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Z63"/>
  <sheetViews>
    <sheetView zoomScaleNormal="85" workbookViewId="0">
      <pane xSplit="1" topLeftCell="AM1" activePane="topRight" state="frozen"/>
      <selection pane="topRight" activeCell="A13" sqref="A13:XFD13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6" width="7.140625" style="1" bestFit="1" customWidth="1"/>
    <col min="17" max="17" width="9.7109375" style="1" customWidth="1"/>
    <col min="18" max="18" width="12.5703125" style="1" customWidth="1"/>
    <col min="19" max="19" width="10.42578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77" width="9.140625" style="1"/>
    <col min="78" max="78" width="9.140625" style="43"/>
    <col min="79" max="16384" width="9.140625" style="1"/>
  </cols>
  <sheetData>
    <row r="1" spans="1:78" x14ac:dyDescent="0.25">
      <c r="A1" s="19" t="s">
        <v>9</v>
      </c>
      <c r="B1" s="31"/>
      <c r="C1" s="32">
        <v>45810</v>
      </c>
      <c r="D1" s="33">
        <v>45811</v>
      </c>
      <c r="E1" s="33">
        <v>45812</v>
      </c>
      <c r="F1" s="33">
        <v>45813</v>
      </c>
      <c r="G1" s="33">
        <v>45814</v>
      </c>
      <c r="H1" s="34" t="s">
        <v>15</v>
      </c>
      <c r="I1" s="33">
        <v>45817</v>
      </c>
      <c r="J1" s="33">
        <v>45818</v>
      </c>
      <c r="K1" s="33">
        <v>45819</v>
      </c>
      <c r="L1" s="33">
        <v>45820</v>
      </c>
      <c r="M1" s="33">
        <v>45821</v>
      </c>
      <c r="N1" s="35" t="s">
        <v>15</v>
      </c>
      <c r="O1" s="33">
        <v>45824</v>
      </c>
      <c r="P1" s="33">
        <v>45825</v>
      </c>
      <c r="Q1" s="33">
        <v>45826</v>
      </c>
      <c r="R1" s="33">
        <v>45827</v>
      </c>
      <c r="S1" s="33">
        <v>45828</v>
      </c>
      <c r="T1" s="35" t="s">
        <v>15</v>
      </c>
      <c r="U1" s="33">
        <v>45831</v>
      </c>
      <c r="V1" s="33">
        <v>45832</v>
      </c>
      <c r="W1" s="33">
        <v>45833</v>
      </c>
      <c r="X1" s="33">
        <v>45834</v>
      </c>
      <c r="Y1" s="33">
        <v>45835</v>
      </c>
      <c r="Z1" s="35" t="s">
        <v>15</v>
      </c>
      <c r="AA1" s="33">
        <v>45838</v>
      </c>
      <c r="AB1" s="33">
        <v>45839</v>
      </c>
      <c r="AC1" s="33">
        <v>45840</v>
      </c>
      <c r="AD1" s="33">
        <v>45841</v>
      </c>
      <c r="AE1" s="33">
        <v>45842</v>
      </c>
      <c r="AF1" s="35" t="s">
        <v>15</v>
      </c>
      <c r="AG1" s="33">
        <v>45845</v>
      </c>
      <c r="AH1" s="33">
        <v>45846</v>
      </c>
      <c r="AI1" s="33">
        <v>45847</v>
      </c>
      <c r="AJ1" s="33">
        <v>45848</v>
      </c>
      <c r="AK1" s="33">
        <v>45849</v>
      </c>
      <c r="AL1" s="35" t="s">
        <v>15</v>
      </c>
      <c r="AM1" s="33">
        <v>45852</v>
      </c>
      <c r="AN1" s="33">
        <v>45853</v>
      </c>
      <c r="AO1" s="33">
        <v>45854</v>
      </c>
      <c r="AP1" s="33">
        <v>45855</v>
      </c>
      <c r="AQ1" s="33">
        <v>45856</v>
      </c>
      <c r="AR1" s="36" t="s">
        <v>15</v>
      </c>
      <c r="AS1" s="33">
        <v>45859</v>
      </c>
      <c r="AT1" s="33">
        <v>45860</v>
      </c>
      <c r="AU1" s="33">
        <v>45861</v>
      </c>
      <c r="AV1" s="33">
        <v>45862</v>
      </c>
      <c r="AW1" s="33">
        <v>45863</v>
      </c>
      <c r="AX1" s="36" t="s">
        <v>15</v>
      </c>
      <c r="AY1" s="33">
        <v>45866</v>
      </c>
      <c r="AZ1" s="33">
        <v>45867</v>
      </c>
      <c r="BA1" s="33">
        <v>45868</v>
      </c>
      <c r="BB1" s="33">
        <v>45869</v>
      </c>
      <c r="BC1" s="33">
        <v>45870</v>
      </c>
      <c r="BD1" s="37" t="s">
        <v>15</v>
      </c>
      <c r="BU1" s="41"/>
      <c r="BV1" s="41"/>
      <c r="BW1" s="41"/>
      <c r="BX1" s="41"/>
      <c r="BY1" s="41"/>
      <c r="BZ1" s="42"/>
    </row>
    <row r="2" spans="1:78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X2" s="1">
        <v>1</v>
      </c>
      <c r="Z2" s="25">
        <f>SUM(U2:Y2)</f>
        <v>1</v>
      </c>
      <c r="AF2" s="2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B2" s="1">
        <v>1</v>
      </c>
      <c r="BD2" s="27">
        <f>SUM(AY2:BC2)</f>
        <v>1</v>
      </c>
      <c r="BZ2" s="42"/>
    </row>
    <row r="3" spans="1:78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X3" s="1">
        <v>4</v>
      </c>
      <c r="Z3" s="25">
        <f t="shared" ref="Z3:Z16" si="3">SUM(U3:Y3)</f>
        <v>4</v>
      </c>
      <c r="AF3" s="2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B3" s="1">
        <v>3</v>
      </c>
      <c r="BD3" s="27">
        <f t="shared" ref="BD3:BD16" si="8">SUM(AY3:BC3)</f>
        <v>3</v>
      </c>
      <c r="BZ3" s="42"/>
    </row>
    <row r="4" spans="1:78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2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  <c r="BZ4" s="42"/>
    </row>
    <row r="5" spans="1:78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  <c r="BZ5" s="42"/>
    </row>
    <row r="6" spans="1:78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25">
        <f t="shared" si="4"/>
        <v>0</v>
      </c>
      <c r="AG6" s="1">
        <v>10</v>
      </c>
      <c r="AL6" s="25">
        <f t="shared" si="5"/>
        <v>10</v>
      </c>
      <c r="AR6" s="29">
        <f t="shared" si="6"/>
        <v>0</v>
      </c>
      <c r="AX6" s="29">
        <f t="shared" si="7"/>
        <v>0</v>
      </c>
      <c r="BD6" s="27">
        <f t="shared" si="8"/>
        <v>0</v>
      </c>
      <c r="BZ6" s="42"/>
    </row>
    <row r="7" spans="1:78" x14ac:dyDescent="0.25">
      <c r="A7" s="3" t="s">
        <v>2</v>
      </c>
      <c r="B7" s="24">
        <v>6</v>
      </c>
      <c r="C7" s="1">
        <v>33</v>
      </c>
      <c r="D7" s="1">
        <v>9</v>
      </c>
      <c r="F7" s="1">
        <v>65</v>
      </c>
      <c r="G7" s="1">
        <v>49</v>
      </c>
      <c r="H7" s="25">
        <f t="shared" si="1"/>
        <v>156</v>
      </c>
      <c r="I7" s="1">
        <v>12</v>
      </c>
      <c r="K7" s="1">
        <v>2</v>
      </c>
      <c r="M7" s="1">
        <v>18</v>
      </c>
      <c r="N7" s="25">
        <f t="shared" si="2"/>
        <v>32</v>
      </c>
      <c r="O7" s="1">
        <v>8</v>
      </c>
      <c r="Q7" s="1">
        <v>8</v>
      </c>
      <c r="T7" s="25">
        <f t="shared" si="0"/>
        <v>16</v>
      </c>
      <c r="U7" s="1">
        <v>10</v>
      </c>
      <c r="V7" s="1">
        <v>2</v>
      </c>
      <c r="Z7" s="25">
        <f t="shared" si="3"/>
        <v>12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  <c r="BZ7" s="42"/>
    </row>
    <row r="8" spans="1:78" x14ac:dyDescent="0.25">
      <c r="A8" s="3" t="s">
        <v>3</v>
      </c>
      <c r="B8" s="23">
        <v>7</v>
      </c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25">
        <f t="shared" si="4"/>
        <v>0</v>
      </c>
      <c r="AG8" s="1">
        <v>10</v>
      </c>
      <c r="AL8" s="25">
        <f t="shared" si="5"/>
        <v>10</v>
      </c>
      <c r="AR8" s="29">
        <f t="shared" si="6"/>
        <v>0</v>
      </c>
      <c r="AX8" s="29">
        <f t="shared" si="7"/>
        <v>0</v>
      </c>
      <c r="BD8" s="27">
        <f t="shared" si="8"/>
        <v>0</v>
      </c>
      <c r="BZ8" s="42"/>
    </row>
    <row r="9" spans="1:78" x14ac:dyDescent="0.25">
      <c r="A9" s="3" t="s">
        <v>13</v>
      </c>
      <c r="B9" s="23">
        <v>8</v>
      </c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  <c r="BZ9" s="42"/>
    </row>
    <row r="10" spans="1:78" x14ac:dyDescent="0.25">
      <c r="A10" s="2" t="s">
        <v>12</v>
      </c>
      <c r="B10" s="24">
        <v>9</v>
      </c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  <c r="BZ10" s="42"/>
    </row>
    <row r="11" spans="1:78" x14ac:dyDescent="0.25">
      <c r="A11" s="3" t="s">
        <v>4</v>
      </c>
      <c r="B11" s="23">
        <v>10</v>
      </c>
      <c r="C11" s="1">
        <v>3</v>
      </c>
      <c r="D11" s="1">
        <v>3</v>
      </c>
      <c r="F11" s="1">
        <v>4</v>
      </c>
      <c r="G11" s="1">
        <v>3</v>
      </c>
      <c r="H11" s="25">
        <f t="shared" si="1"/>
        <v>13</v>
      </c>
      <c r="I11" s="1">
        <v>4</v>
      </c>
      <c r="J11" s="1">
        <v>4</v>
      </c>
      <c r="K11" s="1">
        <v>3</v>
      </c>
      <c r="M11" s="1">
        <v>4</v>
      </c>
      <c r="N11" s="25">
        <f t="shared" si="2"/>
        <v>15</v>
      </c>
      <c r="O11" s="1">
        <v>2</v>
      </c>
      <c r="P11" s="1">
        <v>3</v>
      </c>
      <c r="Q11" s="1">
        <v>2</v>
      </c>
      <c r="T11" s="25">
        <f t="shared" si="0"/>
        <v>7</v>
      </c>
      <c r="U11" s="1">
        <v>2</v>
      </c>
      <c r="V11" s="1">
        <v>4</v>
      </c>
      <c r="W11" s="1">
        <v>3</v>
      </c>
      <c r="Y11" s="1">
        <v>4</v>
      </c>
      <c r="Z11" s="25">
        <f t="shared" si="3"/>
        <v>13</v>
      </c>
      <c r="AA11" s="1">
        <v>4</v>
      </c>
      <c r="AB11" s="1">
        <v>3</v>
      </c>
      <c r="AC11" s="1">
        <v>3</v>
      </c>
      <c r="AE11" s="1">
        <v>2</v>
      </c>
      <c r="AF11" s="25">
        <f t="shared" si="4"/>
        <v>12</v>
      </c>
      <c r="AH11" s="1">
        <v>3</v>
      </c>
      <c r="AL11" s="25">
        <f t="shared" si="5"/>
        <v>3</v>
      </c>
      <c r="AR11" s="29">
        <f t="shared" si="6"/>
        <v>0</v>
      </c>
      <c r="AX11" s="29">
        <f t="shared" si="7"/>
        <v>0</v>
      </c>
      <c r="BD11" s="27">
        <f t="shared" si="8"/>
        <v>0</v>
      </c>
      <c r="BZ11" s="42"/>
    </row>
    <row r="12" spans="1:78" x14ac:dyDescent="0.25">
      <c r="A12" s="3" t="s">
        <v>5</v>
      </c>
      <c r="B12" s="23">
        <v>11</v>
      </c>
      <c r="C12" s="1">
        <v>51</v>
      </c>
      <c r="D12" s="1">
        <v>35</v>
      </c>
      <c r="F12" s="1">
        <v>100</v>
      </c>
      <c r="G12" s="1">
        <v>63</v>
      </c>
      <c r="H12" s="25">
        <f t="shared" si="1"/>
        <v>249</v>
      </c>
      <c r="I12" s="1">
        <v>100</v>
      </c>
      <c r="J12" s="1">
        <v>81</v>
      </c>
      <c r="K12" s="1">
        <v>71</v>
      </c>
      <c r="M12" s="1">
        <v>63</v>
      </c>
      <c r="N12" s="25">
        <f t="shared" si="2"/>
        <v>315</v>
      </c>
      <c r="O12" s="1">
        <v>78</v>
      </c>
      <c r="P12" s="1">
        <v>58</v>
      </c>
      <c r="Q12" s="1">
        <v>46</v>
      </c>
      <c r="T12" s="25">
        <f t="shared" si="0"/>
        <v>182</v>
      </c>
      <c r="U12" s="1">
        <v>54</v>
      </c>
      <c r="V12" s="1">
        <v>39</v>
      </c>
      <c r="W12" s="1">
        <v>53</v>
      </c>
      <c r="Y12" s="1">
        <v>136</v>
      </c>
      <c r="Z12" s="25">
        <f t="shared" si="3"/>
        <v>282</v>
      </c>
      <c r="AA12" s="1">
        <v>136</v>
      </c>
      <c r="AB12" s="1">
        <v>108</v>
      </c>
      <c r="AC12" s="1">
        <v>108</v>
      </c>
      <c r="AE12" s="1">
        <v>72</v>
      </c>
      <c r="AF12" s="25">
        <f t="shared" si="4"/>
        <v>424</v>
      </c>
      <c r="AH12" s="1">
        <v>108</v>
      </c>
      <c r="AL12" s="25">
        <f t="shared" si="5"/>
        <v>108</v>
      </c>
      <c r="AM12" s="1">
        <v>40</v>
      </c>
      <c r="AN12" s="1">
        <v>60</v>
      </c>
      <c r="AO12" s="1">
        <v>63</v>
      </c>
      <c r="AP12" s="1">
        <v>54</v>
      </c>
      <c r="AQ12" s="1">
        <v>63</v>
      </c>
      <c r="AR12" s="29">
        <f t="shared" si="6"/>
        <v>280</v>
      </c>
      <c r="AS12" s="1">
        <v>65</v>
      </c>
      <c r="AT12" s="1">
        <v>60</v>
      </c>
      <c r="AU12" s="1">
        <v>50</v>
      </c>
      <c r="AV12" s="1">
        <v>45</v>
      </c>
      <c r="AW12" s="1">
        <v>40</v>
      </c>
      <c r="AX12" s="29">
        <f>SUM(AS12:AW12)</f>
        <v>260</v>
      </c>
      <c r="AZ12" s="1">
        <v>21</v>
      </c>
      <c r="BD12" s="27">
        <f t="shared" si="8"/>
        <v>21</v>
      </c>
      <c r="BZ12" s="42"/>
    </row>
    <row r="13" spans="1:78" x14ac:dyDescent="0.25">
      <c r="A13" s="2" t="s">
        <v>8</v>
      </c>
      <c r="B13" s="24">
        <v>12</v>
      </c>
      <c r="H13" s="25">
        <f t="shared" si="1"/>
        <v>0</v>
      </c>
      <c r="N13" s="25">
        <f t="shared" si="2"/>
        <v>0</v>
      </c>
      <c r="T13" s="25">
        <f t="shared" si="0"/>
        <v>0</v>
      </c>
      <c r="X13" s="1">
        <v>1</v>
      </c>
      <c r="Z13" s="25">
        <f t="shared" si="3"/>
        <v>1</v>
      </c>
      <c r="AF13" s="25">
        <f t="shared" si="4"/>
        <v>0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B13" s="1">
        <v>2</v>
      </c>
      <c r="BD13" s="27">
        <f t="shared" si="8"/>
        <v>2</v>
      </c>
      <c r="BZ13" s="42"/>
    </row>
    <row r="14" spans="1:78" x14ac:dyDescent="0.25">
      <c r="A14" s="3" t="s">
        <v>6</v>
      </c>
      <c r="B14" s="23">
        <v>13</v>
      </c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  <c r="BZ14" s="42"/>
    </row>
    <row r="15" spans="1:78" x14ac:dyDescent="0.25">
      <c r="A15" s="2" t="s">
        <v>7</v>
      </c>
      <c r="B15" s="23">
        <v>14</v>
      </c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25">
        <f t="shared" si="4"/>
        <v>0</v>
      </c>
      <c r="AI15" s="1">
        <v>51</v>
      </c>
      <c r="AL15" s="25">
        <f>SUM(AG15:AK15)</f>
        <v>51</v>
      </c>
      <c r="AM15" s="1">
        <v>40</v>
      </c>
      <c r="AN15" s="1">
        <v>20</v>
      </c>
      <c r="AP15" s="1">
        <v>11</v>
      </c>
      <c r="AR15" s="29">
        <f t="shared" si="6"/>
        <v>71</v>
      </c>
      <c r="AV15" s="1">
        <v>15</v>
      </c>
      <c r="AX15" s="29">
        <f>SUM(AS15:AW15)</f>
        <v>15</v>
      </c>
      <c r="BC15" s="1">
        <v>14</v>
      </c>
      <c r="BD15" s="27">
        <f t="shared" si="8"/>
        <v>14</v>
      </c>
      <c r="BZ15" s="42"/>
    </row>
    <row r="16" spans="1:78" x14ac:dyDescent="0.25">
      <c r="A16" s="20" t="s">
        <v>14</v>
      </c>
      <c r="B16" s="21">
        <v>15</v>
      </c>
      <c r="E16" s="1">
        <v>150</v>
      </c>
      <c r="H16" s="18">
        <f t="shared" si="1"/>
        <v>150</v>
      </c>
      <c r="I16" s="17"/>
      <c r="J16" s="17"/>
      <c r="K16" s="17"/>
      <c r="L16" s="17">
        <v>170</v>
      </c>
      <c r="M16" s="17"/>
      <c r="N16" s="18">
        <f t="shared" si="2"/>
        <v>170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18">
        <f t="shared" si="4"/>
        <v>0</v>
      </c>
      <c r="AG16" s="17"/>
      <c r="AH16" s="17"/>
      <c r="AI16" s="17"/>
      <c r="AJ16" s="17"/>
      <c r="AK16" s="17"/>
      <c r="AL16" s="18">
        <f t="shared" si="5"/>
        <v>0</v>
      </c>
      <c r="AM16" s="17"/>
      <c r="AN16" s="17"/>
      <c r="AO16" s="17"/>
      <c r="AP16" s="17"/>
      <c r="AQ16" s="17"/>
      <c r="AR16" s="30">
        <f t="shared" si="6"/>
        <v>0</v>
      </c>
      <c r="AS16" s="17"/>
      <c r="AT16" s="17"/>
      <c r="AU16" s="17"/>
      <c r="AV16" s="17"/>
      <c r="AW16" s="17"/>
      <c r="AX16" s="30">
        <f t="shared" si="7"/>
        <v>0</v>
      </c>
      <c r="AY16" s="17"/>
      <c r="AZ16" s="17"/>
      <c r="BA16" s="17"/>
      <c r="BB16" s="17"/>
      <c r="BC16" s="17"/>
      <c r="BD16" s="28">
        <f t="shared" si="8"/>
        <v>0</v>
      </c>
      <c r="BZ16" s="42"/>
    </row>
    <row r="17" spans="1:78" ht="165" x14ac:dyDescent="0.25">
      <c r="A17" s="1" t="s">
        <v>11</v>
      </c>
      <c r="H17" s="4"/>
      <c r="I17" s="4"/>
      <c r="K17" s="4"/>
      <c r="L17" s="4" t="s">
        <v>48</v>
      </c>
      <c r="M17" s="4"/>
      <c r="S17" s="4"/>
      <c r="AD17" s="4" t="s">
        <v>89</v>
      </c>
      <c r="AG17" s="4" t="s">
        <v>99</v>
      </c>
      <c r="AI17" s="4" t="s">
        <v>102</v>
      </c>
      <c r="AJ17" s="4" t="s">
        <v>102</v>
      </c>
      <c r="AK17" s="4" t="s">
        <v>100</v>
      </c>
      <c r="AM17" s="4" t="s">
        <v>103</v>
      </c>
      <c r="AT17" s="4" t="s">
        <v>103</v>
      </c>
      <c r="AV17" s="4" t="s">
        <v>31</v>
      </c>
      <c r="AW17" s="4" t="s">
        <v>129</v>
      </c>
      <c r="AY17" s="4" t="s">
        <v>145</v>
      </c>
      <c r="BA17" s="39" t="s">
        <v>157</v>
      </c>
      <c r="BZ17" s="42"/>
    </row>
    <row r="18" spans="1:78" ht="150" x14ac:dyDescent="0.25">
      <c r="A18" s="1" t="s">
        <v>10</v>
      </c>
      <c r="D18" s="4" t="s">
        <v>37</v>
      </c>
      <c r="K18" s="4" t="s">
        <v>49</v>
      </c>
      <c r="Q18" s="4" t="s">
        <v>67</v>
      </c>
      <c r="R18" s="4" t="s">
        <v>52</v>
      </c>
      <c r="S18" s="4" t="s">
        <v>52</v>
      </c>
      <c r="AD18" s="4" t="s">
        <v>90</v>
      </c>
      <c r="AG18" s="4" t="s">
        <v>94</v>
      </c>
      <c r="AI18" s="4"/>
      <c r="AJ18" s="4" t="s">
        <v>107</v>
      </c>
      <c r="AM18" s="4" t="s">
        <v>102</v>
      </c>
      <c r="AN18" s="4" t="s">
        <v>102</v>
      </c>
      <c r="AO18" s="4" t="s">
        <v>102</v>
      </c>
      <c r="AP18" s="4" t="s">
        <v>102</v>
      </c>
      <c r="AQ18" s="4" t="s">
        <v>102</v>
      </c>
      <c r="AS18" s="4" t="s">
        <v>102</v>
      </c>
      <c r="AT18" s="4" t="s">
        <v>102</v>
      </c>
      <c r="AU18" s="4" t="s">
        <v>102</v>
      </c>
      <c r="AV18" s="4" t="s">
        <v>102</v>
      </c>
      <c r="AW18" s="4" t="s">
        <v>102</v>
      </c>
      <c r="BV18" s="4"/>
      <c r="BZ18" s="42"/>
    </row>
    <row r="19" spans="1:78" x14ac:dyDescent="0.25">
      <c r="BZ19" s="42"/>
    </row>
    <row r="20" spans="1:78" x14ac:dyDescent="0.25">
      <c r="BZ20" s="42"/>
    </row>
    <row r="21" spans="1:78" x14ac:dyDescent="0.25">
      <c r="BZ21" s="42"/>
    </row>
    <row r="22" spans="1:78" x14ac:dyDescent="0.25">
      <c r="BZ22" s="42"/>
    </row>
    <row r="23" spans="1:78" x14ac:dyDescent="0.25">
      <c r="BZ23" s="42"/>
    </row>
    <row r="24" spans="1:78" x14ac:dyDescent="0.25">
      <c r="BZ24" s="42"/>
    </row>
    <row r="25" spans="1:78" x14ac:dyDescent="0.25">
      <c r="BZ25" s="42"/>
    </row>
    <row r="26" spans="1:78" x14ac:dyDescent="0.25">
      <c r="BZ26" s="42"/>
    </row>
    <row r="27" spans="1:78" x14ac:dyDescent="0.25">
      <c r="BZ27" s="42"/>
    </row>
    <row r="28" spans="1:78" x14ac:dyDescent="0.25">
      <c r="BZ28" s="42"/>
    </row>
    <row r="29" spans="1:78" x14ac:dyDescent="0.25">
      <c r="BZ29" s="42"/>
    </row>
    <row r="30" spans="1:78" x14ac:dyDescent="0.25">
      <c r="BZ30" s="42"/>
    </row>
    <row r="31" spans="1:78" x14ac:dyDescent="0.25">
      <c r="BZ31" s="42"/>
    </row>
    <row r="32" spans="1:78" x14ac:dyDescent="0.25">
      <c r="BZ32" s="42"/>
    </row>
    <row r="33" spans="78:78" x14ac:dyDescent="0.25">
      <c r="BZ33" s="42"/>
    </row>
    <row r="34" spans="78:78" x14ac:dyDescent="0.25">
      <c r="BZ34" s="42"/>
    </row>
    <row r="35" spans="78:78" x14ac:dyDescent="0.25">
      <c r="BZ35" s="42"/>
    </row>
    <row r="36" spans="78:78" x14ac:dyDescent="0.25">
      <c r="BZ36" s="42"/>
    </row>
    <row r="37" spans="78:78" x14ac:dyDescent="0.25">
      <c r="BZ37" s="42"/>
    </row>
    <row r="38" spans="78:78" x14ac:dyDescent="0.25">
      <c r="BZ38" s="42"/>
    </row>
    <row r="39" spans="78:78" x14ac:dyDescent="0.25">
      <c r="BZ39" s="42"/>
    </row>
    <row r="40" spans="78:78" x14ac:dyDescent="0.25">
      <c r="BZ40" s="42"/>
    </row>
    <row r="41" spans="78:78" x14ac:dyDescent="0.25">
      <c r="BZ41" s="42"/>
    </row>
    <row r="42" spans="78:78" x14ac:dyDescent="0.25">
      <c r="BZ42" s="42"/>
    </row>
    <row r="43" spans="78:78" x14ac:dyDescent="0.25">
      <c r="BZ43" s="42"/>
    </row>
    <row r="44" spans="78:78" x14ac:dyDescent="0.25">
      <c r="BZ44" s="42"/>
    </row>
    <row r="45" spans="78:78" x14ac:dyDescent="0.25">
      <c r="BZ45" s="42"/>
    </row>
    <row r="46" spans="78:78" x14ac:dyDescent="0.25">
      <c r="BZ46" s="42"/>
    </row>
    <row r="47" spans="78:78" x14ac:dyDescent="0.25">
      <c r="BZ47" s="42"/>
    </row>
    <row r="48" spans="78:78" x14ac:dyDescent="0.25">
      <c r="BZ48" s="42"/>
    </row>
    <row r="49" spans="78:78" x14ac:dyDescent="0.25">
      <c r="BZ49" s="42"/>
    </row>
    <row r="50" spans="78:78" x14ac:dyDescent="0.25">
      <c r="BZ50" s="42"/>
    </row>
    <row r="51" spans="78:78" x14ac:dyDescent="0.25">
      <c r="BZ51" s="42"/>
    </row>
    <row r="52" spans="78:78" x14ac:dyDescent="0.25">
      <c r="BZ52" s="42"/>
    </row>
    <row r="53" spans="78:78" x14ac:dyDescent="0.25">
      <c r="BZ53" s="42"/>
    </row>
    <row r="54" spans="78:78" x14ac:dyDescent="0.25">
      <c r="BZ54" s="42"/>
    </row>
    <row r="55" spans="78:78" x14ac:dyDescent="0.25">
      <c r="BZ55" s="42"/>
    </row>
    <row r="56" spans="78:78" x14ac:dyDescent="0.25">
      <c r="BZ56" s="42"/>
    </row>
    <row r="57" spans="78:78" x14ac:dyDescent="0.25">
      <c r="BZ57" s="42"/>
    </row>
    <row r="58" spans="78:78" x14ac:dyDescent="0.25">
      <c r="BZ58" s="42"/>
    </row>
    <row r="59" spans="78:78" x14ac:dyDescent="0.25">
      <c r="BZ59" s="42"/>
    </row>
    <row r="60" spans="78:78" x14ac:dyDescent="0.25">
      <c r="BZ60" s="42"/>
    </row>
    <row r="61" spans="78:78" x14ac:dyDescent="0.25">
      <c r="BZ61" s="42"/>
    </row>
    <row r="62" spans="78:78" x14ac:dyDescent="0.25">
      <c r="BZ62" s="42"/>
    </row>
    <row r="63" spans="78:78" x14ac:dyDescent="0.25">
      <c r="BZ63" s="42"/>
    </row>
  </sheetData>
  <customSheetViews>
    <customSheetView guid="{3D987F8E-A6EA-454D-9537-6BFC5053CB00}">
      <pane xSplit="1" topLeftCell="AA1" activePane="topRight" state="frozen"/>
      <selection pane="topRight" activeCell="A5" sqref="A5:XFD5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BZ17">
      <selection activeCell="CR18" sqref="CR18"/>
      <pageMargins left="0.511811024" right="0.511811024" top="0.78740157499999996" bottom="0.78740157499999996" header="0.31496062000000002" footer="0.31496062000000002"/>
    </customSheetView>
    <customSheetView guid="{9B623083-AA7B-440B-95EA-C33E1AB3D963}" scale="85" showAutoFilter="1">
      <pane xSplit="1" topLeftCell="AQ1" activePane="topRight" state="frozen"/>
      <selection pane="topRight" activeCell="AS12" sqref="AS12:AW12"/>
      <pageMargins left="0.511811024" right="0.511811024" top="0.78740157499999996" bottom="0.78740157499999996" header="0.31496062000000002" footer="0.31496062000000002"/>
      <autoFilter ref="A1:A31" xr:uid="{16D4EA47-712D-45D5-A76B-81BD5D163FA4}"/>
    </customSheetView>
    <customSheetView guid="{552DFCCD-1786-4D75-8B10-27DD730384DD}">
      <pane xSplit="1" topLeftCell="J1" activePane="topRight" state="frozen"/>
      <selection pane="topRight" activeCell="L8" sqref="L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8" sqref="A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BY1" sqref="BY1:CD16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D1">
      <selection activeCell="M9" sqref="M9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pane xSplit="1" topLeftCell="AT1" activePane="topRight" state="frozen"/>
      <selection pane="topRight" activeCell="AZ17" sqref="AZ17"/>
      <pageMargins left="0.511811024" right="0.511811024" top="0.78740157499999996" bottom="0.78740157499999996" header="0.31496062000000002" footer="0.31496062000000002"/>
    </customSheetView>
    <customSheetView guid="{86039CF8-B158-4D70-9A6F-A10C29CBD68A}" topLeftCell="B1">
      <selection activeCell="S1" sqref="S1:S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V18"/>
  <sheetViews>
    <sheetView zoomScaleNormal="100" workbookViewId="0">
      <pane xSplit="1" topLeftCell="AM1" activePane="topRight" state="frozen"/>
      <selection pane="topRight" activeCell="A13" sqref="A13:XFD13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5" width="19.140625" style="1" customWidth="1"/>
    <col min="16" max="16" width="7.140625" style="1" bestFit="1" customWidth="1"/>
    <col min="17" max="17" width="15.42578125" style="1" customWidth="1"/>
    <col min="18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61" width="9.140625" style="1"/>
    <col min="62" max="62" width="18.85546875" style="1" customWidth="1"/>
    <col min="63" max="16384" width="9.140625" style="1"/>
  </cols>
  <sheetData>
    <row r="1" spans="1:74" x14ac:dyDescent="0.25">
      <c r="A1" s="19" t="s">
        <v>9</v>
      </c>
      <c r="B1" s="31"/>
      <c r="C1" s="32">
        <v>45810</v>
      </c>
      <c r="D1" s="33">
        <v>45811</v>
      </c>
      <c r="E1" s="33">
        <v>45812</v>
      </c>
      <c r="F1" s="33">
        <v>45813</v>
      </c>
      <c r="G1" s="33">
        <v>45814</v>
      </c>
      <c r="H1" s="34" t="s">
        <v>15</v>
      </c>
      <c r="I1" s="33">
        <v>45817</v>
      </c>
      <c r="J1" s="33">
        <v>45818</v>
      </c>
      <c r="K1" s="33">
        <v>45819</v>
      </c>
      <c r="L1" s="33">
        <v>45820</v>
      </c>
      <c r="M1" s="33">
        <v>45821</v>
      </c>
      <c r="N1" s="35" t="s">
        <v>15</v>
      </c>
      <c r="O1" s="33">
        <v>45824</v>
      </c>
      <c r="P1" s="33">
        <v>45825</v>
      </c>
      <c r="Q1" s="33">
        <v>45826</v>
      </c>
      <c r="R1" s="33">
        <v>45827</v>
      </c>
      <c r="S1" s="33">
        <v>45828</v>
      </c>
      <c r="T1" s="35" t="s">
        <v>15</v>
      </c>
      <c r="U1" s="33">
        <v>45831</v>
      </c>
      <c r="V1" s="33">
        <v>45832</v>
      </c>
      <c r="W1" s="33">
        <v>45833</v>
      </c>
      <c r="X1" s="33">
        <v>45834</v>
      </c>
      <c r="Y1" s="33">
        <v>45835</v>
      </c>
      <c r="Z1" s="35" t="s">
        <v>15</v>
      </c>
      <c r="AA1" s="33">
        <v>45838</v>
      </c>
      <c r="AB1" s="33">
        <v>45839</v>
      </c>
      <c r="AC1" s="33">
        <v>45840</v>
      </c>
      <c r="AD1" s="33">
        <v>45841</v>
      </c>
      <c r="AE1" s="33">
        <v>45842</v>
      </c>
      <c r="AF1" s="35" t="s">
        <v>15</v>
      </c>
      <c r="AG1" s="33">
        <v>45845</v>
      </c>
      <c r="AH1" s="33">
        <v>45846</v>
      </c>
      <c r="AI1" s="33">
        <v>45847</v>
      </c>
      <c r="AJ1" s="33">
        <v>45848</v>
      </c>
      <c r="AK1" s="33">
        <v>45849</v>
      </c>
      <c r="AL1" s="35" t="s">
        <v>15</v>
      </c>
      <c r="AM1" s="33">
        <v>45852</v>
      </c>
      <c r="AN1" s="33">
        <v>45853</v>
      </c>
      <c r="AO1" s="33">
        <v>45854</v>
      </c>
      <c r="AP1" s="33">
        <v>45855</v>
      </c>
      <c r="AQ1" s="33">
        <v>45856</v>
      </c>
      <c r="AR1" s="36" t="s">
        <v>15</v>
      </c>
      <c r="AS1" s="33">
        <v>45859</v>
      </c>
      <c r="AT1" s="33">
        <v>45860</v>
      </c>
      <c r="AU1" s="33">
        <v>45861</v>
      </c>
      <c r="AV1" s="33">
        <v>45862</v>
      </c>
      <c r="AW1" s="33">
        <v>45863</v>
      </c>
      <c r="AX1" s="36" t="s">
        <v>15</v>
      </c>
      <c r="AY1" s="33">
        <v>45866</v>
      </c>
      <c r="AZ1" s="33">
        <v>45867</v>
      </c>
      <c r="BA1" s="33">
        <v>45868</v>
      </c>
      <c r="BB1" s="33">
        <v>45869</v>
      </c>
      <c r="BC1" s="33">
        <v>45870</v>
      </c>
      <c r="BD1" s="37" t="s">
        <v>15</v>
      </c>
      <c r="BE1" s="41">
        <v>45873</v>
      </c>
      <c r="BF1" s="41">
        <v>45874</v>
      </c>
      <c r="BG1" s="41">
        <v>45875</v>
      </c>
      <c r="BH1" s="41">
        <v>45876</v>
      </c>
      <c r="BI1" s="41">
        <v>45877</v>
      </c>
      <c r="BJ1" s="37" t="s">
        <v>15</v>
      </c>
      <c r="BK1" s="41">
        <v>45880</v>
      </c>
      <c r="BL1" s="41">
        <v>45881</v>
      </c>
      <c r="BM1" s="41">
        <v>45882</v>
      </c>
      <c r="BR1" s="41">
        <v>45810</v>
      </c>
      <c r="BS1" s="41">
        <v>45811</v>
      </c>
      <c r="BT1" s="41">
        <v>45812</v>
      </c>
      <c r="BU1" s="41">
        <v>45813</v>
      </c>
      <c r="BV1" s="41">
        <v>45814</v>
      </c>
    </row>
    <row r="2" spans="1:74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2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74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2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74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2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74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74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2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74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74" x14ac:dyDescent="0.25">
      <c r="A8" s="3" t="s">
        <v>3</v>
      </c>
      <c r="B8" s="23">
        <v>7</v>
      </c>
      <c r="C8" s="14"/>
      <c r="D8" s="1">
        <v>10</v>
      </c>
      <c r="E8" s="1">
        <v>23</v>
      </c>
      <c r="H8" s="25">
        <f t="shared" si="1"/>
        <v>33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2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74" x14ac:dyDescent="0.25">
      <c r="A9" s="3" t="s">
        <v>13</v>
      </c>
      <c r="B9" s="23">
        <v>8</v>
      </c>
      <c r="C9" s="14"/>
      <c r="D9" s="1">
        <v>10</v>
      </c>
      <c r="E9" s="1">
        <v>23</v>
      </c>
      <c r="H9" s="25">
        <f t="shared" si="1"/>
        <v>33</v>
      </c>
      <c r="N9" s="25">
        <f t="shared" si="2"/>
        <v>0</v>
      </c>
      <c r="T9" s="25">
        <f t="shared" si="0"/>
        <v>0</v>
      </c>
      <c r="Z9" s="25">
        <f t="shared" si="3"/>
        <v>0</v>
      </c>
      <c r="AB9" s="1">
        <v>12</v>
      </c>
      <c r="AF9" s="25">
        <f t="shared" si="4"/>
        <v>12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74" x14ac:dyDescent="0.25">
      <c r="A10" s="2" t="s">
        <v>12</v>
      </c>
      <c r="B10" s="24">
        <v>9</v>
      </c>
      <c r="C10" s="14"/>
      <c r="H10" s="25">
        <f t="shared" si="1"/>
        <v>0</v>
      </c>
      <c r="K10" s="1">
        <v>19</v>
      </c>
      <c r="M10" s="1">
        <v>4</v>
      </c>
      <c r="N10" s="25">
        <f t="shared" si="2"/>
        <v>23</v>
      </c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74" x14ac:dyDescent="0.25">
      <c r="A11" s="3" t="s">
        <v>4</v>
      </c>
      <c r="B11" s="23">
        <v>10</v>
      </c>
      <c r="C11" s="14"/>
      <c r="H11" s="25">
        <f t="shared" si="1"/>
        <v>0</v>
      </c>
      <c r="K11" s="1">
        <v>19</v>
      </c>
      <c r="M11" s="1">
        <v>4</v>
      </c>
      <c r="N11" s="25">
        <f t="shared" si="2"/>
        <v>23</v>
      </c>
      <c r="T11" s="25">
        <f t="shared" si="0"/>
        <v>0</v>
      </c>
      <c r="X11" s="1">
        <v>4</v>
      </c>
      <c r="Y11" s="1">
        <v>4</v>
      </c>
      <c r="Z11" s="25">
        <f>SUM(U11:Y11)</f>
        <v>8</v>
      </c>
      <c r="AA11" s="1">
        <v>4</v>
      </c>
      <c r="AB11" s="1">
        <v>3</v>
      </c>
      <c r="AC11" s="1">
        <v>4</v>
      </c>
      <c r="AE11" s="1">
        <v>3</v>
      </c>
      <c r="AF11" s="25">
        <f t="shared" si="4"/>
        <v>14</v>
      </c>
      <c r="AL11" s="25">
        <f t="shared" si="5"/>
        <v>0</v>
      </c>
      <c r="AM11" s="1">
        <v>4</v>
      </c>
      <c r="AN11" s="1">
        <v>4</v>
      </c>
      <c r="AO11" s="1">
        <v>3</v>
      </c>
      <c r="AP11" s="1">
        <v>3</v>
      </c>
      <c r="AQ11" s="1">
        <v>3</v>
      </c>
      <c r="AR11" s="29">
        <f t="shared" si="6"/>
        <v>17</v>
      </c>
      <c r="AS11" s="1">
        <v>2</v>
      </c>
      <c r="AT11" s="1">
        <v>1</v>
      </c>
      <c r="AW11" s="1">
        <v>1</v>
      </c>
      <c r="AX11" s="29">
        <f t="shared" si="7"/>
        <v>4</v>
      </c>
      <c r="BD11" s="27">
        <f t="shared" si="8"/>
        <v>0</v>
      </c>
    </row>
    <row r="12" spans="1:74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W12" s="1">
        <v>70</v>
      </c>
      <c r="X12" s="1">
        <v>140</v>
      </c>
      <c r="Y12" s="1">
        <v>140</v>
      </c>
      <c r="Z12" s="25">
        <f t="shared" si="3"/>
        <v>350</v>
      </c>
      <c r="AA12" s="1">
        <v>139</v>
      </c>
      <c r="AB12" s="1">
        <v>105</v>
      </c>
      <c r="AC12" s="1">
        <v>137</v>
      </c>
      <c r="AE12" s="1">
        <v>103</v>
      </c>
      <c r="AF12" s="25">
        <f t="shared" si="4"/>
        <v>484</v>
      </c>
      <c r="AL12" s="25">
        <f t="shared" si="5"/>
        <v>0</v>
      </c>
      <c r="AM12" s="1">
        <v>139</v>
      </c>
      <c r="AN12" s="1">
        <v>137</v>
      </c>
      <c r="AO12" s="1">
        <v>73</v>
      </c>
      <c r="AP12" s="1">
        <v>81</v>
      </c>
      <c r="AQ12" s="1">
        <v>68</v>
      </c>
      <c r="AR12" s="29">
        <f t="shared" si="6"/>
        <v>498</v>
      </c>
      <c r="AS12" s="1">
        <v>66</v>
      </c>
      <c r="AT12" s="1">
        <v>33</v>
      </c>
      <c r="AW12" s="1">
        <v>11</v>
      </c>
      <c r="AX12" s="29">
        <f t="shared" si="7"/>
        <v>110</v>
      </c>
      <c r="AY12" s="1">
        <v>10</v>
      </c>
      <c r="AZ12" s="1">
        <v>21</v>
      </c>
      <c r="BD12" s="27">
        <f t="shared" si="8"/>
        <v>31</v>
      </c>
    </row>
    <row r="13" spans="1:74" x14ac:dyDescent="0.25">
      <c r="A13" s="2" t="s">
        <v>8</v>
      </c>
      <c r="B13" s="24">
        <v>12</v>
      </c>
      <c r="C13" s="14"/>
      <c r="H13" s="25">
        <f t="shared" si="1"/>
        <v>0</v>
      </c>
      <c r="N13" s="25">
        <f t="shared" si="2"/>
        <v>0</v>
      </c>
      <c r="T13" s="25">
        <f t="shared" si="0"/>
        <v>0</v>
      </c>
      <c r="Z13" s="25">
        <f t="shared" si="3"/>
        <v>0</v>
      </c>
      <c r="AD13" s="1">
        <v>1</v>
      </c>
      <c r="AF13" s="25">
        <f t="shared" si="4"/>
        <v>1</v>
      </c>
      <c r="AL13" s="25">
        <f t="shared" si="5"/>
        <v>0</v>
      </c>
      <c r="AO13" s="1">
        <v>1</v>
      </c>
      <c r="AR13" s="29">
        <f t="shared" si="6"/>
        <v>1</v>
      </c>
      <c r="AX13" s="29">
        <f t="shared" si="7"/>
        <v>0</v>
      </c>
      <c r="BD13" s="27">
        <f t="shared" si="8"/>
        <v>0</v>
      </c>
    </row>
    <row r="14" spans="1:74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74" x14ac:dyDescent="0.25">
      <c r="A15" s="2" t="s">
        <v>7</v>
      </c>
      <c r="B15" s="23">
        <v>14</v>
      </c>
      <c r="C15" s="14">
        <v>10</v>
      </c>
      <c r="D15" s="1">
        <v>30</v>
      </c>
      <c r="F15" s="1">
        <v>55</v>
      </c>
      <c r="H15" s="25">
        <f t="shared" si="1"/>
        <v>95</v>
      </c>
      <c r="J15" s="1">
        <v>140</v>
      </c>
      <c r="L15" s="1">
        <v>30</v>
      </c>
      <c r="M15" s="1">
        <v>27</v>
      </c>
      <c r="N15" s="25">
        <f t="shared" si="2"/>
        <v>197</v>
      </c>
      <c r="T15" s="25">
        <f t="shared" si="0"/>
        <v>0</v>
      </c>
      <c r="Z15" s="25">
        <f t="shared" si="3"/>
        <v>0</v>
      </c>
      <c r="AF15" s="2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C15" s="1">
        <v>14</v>
      </c>
      <c r="BD15" s="27">
        <f t="shared" si="8"/>
        <v>14</v>
      </c>
    </row>
    <row r="16" spans="1:74" x14ac:dyDescent="0.25">
      <c r="A16" s="20" t="s">
        <v>14</v>
      </c>
      <c r="B16" s="21">
        <v>15</v>
      </c>
      <c r="C16" s="16"/>
      <c r="D16" s="17"/>
      <c r="E16" s="17">
        <v>164</v>
      </c>
      <c r="F16" s="40">
        <v>2286</v>
      </c>
      <c r="G16" s="17"/>
      <c r="H16" s="18">
        <f t="shared" si="1"/>
        <v>2450</v>
      </c>
      <c r="I16" s="40">
        <v>3724</v>
      </c>
      <c r="J16" s="17"/>
      <c r="K16" s="17"/>
      <c r="L16" s="17"/>
      <c r="M16" s="17"/>
      <c r="N16" s="18">
        <f t="shared" si="2"/>
        <v>3724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18">
        <f t="shared" si="4"/>
        <v>0</v>
      </c>
      <c r="AG16" s="17"/>
      <c r="AH16" s="17"/>
      <c r="AI16" s="17"/>
      <c r="AJ16" s="17"/>
      <c r="AK16" s="17"/>
      <c r="AL16" s="18">
        <f t="shared" si="5"/>
        <v>0</v>
      </c>
      <c r="AM16" s="17"/>
      <c r="AN16" s="17"/>
      <c r="AO16" s="17"/>
      <c r="AP16" s="17"/>
      <c r="AQ16" s="17"/>
      <c r="AR16" s="30">
        <f t="shared" si="6"/>
        <v>0</v>
      </c>
      <c r="AS16" s="17"/>
      <c r="AT16" s="17"/>
      <c r="AU16" s="17"/>
      <c r="AV16" s="17"/>
      <c r="AW16" s="17"/>
      <c r="AX16" s="30">
        <f t="shared" si="7"/>
        <v>0</v>
      </c>
      <c r="AY16" s="17"/>
      <c r="AZ16" s="17"/>
      <c r="BA16" s="17"/>
      <c r="BB16" s="17"/>
      <c r="BC16" s="17"/>
      <c r="BD16" s="28">
        <f t="shared" si="8"/>
        <v>0</v>
      </c>
    </row>
    <row r="17" spans="1:65" ht="409.5" x14ac:dyDescent="0.25">
      <c r="A17" s="1" t="s">
        <v>11</v>
      </c>
      <c r="C17" s="4" t="s">
        <v>31</v>
      </c>
      <c r="D17" s="4"/>
      <c r="E17" s="4"/>
      <c r="F17" s="4"/>
      <c r="G17" s="4" t="s">
        <v>38</v>
      </c>
      <c r="H17" s="4"/>
      <c r="I17" s="4" t="s">
        <v>31</v>
      </c>
      <c r="K17" s="4"/>
      <c r="M17" s="4"/>
      <c r="O17" s="4" t="s">
        <v>47</v>
      </c>
      <c r="Q17" s="4" t="s">
        <v>54</v>
      </c>
      <c r="R17" s="1" t="s">
        <v>52</v>
      </c>
      <c r="S17" s="4" t="s">
        <v>53</v>
      </c>
      <c r="U17" s="4" t="s">
        <v>68</v>
      </c>
      <c r="V17" s="39" t="s">
        <v>51</v>
      </c>
      <c r="W17" s="39" t="s">
        <v>80</v>
      </c>
      <c r="X17" s="4" t="s">
        <v>77</v>
      </c>
      <c r="Y17" s="4" t="s">
        <v>77</v>
      </c>
      <c r="AA17" s="4" t="s">
        <v>78</v>
      </c>
      <c r="AB17" s="4" t="s">
        <v>81</v>
      </c>
      <c r="AC17" s="4" t="s">
        <v>88</v>
      </c>
      <c r="AD17" s="4" t="s">
        <v>89</v>
      </c>
      <c r="AE17" s="4" t="s">
        <v>91</v>
      </c>
      <c r="AF17" s="4"/>
      <c r="AM17" s="4" t="s">
        <v>106</v>
      </c>
      <c r="AN17" s="4" t="s">
        <v>109</v>
      </c>
      <c r="AO17" s="4" t="s">
        <v>110</v>
      </c>
      <c r="AP17" s="4" t="s">
        <v>111</v>
      </c>
      <c r="AQ17" s="4" t="s">
        <v>116</v>
      </c>
      <c r="AS17" s="4" t="s">
        <v>121</v>
      </c>
      <c r="AT17" s="4" t="s">
        <v>122</v>
      </c>
      <c r="AU17" s="4" t="s">
        <v>128</v>
      </c>
      <c r="AV17" s="4" t="s">
        <v>128</v>
      </c>
      <c r="AW17" s="4" t="s">
        <v>124</v>
      </c>
      <c r="AY17" s="4" t="s">
        <v>145</v>
      </c>
      <c r="AZ17" s="4" t="s">
        <v>149</v>
      </c>
      <c r="BA17" s="4" t="s">
        <v>150</v>
      </c>
      <c r="BB17" s="4" t="s">
        <v>151</v>
      </c>
      <c r="BC17" s="4"/>
      <c r="BE17" s="4"/>
      <c r="BF17" s="4"/>
      <c r="BG17" s="4"/>
      <c r="BH17" s="70"/>
      <c r="BI17" s="4"/>
      <c r="BK17" s="4"/>
      <c r="BL17" s="4"/>
      <c r="BM17" s="4"/>
    </row>
    <row r="18" spans="1:65" ht="120" x14ac:dyDescent="0.25">
      <c r="A18" s="1" t="s">
        <v>10</v>
      </c>
      <c r="C18" s="4"/>
      <c r="J18" s="4" t="s">
        <v>45</v>
      </c>
      <c r="O18" s="4"/>
      <c r="Q18" s="4" t="s">
        <v>55</v>
      </c>
      <c r="AD18" s="4" t="s">
        <v>90</v>
      </c>
      <c r="AF18" s="57"/>
      <c r="AG18" s="4" t="s">
        <v>105</v>
      </c>
      <c r="AH18" s="4" t="s">
        <v>105</v>
      </c>
      <c r="AI18" s="4" t="s">
        <v>105</v>
      </c>
      <c r="AJ18" s="4" t="s">
        <v>105</v>
      </c>
      <c r="AK18" s="4" t="s">
        <v>105</v>
      </c>
      <c r="AM18" s="4" t="s">
        <v>106</v>
      </c>
    </row>
  </sheetData>
  <customSheetViews>
    <customSheetView guid="{3D987F8E-A6EA-454D-9537-6BFC5053CB00}">
      <pane xSplit="1" topLeftCell="AD1" activePane="topRight" state="frozen"/>
      <selection pane="topRight" activeCell="A5" sqref="A5:XFD5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A4">
      <pane xSplit="1" topLeftCell="BL1" activePane="topRight" state="frozen"/>
      <selection pane="topRight" activeCell="BK4" sqref="BK4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 topLeftCell="A4">
      <pane xSplit="1" topLeftCell="W1" activePane="topRight" state="frozen"/>
      <selection pane="topRight" activeCell="AG17" sqref="AG17"/>
      <pageMargins left="0.511811024" right="0.511811024" top="0.78740157499999996" bottom="0.78740157499999996" header="0.31496062000000002" footer="0.31496062000000002"/>
      <pageSetup paperSize="9" orientation="portrait" r:id="rId1"/>
      <autoFilter ref="A1:A18" xr:uid="{B6EAF042-E693-47CC-B2FF-3712EE0C26F8}"/>
    </customSheetView>
    <customSheetView guid="{552DFCCD-1786-4D75-8B10-27DD730384DD}">
      <pane xSplit="1" topLeftCell="H1" activePane="topRight" state="frozen"/>
      <selection pane="topRight" activeCell="M9" sqref="M9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B16" sqref="B16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BQ8" sqref="BQ8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AQ17">
      <selection activeCell="AZ17" sqref="AZ17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B3CDE377-BA5D-4E06-91D9-3A48E1959BA5}" topLeftCell="A13">
      <pane xSplit="1" topLeftCell="AV1" activePane="topRight" state="frozen"/>
      <selection pane="topRight" activeCell="BR1" sqref="BR1:BV1"/>
      <pageMargins left="0.511811024" right="0.511811024" top="0.78740157499999996" bottom="0.78740157499999996" header="0.31496062000000002" footer="0.31496062000000002"/>
    </customSheetView>
    <customSheetView guid="{86039CF8-B158-4D70-9A6F-A10C29CBD68A}" topLeftCell="B1">
      <selection activeCell="S1" sqref="S1:S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ignoredErrors>
    <ignoredError sqref="H2:H16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18"/>
  <sheetViews>
    <sheetView zoomScaleNormal="90" workbookViewId="0">
      <pane xSplit="1" topLeftCell="AM1" activePane="topRight" state="frozen"/>
      <selection activeCell="A7" sqref="A7"/>
      <selection pane="topRight" activeCell="A13" sqref="A13:XFD13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6"/>
      <c r="C1" s="5">
        <v>45810</v>
      </c>
      <c r="D1" s="5">
        <v>45811</v>
      </c>
      <c r="E1" s="5">
        <v>45812</v>
      </c>
      <c r="F1" s="5">
        <v>45813</v>
      </c>
      <c r="G1" s="5">
        <v>45814</v>
      </c>
      <c r="H1" s="13" t="s">
        <v>15</v>
      </c>
      <c r="I1" s="5">
        <v>45817</v>
      </c>
      <c r="J1" s="5">
        <v>45818</v>
      </c>
      <c r="K1" s="5">
        <v>45819</v>
      </c>
      <c r="L1" s="5">
        <v>45820</v>
      </c>
      <c r="M1" s="5">
        <v>45821</v>
      </c>
      <c r="N1" s="12" t="s">
        <v>15</v>
      </c>
      <c r="O1" s="5">
        <v>45824</v>
      </c>
      <c r="P1" s="5">
        <v>45825</v>
      </c>
      <c r="Q1" s="5">
        <v>45826</v>
      </c>
      <c r="R1" s="5">
        <v>45827</v>
      </c>
      <c r="S1" s="5">
        <v>45828</v>
      </c>
      <c r="T1" s="12" t="s">
        <v>15</v>
      </c>
      <c r="U1" s="5">
        <v>45831</v>
      </c>
      <c r="V1" s="5">
        <v>45832</v>
      </c>
      <c r="W1" s="5">
        <v>45833</v>
      </c>
      <c r="X1" s="5">
        <v>45834</v>
      </c>
      <c r="Y1" s="5">
        <v>45835</v>
      </c>
      <c r="Z1" s="12" t="s">
        <v>15</v>
      </c>
      <c r="AA1" s="5">
        <v>45838</v>
      </c>
      <c r="AB1" s="5">
        <v>45839</v>
      </c>
      <c r="AC1" s="5">
        <v>45840</v>
      </c>
      <c r="AD1" s="5">
        <v>45841</v>
      </c>
      <c r="AE1" s="5">
        <v>45842</v>
      </c>
      <c r="AF1" s="12" t="s">
        <v>15</v>
      </c>
      <c r="AG1" s="5">
        <v>45845</v>
      </c>
      <c r="AH1" s="5">
        <v>45846</v>
      </c>
      <c r="AI1" s="5">
        <v>45847</v>
      </c>
      <c r="AJ1" s="5">
        <v>45848</v>
      </c>
      <c r="AK1" s="5">
        <v>45849</v>
      </c>
      <c r="AL1" s="12" t="s">
        <v>15</v>
      </c>
      <c r="AM1" s="5">
        <v>45852</v>
      </c>
      <c r="AN1" s="5">
        <v>45853</v>
      </c>
      <c r="AO1" s="5">
        <v>45854</v>
      </c>
      <c r="AP1" s="5">
        <v>45855</v>
      </c>
      <c r="AQ1" s="5">
        <v>45856</v>
      </c>
      <c r="AR1" s="26" t="s">
        <v>15</v>
      </c>
      <c r="AS1" s="5">
        <v>45859</v>
      </c>
      <c r="AT1" s="5">
        <v>45860</v>
      </c>
      <c r="AU1" s="5">
        <v>45861</v>
      </c>
      <c r="AV1" s="5">
        <v>45862</v>
      </c>
      <c r="AW1" s="5">
        <v>45863</v>
      </c>
      <c r="AX1" s="26" t="s">
        <v>15</v>
      </c>
      <c r="AY1" s="5">
        <v>45866</v>
      </c>
      <c r="AZ1" s="5">
        <v>45867</v>
      </c>
      <c r="BA1" s="5">
        <v>45868</v>
      </c>
      <c r="BB1" s="5">
        <v>45869</v>
      </c>
      <c r="BC1" s="5">
        <v>45870</v>
      </c>
      <c r="BD1" s="26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1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1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1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1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1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1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1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K9" s="1">
        <v>11</v>
      </c>
      <c r="L9" s="1">
        <v>10</v>
      </c>
      <c r="N9" s="25">
        <f t="shared" si="2"/>
        <v>21</v>
      </c>
      <c r="T9" s="25">
        <f t="shared" si="0"/>
        <v>0</v>
      </c>
      <c r="W9" s="1">
        <v>4</v>
      </c>
      <c r="Z9" s="25">
        <f t="shared" si="3"/>
        <v>4</v>
      </c>
      <c r="AB9" s="1">
        <v>12</v>
      </c>
      <c r="AF9" s="15">
        <f t="shared" si="4"/>
        <v>12</v>
      </c>
      <c r="AH9" s="1">
        <v>13</v>
      </c>
      <c r="AL9" s="25">
        <f t="shared" si="5"/>
        <v>13</v>
      </c>
      <c r="AN9" s="1">
        <v>13</v>
      </c>
      <c r="AQ9" s="1">
        <v>9</v>
      </c>
      <c r="AR9" s="29">
        <f t="shared" si="6"/>
        <v>22</v>
      </c>
      <c r="AT9" s="1">
        <v>5</v>
      </c>
      <c r="AV9" s="1">
        <v>5</v>
      </c>
      <c r="AW9" s="1">
        <v>5</v>
      </c>
      <c r="AX9" s="29">
        <f t="shared" si="7"/>
        <v>15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W10" s="1">
        <v>6</v>
      </c>
      <c r="Z10" s="25">
        <f t="shared" si="3"/>
        <v>6</v>
      </c>
      <c r="AB10" s="1">
        <v>12</v>
      </c>
      <c r="AF10" s="15">
        <f t="shared" si="4"/>
        <v>12</v>
      </c>
      <c r="AH10" s="1">
        <v>13</v>
      </c>
      <c r="AL10" s="25">
        <f t="shared" si="5"/>
        <v>13</v>
      </c>
      <c r="AN10" s="1">
        <v>13</v>
      </c>
      <c r="AQ10" s="1">
        <v>9</v>
      </c>
      <c r="AR10" s="29">
        <f t="shared" si="6"/>
        <v>22</v>
      </c>
      <c r="AT10" s="1">
        <v>5</v>
      </c>
      <c r="AV10" s="1">
        <v>5</v>
      </c>
      <c r="AW10" s="1">
        <v>5</v>
      </c>
      <c r="AX10" s="29">
        <f t="shared" si="7"/>
        <v>15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F11" s="15">
        <f t="shared" si="4"/>
        <v>0</v>
      </c>
      <c r="AL11" s="25">
        <f t="shared" si="5"/>
        <v>0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15">
        <f t="shared" si="4"/>
        <v>0</v>
      </c>
      <c r="AL12" s="25">
        <f t="shared" si="5"/>
        <v>0</v>
      </c>
      <c r="AR12" s="29">
        <f t="shared" si="6"/>
        <v>0</v>
      </c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N13" s="25">
        <f t="shared" si="2"/>
        <v>0</v>
      </c>
      <c r="T13" s="25">
        <f t="shared" si="0"/>
        <v>0</v>
      </c>
      <c r="Z13" s="25">
        <f t="shared" si="3"/>
        <v>0</v>
      </c>
      <c r="AF13" s="15">
        <f t="shared" si="4"/>
        <v>0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1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1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17"/>
      <c r="G16" s="17"/>
      <c r="H16" s="18">
        <f t="shared" si="1"/>
        <v>0</v>
      </c>
      <c r="I16" s="17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22">
        <f t="shared" si="4"/>
        <v>0</v>
      </c>
      <c r="AG16" s="17"/>
      <c r="AH16" s="17"/>
      <c r="AI16" s="17"/>
      <c r="AJ16" s="17"/>
      <c r="AK16" s="17"/>
      <c r="AL16" s="25">
        <f t="shared" si="5"/>
        <v>0</v>
      </c>
      <c r="AM16" s="17"/>
      <c r="AN16" s="17"/>
      <c r="AO16" s="17"/>
      <c r="AP16" s="17"/>
      <c r="AQ16" s="17"/>
      <c r="AR16" s="29">
        <f t="shared" si="6"/>
        <v>0</v>
      </c>
      <c r="AS16" s="17"/>
      <c r="AT16" s="17"/>
      <c r="AU16" s="17"/>
      <c r="AV16" s="17"/>
      <c r="AW16" s="17"/>
      <c r="AX16" s="29">
        <f t="shared" si="7"/>
        <v>0</v>
      </c>
      <c r="AY16" s="17"/>
      <c r="AZ16" s="17"/>
      <c r="BA16" s="17"/>
      <c r="BB16" s="17"/>
      <c r="BC16" s="17"/>
      <c r="BD16" s="27">
        <f t="shared" si="8"/>
        <v>0</v>
      </c>
    </row>
    <row r="17" spans="1:19" x14ac:dyDescent="0.25">
      <c r="A17" s="1" t="s">
        <v>11</v>
      </c>
      <c r="C17" s="4"/>
      <c r="D17" s="4"/>
      <c r="E17" s="4"/>
      <c r="F17" s="4"/>
      <c r="G17" s="4"/>
      <c r="H17" s="4"/>
      <c r="K17" s="4"/>
      <c r="M17" s="4"/>
      <c r="S17" s="4"/>
    </row>
    <row r="18" spans="1:19" x14ac:dyDescent="0.25">
      <c r="A18" s="1" t="s">
        <v>10</v>
      </c>
      <c r="C18" s="4"/>
    </row>
  </sheetData>
  <customSheetViews>
    <customSheetView guid="{3D987F8E-A6EA-454D-9537-6BFC5053CB00}">
      <pane xSplit="1" topLeftCell="AA1" activePane="topRight" state="frozen"/>
      <selection pane="topRight" activeCell="A5" sqref="A5:XFD5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8" sqref="A8:XFD8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H1" activePane="topRight" state="frozen"/>
      <selection pane="topRight" activeCell="A11" sqref="A11"/>
      <pageMargins left="0.511811024" right="0.511811024" top="0.78740157499999996" bottom="0.78740157499999996" header="0.31496062000000002" footer="0.31496062000000002"/>
      <autoFilter ref="A1:A18" xr:uid="{756B927D-7306-4203-8059-F0B66756B44B}"/>
    </customSheetView>
    <customSheetView guid="{552DFCCD-1786-4D75-8B10-27DD730384DD}">
      <selection activeCell="C8" sqref="C8"/>
      <pageMargins left="0.511811024" right="0.511811024" top="0.78740157499999996" bottom="0.78740157499999996" header="0.31496062000000002" footer="0.31496062000000002"/>
    </customSheetView>
    <customSheetView guid="{C69767F5-CD39-44C1-AD4B-CE19DC8285A6}">
      <pane xSplit="1" topLeftCell="U1" activePane="topRight" state="frozen"/>
      <selection pane="topRight" activeCell="AE10" sqref="AE10"/>
      <pageMargins left="0.511811024" right="0.511811024" top="0.78740157499999996" bottom="0.78740157499999996" header="0.31496062000000002" footer="0.31496062000000002"/>
    </customSheetView>
    <customSheetView guid="{18A482E0-C8B6-4AA1-9E04-15FA7C9CD5E3}" scale="90" topLeftCell="A5">
      <pane xSplit="1" topLeftCell="BU1" activePane="topRight" state="frozen"/>
      <selection pane="topRight" sqref="A1:A18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B1">
      <selection activeCell="L10" sqref="L10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pane xSplit="1" topLeftCell="AJ1" activePane="topRight" state="frozen"/>
      <selection pane="topRight" activeCell="A16" sqref="A16:XFD1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D18"/>
  <sheetViews>
    <sheetView zoomScaleNormal="100" workbookViewId="0">
      <pane xSplit="1" topLeftCell="AT1" activePane="topRight" state="frozen"/>
      <selection pane="topRight" activeCell="A13" sqref="A13:XFD13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6" width="7.140625" style="1" bestFit="1" customWidth="1"/>
    <col min="17" max="17" width="7.85546875" style="1" customWidth="1"/>
    <col min="18" max="18" width="10.7109375" style="1" customWidth="1"/>
    <col min="19" max="19" width="9.8554687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3" width="8.85546875" style="1" customWidth="1"/>
    <col min="34" max="37" width="9.140625" style="1"/>
    <col min="38" max="38" width="17.42578125" style="1" customWidth="1"/>
    <col min="39" max="40" width="9.140625" style="1"/>
    <col min="41" max="41" width="18.85546875" style="1" bestFit="1" customWidth="1"/>
    <col min="42" max="42" width="17" style="1" customWidth="1"/>
    <col min="43" max="43" width="16.7109375" style="1" customWidth="1"/>
    <col min="44" max="44" width="15.42578125" style="1" customWidth="1"/>
    <col min="45" max="45" width="8.85546875" style="1" customWidth="1"/>
    <col min="46" max="49" width="16.85546875" style="1" customWidth="1"/>
    <col min="50" max="50" width="15.42578125" style="1" customWidth="1"/>
    <col min="51" max="55" width="16.85546875" style="1" customWidth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6"/>
      <c r="C1" s="5">
        <v>45810</v>
      </c>
      <c r="D1" s="5">
        <v>45811</v>
      </c>
      <c r="E1" s="5">
        <v>45812</v>
      </c>
      <c r="F1" s="5">
        <v>45813</v>
      </c>
      <c r="G1" s="5">
        <v>45814</v>
      </c>
      <c r="H1" s="13" t="s">
        <v>15</v>
      </c>
      <c r="I1" s="5">
        <v>45817</v>
      </c>
      <c r="J1" s="5">
        <v>45818</v>
      </c>
      <c r="K1" s="5">
        <v>45819</v>
      </c>
      <c r="L1" s="5">
        <v>45820</v>
      </c>
      <c r="M1" s="5">
        <v>45821</v>
      </c>
      <c r="N1" s="12" t="s">
        <v>15</v>
      </c>
      <c r="O1" s="5">
        <v>45824</v>
      </c>
      <c r="P1" s="5">
        <v>45825</v>
      </c>
      <c r="Q1" s="5">
        <v>45826</v>
      </c>
      <c r="R1" s="5">
        <v>45827</v>
      </c>
      <c r="S1" s="5">
        <v>45828</v>
      </c>
      <c r="T1" s="12" t="s">
        <v>15</v>
      </c>
      <c r="U1" s="5">
        <v>45831</v>
      </c>
      <c r="V1" s="5">
        <v>45832</v>
      </c>
      <c r="W1" s="5">
        <v>45833</v>
      </c>
      <c r="X1" s="5">
        <v>45834</v>
      </c>
      <c r="Y1" s="5">
        <v>45835</v>
      </c>
      <c r="Z1" s="12" t="s">
        <v>15</v>
      </c>
      <c r="AA1" s="5">
        <v>45838</v>
      </c>
      <c r="AB1" s="5">
        <v>45839</v>
      </c>
      <c r="AC1" s="5">
        <v>45840</v>
      </c>
      <c r="AD1" s="5">
        <v>45841</v>
      </c>
      <c r="AE1" s="5">
        <v>45842</v>
      </c>
      <c r="AF1" s="12" t="s">
        <v>15</v>
      </c>
      <c r="AG1" s="5">
        <v>45845</v>
      </c>
      <c r="AH1" s="5">
        <v>45846</v>
      </c>
      <c r="AI1" s="5">
        <v>45847</v>
      </c>
      <c r="AJ1" s="5">
        <v>45848</v>
      </c>
      <c r="AK1" s="5">
        <v>45849</v>
      </c>
      <c r="AL1" s="12" t="s">
        <v>15</v>
      </c>
      <c r="AM1" s="5">
        <v>45852</v>
      </c>
      <c r="AN1" s="5">
        <v>45853</v>
      </c>
      <c r="AO1" s="5">
        <v>45854</v>
      </c>
      <c r="AP1" s="5">
        <v>45855</v>
      </c>
      <c r="AQ1" s="5">
        <v>45856</v>
      </c>
      <c r="AR1" s="26" t="s">
        <v>15</v>
      </c>
      <c r="AS1" s="5">
        <v>45859</v>
      </c>
      <c r="AT1" s="5">
        <v>45860</v>
      </c>
      <c r="AU1" s="5">
        <v>45861</v>
      </c>
      <c r="AV1" s="5">
        <v>45862</v>
      </c>
      <c r="AW1" s="5">
        <v>45863</v>
      </c>
      <c r="AX1" s="26" t="s">
        <v>15</v>
      </c>
      <c r="AY1" s="5">
        <v>45866</v>
      </c>
      <c r="AZ1" s="5">
        <v>45867</v>
      </c>
      <c r="BA1" s="5">
        <v>45868</v>
      </c>
      <c r="BB1" s="5">
        <v>45869</v>
      </c>
      <c r="BC1" s="5">
        <v>45870</v>
      </c>
      <c r="BD1" s="26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R2" s="49" t="s">
        <v>52</v>
      </c>
      <c r="S2" s="49" t="s">
        <v>84</v>
      </c>
      <c r="T2" s="25">
        <f t="shared" ref="T2:T16" si="0">SUM(O2:S2)</f>
        <v>0</v>
      </c>
      <c r="Z2" s="25">
        <f>SUM(U2:Y2)</f>
        <v>0</v>
      </c>
      <c r="AF2" s="1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R3" s="49" t="s">
        <v>52</v>
      </c>
      <c r="S3" s="49" t="s">
        <v>84</v>
      </c>
      <c r="T3" s="25">
        <f t="shared" si="0"/>
        <v>0</v>
      </c>
      <c r="Z3" s="25">
        <f t="shared" ref="Z3:Z16" si="3">SUM(U3:Y3)</f>
        <v>0</v>
      </c>
      <c r="AF3" s="1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R4" s="49" t="s">
        <v>52</v>
      </c>
      <c r="S4" s="49" t="s">
        <v>84</v>
      </c>
      <c r="T4" s="25">
        <f t="shared" si="0"/>
        <v>0</v>
      </c>
      <c r="Z4" s="25">
        <f t="shared" si="3"/>
        <v>0</v>
      </c>
      <c r="AF4" s="1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R5" s="49" t="s">
        <v>52</v>
      </c>
      <c r="S5" s="49" t="s">
        <v>84</v>
      </c>
      <c r="T5" s="25">
        <f t="shared" si="0"/>
        <v>0</v>
      </c>
      <c r="Z5" s="25">
        <f t="shared" si="3"/>
        <v>0</v>
      </c>
      <c r="AF5" s="1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>
        <v>3</v>
      </c>
      <c r="D6" s="1">
        <v>1</v>
      </c>
      <c r="E6" s="1">
        <v>2</v>
      </c>
      <c r="F6" s="1">
        <v>2</v>
      </c>
      <c r="G6" s="1">
        <v>2</v>
      </c>
      <c r="H6" s="25">
        <f t="shared" si="1"/>
        <v>10</v>
      </c>
      <c r="I6" s="1">
        <v>2</v>
      </c>
      <c r="J6" s="1">
        <v>2</v>
      </c>
      <c r="K6" s="1">
        <v>1</v>
      </c>
      <c r="L6" s="1">
        <v>1</v>
      </c>
      <c r="M6" s="1">
        <v>2</v>
      </c>
      <c r="N6" s="25">
        <f t="shared" si="2"/>
        <v>8</v>
      </c>
      <c r="O6" s="1">
        <v>1</v>
      </c>
      <c r="Q6" s="1">
        <v>1</v>
      </c>
      <c r="R6" s="49" t="s">
        <v>52</v>
      </c>
      <c r="S6" s="49" t="s">
        <v>84</v>
      </c>
      <c r="T6" s="25">
        <f t="shared" si="0"/>
        <v>2</v>
      </c>
      <c r="U6" s="1">
        <v>1</v>
      </c>
      <c r="W6" s="1">
        <v>1</v>
      </c>
      <c r="Z6" s="25">
        <f t="shared" si="3"/>
        <v>2</v>
      </c>
      <c r="AF6" s="1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>
        <v>25</v>
      </c>
      <c r="D7" s="1">
        <v>5</v>
      </c>
      <c r="E7" s="1">
        <v>15</v>
      </c>
      <c r="F7" s="1">
        <v>34</v>
      </c>
      <c r="G7" s="1">
        <v>21</v>
      </c>
      <c r="H7" s="25">
        <f t="shared" si="1"/>
        <v>100</v>
      </c>
      <c r="I7" s="1">
        <v>18</v>
      </c>
      <c r="J7" s="1">
        <v>19</v>
      </c>
      <c r="K7" s="1">
        <v>22</v>
      </c>
      <c r="L7" s="1">
        <v>3</v>
      </c>
      <c r="M7" s="1">
        <v>24</v>
      </c>
      <c r="N7" s="25">
        <f t="shared" si="2"/>
        <v>86</v>
      </c>
      <c r="O7" s="1">
        <v>13</v>
      </c>
      <c r="Q7" s="1">
        <v>1</v>
      </c>
      <c r="R7" s="49" t="s">
        <v>52</v>
      </c>
      <c r="S7" s="49" t="s">
        <v>84</v>
      </c>
      <c r="T7" s="25">
        <f t="shared" si="0"/>
        <v>14</v>
      </c>
      <c r="U7" s="1">
        <v>21</v>
      </c>
      <c r="W7" s="1">
        <v>1</v>
      </c>
      <c r="Z7" s="25">
        <f t="shared" si="3"/>
        <v>22</v>
      </c>
      <c r="AF7" s="1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R8" s="49" t="s">
        <v>52</v>
      </c>
      <c r="S8" s="49" t="s">
        <v>84</v>
      </c>
      <c r="T8" s="25">
        <f t="shared" si="0"/>
        <v>0</v>
      </c>
      <c r="Z8" s="25">
        <f t="shared" si="3"/>
        <v>0</v>
      </c>
      <c r="AF8" s="1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R9" s="49" t="s">
        <v>52</v>
      </c>
      <c r="S9" s="49" t="s">
        <v>84</v>
      </c>
      <c r="T9" s="25">
        <f t="shared" si="0"/>
        <v>0</v>
      </c>
      <c r="Z9" s="25">
        <f t="shared" si="3"/>
        <v>0</v>
      </c>
      <c r="AF9" s="1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R10" s="49" t="s">
        <v>52</v>
      </c>
      <c r="S10" s="49" t="s">
        <v>84</v>
      </c>
      <c r="T10" s="25">
        <f t="shared" si="0"/>
        <v>0</v>
      </c>
      <c r="Z10" s="25">
        <f t="shared" si="3"/>
        <v>0</v>
      </c>
      <c r="AF10" s="1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>
        <v>4</v>
      </c>
      <c r="D11" s="1">
        <v>2</v>
      </c>
      <c r="E11" s="1">
        <v>4</v>
      </c>
      <c r="F11" s="1">
        <v>2</v>
      </c>
      <c r="G11" s="1">
        <v>3</v>
      </c>
      <c r="H11" s="25">
        <f t="shared" si="1"/>
        <v>15</v>
      </c>
      <c r="I11" s="1">
        <v>4</v>
      </c>
      <c r="J11" s="1">
        <v>5</v>
      </c>
      <c r="K11" s="1">
        <v>3</v>
      </c>
      <c r="L11" s="1">
        <v>2</v>
      </c>
      <c r="M11" s="1">
        <v>4</v>
      </c>
      <c r="N11" s="25">
        <f t="shared" si="2"/>
        <v>18</v>
      </c>
      <c r="O11" s="1">
        <v>4</v>
      </c>
      <c r="P11" s="1">
        <v>1</v>
      </c>
      <c r="Q11" s="1">
        <v>1</v>
      </c>
      <c r="R11" s="49" t="s">
        <v>52</v>
      </c>
      <c r="S11" s="49" t="s">
        <v>84</v>
      </c>
      <c r="T11" s="25">
        <f t="shared" si="0"/>
        <v>6</v>
      </c>
      <c r="U11" s="1">
        <v>1</v>
      </c>
      <c r="V11" s="1">
        <v>4</v>
      </c>
      <c r="W11" s="1">
        <v>3</v>
      </c>
      <c r="X11" s="1">
        <v>3</v>
      </c>
      <c r="Y11" s="1">
        <v>3</v>
      </c>
      <c r="Z11" s="25">
        <f t="shared" si="3"/>
        <v>14</v>
      </c>
      <c r="AA11" s="1">
        <v>3</v>
      </c>
      <c r="AB11" s="1">
        <v>2</v>
      </c>
      <c r="AC11" s="1">
        <v>3</v>
      </c>
      <c r="AD11" s="1">
        <v>1</v>
      </c>
      <c r="AE11" s="1">
        <v>2</v>
      </c>
      <c r="AF11" s="15">
        <f t="shared" si="4"/>
        <v>11</v>
      </c>
      <c r="AL11" s="25">
        <f t="shared" si="5"/>
        <v>0</v>
      </c>
      <c r="AM11" s="1">
        <v>3</v>
      </c>
      <c r="AN11" s="1">
        <v>3</v>
      </c>
      <c r="AO11" s="1">
        <v>3</v>
      </c>
      <c r="AP11" s="1">
        <v>3</v>
      </c>
      <c r="AR11" s="29">
        <f t="shared" si="6"/>
        <v>12</v>
      </c>
      <c r="AS11" s="1">
        <v>4</v>
      </c>
      <c r="AT11" s="1">
        <v>2</v>
      </c>
      <c r="AU11" s="1">
        <v>3</v>
      </c>
      <c r="AV11" s="1">
        <v>2</v>
      </c>
      <c r="AX11" s="29">
        <f t="shared" si="7"/>
        <v>11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>
        <v>64</v>
      </c>
      <c r="D12" s="1">
        <v>41</v>
      </c>
      <c r="E12" s="1">
        <v>68</v>
      </c>
      <c r="F12" s="1">
        <v>50</v>
      </c>
      <c r="G12" s="1">
        <v>71</v>
      </c>
      <c r="H12" s="25">
        <f t="shared" si="1"/>
        <v>294</v>
      </c>
      <c r="I12" s="1">
        <v>68</v>
      </c>
      <c r="J12" s="1">
        <v>115</v>
      </c>
      <c r="K12" s="1">
        <v>82</v>
      </c>
      <c r="L12" s="1">
        <v>38</v>
      </c>
      <c r="M12" s="1">
        <v>67</v>
      </c>
      <c r="N12" s="25">
        <f t="shared" si="2"/>
        <v>370</v>
      </c>
      <c r="O12" s="1">
        <v>60</v>
      </c>
      <c r="P12" s="1">
        <v>54</v>
      </c>
      <c r="Q12" s="1">
        <v>18</v>
      </c>
      <c r="R12" s="49" t="s">
        <v>52</v>
      </c>
      <c r="S12" s="49" t="s">
        <v>84</v>
      </c>
      <c r="T12" s="25">
        <f t="shared" si="0"/>
        <v>132</v>
      </c>
      <c r="U12" s="1">
        <v>25</v>
      </c>
      <c r="V12" s="1">
        <v>61</v>
      </c>
      <c r="W12" s="1">
        <v>36</v>
      </c>
      <c r="X12" s="1">
        <v>92</v>
      </c>
      <c r="Y12" s="1">
        <v>66</v>
      </c>
      <c r="Z12" s="25">
        <f t="shared" si="3"/>
        <v>280</v>
      </c>
      <c r="AA12" s="1">
        <v>66</v>
      </c>
      <c r="AB12" s="1">
        <v>68</v>
      </c>
      <c r="AC12" s="1">
        <v>77</v>
      </c>
      <c r="AD12" s="1">
        <v>34</v>
      </c>
      <c r="AE12" s="1">
        <v>71</v>
      </c>
      <c r="AF12" s="15">
        <f t="shared" si="4"/>
        <v>316</v>
      </c>
      <c r="AL12" s="25">
        <f t="shared" si="5"/>
        <v>0</v>
      </c>
      <c r="AM12" s="1">
        <v>78</v>
      </c>
      <c r="AN12" s="1">
        <v>43</v>
      </c>
      <c r="AO12" s="1">
        <v>31</v>
      </c>
      <c r="AP12" s="1">
        <v>40</v>
      </c>
      <c r="AR12" s="29">
        <f t="shared" si="6"/>
        <v>192</v>
      </c>
      <c r="AS12" s="1">
        <v>42</v>
      </c>
      <c r="AT12" s="1">
        <v>68</v>
      </c>
      <c r="AU12" s="1">
        <v>105</v>
      </c>
      <c r="AV12" s="1">
        <v>68</v>
      </c>
      <c r="AX12" s="29">
        <f t="shared" si="7"/>
        <v>283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N13" s="25">
        <f t="shared" si="2"/>
        <v>0</v>
      </c>
      <c r="R13" s="49" t="s">
        <v>52</v>
      </c>
      <c r="S13" s="49" t="s">
        <v>84</v>
      </c>
      <c r="T13" s="25">
        <f t="shared" si="0"/>
        <v>0</v>
      </c>
      <c r="Z13" s="25">
        <f t="shared" si="3"/>
        <v>0</v>
      </c>
      <c r="AF13" s="15">
        <f t="shared" si="4"/>
        <v>0</v>
      </c>
      <c r="AG13" s="1">
        <v>1</v>
      </c>
      <c r="AJ13" s="1">
        <v>1</v>
      </c>
      <c r="AL13" s="25">
        <f t="shared" si="5"/>
        <v>2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R14" s="49" t="s">
        <v>52</v>
      </c>
      <c r="S14" s="49" t="s">
        <v>84</v>
      </c>
      <c r="T14" s="25">
        <f t="shared" si="0"/>
        <v>0</v>
      </c>
      <c r="Z14" s="25">
        <f t="shared" si="3"/>
        <v>0</v>
      </c>
      <c r="AF14" s="1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R15" s="49" t="s">
        <v>52</v>
      </c>
      <c r="S15" s="49" t="s">
        <v>84</v>
      </c>
      <c r="T15" s="25">
        <f t="shared" si="0"/>
        <v>0</v>
      </c>
      <c r="U15" s="1">
        <v>1</v>
      </c>
      <c r="V15" s="1">
        <v>4</v>
      </c>
      <c r="W15" s="1">
        <v>3</v>
      </c>
      <c r="X15" s="1">
        <v>3</v>
      </c>
      <c r="Y15" s="1">
        <v>3</v>
      </c>
      <c r="Z15" s="25">
        <f t="shared" si="3"/>
        <v>14</v>
      </c>
      <c r="AA15" s="1">
        <v>3</v>
      </c>
      <c r="AB15" s="1">
        <v>2</v>
      </c>
      <c r="AC15" s="1">
        <v>3</v>
      </c>
      <c r="AD15" s="1">
        <v>1</v>
      </c>
      <c r="AE15" s="1">
        <v>2</v>
      </c>
      <c r="AF15" s="15">
        <f t="shared" si="4"/>
        <v>11</v>
      </c>
      <c r="AL15" s="25">
        <f t="shared" si="5"/>
        <v>0</v>
      </c>
      <c r="AR15" s="29">
        <f t="shared" si="6"/>
        <v>0</v>
      </c>
      <c r="AV15" s="1">
        <v>7</v>
      </c>
      <c r="AX15" s="29">
        <f t="shared" si="7"/>
        <v>7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17"/>
      <c r="G16" s="17"/>
      <c r="H16" s="18">
        <f t="shared" si="1"/>
        <v>0</v>
      </c>
      <c r="I16" s="17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50" t="s">
        <v>52</v>
      </c>
      <c r="S16" s="50" t="s">
        <v>84</v>
      </c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22">
        <f t="shared" si="4"/>
        <v>0</v>
      </c>
      <c r="AG16" s="17"/>
      <c r="AH16" s="17"/>
      <c r="AI16" s="17"/>
      <c r="AJ16" s="17"/>
      <c r="AK16" s="17"/>
      <c r="AL16" s="25">
        <f t="shared" si="5"/>
        <v>0</v>
      </c>
      <c r="AM16" s="17"/>
      <c r="AN16" s="17"/>
      <c r="AO16" s="17">
        <v>227</v>
      </c>
      <c r="AP16" s="17">
        <v>264</v>
      </c>
      <c r="AQ16" s="17">
        <v>1235</v>
      </c>
      <c r="AR16" s="29">
        <f t="shared" si="6"/>
        <v>1726</v>
      </c>
      <c r="AS16" s="17"/>
      <c r="AT16" s="17"/>
      <c r="AU16" s="17"/>
      <c r="AV16" s="17"/>
      <c r="AW16" s="17">
        <v>6</v>
      </c>
      <c r="AX16" s="29">
        <f t="shared" si="7"/>
        <v>6</v>
      </c>
      <c r="AY16" s="17"/>
      <c r="AZ16" s="17"/>
      <c r="BA16" s="17"/>
      <c r="BB16" s="17"/>
      <c r="BC16" s="17"/>
      <c r="BD16" s="27">
        <f t="shared" si="8"/>
        <v>0</v>
      </c>
    </row>
    <row r="17" spans="1:55" ht="153" customHeight="1" x14ac:dyDescent="0.25">
      <c r="A17" s="1" t="s">
        <v>11</v>
      </c>
      <c r="C17" s="4"/>
      <c r="D17" s="4"/>
      <c r="E17" s="4"/>
      <c r="F17" s="4"/>
      <c r="G17" s="4"/>
      <c r="H17" s="4"/>
      <c r="K17" s="4"/>
      <c r="M17" s="4"/>
      <c r="S17" s="4"/>
      <c r="AD17" s="4" t="s">
        <v>89</v>
      </c>
      <c r="AG17" s="4" t="s">
        <v>96</v>
      </c>
      <c r="AH17" s="4" t="s">
        <v>96</v>
      </c>
      <c r="AI17" s="4" t="s">
        <v>96</v>
      </c>
      <c r="AJ17" s="4" t="s">
        <v>96</v>
      </c>
      <c r="AK17" s="4" t="s">
        <v>120</v>
      </c>
      <c r="AM17" s="4" t="s">
        <v>143</v>
      </c>
      <c r="AN17" s="4" t="s">
        <v>143</v>
      </c>
      <c r="AO17" s="4" t="s">
        <v>144</v>
      </c>
      <c r="AP17" s="4" t="s">
        <v>144</v>
      </c>
      <c r="AQ17" s="4" t="s">
        <v>144</v>
      </c>
      <c r="AS17" s="4" t="s">
        <v>143</v>
      </c>
      <c r="AT17" s="4" t="s">
        <v>143</v>
      </c>
      <c r="AU17" s="4" t="s">
        <v>143</v>
      </c>
      <c r="AV17" s="4" t="s">
        <v>143</v>
      </c>
      <c r="AW17" s="39" t="s">
        <v>132</v>
      </c>
      <c r="AY17" s="4" t="s">
        <v>148</v>
      </c>
      <c r="AZ17" s="4" t="s">
        <v>147</v>
      </c>
      <c r="BA17" s="4" t="s">
        <v>153</v>
      </c>
      <c r="BB17" s="4" t="s">
        <v>153</v>
      </c>
      <c r="BC17" s="4" t="s">
        <v>153</v>
      </c>
    </row>
    <row r="18" spans="1:55" ht="150.75" customHeight="1" x14ac:dyDescent="0.25">
      <c r="A18" s="47" t="s">
        <v>10</v>
      </c>
      <c r="C18" s="4"/>
      <c r="D18" s="4" t="s">
        <v>42</v>
      </c>
      <c r="F18" s="4" t="s">
        <v>43</v>
      </c>
      <c r="G18" s="4"/>
      <c r="Q18" s="4" t="s">
        <v>83</v>
      </c>
    </row>
  </sheetData>
  <customSheetViews>
    <customSheetView guid="{3D987F8E-A6EA-454D-9537-6BFC5053CB00}">
      <pane xSplit="1" topLeftCell="AE1" activePane="topRight" state="frozen"/>
      <selection pane="topRight" activeCell="AS5" sqref="AS5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E3841903-5B68-44FD-8F09-58E03D1025C5}">
      <selection activeCell="B6" sqref="B6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P1" activePane="topRight" state="frozen"/>
      <selection pane="topRight" activeCell="H19" sqref="H19"/>
      <pageMargins left="0.511811024" right="0.511811024" top="0.78740157499999996" bottom="0.78740157499999996" header="0.31496062000000002" footer="0.31496062000000002"/>
      <pageSetup paperSize="9" orientation="portrait" r:id="rId2"/>
      <autoFilter ref="A1:A18" xr:uid="{90255C25-B162-4C48-A969-12B569B87AB2}"/>
    </customSheetView>
    <customSheetView guid="{18A482E0-C8B6-4AA1-9E04-15FA7C9CD5E3}">
      <pane xSplit="1" topLeftCell="B1" activePane="topRight" state="frozen"/>
      <selection pane="topRight" activeCell="C4" sqref="C4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B6" sqref="B6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sqref="A1:XFD104857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6" sqref="B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3"/>
  <ignoredErrors>
    <ignoredError sqref="H2:H16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L1:L15"/>
  <sheetViews>
    <sheetView workbookViewId="0">
      <selection activeCell="L15" sqref="L15"/>
    </sheetView>
  </sheetViews>
  <sheetFormatPr defaultRowHeight="15" x14ac:dyDescent="0.25"/>
  <sheetData>
    <row r="1" spans="12:12" x14ac:dyDescent="0.25">
      <c r="L1" s="48"/>
    </row>
    <row r="2" spans="12:12" x14ac:dyDescent="0.25">
      <c r="L2" s="48"/>
    </row>
    <row r="3" spans="12:12" x14ac:dyDescent="0.25">
      <c r="L3" s="48"/>
    </row>
    <row r="4" spans="12:12" x14ac:dyDescent="0.25">
      <c r="L4" s="48"/>
    </row>
    <row r="5" spans="12:12" x14ac:dyDescent="0.25">
      <c r="L5" s="48"/>
    </row>
    <row r="6" spans="12:12" x14ac:dyDescent="0.25">
      <c r="L6" s="48"/>
    </row>
    <row r="7" spans="12:12" x14ac:dyDescent="0.25">
      <c r="L7" s="48"/>
    </row>
    <row r="8" spans="12:12" x14ac:dyDescent="0.25">
      <c r="L8" s="48"/>
    </row>
    <row r="9" spans="12:12" x14ac:dyDescent="0.25">
      <c r="L9" s="48"/>
    </row>
    <row r="10" spans="12:12" x14ac:dyDescent="0.25">
      <c r="L10" s="48"/>
    </row>
    <row r="11" spans="12:12" x14ac:dyDescent="0.25">
      <c r="L11" s="48"/>
    </row>
    <row r="12" spans="12:12" x14ac:dyDescent="0.25">
      <c r="L12" s="48"/>
    </row>
    <row r="13" spans="12:12" x14ac:dyDescent="0.25">
      <c r="L13" s="48"/>
    </row>
    <row r="14" spans="12:12" x14ac:dyDescent="0.25">
      <c r="L14" s="48"/>
    </row>
    <row r="15" spans="12:12" x14ac:dyDescent="0.25">
      <c r="L15" s="48"/>
    </row>
  </sheetData>
  <customSheetViews>
    <customSheetView guid="{3D987F8E-A6EA-454D-9537-6BFC5053CB00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E3841903-5B68-44FD-8F09-58E03D1025C5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9B623083-AA7B-440B-95EA-C33E1AB3D96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18A482E0-C8B6-4AA1-9E04-15FA7C9CD5E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L15" sqref="L15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L15" sqref="L15"/>
      <pageMargins left="0.511811024" right="0.511811024" top="0.78740157499999996" bottom="0.78740157499999996" header="0.31496062000000002" footer="0.31496062000000002"/>
    </customSheetView>
    <customSheetView guid="{86039CF8-B158-4D70-9A6F-A10C29CBD68A}" state="hidden">
      <selection activeCell="L15" sqref="L15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GLOSSÁRIO</vt:lpstr>
      <vt:lpstr>Patrícia</vt:lpstr>
      <vt:lpstr>Marcelo</vt:lpstr>
      <vt:lpstr>TOTAL</vt:lpstr>
      <vt:lpstr>Diego</vt:lpstr>
      <vt:lpstr>Aelton</vt:lpstr>
      <vt:lpstr>Leonam</vt:lpstr>
      <vt:lpstr>Danilo</vt:lpstr>
      <vt:lpstr>Marcos</vt:lpstr>
      <vt:lpstr>Carlos</vt:lpstr>
      <vt:lpstr>Alessandro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Lucio Saboia Fonseca</dc:creator>
  <cp:lastModifiedBy>Alessandro Borges de Araújo</cp:lastModifiedBy>
  <dcterms:created xsi:type="dcterms:W3CDTF">2025-02-20T15:04:38Z</dcterms:created>
  <dcterms:modified xsi:type="dcterms:W3CDTF">2025-10-29T19:54:33Z</dcterms:modified>
</cp:coreProperties>
</file>
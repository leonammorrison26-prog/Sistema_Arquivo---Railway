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8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Atividade Semanal - Equipe\z INDICADORES - POR DIA\Indicadores Ano 2026\"/>
    </mc:Choice>
  </mc:AlternateContent>
  <xr:revisionPtr revIDLastSave="0" documentId="13_ncr:81_{363FCD52-4287-45E8-A7A6-0C7A5EC0581B}" xr6:coauthVersionLast="47" xr6:coauthVersionMax="47" xr10:uidLastSave="{00000000-0000-0000-0000-000000000000}"/>
  <bookViews>
    <workbookView xWindow="28680" yWindow="-120" windowWidth="24240" windowHeight="13140" firstSheet="1" activeTab="4" xr2:uid="{00000000-000D-0000-FFFF-FFFF00000000}"/>
  </bookViews>
  <sheets>
    <sheet name="GLOSSÁRIO" sheetId="12" r:id="rId1"/>
    <sheet name="Patrícia" sheetId="1" r:id="rId2"/>
    <sheet name="Leonard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Marcos" sheetId="8" r:id="rId9"/>
    <sheet name="Alessandro" sheetId="10" r:id="rId10"/>
    <sheet name="Carlos" sheetId="9" r:id="rId11"/>
    <sheet name="Planilha1" sheetId="11" state="hidden" r:id="rId12"/>
  </sheets>
  <definedNames>
    <definedName name="_xlnm._FilterDatabase" localSheetId="5" hidden="1">Aelton!$A$1:$A$19</definedName>
    <definedName name="_xlnm._FilterDatabase" localSheetId="9" hidden="1">Alessandro!$A$1:$A$19</definedName>
    <definedName name="_xlnm._FilterDatabase" localSheetId="10" hidden="1">Carlos!$A$1:$A$19</definedName>
    <definedName name="_xlnm._FilterDatabase" localSheetId="7" hidden="1">Danilo!$A$1:$A$19</definedName>
    <definedName name="_xlnm._FilterDatabase" localSheetId="4" hidden="1">Diego!$A$1:$A$20</definedName>
    <definedName name="_xlnm._FilterDatabase" localSheetId="6" hidden="1">Leonam!$A$1:$B$19</definedName>
    <definedName name="_xlnm._FilterDatabase" localSheetId="2" hidden="1">Leonardo!$A$1:$A$5</definedName>
    <definedName name="_xlnm._FilterDatabase" localSheetId="8" hidden="1">Marcos!$A$1:$A$20</definedName>
    <definedName name="_xlnm._FilterDatabase" localSheetId="1" hidden="1">Patrícia!$A$1:$A$5</definedName>
    <definedName name="_xlnm._FilterDatabase" localSheetId="3" hidden="1">TOTAL!$A$1:$J$19</definedName>
    <definedName name="_xleta.N" hidden="1">#NAME?</definedName>
    <definedName name="Z_06B9359A_7F39_4D4B_8367_C837FD7A454D_.wvu.FilterData" localSheetId="7" hidden="1">Danilo!$A$1:$A$19</definedName>
    <definedName name="Z_06B9359A_7F39_4D4B_8367_C837FD7A454D_.wvu.FilterData" localSheetId="4" hidden="1">Diego!$A$1:$A$20</definedName>
    <definedName name="Z_06B9359A_7F39_4D4B_8367_C837FD7A454D_.wvu.FilterData" localSheetId="6" hidden="1">Leonam!$A$1:$B$19</definedName>
    <definedName name="Z_0B55FC46_3C4C_40FA_8D19_F188F3837C28_.wvu.FilterData" localSheetId="8" hidden="1">Marcos!$A$1:$A$19</definedName>
    <definedName name="Z_1510BE18_73CC_483F_9E2C_433AE8548BC0_.wvu.FilterData" localSheetId="10" hidden="1">Carlos!$A$1:$A$19</definedName>
    <definedName name="Z_1510BE18_73CC_483F_9E2C_433AE8548BC0_.wvu.FilterData" localSheetId="4" hidden="1">Diego!$A$1:$A$19</definedName>
    <definedName name="Z_1510BE18_73CC_483F_9E2C_433AE8548BC0_.wvu.FilterData" localSheetId="6" hidden="1">Leonam!$A$1:$B$19</definedName>
    <definedName name="Z_1510BE18_73CC_483F_9E2C_433AE8548BC0_.wvu.FilterData" localSheetId="8" hidden="1">Marcos!$A$1:$A$19</definedName>
    <definedName name="Z_18A482E0_C8B6_4AA1_9E04_15FA7C9CD5E3_.wvu.FilterData" localSheetId="5" hidden="1">Aelton!$A$1:$A$19</definedName>
    <definedName name="Z_18A482E0_C8B6_4AA1_9E04_15FA7C9CD5E3_.wvu.FilterData" localSheetId="9" hidden="1">Alessandro!$A$1:$A$19</definedName>
    <definedName name="Z_18A482E0_C8B6_4AA1_9E04_15FA7C9CD5E3_.wvu.FilterData" localSheetId="10" hidden="1">Carlos!$A$1:$A$19</definedName>
    <definedName name="Z_18A482E0_C8B6_4AA1_9E04_15FA7C9CD5E3_.wvu.FilterData" localSheetId="7" hidden="1">Danilo!$A$1:$A$19</definedName>
    <definedName name="Z_18A482E0_C8B6_4AA1_9E04_15FA7C9CD5E3_.wvu.FilterData" localSheetId="4" hidden="1">Diego!$A$1:$A$19</definedName>
    <definedName name="Z_18A482E0_C8B6_4AA1_9E04_15FA7C9CD5E3_.wvu.FilterData" localSheetId="6" hidden="1">Leonam!$A$1:$B$19</definedName>
    <definedName name="Z_18A482E0_C8B6_4AA1_9E04_15FA7C9CD5E3_.wvu.FilterData" localSheetId="2" hidden="1">Leonardo!$A$1:$A$5</definedName>
    <definedName name="Z_18A482E0_C8B6_4AA1_9E04_15FA7C9CD5E3_.wvu.FilterData" localSheetId="8" hidden="1">Marcos!$A$1:$A$19</definedName>
    <definedName name="Z_18A482E0_C8B6_4AA1_9E04_15FA7C9CD5E3_.wvu.FilterData" localSheetId="1" hidden="1">Patrícia!$A$1:$A$3</definedName>
    <definedName name="Z_18A482E0_C8B6_4AA1_9E04_15FA7C9CD5E3_.wvu.FilterData" localSheetId="3" hidden="1">TOTAL!$A$1:$A$19</definedName>
    <definedName name="Z_1B7E66BC_FAD9_49CD_A44C_EC1BA1D78012_.wvu.FilterData" localSheetId="4" hidden="1">Diego!$A$1:$A$21</definedName>
    <definedName name="Z_1B7E66BC_FAD9_49CD_A44C_EC1BA1D78012_.wvu.FilterData" localSheetId="8" hidden="1">Marcos!$A$1:$A$19</definedName>
    <definedName name="Z_1BDA250B_2920_4BD7_A433_977E2DD900C8_.wvu.FilterData" localSheetId="7" hidden="1">Danilo!$A$1:$A$33</definedName>
    <definedName name="Z_1BDA250B_2920_4BD7_A433_977E2DD900C8_.wvu.FilterData" localSheetId="8" hidden="1">Marcos!$A$1:$A$19</definedName>
    <definedName name="Z_20CB6D8F_C24D_4D4B_A424_AF380F620455_.wvu.FilterData" localSheetId="5" hidden="1">Aelton!$A$1:$A$19</definedName>
    <definedName name="Z_20CB6D8F_C24D_4D4B_A424_AF380F620455_.wvu.FilterData" localSheetId="9" hidden="1">Alessandro!$A$1:$A$19</definedName>
    <definedName name="Z_20CB6D8F_C24D_4D4B_A424_AF380F620455_.wvu.FilterData" localSheetId="10" hidden="1">Carlos!$A$1:$A$19</definedName>
    <definedName name="Z_20CB6D8F_C24D_4D4B_A424_AF380F620455_.wvu.FilterData" localSheetId="7" hidden="1">Danilo!$A$1:$A$19</definedName>
    <definedName name="Z_20CB6D8F_C24D_4D4B_A424_AF380F620455_.wvu.FilterData" localSheetId="4" hidden="1">Diego!$A$1:$A$20</definedName>
    <definedName name="Z_20CB6D8F_C24D_4D4B_A424_AF380F620455_.wvu.FilterData" localSheetId="6" hidden="1">Leonam!$A$1:$B$19</definedName>
    <definedName name="Z_20CB6D8F_C24D_4D4B_A424_AF380F620455_.wvu.FilterData" localSheetId="2" hidden="1">Leonardo!$A$1:$A$5</definedName>
    <definedName name="Z_20CB6D8F_C24D_4D4B_A424_AF380F620455_.wvu.FilterData" localSheetId="8" hidden="1">Marcos!$A$1:$A$20</definedName>
    <definedName name="Z_20CB6D8F_C24D_4D4B_A424_AF380F620455_.wvu.FilterData" localSheetId="1" hidden="1">Patrícia!$A$1:$A$5</definedName>
    <definedName name="Z_20CB6D8F_C24D_4D4B_A424_AF380F620455_.wvu.FilterData" localSheetId="3" hidden="1">TOTAL!$A$1:$J$19</definedName>
    <definedName name="Z_26904941_D7A6_4400_A4D4_FC1C61AD552D_.wvu.FilterData" localSheetId="6" hidden="1">Leonam!$A$1:$B$19</definedName>
    <definedName name="Z_27007976_1F87_4541_B62B_D53BDFC0590C_.wvu.FilterData" localSheetId="8" hidden="1">Marcos!$A$1:$A$20</definedName>
    <definedName name="Z_27D1146D_2AA0_4FD6_A294_24C99A5284B4_.wvu.FilterData" localSheetId="9" hidden="1">Alessandro!$A$1:$A$19</definedName>
    <definedName name="Z_292194A3_4172_400D_B49A_B6ABE831DBEB_.wvu.FilterData" localSheetId="5" hidden="1">Aelton!$A$1:$A$19</definedName>
    <definedName name="Z_292194A3_4172_400D_B49A_B6ABE831DBEB_.wvu.FilterData" localSheetId="4" hidden="1">Diego!$A$1:$A$21</definedName>
    <definedName name="Z_292194A3_4172_400D_B49A_B6ABE831DBEB_.wvu.FilterData" localSheetId="6" hidden="1">Leonam!$A$1:$B$19</definedName>
    <definedName name="Z_292194A3_4172_400D_B49A_B6ABE831DBEB_.wvu.FilterData" localSheetId="8" hidden="1">Marcos!$A$1:$A$19</definedName>
    <definedName name="Z_29ECD1DE_9036_4576_AB88_5BDD65D2BD2E_.wvu.FilterData" localSheetId="6" hidden="1">Leonam!$A$1:$B$19</definedName>
    <definedName name="Z_2B7F7555_67DD_4264_B712_BD247418238E_.wvu.FilterData" localSheetId="8" hidden="1">Marcos!$A$1:$A$19</definedName>
    <definedName name="Z_303FA4A8_3B77_41B3_90B1_0B6BBA338E37_.wvu.FilterData" localSheetId="5" hidden="1">Aelton!$A$1:$A$19</definedName>
    <definedName name="Z_35CCAC03_A758_4A73_906E_20BF31DABC91_.wvu.FilterData" localSheetId="7" hidden="1">Danilo!$A$1:$A$19</definedName>
    <definedName name="Z_35CCAC03_A758_4A73_906E_20BF31DABC91_.wvu.FilterData" localSheetId="6" hidden="1">Leonam!$A$1:$B$19</definedName>
    <definedName name="Z_39E2970F_D65E_43EC_9342_CEF876D070BB_.wvu.FilterData" localSheetId="5" hidden="1">Aelton!$A$1:$A$19</definedName>
    <definedName name="Z_3CC06121_2B9B_48D6_95F1_5B29B3ACEAC3_.wvu.FilterData" localSheetId="6" hidden="1">Leonam!$A$1:$B$19</definedName>
    <definedName name="Z_3D987F8E_A6EA_454D_9537_6BFC5053CB00_.wvu.FilterData" localSheetId="5" hidden="1">Aelton!$A$1:$A$19</definedName>
    <definedName name="Z_3D987F8E_A6EA_454D_9537_6BFC5053CB00_.wvu.FilterData" localSheetId="9" hidden="1">Alessandro!$A$1:$A$19</definedName>
    <definedName name="Z_3D987F8E_A6EA_454D_9537_6BFC5053CB00_.wvu.FilterData" localSheetId="10" hidden="1">Carlos!$A$1:$A$19</definedName>
    <definedName name="Z_3D987F8E_A6EA_454D_9537_6BFC5053CB00_.wvu.FilterData" localSheetId="7" hidden="1">Danilo!$A$1:$A$19</definedName>
    <definedName name="Z_3D987F8E_A6EA_454D_9537_6BFC5053CB00_.wvu.FilterData" localSheetId="4" hidden="1">Diego!$A$1:$A$20</definedName>
    <definedName name="Z_3D987F8E_A6EA_454D_9537_6BFC5053CB00_.wvu.FilterData" localSheetId="6" hidden="1">Leonam!$A$1:$B$19</definedName>
    <definedName name="Z_3D987F8E_A6EA_454D_9537_6BFC5053CB00_.wvu.FilterData" localSheetId="2" hidden="1">Leonardo!$A$1:$A$5</definedName>
    <definedName name="Z_3D987F8E_A6EA_454D_9537_6BFC5053CB00_.wvu.FilterData" localSheetId="8" hidden="1">Marcos!$A$1:$A$20</definedName>
    <definedName name="Z_3D987F8E_A6EA_454D_9537_6BFC5053CB00_.wvu.FilterData" localSheetId="1" hidden="1">Patrícia!$A$1:$A$5</definedName>
    <definedName name="Z_3D987F8E_A6EA_454D_9537_6BFC5053CB00_.wvu.FilterData" localSheetId="3" hidden="1">TOTAL!$A$1:$J$19</definedName>
    <definedName name="Z_4079B0E0_0C38_4415_85D0_9ADAAD8545C0_.wvu.FilterData" localSheetId="7" hidden="1">Danilo!$A$1:$A$33</definedName>
    <definedName name="Z_4079B0E0_0C38_4415_85D0_9ADAAD8545C0_.wvu.FilterData" localSheetId="4" hidden="1">Diego!$A$1:$A$19</definedName>
    <definedName name="Z_4079B0E0_0C38_4415_85D0_9ADAAD8545C0_.wvu.FilterData" localSheetId="3" hidden="1">TOTAL!$A$1:$A$19</definedName>
    <definedName name="Z_45F463EA_C067_4F95_B79F_720A856DD6F7_.wvu.FilterData" localSheetId="4" hidden="1">Diego!$A$1:$A$19</definedName>
    <definedName name="Z_4C2581D1_FB98_41CF_B2FE_518BD27D9442_.wvu.FilterData" localSheetId="5" hidden="1">Aelton!$A$1:$A$19</definedName>
    <definedName name="Z_4C2581D1_FB98_41CF_B2FE_518BD27D9442_.wvu.FilterData" localSheetId="6" hidden="1">Leonam!$A$1:$B$19</definedName>
    <definedName name="Z_4C2581D1_FB98_41CF_B2FE_518BD27D9442_.wvu.FilterData" localSheetId="8" hidden="1">Marcos!$A$1:$A$19</definedName>
    <definedName name="Z_4E060732_83F8_4DF4_BA69_E86233C09DEB_.wvu.FilterData" localSheetId="4" hidden="1">Diego!$A$1:$A$19</definedName>
    <definedName name="Z_4E43814E_6236_47E0_82E3_89BC3CF4ADCB_.wvu.FilterData" localSheetId="7" hidden="1">Danilo!$A$1:$A$19</definedName>
    <definedName name="Z_527DBFB3_F830_471C_A755_D892B2B1A236_.wvu.FilterData" localSheetId="8" hidden="1">Marcos!$A$1:$A$19</definedName>
    <definedName name="Z_5D13117B_1A22_428E_846B_EF3C77E3CE3F_.wvu.FilterData" localSheetId="5" hidden="1">Aelton!$A$1:$A$19</definedName>
    <definedName name="Z_5D13117B_1A22_428E_846B_EF3C77E3CE3F_.wvu.FilterData" localSheetId="6" hidden="1">Leonam!$A$1:$B$19</definedName>
    <definedName name="Z_6192735B_895E_467E_8A7A_A96CA401E8FC_.wvu.FilterData" localSheetId="5" hidden="1">Aelton!$A$1:$A$19</definedName>
    <definedName name="Z_6192735B_895E_467E_8A7A_A96CA401E8FC_.wvu.FilterData" localSheetId="4" hidden="1">Diego!$A$1:$A$19</definedName>
    <definedName name="Z_6192735B_895E_467E_8A7A_A96CA401E8FC_.wvu.FilterData" localSheetId="8" hidden="1">Marcos!$A$1:$A$19</definedName>
    <definedName name="Z_61D1DCE3_0F76_42AD_BA8D_EA23AEA54BEF_.wvu.FilterData" localSheetId="8" hidden="1">Marcos!$A$1:$A$19</definedName>
    <definedName name="Z_63529BB9_7B0C_4CFB_832A_9827D1497A2D_.wvu.FilterData" localSheetId="9" hidden="1">Alessandro!$A$1:$A$19</definedName>
    <definedName name="Z_63529BB9_7B0C_4CFB_832A_9827D1497A2D_.wvu.FilterData" localSheetId="7" hidden="1">Danilo!$A$1:$A$33</definedName>
    <definedName name="Z_65286E0B_C86F_4A74_94F2_F3C1887F39C3_.wvu.FilterData" localSheetId="9" hidden="1">Alessandro!$A$1:$A$19</definedName>
    <definedName name="Z_65286E0B_C86F_4A74_94F2_F3C1887F39C3_.wvu.FilterData" localSheetId="7" hidden="1">Danilo!$A$1:$A$19</definedName>
    <definedName name="Z_65286E0B_C86F_4A74_94F2_F3C1887F39C3_.wvu.FilterData" localSheetId="4" hidden="1">Diego!$A$1:$A$20</definedName>
    <definedName name="Z_65286E0B_C86F_4A74_94F2_F3C1887F39C3_.wvu.FilterData" localSheetId="6" hidden="1">Leonam!$A$1:$B$19</definedName>
    <definedName name="Z_65C2FB55_1D25_4E58_BA73_A7FADBD630D1_.wvu.FilterData" localSheetId="5" hidden="1">Aelton!$A$1:$A$19</definedName>
    <definedName name="Z_65C2FB55_1D25_4E58_BA73_A7FADBD630D1_.wvu.FilterData" localSheetId="7" hidden="1">Danilo!$A$1:$A$19</definedName>
    <definedName name="Z_65C2FB55_1D25_4E58_BA73_A7FADBD630D1_.wvu.FilterData" localSheetId="6" hidden="1">Leonam!$A$1:$B$19</definedName>
    <definedName name="Z_6B6B262E_F738_43C3_94B9_04FDA955C398_.wvu.FilterData" localSheetId="5" hidden="1">Aelton!$A$1:$A$19</definedName>
    <definedName name="Z_7127A2CF_8838_43D3_998B_5F5427E8950C_.wvu.FilterData" localSheetId="4" hidden="1">Diego!$A$1:$A$19</definedName>
    <definedName name="Z_738B9F68_9A21_4046_A982_E676530BDBAD_.wvu.FilterData" localSheetId="6" hidden="1">Leonam!$A$1:$B$19</definedName>
    <definedName name="Z_746A910F_57F7_4BB6_BAEE_91398E13A270_.wvu.FilterData" localSheetId="4" hidden="1">Diego!$A$1:$A$19</definedName>
    <definedName name="Z_82015759_A7A4_4B45_A07B_67FCECB10C26_.wvu.FilterData" localSheetId="7" hidden="1">Danilo!$A$1:$A$33</definedName>
    <definedName name="Z_82015759_A7A4_4B45_A07B_67FCECB10C26_.wvu.FilterData" localSheetId="8" hidden="1">Marcos!$A$1:$A$19</definedName>
    <definedName name="Z_86039CF8_B158_4D70_9A6F_A10C29CBD68A_.wvu.FilterData" localSheetId="5" hidden="1">Aelton!$A$1:$A$19</definedName>
    <definedName name="Z_86039CF8_B158_4D70_9A6F_A10C29CBD68A_.wvu.FilterData" localSheetId="9" hidden="1">Alessandro!$A$1:$A$19</definedName>
    <definedName name="Z_86039CF8_B158_4D70_9A6F_A10C29CBD68A_.wvu.FilterData" localSheetId="10" hidden="1">Carlos!$A$1:$A$19</definedName>
    <definedName name="Z_86039CF8_B158_4D70_9A6F_A10C29CBD68A_.wvu.FilterData" localSheetId="7" hidden="1">Danilo!$A$1:$A$19</definedName>
    <definedName name="Z_86039CF8_B158_4D70_9A6F_A10C29CBD68A_.wvu.FilterData" localSheetId="4" hidden="1">Diego!$A$1:$A$20</definedName>
    <definedName name="Z_86039CF8_B158_4D70_9A6F_A10C29CBD68A_.wvu.FilterData" localSheetId="6" hidden="1">Leonam!$A$1:$B$19</definedName>
    <definedName name="Z_86039CF8_B158_4D70_9A6F_A10C29CBD68A_.wvu.FilterData" localSheetId="2" hidden="1">Leonardo!$A$1:$A$5</definedName>
    <definedName name="Z_86039CF8_B158_4D70_9A6F_A10C29CBD68A_.wvu.FilterData" localSheetId="8" hidden="1">Marcos!$A$1:$A$20</definedName>
    <definedName name="Z_86039CF8_B158_4D70_9A6F_A10C29CBD68A_.wvu.FilterData" localSheetId="1" hidden="1">Patrícia!$A$1:$A$5</definedName>
    <definedName name="Z_86039CF8_B158_4D70_9A6F_A10C29CBD68A_.wvu.FilterData" localSheetId="3" hidden="1">TOTAL!$A$1:$J$19</definedName>
    <definedName name="Z_8AAB51A6_A0E3_4A5A_83CE_A375636D0BFE_.wvu.FilterData" localSheetId="5" hidden="1">Aelton!$A$1:$A$19</definedName>
    <definedName name="Z_8B8567AE_2A03_4707_8762_CDE0AA44BA28_.wvu.FilterData" localSheetId="5" hidden="1">Aelton!$A$1:$A$19</definedName>
    <definedName name="Z_8B8567AE_2A03_4707_8762_CDE0AA44BA28_.wvu.FilterData" localSheetId="4" hidden="1">Diego!$A$1:$A$19</definedName>
    <definedName name="Z_8B8567AE_2A03_4707_8762_CDE0AA44BA28_.wvu.FilterData" localSheetId="8" hidden="1">Marcos!$A$1:$A$19</definedName>
    <definedName name="Z_9068F0A4_0C1F_4C4E_91F4_31F0C9C66660_.wvu.FilterData" localSheetId="7" hidden="1">Danilo!$A$1:$A$19</definedName>
    <definedName name="Z_9068F0A4_0C1F_4C4E_91F4_31F0C9C66660_.wvu.FilterData" localSheetId="6" hidden="1">Leonam!$A$1:$B$19</definedName>
    <definedName name="Z_931E1DCD_AE31_4DFC_AEE0_716590C2FB18_.wvu.FilterData" localSheetId="3" hidden="1">TOTAL!$A$1:$A$19</definedName>
    <definedName name="Z_983ADA86_E669_487C_9992_26F9F57FF6A8_.wvu.FilterData" localSheetId="4" hidden="1">Diego!$A$1:$A$19</definedName>
    <definedName name="Z_99535A48_02C6_4675_AEF4_0A1912F5F9DA_.wvu.FilterData" localSheetId="8" hidden="1">Marcos!$A$1:$A$19</definedName>
    <definedName name="Z_9B623083_AA7B_440B_95EA_C33E1AB3D963_.wvu.FilterData" localSheetId="5" hidden="1">Aelton!$A$1:$A$19</definedName>
    <definedName name="Z_9B623083_AA7B_440B_95EA_C33E1AB3D963_.wvu.FilterData" localSheetId="9" hidden="1">Alessandro!$A$1:$A$19</definedName>
    <definedName name="Z_9B623083_AA7B_440B_95EA_C33E1AB3D963_.wvu.FilterData" localSheetId="10" hidden="1">Carlos!$A$1:$A$19</definedName>
    <definedName name="Z_9B623083_AA7B_440B_95EA_C33E1AB3D963_.wvu.FilterData" localSheetId="7" hidden="1">Danilo!$A$1:$A$19</definedName>
    <definedName name="Z_9B623083_AA7B_440B_95EA_C33E1AB3D963_.wvu.FilterData" localSheetId="4" hidden="1">Diego!$A$1:$A$20</definedName>
    <definedName name="Z_9B623083_AA7B_440B_95EA_C33E1AB3D963_.wvu.FilterData" localSheetId="6" hidden="1">Leonam!$A$1:$B$19</definedName>
    <definedName name="Z_9B623083_AA7B_440B_95EA_C33E1AB3D963_.wvu.FilterData" localSheetId="2" hidden="1">Leonardo!$A$1:$A$5</definedName>
    <definedName name="Z_9B623083_AA7B_440B_95EA_C33E1AB3D963_.wvu.FilterData" localSheetId="8" hidden="1">Marcos!$A$1:$A$20</definedName>
    <definedName name="Z_9B623083_AA7B_440B_95EA_C33E1AB3D963_.wvu.FilterData" localSheetId="1" hidden="1">Patrícia!$A$1:$A$5</definedName>
    <definedName name="Z_9B623083_AA7B_440B_95EA_C33E1AB3D963_.wvu.FilterData" localSheetId="3" hidden="1">TOTAL!$A$1:$A$19</definedName>
    <definedName name="Z_9E46E882_42F6_431B_8932_C984FE3CE2F7_.wvu.FilterData" localSheetId="5" hidden="1">Aelton!$A$1:$A$19</definedName>
    <definedName name="Z_9FB24CC8_6AED_4B47_A357_E4CCF7F8A2F3_.wvu.FilterData" localSheetId="8" hidden="1">Marcos!$A$1:$A$19</definedName>
    <definedName name="Z_A08F465F_9EA2_438B_A731_7E6E4488C169_.wvu.FilterData" localSheetId="5" hidden="1">Aelton!$A$1:$A$19</definedName>
    <definedName name="Z_B3CDE377_BA5D_4E06_91D9_3A48E1959BA5_.wvu.FilterData" localSheetId="5" hidden="1">Aelton!$A$1:$A$19</definedName>
    <definedName name="Z_B3CDE377_BA5D_4E06_91D9_3A48E1959BA5_.wvu.FilterData" localSheetId="9" hidden="1">Alessandro!$A$1:$A$19</definedName>
    <definedName name="Z_B3CDE377_BA5D_4E06_91D9_3A48E1959BA5_.wvu.FilterData" localSheetId="10" hidden="1">Carlos!$A$1:$A$19</definedName>
    <definedName name="Z_B3CDE377_BA5D_4E06_91D9_3A48E1959BA5_.wvu.FilterData" localSheetId="7" hidden="1">Danilo!$A$1:$A$19</definedName>
    <definedName name="Z_B3CDE377_BA5D_4E06_91D9_3A48E1959BA5_.wvu.FilterData" localSheetId="4" hidden="1">Diego!$A$1:$A$20</definedName>
    <definedName name="Z_B3CDE377_BA5D_4E06_91D9_3A48E1959BA5_.wvu.FilterData" localSheetId="6" hidden="1">Leonam!$A$1:$B$19</definedName>
    <definedName name="Z_B3CDE377_BA5D_4E06_91D9_3A48E1959BA5_.wvu.FilterData" localSheetId="2" hidden="1">Leonardo!$A$1:$A$5</definedName>
    <definedName name="Z_B3CDE377_BA5D_4E06_91D9_3A48E1959BA5_.wvu.FilterData" localSheetId="8" hidden="1">Marcos!$A$1:$A$20</definedName>
    <definedName name="Z_B3CDE377_BA5D_4E06_91D9_3A48E1959BA5_.wvu.FilterData" localSheetId="1" hidden="1">Patrícia!$A$1:$A$5</definedName>
    <definedName name="Z_B3CDE377_BA5D_4E06_91D9_3A48E1959BA5_.wvu.FilterData" localSheetId="3" hidden="1">TOTAL!$A$1:$J$19</definedName>
    <definedName name="Z_C1ADD972_3048_4C11_83EA_7D7DA864B713_.wvu.FilterData" localSheetId="5" hidden="1">Aelton!$A$1:$A$19</definedName>
    <definedName name="Z_C1ADD972_3048_4C11_83EA_7D7DA864B713_.wvu.FilterData" localSheetId="4" hidden="1">Diego!$A$1:$A$19</definedName>
    <definedName name="Z_C1ADD972_3048_4C11_83EA_7D7DA864B713_.wvu.FilterData" localSheetId="6" hidden="1">Leonam!$A$1:$B$19</definedName>
    <definedName name="Z_C1ADD972_3048_4C11_83EA_7D7DA864B713_.wvu.FilterData" localSheetId="8" hidden="1">Marcos!$A$1:$A$19</definedName>
    <definedName name="Z_C9005B68_77F0_401C_8512_BE258B93D9F2_.wvu.FilterData" localSheetId="4" hidden="1">Diego!$A$1:$A$19</definedName>
    <definedName name="Z_CD25BA1F_7EDD_4E29_8C83_4BA410D40FAB_.wvu.FilterData" localSheetId="6" hidden="1">Leonam!$A$1:$B$19</definedName>
    <definedName name="Z_CE4DE222_11C2_412F_9CD7_EACF481F4CE0_.wvu.FilterData" localSheetId="8" hidden="1">Marcos!$A$1:$A$19</definedName>
    <definedName name="Z_D04F37C0_316A_467C_A08A_F70CA9ABAACF_.wvu.FilterData" localSheetId="5" hidden="1">Aelton!$A$1:$A$19</definedName>
    <definedName name="Z_D053F25B_24B7_4DEA_9B1C_24248F2011C5_.wvu.FilterData" localSheetId="5" hidden="1">Aelton!$A$1:$A$19</definedName>
    <definedName name="Z_D52625D1_E6F2_417B_8A99_DF0FDA1E26C0_.wvu.FilterData" localSheetId="5" hidden="1">Aelton!$A$1:$A$19</definedName>
    <definedName name="Z_D52625D1_E6F2_417B_8A99_DF0FDA1E26C0_.wvu.FilterData" localSheetId="6" hidden="1">Leonam!$A$1:$B$19</definedName>
    <definedName name="Z_D52625D1_E6F2_417B_8A99_DF0FDA1E26C0_.wvu.FilterData" localSheetId="3" hidden="1">TOTAL!$A$1:$A$19</definedName>
    <definedName name="Z_DC414A74_72F4_4549_81B1_CAD9C736E1BE_.wvu.FilterData" localSheetId="9" hidden="1">Alessandro!$A$1:$A$19</definedName>
    <definedName name="Z_DC414A74_72F4_4549_81B1_CAD9C736E1BE_.wvu.FilterData" localSheetId="4" hidden="1">Diego!$A$1:$A$19</definedName>
    <definedName name="Z_DC414A74_72F4_4549_81B1_CAD9C736E1BE_.wvu.FilterData" localSheetId="6" hidden="1">Leonam!$A$1:$B$19</definedName>
    <definedName name="Z_DCD72475_1C1F_4880_804D_5C91B696BA46_.wvu.FilterData" localSheetId="4" hidden="1">Diego!$A$1:$A$21</definedName>
    <definedName name="Z_E0978B37_608F_4A77_B1C8_D080ABC76CC9_.wvu.FilterData" localSheetId="5" hidden="1">Aelton!$A$1:$A$19</definedName>
    <definedName name="Z_E0978B37_608F_4A77_B1C8_D080ABC76CC9_.wvu.FilterData" localSheetId="7" hidden="1">Danilo!$A$1:$A$33</definedName>
    <definedName name="Z_E0978B37_608F_4A77_B1C8_D080ABC76CC9_.wvu.FilterData" localSheetId="4" hidden="1">Diego!$A$1:$A$19</definedName>
    <definedName name="Z_E0978B37_608F_4A77_B1C8_D080ABC76CC9_.wvu.FilterData" localSheetId="6" hidden="1">Leonam!$A$1:$B$19</definedName>
    <definedName name="Z_E2C6012C_29C5_476E_8662_2FBB90014003_.wvu.FilterData" localSheetId="10" hidden="1">Carlos!$A$1:$A$19</definedName>
    <definedName name="Z_E2C6012C_29C5_476E_8662_2FBB90014003_.wvu.FilterData" localSheetId="7" hidden="1">Danilo!$A$1:$A$33</definedName>
    <definedName name="Z_E2C6012C_29C5_476E_8662_2FBB90014003_.wvu.FilterData" localSheetId="6" hidden="1">Leonam!$A$1:$B$19</definedName>
    <definedName name="Z_E2C6012C_29C5_476E_8662_2FBB90014003_.wvu.FilterData" localSheetId="8" hidden="1">Marcos!$A$1:$A$19</definedName>
    <definedName name="Z_E3841903_5B68_44FD_8F09_58E03D1025C5_.wvu.FilterData" localSheetId="5" hidden="1">Aelton!$A$1:$A$19</definedName>
    <definedName name="Z_E3841903_5B68_44FD_8F09_58E03D1025C5_.wvu.FilterData" localSheetId="9" hidden="1">Alessandro!$A$1:$A$19</definedName>
    <definedName name="Z_E3841903_5B68_44FD_8F09_58E03D1025C5_.wvu.FilterData" localSheetId="10" hidden="1">Carlos!$A$1:$A$19</definedName>
    <definedName name="Z_E3841903_5B68_44FD_8F09_58E03D1025C5_.wvu.FilterData" localSheetId="7" hidden="1">Danilo!$A$1:$A$19</definedName>
    <definedName name="Z_E3841903_5B68_44FD_8F09_58E03D1025C5_.wvu.FilterData" localSheetId="4" hidden="1">Diego!$A$1:$A$20</definedName>
    <definedName name="Z_E3841903_5B68_44FD_8F09_58E03D1025C5_.wvu.FilterData" localSheetId="6" hidden="1">Leonam!$A$1:$B$19</definedName>
    <definedName name="Z_E3841903_5B68_44FD_8F09_58E03D1025C5_.wvu.FilterData" localSheetId="2" hidden="1">Leonardo!$A$1:$A$5</definedName>
    <definedName name="Z_E3841903_5B68_44FD_8F09_58E03D1025C5_.wvu.FilterData" localSheetId="8" hidden="1">Marcos!$A$1:$A$20</definedName>
    <definedName name="Z_E3841903_5B68_44FD_8F09_58E03D1025C5_.wvu.FilterData" localSheetId="1" hidden="1">Patrícia!$A$1:$A$5</definedName>
    <definedName name="Z_E3841903_5B68_44FD_8F09_58E03D1025C5_.wvu.FilterData" localSheetId="3" hidden="1">TOTAL!$A$1:$J$19</definedName>
    <definedName name="Z_E3BDEF0F_8CAB_47D6_8677_524136F6334A_.wvu.FilterData" localSheetId="5" hidden="1">Aelton!$A$1:$A$19</definedName>
    <definedName name="Z_E3BDEF0F_8CAB_47D6_8677_524136F6334A_.wvu.FilterData" localSheetId="8" hidden="1">Marcos!$A$1:$A$19</definedName>
    <definedName name="Z_E6127A77_B885_468A_92FC_C823B559D5F2_.wvu.FilterData" localSheetId="7" hidden="1">Danilo!$A$1:$A$19</definedName>
    <definedName name="Z_E6127A77_B885_468A_92FC_C823B559D5F2_.wvu.FilterData" localSheetId="4" hidden="1">Diego!$A$1:$A$21</definedName>
    <definedName name="Z_E6127A77_B885_468A_92FC_C823B559D5F2_.wvu.FilterData" localSheetId="6" hidden="1">Leonam!$A$1:$B$19</definedName>
    <definedName name="Z_E6127A77_B885_468A_92FC_C823B559D5F2_.wvu.FilterData" localSheetId="8" hidden="1">Marcos!$A$1:$A$19</definedName>
    <definedName name="Z_F2A70F1D_FC6F_4CDB_909A_694615A9BAA7_.wvu.FilterData" localSheetId="6" hidden="1">Leonam!$A$1:$B$19</definedName>
    <definedName name="Z_F746DF90_E320_4742_9A38_81866CC9E10D_.wvu.FilterData" localSheetId="4" hidden="1">Diego!$A$1:$A$19</definedName>
    <definedName name="Z_F79AEFFC_6BE3_48F1_8F6E_4CB801F7567C_.wvu.FilterData" localSheetId="7" hidden="1">Danilo!$A$1:$A$19</definedName>
  </definedNames>
  <calcPr calcId="191029"/>
  <customWorkbookViews>
    <customWorkbookView name="Marcos Neves de Almeida - Modo de exibição pessoal" guid="{E3841903-5B68-44FD-8F09-58E03D1025C5}" mergeInterval="0" personalView="1" maximized="1" xWindow="-8" yWindow="-8" windowWidth="1616" windowHeight="876" activeSheetId="8"/>
    <customWorkbookView name="Danilo Rafael Basilio da Silva - Modo de exibição pessoal" guid="{B3CDE377-BA5D-4E06-91D9-3A48E1959BA5}" mergeInterval="0" personalView="1" maximized="1" xWindow="-8" yWindow="-8" windowWidth="1616" windowHeight="876" activeSheetId="6"/>
    <customWorkbookView name="Diego Santos de Abreu - Modo de exibição pessoal" guid="{20CB6D8F-C24D-4D4B-A424-AF380F620455}" mergeInterval="0" personalView="1" maximized="1" xWindow="-8" yWindow="-8" windowWidth="1616" windowHeight="876" tabRatio="667" activeSheetId="4"/>
    <customWorkbookView name="Leonam Morrison Monteiro de Oliveira - Modo de exibição pessoal" guid="{9B623083-AA7B-440B-95EA-C33E1AB3D963}" autoUpdate="1" mergeInterval="15" personalView="1" maximized="1" xWindow="-1608" yWindow="-8" windowWidth="1616" windowHeight="876" activeSheetId="6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Marcelo Lucio Saboia Fonseca - Modo de exibição pessoal" guid="{18A482E0-C8B6-4AA1-9E04-15FA7C9CD5E3}" mergeInterval="0" personalView="1" maximized="1" xWindow="1672" yWindow="-8" windowWidth="1696" windowHeight="1018" activeSheetId="9"/>
    <customWorkbookView name="Alessandro Borges de Araújo - Modo de exibição pessoal" guid="{3D987F8E-A6EA-454D-9537-6BFC5053CB00}" mergeInterval="0" personalView="1" maximized="1" xWindow="1912" yWindow="-8" windowWidth="1616" windowHeight="876" activeSheetId="10"/>
    <customWorkbookView name="Aelton de Jesus Nunes - Modo de exibição pessoal" guid="{86039CF8-B158-4D70-9A6F-A10C29CBD68A}" mergeInterval="0" personalView="1" maximized="1" xWindow="-8" yWindow="-8" windowWidth="1616" windowHeight="876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2" l="1"/>
  <c r="AX2" i="2"/>
  <c r="AR3" i="2"/>
  <c r="AR2" i="2"/>
  <c r="AL3" i="2"/>
  <c r="AL2" i="2"/>
  <c r="AF3" i="2"/>
  <c r="AF2" i="2"/>
  <c r="Z3" i="2"/>
  <c r="Z2" i="2"/>
  <c r="T3" i="2"/>
  <c r="T2" i="2"/>
  <c r="N2" i="2"/>
  <c r="N3" i="2"/>
  <c r="H3" i="2"/>
  <c r="H2" i="2"/>
  <c r="AX3" i="1"/>
  <c r="AR3" i="1"/>
  <c r="AL3" i="1"/>
  <c r="AF3" i="1"/>
  <c r="Z3" i="1"/>
  <c r="T3" i="1"/>
  <c r="N3" i="1"/>
  <c r="H3" i="1"/>
  <c r="AX2" i="1"/>
  <c r="AR2" i="1"/>
  <c r="AL2" i="1"/>
  <c r="AF2" i="1"/>
  <c r="Z2" i="1"/>
  <c r="T2" i="1"/>
  <c r="N2" i="1"/>
  <c r="H2" i="1"/>
  <c r="H17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2" i="8"/>
  <c r="AX17" i="9"/>
  <c r="AR17" i="9"/>
  <c r="AL17" i="9"/>
  <c r="AF17" i="9"/>
  <c r="Z17" i="9"/>
  <c r="T17" i="9"/>
  <c r="N17" i="9"/>
  <c r="H17" i="9"/>
  <c r="AX16" i="9"/>
  <c r="AR16" i="9"/>
  <c r="AL16" i="9"/>
  <c r="AF16" i="9"/>
  <c r="Z16" i="9"/>
  <c r="T16" i="9"/>
  <c r="N16" i="9"/>
  <c r="H16" i="9"/>
  <c r="AX15" i="9"/>
  <c r="AR15" i="9"/>
  <c r="AL15" i="9"/>
  <c r="AF15" i="9"/>
  <c r="Z15" i="9"/>
  <c r="T15" i="9"/>
  <c r="N15" i="9"/>
  <c r="H15" i="9"/>
  <c r="AX14" i="9"/>
  <c r="AR14" i="9"/>
  <c r="AL14" i="9"/>
  <c r="AF14" i="9"/>
  <c r="Z14" i="9"/>
  <c r="T14" i="9"/>
  <c r="N14" i="9"/>
  <c r="H14" i="9"/>
  <c r="AX13" i="9"/>
  <c r="AR13" i="9"/>
  <c r="AL13" i="9"/>
  <c r="AF13" i="9"/>
  <c r="Z13" i="9"/>
  <c r="T13" i="9"/>
  <c r="N13" i="9"/>
  <c r="H13" i="9"/>
  <c r="AX12" i="9"/>
  <c r="AR12" i="9"/>
  <c r="AL12" i="9"/>
  <c r="AF12" i="9"/>
  <c r="Z12" i="9"/>
  <c r="T12" i="9"/>
  <c r="N12" i="9"/>
  <c r="H12" i="9"/>
  <c r="AX11" i="9"/>
  <c r="AR11" i="9"/>
  <c r="AL11" i="9"/>
  <c r="AF11" i="9"/>
  <c r="Z11" i="9"/>
  <c r="T11" i="9"/>
  <c r="N11" i="9"/>
  <c r="H11" i="9"/>
  <c r="AX10" i="9"/>
  <c r="AR10" i="9"/>
  <c r="AL10" i="9"/>
  <c r="AF10" i="9"/>
  <c r="Z10" i="9"/>
  <c r="T10" i="9"/>
  <c r="N10" i="9"/>
  <c r="H10" i="9"/>
  <c r="AX9" i="9"/>
  <c r="AR9" i="9"/>
  <c r="AL9" i="9"/>
  <c r="AF9" i="9"/>
  <c r="Z9" i="9"/>
  <c r="T9" i="9"/>
  <c r="N9" i="9"/>
  <c r="H9" i="9"/>
  <c r="AX8" i="9"/>
  <c r="AR8" i="9"/>
  <c r="AL8" i="9"/>
  <c r="AF8" i="9"/>
  <c r="Z8" i="9"/>
  <c r="T8" i="9"/>
  <c r="N8" i="9"/>
  <c r="H8" i="9"/>
  <c r="AX7" i="9"/>
  <c r="AR7" i="9"/>
  <c r="AL7" i="9"/>
  <c r="AF7" i="9"/>
  <c r="Z7" i="9"/>
  <c r="T7" i="9"/>
  <c r="N7" i="9"/>
  <c r="H7" i="9"/>
  <c r="AX6" i="9"/>
  <c r="AR6" i="9"/>
  <c r="AL6" i="9"/>
  <c r="AF6" i="9"/>
  <c r="Z6" i="9"/>
  <c r="T6" i="9"/>
  <c r="N6" i="9"/>
  <c r="H6" i="9"/>
  <c r="AX5" i="9"/>
  <c r="AR5" i="9"/>
  <c r="AL5" i="9"/>
  <c r="AF5" i="9"/>
  <c r="Z5" i="9"/>
  <c r="T5" i="9"/>
  <c r="N5" i="9"/>
  <c r="H5" i="9"/>
  <c r="AX4" i="9"/>
  <c r="AR4" i="9"/>
  <c r="AL4" i="9"/>
  <c r="AF4" i="9"/>
  <c r="Z4" i="9"/>
  <c r="T4" i="9"/>
  <c r="N4" i="9"/>
  <c r="H4" i="9"/>
  <c r="AX3" i="9"/>
  <c r="AR3" i="9"/>
  <c r="AL3" i="9"/>
  <c r="AF3" i="9"/>
  <c r="Z3" i="9"/>
  <c r="T3" i="9"/>
  <c r="N3" i="9"/>
  <c r="H3" i="9"/>
  <c r="AX2" i="9"/>
  <c r="AR2" i="9"/>
  <c r="AL2" i="9"/>
  <c r="AF2" i="9"/>
  <c r="Z2" i="9"/>
  <c r="T2" i="9"/>
  <c r="N2" i="9"/>
  <c r="H2" i="9"/>
  <c r="AX17" i="10"/>
  <c r="AR17" i="10"/>
  <c r="AL17" i="10"/>
  <c r="AF17" i="10"/>
  <c r="Z17" i="10"/>
  <c r="T17" i="10"/>
  <c r="N17" i="10"/>
  <c r="H17" i="10"/>
  <c r="AX16" i="10"/>
  <c r="AR16" i="10"/>
  <c r="AL16" i="10"/>
  <c r="AF16" i="10"/>
  <c r="Z16" i="10"/>
  <c r="T16" i="10"/>
  <c r="N16" i="10"/>
  <c r="H16" i="10"/>
  <c r="AX15" i="10"/>
  <c r="AR15" i="10"/>
  <c r="AL15" i="10"/>
  <c r="AF15" i="10"/>
  <c r="Z15" i="10"/>
  <c r="T15" i="10"/>
  <c r="N15" i="10"/>
  <c r="H15" i="10"/>
  <c r="AX14" i="10"/>
  <c r="AR14" i="10"/>
  <c r="AL14" i="10"/>
  <c r="AF14" i="10"/>
  <c r="Z14" i="10"/>
  <c r="T14" i="10"/>
  <c r="N14" i="10"/>
  <c r="H14" i="10"/>
  <c r="AX13" i="10"/>
  <c r="AR13" i="10"/>
  <c r="AL13" i="10"/>
  <c r="AF13" i="10"/>
  <c r="Z13" i="10"/>
  <c r="T13" i="10"/>
  <c r="N13" i="10"/>
  <c r="H13" i="10"/>
  <c r="AX12" i="10"/>
  <c r="AR12" i="10"/>
  <c r="AL12" i="10"/>
  <c r="AF12" i="10"/>
  <c r="Z12" i="10"/>
  <c r="T12" i="10"/>
  <c r="N12" i="10"/>
  <c r="H12" i="10"/>
  <c r="AX11" i="10"/>
  <c r="AR11" i="10"/>
  <c r="AL11" i="10"/>
  <c r="AF11" i="10"/>
  <c r="Z11" i="10"/>
  <c r="T11" i="10"/>
  <c r="N11" i="10"/>
  <c r="H11" i="10"/>
  <c r="AX10" i="10"/>
  <c r="AR10" i="10"/>
  <c r="AL10" i="10"/>
  <c r="AF10" i="10"/>
  <c r="Z10" i="10"/>
  <c r="T10" i="10"/>
  <c r="N10" i="10"/>
  <c r="H10" i="10"/>
  <c r="AX9" i="10"/>
  <c r="AR9" i="10"/>
  <c r="AL9" i="10"/>
  <c r="AF9" i="10"/>
  <c r="Z9" i="10"/>
  <c r="T9" i="10"/>
  <c r="N9" i="10"/>
  <c r="H9" i="10"/>
  <c r="AX8" i="10"/>
  <c r="AR8" i="10"/>
  <c r="AL8" i="10"/>
  <c r="AF8" i="10"/>
  <c r="Z8" i="10"/>
  <c r="T8" i="10"/>
  <c r="N8" i="10"/>
  <c r="H8" i="10"/>
  <c r="AX7" i="10"/>
  <c r="AR7" i="10"/>
  <c r="AL7" i="10"/>
  <c r="AF7" i="10"/>
  <c r="Z7" i="10"/>
  <c r="T7" i="10"/>
  <c r="N7" i="10"/>
  <c r="H7" i="10"/>
  <c r="AX6" i="10"/>
  <c r="AR6" i="10"/>
  <c r="AL6" i="10"/>
  <c r="AF6" i="10"/>
  <c r="Z6" i="10"/>
  <c r="T6" i="10"/>
  <c r="N6" i="10"/>
  <c r="H6" i="10"/>
  <c r="AX5" i="10"/>
  <c r="AR5" i="10"/>
  <c r="AL5" i="10"/>
  <c r="AF5" i="10"/>
  <c r="Z5" i="10"/>
  <c r="T5" i="10"/>
  <c r="N5" i="10"/>
  <c r="H5" i="10"/>
  <c r="AX4" i="10"/>
  <c r="AR4" i="10"/>
  <c r="AL4" i="10"/>
  <c r="AF4" i="10"/>
  <c r="Z4" i="10"/>
  <c r="T4" i="10"/>
  <c r="N4" i="10"/>
  <c r="H4" i="10"/>
  <c r="AX3" i="10"/>
  <c r="AR3" i="10"/>
  <c r="AL3" i="10"/>
  <c r="AF3" i="10"/>
  <c r="Z3" i="10"/>
  <c r="T3" i="10"/>
  <c r="N3" i="10"/>
  <c r="H3" i="10"/>
  <c r="AX2" i="10"/>
  <c r="AR2" i="10"/>
  <c r="AL2" i="10"/>
  <c r="AF2" i="10"/>
  <c r="Z2" i="10"/>
  <c r="T2" i="10"/>
  <c r="N2" i="10"/>
  <c r="H2" i="10"/>
  <c r="AX17" i="8"/>
  <c r="AR17" i="8"/>
  <c r="AL17" i="8"/>
  <c r="AF17" i="8"/>
  <c r="Z17" i="8"/>
  <c r="T17" i="8"/>
  <c r="N17" i="8"/>
  <c r="AX16" i="8"/>
  <c r="AR16" i="8"/>
  <c r="AL16" i="8"/>
  <c r="AF16" i="8"/>
  <c r="Z16" i="8"/>
  <c r="T16" i="8"/>
  <c r="N16" i="8"/>
  <c r="AX15" i="8"/>
  <c r="AR15" i="8"/>
  <c r="AL15" i="8"/>
  <c r="AF15" i="8"/>
  <c r="Z15" i="8"/>
  <c r="T15" i="8"/>
  <c r="N15" i="8"/>
  <c r="AX14" i="8"/>
  <c r="AR14" i="8"/>
  <c r="AL14" i="8"/>
  <c r="AF14" i="8"/>
  <c r="Z14" i="8"/>
  <c r="T14" i="8"/>
  <c r="N14" i="8"/>
  <c r="AX13" i="8"/>
  <c r="AR13" i="8"/>
  <c r="AL13" i="8"/>
  <c r="AF13" i="8"/>
  <c r="Z13" i="8"/>
  <c r="T13" i="8"/>
  <c r="N13" i="8"/>
  <c r="AX12" i="8"/>
  <c r="AR12" i="8"/>
  <c r="AL12" i="8"/>
  <c r="AF12" i="8"/>
  <c r="Z12" i="8"/>
  <c r="T12" i="8"/>
  <c r="N12" i="8"/>
  <c r="AX11" i="8"/>
  <c r="AR11" i="8"/>
  <c r="AL11" i="8"/>
  <c r="AF11" i="8"/>
  <c r="Z11" i="8"/>
  <c r="T11" i="8"/>
  <c r="N11" i="8"/>
  <c r="AX10" i="8"/>
  <c r="AR10" i="8"/>
  <c r="AL10" i="8"/>
  <c r="AF10" i="8"/>
  <c r="Z10" i="8"/>
  <c r="T10" i="8"/>
  <c r="N10" i="8"/>
  <c r="AX9" i="8"/>
  <c r="AR9" i="8"/>
  <c r="AL9" i="8"/>
  <c r="AF9" i="8"/>
  <c r="Z9" i="8"/>
  <c r="T9" i="8"/>
  <c r="N9" i="8"/>
  <c r="AX8" i="8"/>
  <c r="AR8" i="8"/>
  <c r="AL8" i="8"/>
  <c r="AF8" i="8"/>
  <c r="Z8" i="8"/>
  <c r="T8" i="8"/>
  <c r="N8" i="8"/>
  <c r="AX7" i="8"/>
  <c r="AR7" i="8"/>
  <c r="AL7" i="8"/>
  <c r="AF7" i="8"/>
  <c r="Z7" i="8"/>
  <c r="T7" i="8"/>
  <c r="N7" i="8"/>
  <c r="AX6" i="8"/>
  <c r="AR6" i="8"/>
  <c r="AL6" i="8"/>
  <c r="AF6" i="8"/>
  <c r="Z6" i="8"/>
  <c r="T6" i="8"/>
  <c r="N6" i="8"/>
  <c r="AX5" i="8"/>
  <c r="AR5" i="8"/>
  <c r="AL5" i="8"/>
  <c r="AF5" i="8"/>
  <c r="Z5" i="8"/>
  <c r="T5" i="8"/>
  <c r="N5" i="8"/>
  <c r="AX4" i="8"/>
  <c r="AR4" i="8"/>
  <c r="AL4" i="8"/>
  <c r="AF4" i="8"/>
  <c r="Z4" i="8"/>
  <c r="T4" i="8"/>
  <c r="N4" i="8"/>
  <c r="AX3" i="8"/>
  <c r="AR3" i="8"/>
  <c r="AL3" i="8"/>
  <c r="AF3" i="8"/>
  <c r="Z3" i="8"/>
  <c r="T3" i="8"/>
  <c r="N3" i="8"/>
  <c r="AX2" i="8"/>
  <c r="AR2" i="8"/>
  <c r="AL2" i="8"/>
  <c r="AF2" i="8"/>
  <c r="Z2" i="8"/>
  <c r="T2" i="8"/>
  <c r="N2" i="8"/>
  <c r="AX17" i="7"/>
  <c r="AR17" i="7"/>
  <c r="AL17" i="7"/>
  <c r="AF17" i="7"/>
  <c r="Z17" i="7"/>
  <c r="T17" i="7"/>
  <c r="N17" i="7"/>
  <c r="H17" i="7"/>
  <c r="AX16" i="7"/>
  <c r="AR16" i="7"/>
  <c r="AL16" i="7"/>
  <c r="AF16" i="7"/>
  <c r="Z16" i="7"/>
  <c r="T16" i="7"/>
  <c r="N16" i="7"/>
  <c r="H16" i="7"/>
  <c r="AX15" i="7"/>
  <c r="AR15" i="7"/>
  <c r="AL15" i="7"/>
  <c r="AF15" i="7"/>
  <c r="Z15" i="7"/>
  <c r="T15" i="7"/>
  <c r="N15" i="7"/>
  <c r="H15" i="7"/>
  <c r="AX14" i="7"/>
  <c r="AR14" i="7"/>
  <c r="AL14" i="7"/>
  <c r="AF14" i="7"/>
  <c r="Z14" i="7"/>
  <c r="T14" i="7"/>
  <c r="N14" i="7"/>
  <c r="H14" i="7"/>
  <c r="AX13" i="7"/>
  <c r="AR13" i="7"/>
  <c r="AL13" i="7"/>
  <c r="AF13" i="7"/>
  <c r="Z13" i="7"/>
  <c r="T13" i="7"/>
  <c r="N13" i="7"/>
  <c r="H13" i="7"/>
  <c r="AX12" i="7"/>
  <c r="AR12" i="7"/>
  <c r="AL12" i="7"/>
  <c r="AF12" i="7"/>
  <c r="Z12" i="7"/>
  <c r="T12" i="7"/>
  <c r="N12" i="7"/>
  <c r="H12" i="7"/>
  <c r="AX11" i="7"/>
  <c r="AR11" i="7"/>
  <c r="AL11" i="7"/>
  <c r="AF11" i="7"/>
  <c r="Z11" i="7"/>
  <c r="T11" i="7"/>
  <c r="N11" i="7"/>
  <c r="H11" i="7"/>
  <c r="AX10" i="7"/>
  <c r="AR10" i="7"/>
  <c r="AL10" i="7"/>
  <c r="AF10" i="7"/>
  <c r="Z10" i="7"/>
  <c r="T10" i="7"/>
  <c r="N10" i="7"/>
  <c r="H10" i="7"/>
  <c r="AX9" i="7"/>
  <c r="AR9" i="7"/>
  <c r="AL9" i="7"/>
  <c r="AF9" i="7"/>
  <c r="Z9" i="7"/>
  <c r="T9" i="7"/>
  <c r="N9" i="7"/>
  <c r="H9" i="7"/>
  <c r="AX8" i="7"/>
  <c r="AR8" i="7"/>
  <c r="AL8" i="7"/>
  <c r="AF8" i="7"/>
  <c r="Z8" i="7"/>
  <c r="T8" i="7"/>
  <c r="N8" i="7"/>
  <c r="H8" i="7"/>
  <c r="AX7" i="7"/>
  <c r="AR7" i="7"/>
  <c r="AL7" i="7"/>
  <c r="AF7" i="7"/>
  <c r="Z7" i="7"/>
  <c r="T7" i="7"/>
  <c r="N7" i="7"/>
  <c r="H7" i="7"/>
  <c r="AX6" i="7"/>
  <c r="AR6" i="7"/>
  <c r="AL6" i="7"/>
  <c r="AF6" i="7"/>
  <c r="Z6" i="7"/>
  <c r="T6" i="7"/>
  <c r="N6" i="7"/>
  <c r="H6" i="7"/>
  <c r="AX5" i="7"/>
  <c r="AR5" i="7"/>
  <c r="AL5" i="7"/>
  <c r="AF5" i="7"/>
  <c r="Z5" i="7"/>
  <c r="T5" i="7"/>
  <c r="N5" i="7"/>
  <c r="H5" i="7"/>
  <c r="AX4" i="7"/>
  <c r="AR4" i="7"/>
  <c r="AL4" i="7"/>
  <c r="AF4" i="7"/>
  <c r="Z4" i="7"/>
  <c r="T4" i="7"/>
  <c r="N4" i="7"/>
  <c r="H4" i="7"/>
  <c r="AX3" i="7"/>
  <c r="AR3" i="7"/>
  <c r="AL3" i="7"/>
  <c r="AF3" i="7"/>
  <c r="Z3" i="7"/>
  <c r="T3" i="7"/>
  <c r="N3" i="7"/>
  <c r="H3" i="7"/>
  <c r="AX2" i="7"/>
  <c r="AR2" i="7"/>
  <c r="AL2" i="7"/>
  <c r="AF2" i="7"/>
  <c r="Z2" i="7"/>
  <c r="T2" i="7"/>
  <c r="N2" i="7"/>
  <c r="H2" i="7"/>
  <c r="AX17" i="6"/>
  <c r="AR17" i="6"/>
  <c r="AL17" i="6"/>
  <c r="AF17" i="6"/>
  <c r="Z17" i="6"/>
  <c r="T17" i="6"/>
  <c r="N17" i="6"/>
  <c r="H17" i="6"/>
  <c r="AX16" i="6"/>
  <c r="AR16" i="6"/>
  <c r="AL16" i="6"/>
  <c r="AF16" i="6"/>
  <c r="Z16" i="6"/>
  <c r="T16" i="6"/>
  <c r="N16" i="6"/>
  <c r="H16" i="6"/>
  <c r="AX15" i="6"/>
  <c r="AR15" i="6"/>
  <c r="AL15" i="6"/>
  <c r="AF15" i="6"/>
  <c r="Z15" i="6"/>
  <c r="T15" i="6"/>
  <c r="N15" i="6"/>
  <c r="H15" i="6"/>
  <c r="AX14" i="6"/>
  <c r="AR14" i="6"/>
  <c r="AL14" i="6"/>
  <c r="AF14" i="6"/>
  <c r="Z14" i="6"/>
  <c r="T14" i="6"/>
  <c r="N14" i="6"/>
  <c r="H14" i="6"/>
  <c r="AX13" i="6"/>
  <c r="AR13" i="6"/>
  <c r="AL13" i="6"/>
  <c r="AF13" i="6"/>
  <c r="Z13" i="6"/>
  <c r="T13" i="6"/>
  <c r="N13" i="6"/>
  <c r="H13" i="6"/>
  <c r="AX12" i="6"/>
  <c r="AR12" i="6"/>
  <c r="AL12" i="6"/>
  <c r="AF12" i="6"/>
  <c r="Z12" i="6"/>
  <c r="T12" i="6"/>
  <c r="N12" i="6"/>
  <c r="H12" i="6"/>
  <c r="AX11" i="6"/>
  <c r="AR11" i="6"/>
  <c r="AL11" i="6"/>
  <c r="AF11" i="6"/>
  <c r="Z11" i="6"/>
  <c r="T11" i="6"/>
  <c r="N11" i="6"/>
  <c r="H11" i="6"/>
  <c r="AX10" i="6"/>
  <c r="AR10" i="6"/>
  <c r="AL10" i="6"/>
  <c r="AF10" i="6"/>
  <c r="Z10" i="6"/>
  <c r="T10" i="6"/>
  <c r="N10" i="6"/>
  <c r="H10" i="6"/>
  <c r="AX9" i="6"/>
  <c r="AR9" i="6"/>
  <c r="AL9" i="6"/>
  <c r="AF9" i="6"/>
  <c r="Z9" i="6"/>
  <c r="T9" i="6"/>
  <c r="N9" i="6"/>
  <c r="H9" i="6"/>
  <c r="AX8" i="6"/>
  <c r="AR8" i="6"/>
  <c r="AL8" i="6"/>
  <c r="AF8" i="6"/>
  <c r="Z8" i="6"/>
  <c r="T8" i="6"/>
  <c r="N8" i="6"/>
  <c r="H8" i="6"/>
  <c r="AX7" i="6"/>
  <c r="AR7" i="6"/>
  <c r="AL7" i="6"/>
  <c r="AF7" i="6"/>
  <c r="Z7" i="6"/>
  <c r="T7" i="6"/>
  <c r="N7" i="6"/>
  <c r="H7" i="6"/>
  <c r="AX6" i="6"/>
  <c r="AR6" i="6"/>
  <c r="AL6" i="6"/>
  <c r="AF6" i="6"/>
  <c r="Z6" i="6"/>
  <c r="T6" i="6"/>
  <c r="N6" i="6"/>
  <c r="H6" i="6"/>
  <c r="AX5" i="6"/>
  <c r="AR5" i="6"/>
  <c r="AL5" i="6"/>
  <c r="AF5" i="6"/>
  <c r="Z5" i="6"/>
  <c r="T5" i="6"/>
  <c r="N5" i="6"/>
  <c r="H5" i="6"/>
  <c r="AX4" i="6"/>
  <c r="AR4" i="6"/>
  <c r="AL4" i="6"/>
  <c r="AF4" i="6"/>
  <c r="Z4" i="6"/>
  <c r="T4" i="6"/>
  <c r="N4" i="6"/>
  <c r="H4" i="6"/>
  <c r="AX3" i="6"/>
  <c r="AR3" i="6"/>
  <c r="AL3" i="6"/>
  <c r="AF3" i="6"/>
  <c r="Z3" i="6"/>
  <c r="T3" i="6"/>
  <c r="N3" i="6"/>
  <c r="H3" i="6"/>
  <c r="AX2" i="6"/>
  <c r="AR2" i="6"/>
  <c r="AL2" i="6"/>
  <c r="AF2" i="6"/>
  <c r="Z2" i="6"/>
  <c r="T2" i="6"/>
  <c r="N2" i="6"/>
  <c r="H2" i="6"/>
  <c r="AX17" i="5"/>
  <c r="AR17" i="5"/>
  <c r="AL17" i="5"/>
  <c r="AF17" i="5"/>
  <c r="Z17" i="5"/>
  <c r="T17" i="5"/>
  <c r="N17" i="5"/>
  <c r="H17" i="5"/>
  <c r="AX16" i="5"/>
  <c r="AR16" i="5"/>
  <c r="AL16" i="5"/>
  <c r="AF16" i="5"/>
  <c r="Z16" i="5"/>
  <c r="T16" i="5"/>
  <c r="N16" i="5"/>
  <c r="H16" i="5"/>
  <c r="AX15" i="5"/>
  <c r="AR15" i="5"/>
  <c r="AL15" i="5"/>
  <c r="AF15" i="5"/>
  <c r="Z15" i="5"/>
  <c r="T15" i="5"/>
  <c r="N15" i="5"/>
  <c r="H15" i="5"/>
  <c r="AX14" i="5"/>
  <c r="AR14" i="5"/>
  <c r="AL14" i="5"/>
  <c r="AF14" i="5"/>
  <c r="Z14" i="5"/>
  <c r="T14" i="5"/>
  <c r="N14" i="5"/>
  <c r="H14" i="5"/>
  <c r="AX13" i="5"/>
  <c r="AR13" i="5"/>
  <c r="AL13" i="5"/>
  <c r="AF13" i="5"/>
  <c r="Z13" i="5"/>
  <c r="T13" i="5"/>
  <c r="N13" i="5"/>
  <c r="H13" i="5"/>
  <c r="AX12" i="5"/>
  <c r="AR12" i="5"/>
  <c r="AL12" i="5"/>
  <c r="AF12" i="5"/>
  <c r="Z12" i="5"/>
  <c r="T12" i="5"/>
  <c r="N12" i="5"/>
  <c r="H12" i="5"/>
  <c r="AX11" i="5"/>
  <c r="AR11" i="5"/>
  <c r="AL11" i="5"/>
  <c r="AF11" i="5"/>
  <c r="Z11" i="5"/>
  <c r="T11" i="5"/>
  <c r="N11" i="5"/>
  <c r="H11" i="5"/>
  <c r="AX10" i="5"/>
  <c r="AR10" i="5"/>
  <c r="AL10" i="5"/>
  <c r="AF10" i="5"/>
  <c r="Z10" i="5"/>
  <c r="T10" i="5"/>
  <c r="N10" i="5"/>
  <c r="H10" i="5"/>
  <c r="AX9" i="5"/>
  <c r="AR9" i="5"/>
  <c r="AL9" i="5"/>
  <c r="AF9" i="5"/>
  <c r="Z9" i="5"/>
  <c r="T9" i="5"/>
  <c r="N9" i="5"/>
  <c r="H9" i="5"/>
  <c r="AX8" i="5"/>
  <c r="AR8" i="5"/>
  <c r="AL8" i="5"/>
  <c r="AF8" i="5"/>
  <c r="Z8" i="5"/>
  <c r="T8" i="5"/>
  <c r="N8" i="5"/>
  <c r="H8" i="5"/>
  <c r="AX7" i="5"/>
  <c r="AR7" i="5"/>
  <c r="AL7" i="5"/>
  <c r="AF7" i="5"/>
  <c r="Z7" i="5"/>
  <c r="T7" i="5"/>
  <c r="N7" i="5"/>
  <c r="H7" i="5"/>
  <c r="AX6" i="5"/>
  <c r="AR6" i="5"/>
  <c r="AL6" i="5"/>
  <c r="AF6" i="5"/>
  <c r="Z6" i="5"/>
  <c r="T6" i="5"/>
  <c r="N6" i="5"/>
  <c r="H6" i="5"/>
  <c r="AX5" i="5"/>
  <c r="AR5" i="5"/>
  <c r="AL5" i="5"/>
  <c r="AF5" i="5"/>
  <c r="Z5" i="5"/>
  <c r="T5" i="5"/>
  <c r="N5" i="5"/>
  <c r="H5" i="5"/>
  <c r="AX4" i="5"/>
  <c r="AR4" i="5"/>
  <c r="AL4" i="5"/>
  <c r="AF4" i="5"/>
  <c r="Z4" i="5"/>
  <c r="T4" i="5"/>
  <c r="N4" i="5"/>
  <c r="H4" i="5"/>
  <c r="AX3" i="5"/>
  <c r="AR3" i="5"/>
  <c r="AL3" i="5"/>
  <c r="AF3" i="5"/>
  <c r="Z3" i="5"/>
  <c r="T3" i="5"/>
  <c r="N3" i="5"/>
  <c r="H3" i="5"/>
  <c r="AX2" i="5"/>
  <c r="AR2" i="5"/>
  <c r="AL2" i="5"/>
  <c r="AF2" i="5"/>
  <c r="Z2" i="5"/>
  <c r="T2" i="5"/>
  <c r="N2" i="5"/>
  <c r="H2" i="5"/>
  <c r="H2" i="4"/>
  <c r="N2" i="4"/>
  <c r="T2" i="4"/>
  <c r="Z2" i="4"/>
  <c r="AF2" i="4"/>
  <c r="AL2" i="4"/>
  <c r="AR2" i="4"/>
  <c r="AX2" i="4"/>
  <c r="H3" i="4"/>
  <c r="N3" i="4"/>
  <c r="T3" i="4"/>
  <c r="Z3" i="4"/>
  <c r="AF3" i="4"/>
  <c r="AL3" i="4"/>
  <c r="AR3" i="4"/>
  <c r="AX3" i="4"/>
  <c r="H4" i="4"/>
  <c r="N4" i="4"/>
  <c r="T4" i="4"/>
  <c r="Z4" i="4"/>
  <c r="AF4" i="4"/>
  <c r="AL4" i="4"/>
  <c r="AR4" i="4"/>
  <c r="AX4" i="4"/>
  <c r="H5" i="4"/>
  <c r="N5" i="4"/>
  <c r="T5" i="4"/>
  <c r="Z5" i="4"/>
  <c r="AF5" i="4"/>
  <c r="AL5" i="4"/>
  <c r="AR5" i="4"/>
  <c r="AX5" i="4"/>
  <c r="H6" i="4"/>
  <c r="N6" i="4"/>
  <c r="T6" i="4"/>
  <c r="Z6" i="4"/>
  <c r="AF6" i="4"/>
  <c r="AL6" i="4"/>
  <c r="AR6" i="4"/>
  <c r="AX6" i="4"/>
  <c r="H7" i="4"/>
  <c r="N7" i="4"/>
  <c r="T7" i="4"/>
  <c r="Z7" i="4"/>
  <c r="AF7" i="4"/>
  <c r="AL7" i="4"/>
  <c r="AR7" i="4"/>
  <c r="AX7" i="4"/>
  <c r="H8" i="4"/>
  <c r="N8" i="4"/>
  <c r="T8" i="4"/>
  <c r="Z8" i="4"/>
  <c r="AF8" i="4"/>
  <c r="AL8" i="4"/>
  <c r="AR8" i="4"/>
  <c r="AX8" i="4"/>
  <c r="H9" i="4"/>
  <c r="N9" i="4"/>
  <c r="T9" i="4"/>
  <c r="Z9" i="4"/>
  <c r="AF9" i="4"/>
  <c r="AL9" i="4"/>
  <c r="AR9" i="4"/>
  <c r="AX9" i="4"/>
  <c r="H10" i="4"/>
  <c r="N10" i="4"/>
  <c r="T10" i="4"/>
  <c r="Z10" i="4"/>
  <c r="AF10" i="4"/>
  <c r="AL10" i="4"/>
  <c r="AR10" i="4"/>
  <c r="AX10" i="4"/>
  <c r="H11" i="4"/>
  <c r="N11" i="4"/>
  <c r="T11" i="4"/>
  <c r="Z11" i="4"/>
  <c r="AF11" i="4"/>
  <c r="AL11" i="4"/>
  <c r="AR11" i="4"/>
  <c r="AX11" i="4"/>
  <c r="H12" i="4"/>
  <c r="N12" i="4"/>
  <c r="T12" i="4"/>
  <c r="Z12" i="4"/>
  <c r="AF12" i="4"/>
  <c r="AL12" i="4"/>
  <c r="AR12" i="4"/>
  <c r="AX12" i="4"/>
  <c r="H13" i="4"/>
  <c r="N13" i="4"/>
  <c r="T13" i="4"/>
  <c r="Z13" i="4"/>
  <c r="AF13" i="4"/>
  <c r="AL13" i="4"/>
  <c r="AR13" i="4"/>
  <c r="AX13" i="4"/>
  <c r="H14" i="4"/>
  <c r="N14" i="4"/>
  <c r="T14" i="4"/>
  <c r="Z14" i="4"/>
  <c r="AF14" i="4"/>
  <c r="AL14" i="4"/>
  <c r="AR14" i="4"/>
  <c r="AX14" i="4"/>
  <c r="H15" i="4"/>
  <c r="N15" i="4"/>
  <c r="T15" i="4"/>
  <c r="Z15" i="4"/>
  <c r="AF15" i="4"/>
  <c r="AL15" i="4"/>
  <c r="AR15" i="4"/>
  <c r="AX15" i="4"/>
  <c r="H16" i="4"/>
  <c r="N16" i="4"/>
  <c r="T16" i="4"/>
  <c r="Z16" i="4"/>
  <c r="AF16" i="4"/>
  <c r="AL16" i="4"/>
  <c r="AR16" i="4"/>
  <c r="AX16" i="4"/>
  <c r="H17" i="4"/>
  <c r="N17" i="4"/>
  <c r="T17" i="4"/>
  <c r="Z17" i="4"/>
  <c r="AF17" i="4"/>
  <c r="AL17" i="4"/>
  <c r="AR17" i="4"/>
  <c r="AX17" i="4"/>
  <c r="I14" i="3" l="1"/>
  <c r="I13" i="3"/>
  <c r="F15" i="3"/>
  <c r="H13" i="3"/>
  <c r="J14" i="3"/>
  <c r="H14" i="3"/>
  <c r="F14" i="3"/>
  <c r="D13" i="3"/>
  <c r="D14" i="3"/>
  <c r="G14" i="3"/>
  <c r="C14" i="3"/>
  <c r="G13" i="3"/>
  <c r="C13" i="3"/>
  <c r="C2" i="3"/>
  <c r="J13" i="3"/>
  <c r="F13" i="3"/>
  <c r="E14" i="3"/>
  <c r="E13" i="3"/>
  <c r="F3" i="3"/>
  <c r="F6" i="3"/>
  <c r="E17" i="3"/>
  <c r="E15" i="3"/>
  <c r="E12" i="3"/>
  <c r="E11" i="3"/>
  <c r="E10" i="3"/>
  <c r="E9" i="3"/>
  <c r="E7" i="3"/>
  <c r="E6" i="3"/>
  <c r="E4" i="3"/>
  <c r="E3" i="3"/>
  <c r="H16" i="3"/>
  <c r="H15" i="3"/>
  <c r="H11" i="3"/>
  <c r="H10" i="3"/>
  <c r="H8" i="3"/>
  <c r="H7" i="3"/>
  <c r="H6" i="3"/>
  <c r="H5" i="3"/>
  <c r="H3" i="3"/>
  <c r="H2" i="3"/>
  <c r="G17" i="3"/>
  <c r="C17" i="3"/>
  <c r="C16" i="3"/>
  <c r="C15" i="3"/>
  <c r="F11" i="3"/>
  <c r="C12" i="3"/>
  <c r="C6" i="3"/>
  <c r="C11" i="3"/>
  <c r="E5" i="3"/>
  <c r="E8" i="3"/>
  <c r="E16" i="3"/>
  <c r="E2" i="3"/>
  <c r="H4" i="3"/>
  <c r="H9" i="3"/>
  <c r="H12" i="3"/>
  <c r="H17" i="3"/>
  <c r="D17" i="3"/>
  <c r="D16" i="3"/>
  <c r="I4" i="3"/>
  <c r="I8" i="3"/>
  <c r="I16" i="3"/>
  <c r="J3" i="3"/>
  <c r="J6" i="3"/>
  <c r="J11" i="3"/>
  <c r="F16" i="3"/>
  <c r="F12" i="3"/>
  <c r="F10" i="3"/>
  <c r="F9" i="3"/>
  <c r="F8" i="3"/>
  <c r="F7" i="3"/>
  <c r="F5" i="3"/>
  <c r="F4" i="3"/>
  <c r="F2" i="3"/>
  <c r="C10" i="3"/>
  <c r="C9" i="3"/>
  <c r="C8" i="3"/>
  <c r="C7" i="3"/>
  <c r="C5" i="3"/>
  <c r="C4" i="3"/>
  <c r="J17" i="3"/>
  <c r="J16" i="3"/>
  <c r="J15" i="3"/>
  <c r="J12" i="3"/>
  <c r="J10" i="3"/>
  <c r="J9" i="3"/>
  <c r="J8" i="3"/>
  <c r="J7" i="3"/>
  <c r="J5" i="3"/>
  <c r="J4" i="3"/>
  <c r="I17" i="3"/>
  <c r="I11" i="3"/>
  <c r="I9" i="3"/>
  <c r="I7" i="3"/>
  <c r="I6" i="3"/>
  <c r="I3" i="3"/>
  <c r="I2" i="3"/>
  <c r="D12" i="3"/>
  <c r="D11" i="3"/>
  <c r="D10" i="3"/>
  <c r="D9" i="3"/>
  <c r="D8" i="3"/>
  <c r="D7" i="3"/>
  <c r="D6" i="3"/>
  <c r="D5" i="3"/>
  <c r="D4" i="3"/>
  <c r="I5" i="3"/>
  <c r="I10" i="3"/>
  <c r="I12" i="3"/>
  <c r="I15" i="3"/>
  <c r="G16" i="3"/>
  <c r="G15" i="3"/>
  <c r="G12" i="3"/>
  <c r="G11" i="3"/>
  <c r="G10" i="3"/>
  <c r="G9" i="3"/>
  <c r="G8" i="3"/>
  <c r="G7" i="3"/>
  <c r="G6" i="3"/>
  <c r="G5" i="3"/>
  <c r="G4" i="3"/>
  <c r="G3" i="3"/>
  <c r="G2" i="3"/>
  <c r="F17" i="3"/>
  <c r="C3" i="3"/>
  <c r="J2" i="3"/>
</calcChain>
</file>

<file path=xl/sharedStrings.xml><?xml version="1.0" encoding="utf-8"?>
<sst xmlns="http://schemas.openxmlformats.org/spreadsheetml/2006/main" count="727" uniqueCount="137">
  <si>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</si>
  <si>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</si>
  <si>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</si>
  <si>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</si>
  <si>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</si>
  <si>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</si>
  <si>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</si>
  <si>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</si>
  <si>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</si>
  <si>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</si>
  <si>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</si>
  <si>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</si>
  <si>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</si>
  <si>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</si>
  <si>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</si>
  <si>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</si>
  <si>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</si>
  <si>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</si>
  <si>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</si>
  <si>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</si>
  <si>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</si>
  <si>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</si>
  <si>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</si>
  <si>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</si>
  <si>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</si>
  <si>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</si>
  <si>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</si>
  <si>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</si>
  <si>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</si>
  <si>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</si>
  <si>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</si>
  <si>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</si>
  <si>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</si>
  <si>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</si>
  <si>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</si>
  <si>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</si>
  <si>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</si>
  <si>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</si>
  <si>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CONTAGEM INDIVIDUAL (das caixas "puxadas" nas estantes como uma pré-seleção para classificação)</t>
  </si>
  <si>
    <t>Caixas substituídas(trocadas)</t>
  </si>
  <si>
    <t>Substituição de caixas degradadas por novas</t>
  </si>
  <si>
    <t>05//01 a 09/01/2026</t>
  </si>
  <si>
    <t>12//01 a 16/01/2026</t>
  </si>
  <si>
    <t>19/01 a 23/01/2026</t>
  </si>
  <si>
    <t>26/01 a 30/01/2026</t>
  </si>
  <si>
    <t xml:space="preserve">02/02 a 06/02/2026 </t>
  </si>
  <si>
    <t>09/02 a 13/02/2026</t>
  </si>
  <si>
    <t>16/02 a 20/02/2026</t>
  </si>
  <si>
    <t>23/02 a 27/02/2026</t>
  </si>
  <si>
    <t>1. Conferência 2 Guias
 de Transferência.</t>
  </si>
  <si>
    <t>1. Documento produzido:
Folha de Ponto e Termo de 
Cancelamento.</t>
  </si>
  <si>
    <t>1. Desarquivamento de 70 caixas 
do DEFNAS e Recebimento de 79.</t>
  </si>
  <si>
    <t>Conferência Guia de 
Transferência.</t>
  </si>
  <si>
    <t>TROCANDO  CAIXAS E OS ESPELHOS</t>
  </si>
  <si>
    <t>AUSENCIA JUSTIFICADA</t>
  </si>
  <si>
    <t>TROCA DE CAIXAS E ESPELHOS</t>
  </si>
  <si>
    <t>RECEBIMENTO DE 70 CAIXAS CGPCO</t>
  </si>
  <si>
    <t>CONFERÊNCIA DE 12 CAIXAS CGPCO</t>
  </si>
  <si>
    <t>MONITORAMENTO DA LIMPEZA DA SALA G15 (BL A)</t>
  </si>
  <si>
    <t>RECEBIMENTO DE PROCESSO (BL A)</t>
  </si>
  <si>
    <t>MONITORAMENTO DA LIMPEZA DA SALA G15/ G7 (BL A)</t>
  </si>
  <si>
    <r>
      <t>PESQUISA E DESARQUIVAMENTO DO PROCESSO</t>
    </r>
    <r>
      <rPr>
        <b/>
        <sz val="11"/>
        <color theme="1"/>
        <rFont val="Aptos Narrow"/>
        <family val="2"/>
      </rPr>
      <t xml:space="preserve"> 58000.002183/2009-24</t>
    </r>
    <r>
      <rPr>
        <sz val="11"/>
        <color theme="1"/>
        <rFont val="Aptos Narrow"/>
        <family val="2"/>
      </rPr>
      <t xml:space="preserve"> NO BLOCO 'A'</t>
    </r>
  </si>
  <si>
    <t>TROCA DE CAIXAS</t>
  </si>
  <si>
    <t xml:space="preserve">ARQUIVAMENTO DE 70 CAIXAS  </t>
  </si>
  <si>
    <t>FAZENDO PESQUISA DE PROCESSOS</t>
  </si>
  <si>
    <t>OLHANDO OS PEDIDOS DE PROCESSO NO SEI</t>
  </si>
  <si>
    <t>1. Alimentação planilha Guias
 de Transferência.</t>
  </si>
  <si>
    <t>1. Conferência 
10 caixas 
DEFNAS.
2. Pesquisa de processos - solictação do 
e-mail da CONJUR:
44000.001801/2007-42
44006.002300/2001-38
44006.0047/2000-21</t>
  </si>
  <si>
    <t xml:space="preserve"> 1. Pesquisa e busca processo
58000.002183/2009-24</t>
  </si>
  <si>
    <t>1. Arquivamento e movimentação 
70 caixas da DEFNAS.</t>
  </si>
  <si>
    <t>1. Orientação a CGP/MESP
para Arquivamento, via telefone.</t>
  </si>
  <si>
    <t>Transcrição dos processos SEI (Diarq) para Excel</t>
  </si>
  <si>
    <t>FAZENDO ESPELHOS</t>
  </si>
  <si>
    <t>Troca de caixa e espelho.
Total 10 caixas.</t>
  </si>
  <si>
    <t>RECEBIMENTO DE 70 CAIXAS DA CGPC</t>
  </si>
  <si>
    <t>ENVIANDO 70 CAIXAS PARA O MONTES</t>
  </si>
  <si>
    <t>ENVIANDO 104 PROCESSOS PARA BLOCO A</t>
  </si>
  <si>
    <t>Alimentação de planilha de controle de atividades (Gustavo)</t>
  </si>
  <si>
    <t>CONFERÊNCIA DE CAIXAS DFSNAS</t>
  </si>
  <si>
    <r>
      <t xml:space="preserve">Alimentação de planilha de controle de atividades (Gustavo)
*******
</t>
    </r>
    <r>
      <rPr>
        <b/>
        <sz val="11"/>
        <color rgb="FFFF0000"/>
        <rFont val="Aptos Narrow"/>
        <family val="2"/>
        <scheme val="minor"/>
      </rPr>
      <t>Consulta/exame (atestado vespertino)</t>
    </r>
    <r>
      <rPr>
        <b/>
        <sz val="11"/>
        <color theme="1"/>
        <rFont val="Aptos Narrow"/>
        <family val="2"/>
        <scheme val="minor"/>
      </rPr>
      <t xml:space="preserve">
</t>
    </r>
  </si>
  <si>
    <t xml:space="preserve">ARQUIVANDO PROCESSO DE 104 VOLUMES NO BLOCO A </t>
  </si>
  <si>
    <t xml:space="preserve">1 - RECEBIMENTO DE 70 CAIXAS DA CGPC              
2 - ENVIANDO 70 CAIXAS PARA O MONTES
</t>
  </si>
  <si>
    <t>CONFERENCIA DE 10 CAIXAS DA CGPC</t>
  </si>
  <si>
    <t>Conferência de Caixas DEFNAS/DAP</t>
  </si>
  <si>
    <t xml:space="preserve">Vistórias das salas G15/G7/G17 BLOCO A. Pesquisando desarquivamento </t>
  </si>
  <si>
    <t>Informações prestadas dos dislizantes bloco A. Recebimento de 104 volumes no BLOCO A</t>
  </si>
  <si>
    <t>Caixas separadas, referente aos 104 volumes</t>
  </si>
  <si>
    <t xml:space="preserve">Caixas separadas, referente aos 104 volumes.Entrega de 07 volumes na dipro para digitalizar  </t>
  </si>
  <si>
    <t>Preparação do envio das 70 caixas
para o DEFNAS.</t>
  </si>
  <si>
    <t xml:space="preserve"> 1. Desarquivamento
70 caixas do DEFNAS.
2. Recebimento:
70 caixas do DEFNAS.</t>
  </si>
  <si>
    <t>1. Conferência 10 caixas da DEFNAS.
2. Pesquisa e busca
processo 58000.003896/2007-43.</t>
  </si>
  <si>
    <t>1. Conferência 5 caixas da DEFNAS.</t>
  </si>
  <si>
    <t xml:space="preserve">1.  Documento produzido:
Orientação para arquivamento para o kalleber.santos da COSEG.
2. Documento produzido:
planilha CGLA 
71000.006023/2026-13.
3. Conferência 2 caixas da DEFNAS.
</t>
  </si>
  <si>
    <t>Reunião pela parte da manha</t>
  </si>
  <si>
    <t>Reunião pela parte da tarde</t>
  </si>
  <si>
    <t>1. Desarquivamento
70 caixas do DEFNAS.
2. Recebimento:
70 caixas do DEFNAS.
3. Reunião sobre reforma da nossa sala 24.32 e não ter home office, trabalhar presencial.</t>
  </si>
  <si>
    <t>Pesquisa e busca por 
pasta funcional
Albano Soares Martins Junior</t>
  </si>
  <si>
    <t>1. Guarda das 70 caixas do DEFNAS.
2. Reunião: Apresentação do novo chefe  (Leonardo) do Arquivo.</t>
  </si>
  <si>
    <t>CARREGANDO 70 CAIXAS  PARA CGPC</t>
  </si>
  <si>
    <t>DESCARREGANDO 70 CAIXAS  DA CGPC</t>
  </si>
  <si>
    <t xml:space="preserve">TROCANDO ESPELHO DE CAIXAS </t>
  </si>
  <si>
    <t>FAZENDO  ESPELHOS NOVOS DAS CAIXAS DA CGPC</t>
  </si>
  <si>
    <t>Recebimento de 70 caixas DEFNAS/DAP</t>
  </si>
  <si>
    <t>entrega da
pasta funcional
Albano Soares Martins Junior</t>
  </si>
  <si>
    <t>arquivamento de pasta funcionais</t>
  </si>
  <si>
    <r>
      <t xml:space="preserve">Preenchimento do Sistema </t>
    </r>
    <r>
      <rPr>
        <b/>
        <sz val="11"/>
        <color rgb="FFFF0000"/>
        <rFont val="Aptos Narrow"/>
        <family val="2"/>
        <scheme val="minor"/>
      </rPr>
      <t>Gestão CGLA</t>
    </r>
  </si>
  <si>
    <r>
      <t xml:space="preserve">Acompanhamento  do Sistema </t>
    </r>
    <r>
      <rPr>
        <b/>
        <sz val="11"/>
        <color rgb="FFFF0000"/>
        <rFont val="Aptos Narrow"/>
        <family val="2"/>
        <scheme val="minor"/>
      </rPr>
      <t>Gestão CGLA</t>
    </r>
  </si>
  <si>
    <t>RECESSO</t>
  </si>
  <si>
    <t>CARNAVAL</t>
  </si>
  <si>
    <r>
      <t xml:space="preserve">Atualização de planilha de </t>
    </r>
    <r>
      <rPr>
        <b/>
        <sz val="11"/>
        <color rgb="FFFF0000"/>
        <rFont val="Aptos Narrow"/>
        <family val="2"/>
        <scheme val="minor"/>
      </rPr>
      <t xml:space="preserve">Demandas </t>
    </r>
    <r>
      <rPr>
        <b/>
        <sz val="11"/>
        <rFont val="Aptos Narrow"/>
        <family val="2"/>
        <scheme val="minor"/>
      </rPr>
      <t>2024/2025/</t>
    </r>
    <r>
      <rPr>
        <b/>
        <sz val="14"/>
        <color rgb="FFFF0000"/>
        <rFont val="Aptos Narrow"/>
        <family val="2"/>
        <scheme val="minor"/>
      </rPr>
      <t>2026</t>
    </r>
  </si>
  <si>
    <t xml:space="preserve"> 1. Pesquisa e busca por 
pasta funcional
Albano Soares Martins  Junior.
2. Desarquivamento processo de nomeação de Albano Soares Martins Junior.</t>
  </si>
  <si>
    <t xml:space="preserve">Arquivamento de Pastas Funcionais e documentos de 
Dyleny Teixeira Alves da Silva.
 </t>
  </si>
  <si>
    <t xml:space="preserve">Arquivamento de Pasta funcionais 
e 1 processo de 
Mariana Aparecida Lima Neves
e
Marcos Roberto dos Santos Barbosa.
</t>
  </si>
  <si>
    <t>Ponto Facultativo
Carnaval</t>
  </si>
  <si>
    <t>Feriado de Carnaval</t>
  </si>
  <si>
    <t xml:space="preserve">trocando caixas </t>
  </si>
  <si>
    <t>trocando caixas</t>
  </si>
  <si>
    <t xml:space="preserve">recebendo pedido de processos </t>
  </si>
  <si>
    <t>1.arquivamento de pasta funcionais.           2.TROCANDO  CAIXAS E OS ESPELHOS</t>
  </si>
  <si>
    <t xml:space="preserve"> 1. Pesquisa e busca
processo 71001.057163/2008-68</t>
  </si>
  <si>
    <t>1. Desarquivamento
70 caixas do DEFNAS.
Caixas: 3251 a 3320.
2. Recebimento:
70 caixas do DEFNAS.
Caixas: 3181 a 3250.</t>
  </si>
  <si>
    <t>Conferência 6 caixas da
 DEFNAS.</t>
  </si>
  <si>
    <t>RECEBIMENTO DE 70 CAIXAS DA CGPC E ENVIO DE 70 CAIXAS DA CGPC</t>
  </si>
  <si>
    <t>CONFERENCIA DE CAIXAS DA CGPC</t>
  </si>
  <si>
    <t>ARQUIVAMENTO DE CAIXAS CGPC</t>
  </si>
  <si>
    <t xml:space="preserve">GUARDANDO AS 70 CAIXAS </t>
  </si>
  <si>
    <t>ATESTADO</t>
  </si>
  <si>
    <t>TROCANDO CAIXAS</t>
  </si>
  <si>
    <t>1. Conferência 5 caixas
 da DEFNAS.
2. Pesquisa localização processos:
44006.004706/2000-21 - Encontrada a caixa.
44006.002300/2001-39
44000.001801/2007-42</t>
  </si>
  <si>
    <t>1. Troca de caixa e espelho.
Total 5 caixas.
2. Pesquisa localização processos:
44006.004706/2000-21 - Encontrada a caixa.
44006.002300/2001-39
44000.001801/2007-42</t>
  </si>
  <si>
    <t xml:space="preserve">Arquivamento de
 70 caixas do DEFNAS </t>
  </si>
  <si>
    <t>1. Arquivamento processoS
da SESAN.
2. Pesquisa localização de 14 processos vindo da DIPRO mais 1 CD.
Os processos são cópias, ver se existe o original.</t>
  </si>
  <si>
    <t>1. Pesquisa localização processos:
44006.004706/2000-21 - Encontrada a caixa.
44006.002300/2001-39
44000.001801/2007-42
2. Pesquisa localização de 14 processos vindo da DIPRO mais 1 CD.
Os processos são cópias, ver se existe o original.</t>
  </si>
  <si>
    <t xml:space="preserve">1. Conferência 5 caixas
 da DEFNAS.
</t>
  </si>
  <si>
    <t xml:space="preserve">1. Troca de caixa e espelho.
Total 5 caixas.
</t>
  </si>
  <si>
    <t xml:space="preserve">1. Troa de caixas e espelhos    2.ARQUIVAMENTO DE PROCESSO BLOCO A 7 VOLUMES.RECEBIMENTO DE 01 PASTA FUNCIONAL BL A </t>
  </si>
  <si>
    <t xml:space="preserve">Troca de caixas e espelho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</si>
</sst>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DDDDDD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2" fillId="8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6" fontId="0" fillId="0" borderId="12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1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11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480" Type="http://schemas.openxmlformats.org/officeDocument/2006/relationships/revisionLog" Target="revisionLog24.xml"/><Relationship Id="rId485" Type="http://schemas.openxmlformats.org/officeDocument/2006/relationships/revisionLog" Target="revisionLog29.xml"/><Relationship Id="rId515" Type="http://schemas.openxmlformats.org/officeDocument/2006/relationships/revisionLog" Target="revisionLog59.xml"/><Relationship Id="rId536" Type="http://schemas.openxmlformats.org/officeDocument/2006/relationships/revisionLog" Target="revisionLog72.xml"/><Relationship Id="rId510" Type="http://schemas.openxmlformats.org/officeDocument/2006/relationships/revisionLog" Target="revisionLog54.xml"/><Relationship Id="rId531" Type="http://schemas.openxmlformats.org/officeDocument/2006/relationships/revisionLog" Target="revisionLog67.xml"/><Relationship Id="rId552" Type="http://schemas.openxmlformats.org/officeDocument/2006/relationships/revisionLog" Target="revisionLog19.xml"/><Relationship Id="rId557" Type="http://schemas.openxmlformats.org/officeDocument/2006/relationships/revisionLog" Target="revisionLog78.xml"/><Relationship Id="rId505" Type="http://schemas.openxmlformats.org/officeDocument/2006/relationships/revisionLog" Target="revisionLog49.xml"/><Relationship Id="rId491" Type="http://schemas.openxmlformats.org/officeDocument/2006/relationships/revisionLog" Target="revisionLog35.xml"/><Relationship Id="rId496" Type="http://schemas.openxmlformats.org/officeDocument/2006/relationships/revisionLog" Target="revisionLog40.xml"/><Relationship Id="rId526" Type="http://schemas.openxmlformats.org/officeDocument/2006/relationships/revisionLog" Target="revisionLog64.xml"/><Relationship Id="rId500" Type="http://schemas.openxmlformats.org/officeDocument/2006/relationships/revisionLog" Target="revisionLog44.xml"/><Relationship Id="rId521" Type="http://schemas.openxmlformats.org/officeDocument/2006/relationships/revisionLog" Target="revisionLog61.xml"/><Relationship Id="rId542" Type="http://schemas.openxmlformats.org/officeDocument/2006/relationships/revisionLog" Target="revisionLog9.xml"/><Relationship Id="rId547" Type="http://schemas.openxmlformats.org/officeDocument/2006/relationships/revisionLog" Target="revisionLog14.xml"/><Relationship Id="rId563" Type="http://schemas.openxmlformats.org/officeDocument/2006/relationships/revisionLog" Target="revisionLog84.xml"/><Relationship Id="rId568" Type="http://schemas.openxmlformats.org/officeDocument/2006/relationships/revisionLog" Target="revisionLog89.xml"/><Relationship Id="rId516" Type="http://schemas.openxmlformats.org/officeDocument/2006/relationships/revisionLog" Target="revisionLog1.xml"/><Relationship Id="rId481" Type="http://schemas.openxmlformats.org/officeDocument/2006/relationships/revisionLog" Target="revisionLog25.xml"/><Relationship Id="rId486" Type="http://schemas.openxmlformats.org/officeDocument/2006/relationships/revisionLog" Target="revisionLog30.xml"/><Relationship Id="rId503" Type="http://schemas.openxmlformats.org/officeDocument/2006/relationships/revisionLog" Target="revisionLog47.xml"/><Relationship Id="rId511" Type="http://schemas.openxmlformats.org/officeDocument/2006/relationships/revisionLog" Target="revisionLog55.xml"/><Relationship Id="rId524" Type="http://schemas.openxmlformats.org/officeDocument/2006/relationships/revisionLog" Target="revisionLog62.xml"/><Relationship Id="rId532" Type="http://schemas.openxmlformats.org/officeDocument/2006/relationships/revisionLog" Target="revisionLog68.xml"/><Relationship Id="rId537" Type="http://schemas.openxmlformats.org/officeDocument/2006/relationships/revisionLog" Target="revisionLog73.xml"/><Relationship Id="rId540" Type="http://schemas.openxmlformats.org/officeDocument/2006/relationships/revisionLog" Target="revisionLog76.xml"/><Relationship Id="rId545" Type="http://schemas.openxmlformats.org/officeDocument/2006/relationships/revisionLog" Target="revisionLog12.xml"/><Relationship Id="rId553" Type="http://schemas.openxmlformats.org/officeDocument/2006/relationships/revisionLog" Target="revisionLog20.xml"/><Relationship Id="rId558" Type="http://schemas.openxmlformats.org/officeDocument/2006/relationships/revisionLog" Target="revisionLog79.xml"/><Relationship Id="rId566" Type="http://schemas.openxmlformats.org/officeDocument/2006/relationships/revisionLog" Target="revisionLog87.xml"/><Relationship Id="rId561" Type="http://schemas.openxmlformats.org/officeDocument/2006/relationships/revisionLog" Target="revisionLog82.xml"/><Relationship Id="rId519" Type="http://schemas.openxmlformats.org/officeDocument/2006/relationships/revisionLog" Target="revisionLog4.xml"/><Relationship Id="rId484" Type="http://schemas.openxmlformats.org/officeDocument/2006/relationships/revisionLog" Target="revisionLog28.xml"/><Relationship Id="rId506" Type="http://schemas.openxmlformats.org/officeDocument/2006/relationships/revisionLog" Target="revisionLog50.xml"/><Relationship Id="rId497" Type="http://schemas.openxmlformats.org/officeDocument/2006/relationships/revisionLog" Target="revisionLog41.xml"/><Relationship Id="rId489" Type="http://schemas.openxmlformats.org/officeDocument/2006/relationships/revisionLog" Target="revisionLog33.xml"/><Relationship Id="rId492" Type="http://schemas.openxmlformats.org/officeDocument/2006/relationships/revisionLog" Target="revisionLog36.xml"/><Relationship Id="rId501" Type="http://schemas.openxmlformats.org/officeDocument/2006/relationships/revisionLog" Target="revisionLog45.xml"/><Relationship Id="rId514" Type="http://schemas.openxmlformats.org/officeDocument/2006/relationships/revisionLog" Target="revisionLog58.xml"/><Relationship Id="rId522" Type="http://schemas.openxmlformats.org/officeDocument/2006/relationships/revisionLog" Target="revisionLog5.xml"/><Relationship Id="rId527" Type="http://schemas.openxmlformats.org/officeDocument/2006/relationships/revisionLog" Target="revisionLog7.xml"/><Relationship Id="rId530" Type="http://schemas.openxmlformats.org/officeDocument/2006/relationships/revisionLog" Target="revisionLog66.xml"/><Relationship Id="rId535" Type="http://schemas.openxmlformats.org/officeDocument/2006/relationships/revisionLog" Target="revisionLog71.xml"/><Relationship Id="rId543" Type="http://schemas.openxmlformats.org/officeDocument/2006/relationships/revisionLog" Target="revisionLog10.xml"/><Relationship Id="rId548" Type="http://schemas.openxmlformats.org/officeDocument/2006/relationships/revisionLog" Target="revisionLog15.xml"/><Relationship Id="rId556" Type="http://schemas.openxmlformats.org/officeDocument/2006/relationships/revisionLog" Target="revisionLog23.xml"/><Relationship Id="rId551" Type="http://schemas.openxmlformats.org/officeDocument/2006/relationships/revisionLog" Target="revisionLog18.xml"/><Relationship Id="rId564" Type="http://schemas.openxmlformats.org/officeDocument/2006/relationships/revisionLog" Target="revisionLog85.xml"/><Relationship Id="rId487" Type="http://schemas.openxmlformats.org/officeDocument/2006/relationships/revisionLog" Target="revisionLog31.xml"/><Relationship Id="rId509" Type="http://schemas.openxmlformats.org/officeDocument/2006/relationships/revisionLog" Target="revisionLog53.xml"/><Relationship Id="rId517" Type="http://schemas.openxmlformats.org/officeDocument/2006/relationships/revisionLog" Target="revisionLog2.xml"/><Relationship Id="rId482" Type="http://schemas.openxmlformats.org/officeDocument/2006/relationships/revisionLog" Target="revisionLog26.xml"/><Relationship Id="rId490" Type="http://schemas.openxmlformats.org/officeDocument/2006/relationships/revisionLog" Target="revisionLog34.xml"/><Relationship Id="rId495" Type="http://schemas.openxmlformats.org/officeDocument/2006/relationships/revisionLog" Target="revisionLog39.xml"/><Relationship Id="rId504" Type="http://schemas.openxmlformats.org/officeDocument/2006/relationships/revisionLog" Target="revisionLog48.xml"/><Relationship Id="rId512" Type="http://schemas.openxmlformats.org/officeDocument/2006/relationships/revisionLog" Target="revisionLog56.xml"/><Relationship Id="rId525" Type="http://schemas.openxmlformats.org/officeDocument/2006/relationships/revisionLog" Target="revisionLog63.xml"/><Relationship Id="rId533" Type="http://schemas.openxmlformats.org/officeDocument/2006/relationships/revisionLog" Target="revisionLog69.xml"/><Relationship Id="rId538" Type="http://schemas.openxmlformats.org/officeDocument/2006/relationships/revisionLog" Target="revisionLog74.xml"/><Relationship Id="rId546" Type="http://schemas.openxmlformats.org/officeDocument/2006/relationships/revisionLog" Target="revisionLog13.xml"/><Relationship Id="rId559" Type="http://schemas.openxmlformats.org/officeDocument/2006/relationships/revisionLog" Target="revisionLog80.xml"/><Relationship Id="rId567" Type="http://schemas.openxmlformats.org/officeDocument/2006/relationships/revisionLog" Target="revisionLog88.xml"/><Relationship Id="rId520" Type="http://schemas.openxmlformats.org/officeDocument/2006/relationships/revisionLog" Target="revisionLog60.xml"/><Relationship Id="rId541" Type="http://schemas.openxmlformats.org/officeDocument/2006/relationships/revisionLog" Target="revisionLog77.xml"/><Relationship Id="rId554" Type="http://schemas.openxmlformats.org/officeDocument/2006/relationships/revisionLog" Target="revisionLog21.xml"/><Relationship Id="rId562" Type="http://schemas.openxmlformats.org/officeDocument/2006/relationships/revisionLog" Target="revisionLog83.xml"/><Relationship Id="rId498" Type="http://schemas.openxmlformats.org/officeDocument/2006/relationships/revisionLog" Target="revisionLog42.xml"/><Relationship Id="rId528" Type="http://schemas.openxmlformats.org/officeDocument/2006/relationships/revisionLog" Target="revisionLog8.xml"/><Relationship Id="rId493" Type="http://schemas.openxmlformats.org/officeDocument/2006/relationships/revisionLog" Target="revisionLog37.xml"/><Relationship Id="rId502" Type="http://schemas.openxmlformats.org/officeDocument/2006/relationships/revisionLog" Target="revisionLog46.xml"/><Relationship Id="rId507" Type="http://schemas.openxmlformats.org/officeDocument/2006/relationships/revisionLog" Target="revisionLog51.xml"/><Relationship Id="rId523" Type="http://schemas.openxmlformats.org/officeDocument/2006/relationships/revisionLog" Target="revisionLog6.xml"/><Relationship Id="rId549" Type="http://schemas.openxmlformats.org/officeDocument/2006/relationships/revisionLog" Target="revisionLog16.xml"/><Relationship Id="rId544" Type="http://schemas.openxmlformats.org/officeDocument/2006/relationships/revisionLog" Target="revisionLog11.xml"/><Relationship Id="rId560" Type="http://schemas.openxmlformats.org/officeDocument/2006/relationships/revisionLog" Target="revisionLog81.xml"/><Relationship Id="rId565" Type="http://schemas.openxmlformats.org/officeDocument/2006/relationships/revisionLog" Target="revisionLog86.xml"/><Relationship Id="rId539" Type="http://schemas.openxmlformats.org/officeDocument/2006/relationships/revisionLog" Target="revisionLog75.xml"/><Relationship Id="rId488" Type="http://schemas.openxmlformats.org/officeDocument/2006/relationships/revisionLog" Target="revisionLog32.xml"/><Relationship Id="rId518" Type="http://schemas.openxmlformats.org/officeDocument/2006/relationships/revisionLog" Target="revisionLog3.xml"/><Relationship Id="rId483" Type="http://schemas.openxmlformats.org/officeDocument/2006/relationships/revisionLog" Target="revisionLog27.xml"/><Relationship Id="rId513" Type="http://schemas.openxmlformats.org/officeDocument/2006/relationships/revisionLog" Target="revisionLog57.xml"/><Relationship Id="rId534" Type="http://schemas.openxmlformats.org/officeDocument/2006/relationships/revisionLog" Target="revisionLog70.xml"/><Relationship Id="rId550" Type="http://schemas.openxmlformats.org/officeDocument/2006/relationships/revisionLog" Target="revisionLog17.xml"/><Relationship Id="rId555" Type="http://schemas.openxmlformats.org/officeDocument/2006/relationships/revisionLog" Target="revisionLog22.xml"/><Relationship Id="rId529" Type="http://schemas.openxmlformats.org/officeDocument/2006/relationships/revisionLog" Target="revisionLog65.xml"/><Relationship Id="rId499" Type="http://schemas.openxmlformats.org/officeDocument/2006/relationships/revisionLog" Target="revisionLog43.xml"/><Relationship Id="rId508" Type="http://schemas.openxmlformats.org/officeDocument/2006/relationships/revisionLog" Target="revisionLog52.xml"/><Relationship Id="rId494" Type="http://schemas.openxmlformats.org/officeDocument/2006/relationships/revisionLog" Target="revisionLog3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3264B41-05C7-462C-9AD6-E69C4819D3BF}" diskRevisions="1" revisionId="15212" version="114">
  <header guid="{9AE2EB49-692E-47C8-A9D6-916BA30AE000}" dateTime="2026-01-16T10:59:12" maxSheetId="13" userName="Diego Santos de Abreu" r:id="rId480" minRId="13116" maxRId="1314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7BDC730-D651-4FE7-90C8-916DC53D1C9D}" dateTime="2026-01-16T11:13:24" maxSheetId="13" userName="Aelton de Jesus Nunes" r:id="rId481" minRId="13151" maxRId="131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30A688A-B740-4462-96ED-BA5C48DAFB6B}" dateTime="2026-01-16T17:25:14" maxSheetId="13" userName="Alessandro Borges de Araújo" r:id="rId482" minRId="13176" maxRId="1318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23F8BE1-8C34-4A7A-BD5F-85538F8DC44B}" dateTime="2026-01-19T09:12:01" maxSheetId="13" userName="Aelton de Jesus Nunes" r:id="rId48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30E1615-B934-41D2-9203-F709320333F4}" dateTime="2026-01-19T10:55:29" maxSheetId="13" userName="Marcos Neves de Almeida" r:id="rId484" minRId="13206" maxRId="1325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705E138-4375-4EB0-A235-60F1C8F6BECE}" dateTime="2026-01-19T15:06:55" maxSheetId="13" userName="Diego Santos de Abreu" r:id="rId485" minRId="13262" maxRId="1326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DBF43A5-BB68-4FB0-A8C5-BBC2EC58EAD4}" dateTime="2026-01-19T15:07:21" maxSheetId="13" userName="Diego Santos de Abreu" r:id="rId486" minRId="132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87F2EE7-E0FC-44EF-8AEF-1BF0B4DEF5C4}" dateTime="2026-01-19T15:09:14" maxSheetId="13" userName="Leonam Morrison Monteiro de Oliveira" r:id="rId487" minRId="13279" maxRId="1328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782AD4D-78E5-4DDD-B4E4-05F7731B9538}" dateTime="2026-01-19T17:02:53" maxSheetId="13" userName="Alessandro Borges de Araújo" r:id="rId488" minRId="13299" maxRId="133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25BE4FC-6E72-491B-8454-6098B55CBEC8}" dateTime="2026-01-20T14:48:13" maxSheetId="13" userName="Diego Santos de Abreu" r:id="rId489" minRId="13338" maxRId="133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EBF2DA4-94FB-47DE-9C10-207D911F965F}" dateTime="2026-01-21T10:24:45" maxSheetId="13" userName="Diego Santos de Abreu" r:id="rId490" minRId="13352" maxRId="133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A68A52F-C893-4868-B2BB-459348C9DEE4}" dateTime="2026-01-22T11:01:49" maxSheetId="13" userName="Alessandro Borges de Araújo" r:id="rId491" minRId="13366" maxRId="1336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53AA14-22EA-43BE-9C33-1D6FAA8607EA}" dateTime="2026-01-22T11:26:22" maxSheetId="13" userName="Alessandro Borges de Araújo" r:id="rId492" minRId="13379" maxRId="133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62DCBF-C22F-43DA-AFB1-883D99CEDE2F}" dateTime="2026-01-22T11:28:50" maxSheetId="13" userName="Alessandro Borges de Araújo" r:id="rId493" minRId="13395" maxRId="133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95D5DD-B306-42F7-95F7-D0CCFF2B9A6D}" dateTime="2026-01-22T11:38:56" maxSheetId="13" userName="Alessandro Borges de Araújo" r:id="rId4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91199A-E7E3-4188-8E99-844209CAB75D}" dateTime="2026-01-23T10:03:32" maxSheetId="13" userName="Leonam Morrison Monteiro de Oliveira" r:id="rId495" minRId="13408" maxRId="1341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8A95552-6D1F-428D-B197-E28B8FAAFDBB}" dateTime="2026-01-23T16:08:55" maxSheetId="13" userName="Alessandro Borges de Araújo" r:id="rId496" minRId="13426" maxRId="134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D732A5C-B99A-4151-8F74-682A2CE09798}" dateTime="2026-01-26T10:16:01" maxSheetId="13" userName="Alessandro Borges de Araújo" r:id="rId497" minRId="13438" maxRId="1364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547917B-2BA1-4803-9896-50581D6A099A}" dateTime="2026-01-26T10:48:33" maxSheetId="13" userName="Alessandro Borges de Araújo" r:id="rId498" minRId="13650" maxRId="1386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817E9A7-8F96-4CEC-A4D6-99ED6EEC46C4}" dateTime="2026-01-26T14:38:57" maxSheetId="13" userName="Danilo Rafael Basilio da Silva" r:id="rId499" minRId="13871" maxRId="1388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D4A12B3-C449-4755-8281-F2306E519821}" dateTime="2026-01-26T14:57:17" maxSheetId="13" userName="Diego Santos de Abreu" r:id="rId500" minRId="13881" maxRId="138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CDF7CD6-5CAD-4384-83FD-FA1BF9215C3B}" dateTime="2026-01-26T16:22:16" maxSheetId="13" userName="Aelton de Jesus Nunes" r:id="rId501" minRId="13903" maxRId="139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43291CE-85FE-4B97-879E-C9BC4EC2A874}" dateTime="2026-01-26T17:20:33" maxSheetId="13" userName="Alessandro Borges de Araújo" r:id="rId50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53EFF6E-640A-43DC-94E2-BBCC91360A05}" dateTime="2026-01-27T10:53:27" maxSheetId="13" userName="Diego Santos de Abreu" r:id="rId503" minRId="13935" maxRId="1393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BAB24F0-5E88-42E3-8B89-6986D306458E}" dateTime="2026-01-27T10:54:05" maxSheetId="13" userName="Marcos Neves de Almeida" r:id="rId504" minRId="13949" maxRId="1397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B75BF78-5A18-4C79-9375-DE4F88F9EBE2}" dateTime="2026-01-27T10:55:59" maxSheetId="13" userName="Marcos Neves de Almeida" r:id="rId50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5786CE6-7ABD-47D9-9A50-1BB2D8F1A7DF}" dateTime="2026-01-27T16:22:15" maxSheetId="13" userName="Aelton de Jesus Nunes" r:id="rId506" minRId="13991" maxRId="1400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FBA3761-B365-4512-A135-04C06398D9C6}" dateTime="2026-01-27T16:24:05" maxSheetId="13" userName="Aelton de Jesus Nunes" r:id="rId507" minRId="14013" maxRId="1430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EF658A8-EE9E-421B-8BE2-BDD901B8FFD0}" dateTime="2026-01-27T17:23:47" maxSheetId="13" userName="Alessandro Borges de Araújo" r:id="rId508" minRId="14315" maxRId="1431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4948B1C-2176-4C4C-81D5-3AFE2F90D6FB}" dateTime="2026-01-28T09:58:39" maxSheetId="13" userName="Alessandro Borges de Araújo" r:id="rId509" minRId="1431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05BF2A4-730E-4ED1-B99F-682B67B4FC8A}" dateTime="2026-01-28T10:02:14" maxSheetId="13" userName="Alessandro Borges de Araújo" r:id="rId5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2A33892-AE20-4A39-A5B1-E9E80B73690A}" dateTime="2026-01-29T07:29:46" maxSheetId="13" userName="Marcos Neves de Almeida" r:id="rId511" minRId="14328" maxRId="143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83D5CC-49F9-4C95-A98D-F21D754C2EC7}" dateTime="2026-01-29T11:58:23" maxSheetId="13" userName="Alessandro Borges de Araújo" r:id="rId512" minRId="143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63E401-FD42-406E-8691-BBF50532FB73}" dateTime="2026-01-29T17:19:57" maxSheetId="13" userName="Leonam Morrison Monteiro de Oliveira" r:id="rId513" minRId="14355" maxRId="1435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0A534B5-2E9C-4A91-B6CF-5582FDEEE300}" dateTime="2026-01-30T08:21:47" maxSheetId="13" userName="Leonam Morrison Monteiro de Oliveira" r:id="rId514" minRId="14370" maxRId="1437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60EFAE2-72A1-4A81-9DD0-4CD0B3FD5832}" dateTime="2026-01-30T08:24:35" maxSheetId="13" userName="Leonam Morrison Monteiro de Oliveira" r:id="rId515" minRId="14383" maxRId="1438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0D7B416-599F-4007-8486-18C1A807D875}" dateTime="2026-01-30T14:24:48" maxSheetId="13" userName="Diego Santos de Abreu" r:id="rId516" minRId="14396" maxRId="1440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4E12728-4B66-4225-9267-5DB9BDEAF572}" dateTime="2026-01-30T14:35:03" maxSheetId="13" userName="Marcos Neves de Almeida" r:id="rId517" minRId="14412" maxRId="144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56F172E-5AA0-43CF-A6B3-D76E7562AEAD}" dateTime="2026-01-30T15:05:50" maxSheetId="13" userName="Diego Santos de Abreu" r:id="rId518" minRId="1442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5914F7D-8501-4C7A-9006-56AB0327172C}" dateTime="2026-01-30T16:39:45" maxSheetId="13" userName="Alessandro Borges de Araújo" r:id="rId519" minRId="14426" maxRId="1442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CA8A705-7BD3-4FEF-B270-3F0D0EF1D59A}" dateTime="2026-01-30T16:40:59" maxSheetId="13" userName="Alessandro Borges de Araújo" r:id="rId520" minRId="14440" maxRId="144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BF22FDB-A456-49C7-BD73-0F19CB7657E5}" dateTime="2026-02-02T11:02:26" maxSheetId="13" userName="Danilo Rafael Basilio da Silva" r:id="rId521" minRId="14452" maxRId="144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030F855-9594-4603-A28A-034DCF45BC5B}" dateTime="2026-02-02T11:04:46" maxSheetId="13" userName="Aelton de Jesus Nunes" r:id="rId522" minRId="14462" maxRId="144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116F2B3-A25D-49F4-8378-F0FC95A75911}" dateTime="2026-02-02T11:22:24" maxSheetId="13" userName="Alessandro Borges de Araújo" r:id="rId523" minRId="14486" maxRId="1448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39670E9-F309-492A-882F-B3FB84777532}" dateTime="2026-02-02T11:53:38" maxSheetId="13" userName="Alessandro Borges de Araújo" r:id="rId524" minRId="144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0C0BDFA-E776-4FDA-BA9C-7867733DA43A}" dateTime="2026-02-03T09:42:21" maxSheetId="13" userName="Diego Santos de Abreu" r:id="rId525" minRId="14500" maxRId="1450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1298F2F-C8CD-495A-86DA-C5CC0BC5D00D}" dateTime="2026-02-03T11:17:45" maxSheetId="13" userName="Marcos Neves de Almeida" r:id="rId526" minRId="14512" maxRId="145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4095418-0BA7-4289-8F0F-323DB4FF71DE}" dateTime="2026-02-06T14:07:57" maxSheetId="13" userName="Leonam Morrison Monteiro de Oliveira" r:id="rId5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B59C2D1-71CB-48DB-BB19-7462B30BD7CE}" dateTime="2026-02-06T14:14:41" maxSheetId="13" userName="Leonam Morrison Monteiro de Oliveira" r:id="rId528" minRId="14534" maxRId="145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0DD4FA8-E1AD-47F5-B6AB-E9073A7EEA8A}" dateTime="2026-02-06T14:24:00" maxSheetId="13" userName="Aelton de Jesus Nunes" r:id="rId529" minRId="14536" maxRId="145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038E937-A5E3-46FC-BD2E-9DD5737934F6}" dateTime="2026-02-06T14:25:20" maxSheetId="13" userName="Aelton de Jesus Nunes" r:id="rId5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5D5946B-56A2-481C-A0F5-C554704350A0}" dateTime="2026-02-06T15:02:47" maxSheetId="13" userName="Leonam Morrison Monteiro de Oliveira" r:id="rId531" minRId="14565" maxRId="1457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E052252-E76F-4DC5-98BC-A28A528D542F}" dateTime="2026-02-10T07:53:51" maxSheetId="13" userName="Diego Santos de Abreu" r:id="rId532" minRId="14573" maxRId="1458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6BB1217-7B5A-4D87-9647-81F1BC089DC4}" dateTime="2026-02-10T10:41:26" maxSheetId="13" userName="Danilo Rafael Basilio da Silva" r:id="rId533" minRId="14591" maxRId="1459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046F670-46A9-460E-AD28-825B8FCCC10E}" dateTime="2026-02-10T10:42:44" maxSheetId="13" userName="Danilo Rafael Basilio da Silva" r:id="rId534" minRId="14609" maxRId="146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AAD3FDD-DA1A-40BF-B007-8E80C15FEFDC}" dateTime="2026-02-10T11:20:35" maxSheetId="13" userName="Alessandro Borges de Araújo" r:id="rId535" minRId="14611" maxRId="146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38F4786-2A9A-4EC9-94B5-795AE2979583}" dateTime="2026-02-10T11:20:51" maxSheetId="13" userName="Alessandro Borges de Araújo" r:id="rId5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D18EDC9-2CA7-42CF-8093-538DFC695BEB}" dateTime="2026-02-10T14:10:53" maxSheetId="13" userName="Leonam Morrison Monteiro de Oliveira" r:id="rId537" minRId="14635" maxRId="146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A737BA4-F4D0-4E77-9ECC-72B137E8BDB7}" dateTime="2026-02-10T14:32:02" maxSheetId="13" userName="Leonam Morrison Monteiro de Oliveira" r:id="rId538" minRId="14648" maxRId="1465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1AB3303-CFD7-4E65-8328-96986FE2BD51}" dateTime="2026-02-10T14:50:01" maxSheetId="13" userName="Marcos Neves de Almeida" r:id="rId539" minRId="14651" maxRId="146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2D66B47-3AED-4F8C-AD65-2627512C2BA2}" dateTime="2026-02-10T15:27:03" maxSheetId="13" userName="Diego Santos de Abreu" r:id="rId540" minRId="1466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AEEBF46-47FF-44D3-891A-1CFAA775D0F5}" dateTime="2026-02-11T16:29:07" maxSheetId="13" userName="Alessandro Borges de Araújo" r:id="rId541" minRId="14680" maxRId="1468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C078610-38C2-4062-BF88-DFA854C2F8D6}" dateTime="2026-02-18T15:41:20" maxSheetId="13" userName="Alessandro Borges de Araújo" r:id="rId542" minRId="14685" maxRId="149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1E1D713-D6B6-46ED-8D54-1C58EFDB2311}" dateTime="2026-02-18T15:53:27" maxSheetId="13" userName="Alessandro Borges de Araújo" r:id="rId543" minRId="149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AA92885-ACB8-4A6C-88C2-585D6DEC60A6}" dateTime="2026-02-18T17:25:16" maxSheetId="13" userName="Aelton de Jesus Nunes" r:id="rId544" minRId="14915" maxRId="149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486C8FC-A134-4C27-A860-DD7A55BBDBC5}" dateTime="2026-02-19T10:24:21" maxSheetId="13" userName="Leonam Morrison Monteiro de Oliveira" r:id="rId545" minRId="14972" maxRId="1497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93E3E18-BF2F-4D3D-8601-86D4F082A5CE}" dateTime="2026-02-19T10:47:33" maxSheetId="13" userName="Marcos Neves de Almeida" r:id="rId54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CA9DAD1-86DD-4D09-ABE4-418B1979AC22}" dateTime="2026-02-20T08:35:17" maxSheetId="13" userName="Diego Santos de Abreu" r:id="rId547" minRId="14984" maxRId="149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0A6A50-6B4F-40EF-AADA-E37856776D10}" dateTime="2026-02-20T10:50:47" maxSheetId="13" userName="Marcos Neves de Almeida" r:id="rId548" minRId="15003" maxRId="1501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CAA8B99-D2FD-4DE5-B013-1F097E887F45}" dateTime="2026-02-20T11:43:15" maxSheetId="13" userName="Marcos Neves de Almeida" r:id="rId549" minRId="15022" maxRId="1502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417842D-4D3F-4890-A054-31FAB6B54AE3}" dateTime="2026-02-20T14:15:36" maxSheetId="13" userName="Aelton de Jesus Nunes" r:id="rId550" minRId="15029" maxRId="150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F45ED0A-FEFD-43CE-AA66-AEE159C9AA8C}" dateTime="2026-02-20T15:35:27" maxSheetId="13" userName="Alessandro Borges de Araújo" r:id="rId551" minRId="15047" maxRId="1505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0C1E4BD-13B1-474C-9C2E-DC15761E31B2}" dateTime="2026-02-23T08:58:58" maxSheetId="13" userName="Aelton de Jesus Nunes" r:id="rId55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3AA9C5-3D88-483C-9BBA-D6C6B104BC6B}" dateTime="2026-02-23T10:53:17" maxSheetId="13" userName="Alessandro Borges de Araújo" r:id="rId553" minRId="15070" maxRId="1507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B641D51-981E-4A93-B28D-C1CDE80C7060}" dateTime="2026-02-24T08:30:45" maxSheetId="13" userName="Marcos Neves de Almeida" r:id="rId554" minRId="15073" maxRId="1507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FEB23A1-F905-41E3-9867-FEA7A92E9859}" dateTime="2026-02-25T08:09:22" maxSheetId="13" userName="Diego Santos de Abreu" r:id="rId555" minRId="15088" maxRId="150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7D8BB79-15DA-4867-A9E9-625FE0466200}" dateTime="2026-02-25T09:35:54" maxSheetId="13" userName="Danilo Rafael Basilio da Silva" r:id="rId556" minRId="15103" maxRId="1511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06C2466-7918-400D-9710-303C8EBEDD1C}" dateTime="2026-02-26T07:48:06" maxSheetId="13" userName="Diego Santos de Abreu" r:id="rId5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A94C11A-553B-4156-81CC-42E00004D1B4}" dateTime="2026-02-26T07:48:38" maxSheetId="13" userName="Marcos Neves de Almeida" r:id="rId558" minRId="15133" maxRId="151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7E1FC69-68BB-43AC-B0F8-FC9D7BC6981B}" dateTime="2026-03-02T10:30:12" maxSheetId="13" userName="Alessandro Borges de Araújo" r:id="rId559" minRId="15135" maxRId="151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EA309AD-D170-41AF-905C-08162D501CF3}" dateTime="2026-03-02T10:34:15" maxSheetId="13" userName="Marcos Neves de Almeida" r:id="rId560" minRId="15150" maxRId="151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9D7D8F0-52C9-46C9-BA56-B7254F07D92E}" dateTime="2026-03-02T10:39:10" maxSheetId="13" userName="Aelton de Jesus Nunes" r:id="rId561" minRId="15166" maxRId="151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408A21F-0B30-475F-B9F0-3A767D5A0030}" dateTime="2026-03-02T10:39:33" maxSheetId="13" userName="Aelton de Jesus Nunes" r:id="rId5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98A2AD8-7FD8-4775-BE06-4DDDD0548429}" dateTime="2026-03-02T11:02:23" maxSheetId="13" userName="Aelton de Jesus Nunes" r:id="rId563" minRId="15199" maxRId="1520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8C8DDAF-6726-4DB6-99EA-5FE241FD0915}" dateTime="2026-03-02T16:01:42" maxSheetId="13" userName="Danilo Rafael Basilio da Silva" r:id="rId564" minRId="15201" maxRId="152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8ABB421-53CA-44AE-A122-1945CED2EF6C}" dateTime="2026-03-02T16:02:27" maxSheetId="13" userName="Danilo Rafael Basilio da Silva" r:id="rId565" minRId="15211" maxRId="1521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40EC4B2-1407-4C82-83D7-3C35B0526063}" dateTime="2026-03-05T15:12:12" maxSheetId="13" userName="Alessandro Borges de Araújo" r:id="rId56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C39D236-F27B-4E92-B2DE-CE58A76F18DC}" dateTime="2026-03-09T16:24:11" maxSheetId="13" userName="Alessandro Borges de Araújo" r:id="rId56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3264B41-05C7-462C-9AD6-E69C4819D3BF}" dateTime="2026-03-12T10:33:37" maxSheetId="13" userName="Alessandro Borges de Araújo" r:id="rId56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96" sId="4">
    <nc r="W19" t="inlineStr">
      <is>
        <t>CONFERENCIA DE 10 CAIXAS DA CGPC</t>
      </is>
    </nc>
  </rcc>
  <rcc rId="14397" sId="4">
    <nc r="X19" t="inlineStr">
      <is>
        <t>CONFERENCIA DE 10 CAIXAS DA CGPC</t>
      </is>
    </nc>
  </rcc>
  <rcc rId="14398" sId="4">
    <nc r="X2">
      <v>5</v>
    </nc>
  </rcc>
  <rcc rId="14399" sId="4">
    <nc r="Y13">
      <v>1</v>
    </nc>
  </rcc>
  <rcc rId="14400" sId="4">
    <nc r="Y2">
      <v>1</v>
    </nc>
  </rcc>
  <rcc rId="14401" sId="4">
    <nc r="Y3">
      <v>3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Patrícia!$A$1:$A$3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TOTAL!$A$1:$A$19</formula>
    <oldFormula>TOTAL!$A$1:$J$19</oldFormula>
  </rdn>
  <rdn rId="0" localSheetId="4" customView="1" name="Z_20CB6D8F_C24D_4D4B_A424_AF380F620455_.wvu.FilterData" hidden="1" oldHidden="1">
    <formula>Diego!$A$1:$A$20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12" sId="8" odxf="1" dxf="1">
    <nc r="X18" t="inlineStr">
      <is>
        <t>CONFERÊNCIA DE CAIXAS DFSNAS</t>
      </is>
    </nc>
    <odxf>
      <alignment wrapText="0"/>
    </odxf>
    <ndxf>
      <alignment wrapText="1"/>
    </ndxf>
  </rcc>
  <rcc rId="14413" sId="8" odxf="1" dxf="1">
    <nc r="Y18" t="inlineStr">
      <is>
        <t>TROCA DE CAIXAS</t>
      </is>
    </nc>
    <odxf>
      <alignment wrapText="0"/>
    </odxf>
    <ndxf>
      <alignment wrapText="1"/>
    </ndxf>
  </rcc>
  <rcc rId="14414" sId="8">
    <nc r="Y17">
      <v>9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Patrícia!$A$1:$A$3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Diego!$A$1:$A$19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25" sId="4">
    <nc r="Y15">
      <v>14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X18" start="0" length="0">
    <dxf>
      <alignment wrapText="1"/>
    </dxf>
  </rfmt>
  <rcc rId="14426" sId="10">
    <nc r="X17">
      <v>10</v>
    </nc>
  </rcc>
  <rcc rId="14427" sId="10">
    <nc r="Y17">
      <v>5</v>
    </nc>
  </rcc>
  <rcc rId="14428" sId="10">
    <nc r="X18" t="inlineStr">
      <is>
        <t>Conferência de Caixas</t>
      </is>
    </nc>
  </rcc>
  <rcc rId="14429" sId="10" odxf="1" dxf="1">
    <nc r="Y18" t="inlineStr">
      <is>
        <t>Conferência de Caixas</t>
      </is>
    </nc>
    <odxf>
      <alignment wrapText="0"/>
    </odxf>
    <ndxf>
      <alignment wrapText="1"/>
    </ndxf>
  </rcc>
  <rfmt sheetId="10" sqref="X18:Y18" start="0" length="2147483647">
    <dxf>
      <font>
        <b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Patrícia!$A$1:$A$3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62" sId="5">
    <nc r="U13">
      <v>2</v>
    </nc>
  </rcc>
  <rcc rId="14463" sId="5">
    <nc r="U15">
      <v>70</v>
    </nc>
  </rcc>
  <rfmt sheetId="5" sqref="U17" start="0" length="0">
    <dxf>
      <border outline="0">
        <bottom/>
      </border>
    </dxf>
  </rfmt>
  <rfmt sheetId="5" sqref="V17" start="0" length="0">
    <dxf>
      <border outline="0">
        <bottom/>
      </border>
    </dxf>
  </rfmt>
  <rfmt sheetId="5" sqref="W17" start="0" length="0">
    <dxf>
      <border outline="0">
        <bottom/>
      </border>
    </dxf>
  </rfmt>
  <rfmt sheetId="5" sqref="X17" start="0" length="0">
    <dxf>
      <border outline="0">
        <bottom/>
      </border>
    </dxf>
  </rfmt>
  <rfmt sheetId="5" sqref="Y17" start="0" length="0">
    <dxf>
      <border outline="0">
        <bottom/>
      </border>
    </dxf>
  </rfmt>
  <rcc rId="14464" sId="5" odxf="1" dxf="1">
    <nc r="U18" t="inlineStr">
      <is>
        <t>Preparação do envio das 70 caixas
para o DEFNAS.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V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W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X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Y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4465" sId="5">
    <nc r="V2">
      <v>2</v>
    </nc>
  </rcc>
  <rcc rId="14466" sId="5">
    <nc r="X13">
      <v>2</v>
    </nc>
  </rcc>
  <rcc rId="14467" sId="5">
    <nc r="Y13">
      <v>2</v>
    </nc>
  </rcc>
  <rcc rId="14468" sId="5">
    <nc r="V15">
      <v>140</v>
    </nc>
  </rcc>
  <rcc rId="14469" sId="5">
    <nc r="W16">
      <v>10</v>
    </nc>
  </rcc>
  <rcc rId="14470" sId="5">
    <nc r="X16">
      <v>5</v>
    </nc>
  </rcc>
  <rcc rId="14471" sId="5">
    <nc r="Y16">
      <v>2</v>
    </nc>
  </rcc>
  <rcc rId="14472" sId="5">
    <nc r="V18" t="inlineStr">
      <is>
        <t xml:space="preserve"> 1. Desarquivamento
70 caixas do DEFNAS.
2. Recebimento:
70 caixas do DEFNAS.</t>
      </is>
    </nc>
  </rcc>
  <rcc rId="14473" sId="5">
    <nc r="W18" t="inlineStr">
      <is>
        <t>1. Conferência 10 caixas da DEFNAS.
2. Pesquisa e busca
processo 58000.003896/2007-43.</t>
      </is>
    </nc>
  </rcc>
  <rcc rId="14474" sId="5">
    <nc r="X18" t="inlineStr">
      <is>
        <t>1. Conferência 5 caixas da DEFNAS.</t>
      </is>
    </nc>
  </rcc>
  <rcc rId="14475" sId="5">
    <nc r="Y18" t="inlineStr">
      <is>
        <t xml:space="preserve">1.  Documento produzido:
Orientação para arquivamento para o kalleber.santos da COSEG.
2. Documento produzido:
planilha CGLA 
71000.006023/2026-13.
3. Conferência 2 caixas da DEFNAS.
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Patrícia!$A$1:$A$3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Diego!$A$1:$A$19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86" sId="4">
    <nc r="W16">
      <v>10</v>
    </nc>
  </rcc>
  <rcc rId="14487" sId="4">
    <nc r="X16">
      <v>10</v>
    </nc>
  </rcc>
  <rcc rId="14488" sId="6">
    <nc r="V15">
      <v>70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Marcelo!$A$1:$A$5</formula>
    <oldFormula>Marcelo!$A$1:$A$5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34" sId="6" odxf="1" dxf="1">
    <nc r="AA18" t="inlineStr">
      <is>
        <t>Reunião pela parte da manha</t>
      </is>
    </nc>
    <odxf>
      <alignment wrapText="0" readingOrder="0"/>
    </odxf>
    <ndxf>
      <alignment wrapText="1" readingOrder="0"/>
    </ndxf>
  </rcc>
  <rcc rId="14535" sId="6" odxf="1" dxf="1">
    <nc r="AA19" t="inlineStr">
      <is>
        <t>Reunião pela parte da tarde</t>
      </is>
    </nc>
    <odxf>
      <alignment wrapText="0" readingOrder="0"/>
    </odxf>
    <ndxf>
      <alignment wrapText="1" readingOrder="0"/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5" sId="10" odxf="1" dxf="1">
    <nc r="AG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fmt sheetId="10" sqref="AH18" start="0" length="2147483647">
    <dxf>
      <font>
        <b/>
      </font>
    </dxf>
  </rfmt>
  <rfmt sheetId="10" sqref="AH18">
    <dxf>
      <alignment wrapText="1"/>
    </dxf>
  </rfmt>
  <rfmt sheetId="10" sqref="AI18" start="0" length="0">
    <dxf>
      <font>
        <b/>
        <sz val="11"/>
        <color theme="1"/>
        <name val="Aptos Narrow"/>
        <family val="2"/>
        <scheme val="minor"/>
      </font>
      <alignment wrapText="1"/>
    </dxf>
  </rfmt>
  <rfmt sheetId="10" sqref="AJ18" start="0" length="0">
    <dxf>
      <font>
        <b/>
        <sz val="11"/>
        <color theme="1"/>
        <name val="Aptos Narrow"/>
        <family val="2"/>
        <scheme val="minor"/>
      </font>
      <alignment wrapText="1"/>
    </dxf>
  </rfmt>
  <rcc rId="14686" sId="10">
    <nc r="AH18" t="inlineStr">
      <is>
        <r>
          <t xml:space="preserve">Preenchimento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nc>
  </rcc>
  <rcc rId="14687" sId="10">
    <nc r="AI18" t="inlineStr">
      <is>
        <r>
          <t xml:space="preserve">Acompanhamento 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nc>
  </rcc>
  <rcc rId="14688" sId="10">
    <nc r="AJ18" t="inlineStr">
      <is>
        <r>
          <t xml:space="preserve">Acompanhamento 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nc>
  </rcc>
  <rfmt sheetId="10" sqref="AK18" start="0" length="2147483647">
    <dxf>
      <font>
        <b/>
      </font>
    </dxf>
  </rfmt>
  <rfmt sheetId="10" sqref="AL18" start="0" length="0">
    <dxf>
      <font>
        <b/>
        <sz val="11"/>
        <color theme="1"/>
        <name val="Aptos Narrow"/>
        <family val="2"/>
        <scheme val="minor"/>
      </font>
      <alignment wrapText="1"/>
    </dxf>
  </rfmt>
  <rfmt sheetId="10" sqref="AK18" start="0" length="0">
    <dxf>
      <alignment wrapText="1"/>
    </dxf>
  </rfmt>
  <rcc rId="14689" sId="10">
    <nc r="AK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>Demandas 2024/2025/2026</t>
        </r>
      </is>
    </nc>
  </rcc>
  <rfmt sheetId="10" sqref="AM2:AM17">
    <dxf>
      <alignment wrapText="1"/>
    </dxf>
  </rfmt>
  <rfmt sheetId="10" sqref="AM17" start="0" length="0">
    <dxf>
      <border outline="0">
        <bottom/>
      </border>
    </dxf>
  </rfmt>
  <rfmt sheetId="10" sqref="AM17:AQ17" start="0" length="0">
    <dxf>
      <border>
        <bottom style="thin">
          <color indexed="64"/>
        </bottom>
      </border>
    </dxf>
  </rfmt>
  <rfmt sheetId="10" sqref="AM2:AN17" start="0" length="2147483647">
    <dxf>
      <font>
        <b/>
      </font>
    </dxf>
  </rfmt>
  <rcc rId="14690" sId="4">
    <nc r="AM2" t="inlineStr">
      <is>
        <t>RECESSO</t>
      </is>
    </nc>
  </rcc>
  <rcc rId="14691" sId="4">
    <nc r="AN2" t="inlineStr">
      <is>
        <t>CARNAVAL</t>
      </is>
    </nc>
  </rcc>
  <rcc rId="14692" sId="4">
    <nc r="AM3" t="inlineStr">
      <is>
        <t>RECESSO</t>
      </is>
    </nc>
  </rcc>
  <rcc rId="14693" sId="4">
    <nc r="AN3" t="inlineStr">
      <is>
        <t>CARNAVAL</t>
      </is>
    </nc>
  </rcc>
  <rcc rId="14694" sId="4">
    <nc r="AM4" t="inlineStr">
      <is>
        <t>RECESSO</t>
      </is>
    </nc>
  </rcc>
  <rcc rId="14695" sId="4">
    <nc r="AN4" t="inlineStr">
      <is>
        <t>CARNAVAL</t>
      </is>
    </nc>
  </rcc>
  <rcc rId="14696" sId="4">
    <nc r="AM5" t="inlineStr">
      <is>
        <t>RECESSO</t>
      </is>
    </nc>
  </rcc>
  <rcc rId="14697" sId="4">
    <nc r="AN5" t="inlineStr">
      <is>
        <t>CARNAVAL</t>
      </is>
    </nc>
  </rcc>
  <rcc rId="14698" sId="4">
    <nc r="AM6" t="inlineStr">
      <is>
        <t>RECESSO</t>
      </is>
    </nc>
  </rcc>
  <rcc rId="14699" sId="4">
    <nc r="AN6" t="inlineStr">
      <is>
        <t>CARNAVAL</t>
      </is>
    </nc>
  </rcc>
  <rcc rId="14700" sId="4">
    <nc r="AM7" t="inlineStr">
      <is>
        <t>RECESSO</t>
      </is>
    </nc>
  </rcc>
  <rcc rId="14701" sId="4">
    <nc r="AN7" t="inlineStr">
      <is>
        <t>CARNAVAL</t>
      </is>
    </nc>
  </rcc>
  <rcc rId="14702" sId="4">
    <nc r="AM8" t="inlineStr">
      <is>
        <t>RECESSO</t>
      </is>
    </nc>
  </rcc>
  <rcc rId="14703" sId="4">
    <nc r="AN8" t="inlineStr">
      <is>
        <t>CARNAVAL</t>
      </is>
    </nc>
  </rcc>
  <rcc rId="14704" sId="4">
    <nc r="AM9" t="inlineStr">
      <is>
        <t>RECESSO</t>
      </is>
    </nc>
  </rcc>
  <rcc rId="14705" sId="4">
    <nc r="AN9" t="inlineStr">
      <is>
        <t>CARNAVAL</t>
      </is>
    </nc>
  </rcc>
  <rcc rId="14706" sId="4">
    <nc r="AM10" t="inlineStr">
      <is>
        <t>RECESSO</t>
      </is>
    </nc>
  </rcc>
  <rcc rId="14707" sId="4">
    <nc r="AN10" t="inlineStr">
      <is>
        <t>CARNAVAL</t>
      </is>
    </nc>
  </rcc>
  <rcc rId="14708" sId="4">
    <nc r="AM11" t="inlineStr">
      <is>
        <t>RECESSO</t>
      </is>
    </nc>
  </rcc>
  <rcc rId="14709" sId="4">
    <nc r="AN11" t="inlineStr">
      <is>
        <t>CARNAVAL</t>
      </is>
    </nc>
  </rcc>
  <rcc rId="14710" sId="4">
    <nc r="AM12" t="inlineStr">
      <is>
        <t>RECESSO</t>
      </is>
    </nc>
  </rcc>
  <rcc rId="14711" sId="4">
    <nc r="AN12" t="inlineStr">
      <is>
        <t>CARNAVAL</t>
      </is>
    </nc>
  </rcc>
  <rcc rId="14712" sId="4">
    <nc r="AM13" t="inlineStr">
      <is>
        <t>RECESSO</t>
      </is>
    </nc>
  </rcc>
  <rcc rId="14713" sId="4">
    <nc r="AN13" t="inlineStr">
      <is>
        <t>CARNAVAL</t>
      </is>
    </nc>
  </rcc>
  <rcc rId="14714" sId="4">
    <nc r="AM14" t="inlineStr">
      <is>
        <t>RECESSO</t>
      </is>
    </nc>
  </rcc>
  <rcc rId="14715" sId="4">
    <nc r="AN14" t="inlineStr">
      <is>
        <t>CARNAVAL</t>
      </is>
    </nc>
  </rcc>
  <rcc rId="14716" sId="4">
    <nc r="AM15" t="inlineStr">
      <is>
        <t>RECESSO</t>
      </is>
    </nc>
  </rcc>
  <rcc rId="14717" sId="4">
    <nc r="AN15" t="inlineStr">
      <is>
        <t>CARNAVAL</t>
      </is>
    </nc>
  </rcc>
  <rcc rId="14718" sId="4">
    <nc r="AM16" t="inlineStr">
      <is>
        <t>RECESSO</t>
      </is>
    </nc>
  </rcc>
  <rcc rId="14719" sId="4">
    <nc r="AN16" t="inlineStr">
      <is>
        <t>CARNAVAL</t>
      </is>
    </nc>
  </rcc>
  <rcc rId="14720" sId="4">
    <nc r="AM17" t="inlineStr">
      <is>
        <t>RECESSO</t>
      </is>
    </nc>
  </rcc>
  <rcc rId="14721" sId="4">
    <nc r="AN17" t="inlineStr">
      <is>
        <t>CARNAVAL</t>
      </is>
    </nc>
  </rcc>
  <rfmt sheetId="4" sqref="AM2:AN17" start="0" length="2147483647">
    <dxf>
      <font>
        <b/>
      </font>
    </dxf>
  </rfmt>
  <rcc rId="14722" sId="5" odxf="1" dxf="1">
    <nc r="AM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3" sId="5" odxf="1" dxf="1">
    <nc r="AN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4" sId="5" odxf="1" dxf="1">
    <nc r="AM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5" sId="5" odxf="1" dxf="1">
    <nc r="AN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6" sId="5" odxf="1" dxf="1">
    <nc r="AM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7" sId="5" odxf="1" dxf="1">
    <nc r="AN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8" sId="5" odxf="1" dxf="1">
    <nc r="AM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29" sId="5" odxf="1" dxf="1">
    <nc r="AN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0" sId="5" odxf="1" dxf="1">
    <nc r="AM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1" sId="5" odxf="1" dxf="1">
    <nc r="AN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2" sId="5" odxf="1" dxf="1">
    <nc r="AM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3" sId="5" odxf="1" dxf="1">
    <nc r="AN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4" sId="5" odxf="1" dxf="1">
    <nc r="AM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5" sId="5" odxf="1" dxf="1">
    <nc r="AN8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6" sId="5" odxf="1" dxf="1">
    <nc r="AM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7" sId="5" odxf="1" dxf="1">
    <nc r="AN9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8" sId="5" odxf="1" dxf="1">
    <nc r="AM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39" sId="5" odxf="1" dxf="1">
    <nc r="AN10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0" sId="5" odxf="1" dxf="1">
    <nc r="AM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1" sId="5" odxf="1" dxf="1">
    <nc r="AN11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2" sId="5" odxf="1" dxf="1">
    <nc r="AM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3" sId="5" odxf="1" dxf="1">
    <nc r="AN1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4" sId="5" odxf="1" dxf="1">
    <nc r="AM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5" sId="5" odxf="1" dxf="1">
    <nc r="AN1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6" sId="5" odxf="1" dxf="1">
    <nc r="AM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7" sId="5" odxf="1" dxf="1">
    <nc r="AN1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8" sId="5" odxf="1" dxf="1">
    <nc r="AM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49" sId="5" odxf="1" dxf="1">
    <nc r="AN1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0" sId="5" odxf="1" dxf="1">
    <nc r="AM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1" sId="5" odxf="1" dxf="1">
    <nc r="AN1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2" sId="5" odxf="1" dxf="1">
    <nc r="AM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3" sId="5" odxf="1" dxf="1">
    <nc r="AN1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4" sId="6" odxf="1" dxf="1">
    <nc r="AM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5" sId="6" odxf="1" dxf="1">
    <nc r="AN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6" sId="6" odxf="1" dxf="1">
    <nc r="AM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7" sId="6" odxf="1" dxf="1">
    <nc r="AN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8" sId="6" odxf="1" dxf="1">
    <nc r="AM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59" sId="6" odxf="1" dxf="1">
    <nc r="AN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0" sId="6" odxf="1" dxf="1">
    <nc r="AM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1" sId="6" odxf="1" dxf="1">
    <nc r="AN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2" sId="6" odxf="1" dxf="1">
    <nc r="AM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3" sId="6" odxf="1" dxf="1">
    <nc r="AN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4" sId="6" odxf="1" dxf="1">
    <nc r="AM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5" sId="6" odxf="1" dxf="1">
    <nc r="AN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6" sId="6" odxf="1" dxf="1">
    <nc r="AM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7" sId="6" odxf="1" dxf="1">
    <nc r="AN8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8" sId="6" odxf="1" dxf="1">
    <nc r="AM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69" sId="6" odxf="1" dxf="1">
    <nc r="AN9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0" sId="6" odxf="1" dxf="1">
    <nc r="AM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1" sId="6" odxf="1" dxf="1">
    <nc r="AN10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2" sId="6" odxf="1" dxf="1">
    <nc r="AM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3" sId="6" odxf="1" dxf="1">
    <nc r="AN11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4" sId="6" odxf="1" dxf="1">
    <nc r="AM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5" sId="6" odxf="1" dxf="1">
    <nc r="AN1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6" sId="6" odxf="1" dxf="1">
    <nc r="AM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7" sId="6" odxf="1" dxf="1">
    <nc r="AN1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8" sId="6" odxf="1" dxf="1">
    <nc r="AM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79" sId="6" odxf="1" dxf="1">
    <nc r="AN1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0" sId="6" odxf="1" dxf="1">
    <nc r="AM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1" sId="6" odxf="1" dxf="1">
    <nc r="AN1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2" sId="6" odxf="1" dxf="1">
    <nc r="AM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3" sId="6" odxf="1" dxf="1">
    <nc r="AN1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4" sId="6" odxf="1" dxf="1">
    <nc r="AM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5" sId="6" odxf="1" dxf="1">
    <nc r="AN1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6" sId="7" odxf="1" dxf="1">
    <nc r="AM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7" sId="7" odxf="1" dxf="1">
    <nc r="AN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8" sId="7" odxf="1" dxf="1">
    <nc r="AM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89" sId="7" odxf="1" dxf="1">
    <nc r="AN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0" sId="7" odxf="1" dxf="1">
    <nc r="AM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1" sId="7" odxf="1" dxf="1">
    <nc r="AN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2" sId="7" odxf="1" dxf="1">
    <nc r="AM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3" sId="7" odxf="1" dxf="1">
    <nc r="AN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4" sId="7" odxf="1" dxf="1">
    <nc r="AM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5" sId="7" odxf="1" dxf="1">
    <nc r="AN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6" sId="7" odxf="1" dxf="1">
    <nc r="AM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7" sId="7" odxf="1" dxf="1">
    <nc r="AN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8" sId="7" odxf="1" dxf="1">
    <nc r="AM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799" sId="7" odxf="1" dxf="1">
    <nc r="AN8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0" sId="7" odxf="1" dxf="1">
    <nc r="AM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1" sId="7" odxf="1" dxf="1">
    <nc r="AN9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2" sId="7" odxf="1" dxf="1">
    <nc r="AM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3" sId="7" odxf="1" dxf="1">
    <nc r="AN10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4" sId="7" odxf="1" dxf="1">
    <nc r="AM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5" sId="7" odxf="1" dxf="1">
    <nc r="AN11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6" sId="7" odxf="1" dxf="1">
    <nc r="AM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7" sId="7" odxf="1" dxf="1">
    <nc r="AN1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8" sId="7" odxf="1" dxf="1">
    <nc r="AM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09" sId="7" odxf="1" dxf="1">
    <nc r="AN1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0" sId="7" odxf="1" dxf="1">
    <nc r="AM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1" sId="7" odxf="1" dxf="1">
    <nc r="AN1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2" sId="7" odxf="1" dxf="1">
    <nc r="AM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3" sId="7" odxf="1" dxf="1">
    <nc r="AN1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4" sId="7" odxf="1" dxf="1">
    <nc r="AM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5" sId="7" odxf="1" dxf="1">
    <nc r="AN1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6" sId="7" odxf="1" dxf="1">
    <nc r="AM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7" sId="7" odxf="1" dxf="1">
    <nc r="AN1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8" sId="8" odxf="1" dxf="1">
    <nc r="AM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19" sId="8" odxf="1" dxf="1">
    <nc r="AN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0" sId="8" odxf="1" dxf="1">
    <nc r="AM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1" sId="8" odxf="1" dxf="1">
    <nc r="AN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2" sId="8" odxf="1" dxf="1">
    <nc r="AM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3" sId="8" odxf="1" dxf="1">
    <nc r="AN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4" sId="8" odxf="1" dxf="1">
    <nc r="AM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5" sId="8" odxf="1" dxf="1">
    <nc r="AN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6" sId="8" odxf="1" dxf="1">
    <nc r="AM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7" sId="8" odxf="1" dxf="1">
    <nc r="AN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8" sId="8" odxf="1" dxf="1">
    <nc r="AM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29" sId="8" odxf="1" dxf="1">
    <nc r="AN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0" sId="8" odxf="1" dxf="1">
    <nc r="AM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1" sId="8" odxf="1" dxf="1">
    <nc r="AN8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2" sId="8" odxf="1" dxf="1">
    <nc r="AM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3" sId="8" odxf="1" dxf="1">
    <nc r="AN9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4" sId="8" odxf="1" dxf="1">
    <nc r="AM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5" sId="8" odxf="1" dxf="1">
    <nc r="AN10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6" sId="8" odxf="1" dxf="1">
    <nc r="AM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7" sId="8" odxf="1" dxf="1">
    <nc r="AN11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8" sId="8" odxf="1" dxf="1">
    <nc r="AM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39" sId="8" odxf="1" dxf="1">
    <nc r="AN1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0" sId="8" odxf="1" dxf="1">
    <nc r="AM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1" sId="8" odxf="1" dxf="1">
    <nc r="AN1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2" sId="8" odxf="1" dxf="1">
    <nc r="AM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3" sId="8" odxf="1" dxf="1">
    <nc r="AN1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4" sId="8" odxf="1" dxf="1">
    <nc r="AM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5" sId="8" odxf="1" dxf="1">
    <nc r="AN1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6" sId="8" odxf="1" dxf="1">
    <nc r="AM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7" sId="8" odxf="1" dxf="1">
    <nc r="AN1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8" sId="8" odxf="1" dxf="1">
    <nc r="AM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49" sId="8" odxf="1" dxf="1">
    <nc r="AN1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50" sId="10" odxf="1" dxf="1">
    <nc r="AM2" t="inlineStr">
      <is>
        <t>RECESSO</t>
      </is>
    </nc>
    <ndxf>
      <alignment wrapText="0"/>
      <border outline="0">
        <left/>
        <top/>
      </border>
    </ndxf>
  </rcc>
  <rcc rId="14851" sId="10" odxf="1" dxf="1">
    <nc r="AN2" t="inlineStr">
      <is>
        <t>CARNAVAL</t>
      </is>
    </nc>
    <ndxf>
      <border outline="0">
        <top/>
      </border>
    </ndxf>
  </rcc>
  <rcc rId="14852" sId="10" odxf="1" dxf="1">
    <nc r="AM3" t="inlineStr">
      <is>
        <t>RECESSO</t>
      </is>
    </nc>
    <ndxf>
      <alignment wrapText="0"/>
      <border outline="0">
        <left/>
      </border>
    </ndxf>
  </rcc>
  <rcc rId="14853" sId="10" odxf="1" dxf="1">
    <nc r="AN3" t="inlineStr">
      <is>
        <t>CARNAVAL</t>
      </is>
    </nc>
    <ndxf/>
  </rcc>
  <rcc rId="14854" sId="10" odxf="1" dxf="1">
    <nc r="AM4" t="inlineStr">
      <is>
        <t>RECESSO</t>
      </is>
    </nc>
    <ndxf>
      <alignment wrapText="0"/>
      <border outline="0">
        <left/>
      </border>
    </ndxf>
  </rcc>
  <rcc rId="14855" sId="10" odxf="1" dxf="1">
    <nc r="AN4" t="inlineStr">
      <is>
        <t>CARNAVAL</t>
      </is>
    </nc>
    <ndxf/>
  </rcc>
  <rcc rId="14856" sId="10" odxf="1" dxf="1">
    <nc r="AM5" t="inlineStr">
      <is>
        <t>RECESSO</t>
      </is>
    </nc>
    <ndxf>
      <alignment wrapText="0"/>
      <border outline="0">
        <left/>
      </border>
    </ndxf>
  </rcc>
  <rcc rId="14857" sId="10" odxf="1" dxf="1">
    <nc r="AN5" t="inlineStr">
      <is>
        <t>CARNAVAL</t>
      </is>
    </nc>
    <ndxf/>
  </rcc>
  <rcc rId="14858" sId="10" odxf="1" dxf="1">
    <nc r="AM6" t="inlineStr">
      <is>
        <t>RECESSO</t>
      </is>
    </nc>
    <ndxf>
      <alignment wrapText="0"/>
      <border outline="0">
        <left/>
      </border>
    </ndxf>
  </rcc>
  <rcc rId="14859" sId="10" odxf="1" dxf="1">
    <nc r="AN6" t="inlineStr">
      <is>
        <t>CARNAVAL</t>
      </is>
    </nc>
    <ndxf/>
  </rcc>
  <rcc rId="14860" sId="10" odxf="1" dxf="1">
    <nc r="AM7" t="inlineStr">
      <is>
        <t>RECESSO</t>
      </is>
    </nc>
    <ndxf>
      <alignment wrapText="0"/>
      <border outline="0">
        <left/>
      </border>
    </ndxf>
  </rcc>
  <rcc rId="14861" sId="10" odxf="1" dxf="1">
    <nc r="AN7" t="inlineStr">
      <is>
        <t>CARNAVAL</t>
      </is>
    </nc>
    <ndxf/>
  </rcc>
  <rcc rId="14862" sId="10" odxf="1" dxf="1">
    <nc r="AM8" t="inlineStr">
      <is>
        <t>RECESSO</t>
      </is>
    </nc>
    <ndxf>
      <alignment wrapText="0"/>
      <border outline="0">
        <left/>
      </border>
    </ndxf>
  </rcc>
  <rcc rId="14863" sId="10" odxf="1" dxf="1">
    <nc r="AN8" t="inlineStr">
      <is>
        <t>CARNAVAL</t>
      </is>
    </nc>
    <ndxf/>
  </rcc>
  <rcc rId="14864" sId="10" odxf="1" dxf="1">
    <nc r="AM9" t="inlineStr">
      <is>
        <t>RECESSO</t>
      </is>
    </nc>
    <ndxf>
      <alignment wrapText="0"/>
      <border outline="0">
        <left/>
      </border>
    </ndxf>
  </rcc>
  <rcc rId="14865" sId="10" odxf="1" dxf="1">
    <nc r="AN9" t="inlineStr">
      <is>
        <t>CARNAVAL</t>
      </is>
    </nc>
    <ndxf/>
  </rcc>
  <rcc rId="14866" sId="10" odxf="1" dxf="1">
    <nc r="AM10" t="inlineStr">
      <is>
        <t>RECESSO</t>
      </is>
    </nc>
    <ndxf>
      <alignment wrapText="0"/>
      <border outline="0">
        <left/>
      </border>
    </ndxf>
  </rcc>
  <rcc rId="14867" sId="10" odxf="1" dxf="1">
    <nc r="AN10" t="inlineStr">
      <is>
        <t>CARNAVAL</t>
      </is>
    </nc>
    <ndxf/>
  </rcc>
  <rcc rId="14868" sId="10" odxf="1" dxf="1">
    <nc r="AM11" t="inlineStr">
      <is>
        <t>RECESSO</t>
      </is>
    </nc>
    <ndxf>
      <alignment wrapText="0"/>
      <border outline="0">
        <left/>
      </border>
    </ndxf>
  </rcc>
  <rcc rId="14869" sId="10" odxf="1" dxf="1">
    <nc r="AN11" t="inlineStr">
      <is>
        <t>CARNAVAL</t>
      </is>
    </nc>
    <ndxf/>
  </rcc>
  <rcc rId="14870" sId="10" odxf="1" dxf="1">
    <nc r="AM12" t="inlineStr">
      <is>
        <t>RECESSO</t>
      </is>
    </nc>
    <ndxf>
      <alignment wrapText="0"/>
      <border outline="0">
        <left/>
      </border>
    </ndxf>
  </rcc>
  <rcc rId="14871" sId="10" odxf="1" dxf="1">
    <nc r="AN12" t="inlineStr">
      <is>
        <t>CARNAVAL</t>
      </is>
    </nc>
    <ndxf/>
  </rcc>
  <rcc rId="14872" sId="10" odxf="1" dxf="1">
    <nc r="AM13" t="inlineStr">
      <is>
        <t>RECESSO</t>
      </is>
    </nc>
    <ndxf>
      <alignment wrapText="0"/>
      <border outline="0">
        <left/>
      </border>
    </ndxf>
  </rcc>
  <rcc rId="14873" sId="10" odxf="1" dxf="1">
    <nc r="AN13" t="inlineStr">
      <is>
        <t>CARNAVAL</t>
      </is>
    </nc>
    <ndxf/>
  </rcc>
  <rcc rId="14874" sId="10" odxf="1" dxf="1">
    <nc r="AM14" t="inlineStr">
      <is>
        <t>RECESSO</t>
      </is>
    </nc>
    <ndxf>
      <alignment wrapText="0"/>
      <border outline="0">
        <left/>
      </border>
    </ndxf>
  </rcc>
  <rcc rId="14875" sId="10" odxf="1" dxf="1">
    <nc r="AN14" t="inlineStr">
      <is>
        <t>CARNAVAL</t>
      </is>
    </nc>
    <ndxf/>
  </rcc>
  <rcc rId="14876" sId="10" odxf="1" dxf="1">
    <nc r="AM15" t="inlineStr">
      <is>
        <t>RECESSO</t>
      </is>
    </nc>
    <ndxf>
      <alignment wrapText="0"/>
      <border outline="0">
        <left/>
      </border>
    </ndxf>
  </rcc>
  <rcc rId="14877" sId="10" odxf="1" dxf="1">
    <nc r="AN15" t="inlineStr">
      <is>
        <t>CARNAVAL</t>
      </is>
    </nc>
    <ndxf/>
  </rcc>
  <rcc rId="14878" sId="10" odxf="1" dxf="1">
    <nc r="AM16" t="inlineStr">
      <is>
        <t>RECESSO</t>
      </is>
    </nc>
    <ndxf>
      <alignment wrapText="0"/>
      <border outline="0">
        <left/>
      </border>
    </ndxf>
  </rcc>
  <rcc rId="14879" sId="10" odxf="1" dxf="1">
    <nc r="AN16" t="inlineStr">
      <is>
        <t>CARNAVAL</t>
      </is>
    </nc>
    <ndxf/>
  </rcc>
  <rcc rId="14880" sId="10" odxf="1" dxf="1">
    <nc r="AM17" t="inlineStr">
      <is>
        <t>RECESSO</t>
      </is>
    </nc>
    <ndxf>
      <alignment wrapText="0"/>
      <border outline="0">
        <left/>
      </border>
    </ndxf>
  </rcc>
  <rcc rId="14881" sId="10">
    <nc r="AN17" t="inlineStr">
      <is>
        <t>CARNAVAL</t>
      </is>
    </nc>
  </rcc>
  <rcc rId="14882" sId="9" odxf="1" dxf="1">
    <nc r="AM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3" sId="9" odxf="1" dxf="1">
    <nc r="AN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4" sId="9" odxf="1" dxf="1">
    <nc r="AM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5" sId="9" odxf="1" dxf="1">
    <nc r="AN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6" sId="9" odxf="1" dxf="1">
    <nc r="AM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7" sId="9" odxf="1" dxf="1">
    <nc r="AN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8" sId="9" odxf="1" dxf="1">
    <nc r="AM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89" sId="9" odxf="1" dxf="1">
    <nc r="AN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0" sId="9" odxf="1" dxf="1">
    <nc r="AM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1" sId="9" odxf="1" dxf="1">
    <nc r="AN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2" sId="9" odxf="1" dxf="1">
    <nc r="AM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3" sId="9" odxf="1" dxf="1">
    <nc r="AN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4" sId="9" odxf="1" dxf="1">
    <nc r="AM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5" sId="9" odxf="1" dxf="1">
    <nc r="AN8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6" sId="9" odxf="1" dxf="1">
    <nc r="AM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7" sId="9" odxf="1" dxf="1">
    <nc r="AN9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8" sId="9" odxf="1" dxf="1">
    <nc r="AM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899" sId="9" odxf="1" dxf="1">
    <nc r="AN10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0" sId="9" odxf="1" dxf="1">
    <nc r="AM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1" sId="9" odxf="1" dxf="1">
    <nc r="AN11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2" sId="9" odxf="1" dxf="1">
    <nc r="AM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3" sId="9" odxf="1" dxf="1">
    <nc r="AN12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4" sId="9" odxf="1" dxf="1">
    <nc r="AM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5" sId="9" odxf="1" dxf="1">
    <nc r="AN13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6" sId="9" odxf="1" dxf="1">
    <nc r="AM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7" sId="9" odxf="1" dxf="1">
    <nc r="AN14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8" sId="9" odxf="1" dxf="1">
    <nc r="AM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09" sId="9" odxf="1" dxf="1">
    <nc r="AN15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10" sId="9" odxf="1" dxf="1">
    <nc r="AM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11" sId="9" odxf="1" dxf="1">
    <nc r="AN16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12" sId="9" odxf="1" dxf="1">
    <nc r="AM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913" sId="9" odxf="1" dxf="1">
    <nc r="AN17" t="inlineStr">
      <is>
        <t>CARNAVAL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14" sId="10">
    <oc r="AK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>Demandas 2024/2025/2026</t>
        </r>
      </is>
    </oc>
    <nc r="AK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15" sId="5">
    <nc r="AG2">
      <v>1</v>
    </nc>
  </rcc>
  <rcc rId="14916" sId="5">
    <nc r="AG13">
      <v>1</v>
    </nc>
  </rcc>
  <rfmt sheetId="5" sqref="AG17" start="0" length="0">
    <dxf>
      <border outline="0">
        <bottom/>
      </border>
    </dxf>
  </rfmt>
  <rfmt sheetId="5" sqref="AH17" start="0" length="0">
    <dxf>
      <border outline="0">
        <bottom/>
      </border>
    </dxf>
  </rfmt>
  <rfmt sheetId="5" sqref="AI17" start="0" length="0">
    <dxf>
      <border outline="0">
        <bottom/>
      </border>
    </dxf>
  </rfmt>
  <rfmt sheetId="5" sqref="AJ17" start="0" length="0">
    <dxf>
      <border outline="0">
        <bottom/>
      </border>
    </dxf>
  </rfmt>
  <rfmt sheetId="5" sqref="AK17" start="0" length="0">
    <dxf>
      <border outline="0">
        <bottom/>
      </border>
    </dxf>
  </rfmt>
  <rcc rId="14917" sId="5">
    <nc r="AG18" t="inlineStr">
      <is>
        <t xml:space="preserve"> 1. Pesquisa e busca por 
pasta funcional
Albano Soares Martins  Junior.
2. Desarquivamento processo de nomeação de Albano Soares Martins Junior.</t>
      </is>
    </nc>
  </rcc>
  <rcc rId="14918" sId="5">
    <nc r="AJ2">
      <v>6</v>
    </nc>
  </rcc>
  <rcc rId="14919" sId="5">
    <nc r="AH4">
      <v>4</v>
    </nc>
  </rcc>
  <rcc rId="14920" sId="5">
    <nc r="AI4">
      <v>4</v>
    </nc>
  </rcc>
  <rcc rId="14921" sId="5">
    <nc r="AH13">
      <v>1</v>
    </nc>
  </rcc>
  <rcc rId="14922" sId="5">
    <nc r="AI13">
      <v>2</v>
    </nc>
  </rcc>
  <rcc rId="14923" sId="5">
    <nc r="AJ13">
      <v>1</v>
    </nc>
  </rcc>
  <rcc rId="14924" sId="5">
    <nc r="AK13">
      <v>1</v>
    </nc>
  </rcc>
  <rcc rId="14925" sId="5">
    <nc r="AK17">
      <v>7</v>
    </nc>
  </rcc>
  <rcc rId="14926" sId="5">
    <nc r="AH18" t="inlineStr">
      <is>
        <t xml:space="preserve">Arquivamento de Pastas Funcionais e documentos de 
Dyleny Teixeira Alves da Silva.
 </t>
      </is>
    </nc>
  </rcc>
  <rcc rId="14927" sId="5">
    <nc r="AI18" t="inlineStr">
      <is>
        <t xml:space="preserve">Arquivamento de Pasta funcionais 
e 1 processo de 
Mariana Aparecida Lima Neves
e
Marcos Roberto dos Santos Barbosa.
</t>
      </is>
    </nc>
  </rcc>
  <rfmt sheetId="5" sqref="AJ18" start="0" length="0">
    <dxf>
      <alignment wrapText="1"/>
    </dxf>
  </rfmt>
  <rfmt sheetId="5" sqref="AK18" start="0" length="0">
    <dxf>
      <alignment wrapText="1"/>
    </dxf>
  </rfmt>
  <rfmt sheetId="5" sqref="AH19" start="0" length="0">
    <dxf>
      <alignment wrapText="0"/>
    </dxf>
  </rfmt>
  <rfmt sheetId="5" sqref="AI19" start="0" length="0">
    <dxf>
      <alignment wrapText="0"/>
    </dxf>
  </rfmt>
  <rfmt sheetId="5" sqref="AJ19" start="0" length="0">
    <dxf>
      <alignment wrapText="0"/>
    </dxf>
  </rfmt>
  <rfmt sheetId="5" sqref="AK19" start="0" length="0">
    <dxf>
      <alignment wrapText="0"/>
    </dxf>
  </rfmt>
  <rcc rId="14928" sId="5" odxf="1" dxf="1">
    <oc r="AM2" t="inlineStr">
      <is>
        <t>RECESSO</t>
      </is>
    </oc>
    <nc r="AM2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29" sId="5" odxf="1" dxf="1">
    <oc r="AN2" t="inlineStr">
      <is>
        <t>CARNAVAL</t>
      </is>
    </oc>
    <nc r="AN2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0" sId="5" odxf="1" dxf="1">
    <oc r="AM3" t="inlineStr">
      <is>
        <t>RECESSO</t>
      </is>
    </oc>
    <nc r="AM3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1" sId="5" odxf="1" dxf="1">
    <oc r="AN3" t="inlineStr">
      <is>
        <t>CARNAVAL</t>
      </is>
    </oc>
    <nc r="AN3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2" sId="5" odxf="1" dxf="1">
    <oc r="AM4" t="inlineStr">
      <is>
        <t>RECESSO</t>
      </is>
    </oc>
    <nc r="AM4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3" sId="5" odxf="1" dxf="1">
    <oc r="AN4" t="inlineStr">
      <is>
        <t>CARNAVAL</t>
      </is>
    </oc>
    <nc r="AN4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4" sId="5" odxf="1" dxf="1">
    <oc r="AM5" t="inlineStr">
      <is>
        <t>RECESSO</t>
      </is>
    </oc>
    <nc r="AM5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5" sId="5" odxf="1" dxf="1">
    <oc r="AN5" t="inlineStr">
      <is>
        <t>CARNAVAL</t>
      </is>
    </oc>
    <nc r="AN5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6" sId="5" odxf="1" dxf="1">
    <oc r="AM6" t="inlineStr">
      <is>
        <t>RECESSO</t>
      </is>
    </oc>
    <nc r="AM6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7" sId="5" odxf="1" dxf="1">
    <oc r="AN6" t="inlineStr">
      <is>
        <t>CARNAVAL</t>
      </is>
    </oc>
    <nc r="AN6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8" sId="5" odxf="1" dxf="1">
    <oc r="AM7" t="inlineStr">
      <is>
        <t>RECESSO</t>
      </is>
    </oc>
    <nc r="AM7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39" sId="5" odxf="1" dxf="1">
    <oc r="AN7" t="inlineStr">
      <is>
        <t>CARNAVAL</t>
      </is>
    </oc>
    <nc r="AN7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0" sId="5" odxf="1" dxf="1">
    <oc r="AM8" t="inlineStr">
      <is>
        <t>RECESSO</t>
      </is>
    </oc>
    <nc r="AM8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1" sId="5" odxf="1" dxf="1">
    <oc r="AN8" t="inlineStr">
      <is>
        <t>CARNAVAL</t>
      </is>
    </oc>
    <nc r="AN8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2" sId="5" odxf="1" dxf="1">
    <oc r="AM9" t="inlineStr">
      <is>
        <t>RECESSO</t>
      </is>
    </oc>
    <nc r="AM9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3" sId="5" odxf="1" dxf="1">
    <oc r="AN9" t="inlineStr">
      <is>
        <t>CARNAVAL</t>
      </is>
    </oc>
    <nc r="AN9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4" sId="5" odxf="1" dxf="1">
    <oc r="AM10" t="inlineStr">
      <is>
        <t>RECESSO</t>
      </is>
    </oc>
    <nc r="AM10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5" sId="5" odxf="1" dxf="1">
    <oc r="AN10" t="inlineStr">
      <is>
        <t>CARNAVAL</t>
      </is>
    </oc>
    <nc r="AN10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6" sId="5" odxf="1" dxf="1">
    <oc r="AM11" t="inlineStr">
      <is>
        <t>RECESSO</t>
      </is>
    </oc>
    <nc r="AM11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7" sId="5" odxf="1" dxf="1">
    <oc r="AN11" t="inlineStr">
      <is>
        <t>CARNAVAL</t>
      </is>
    </oc>
    <nc r="AN11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8" sId="5" odxf="1" dxf="1">
    <oc r="AM12" t="inlineStr">
      <is>
        <t>RECESSO</t>
      </is>
    </oc>
    <nc r="AM12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49" sId="5" odxf="1" dxf="1">
    <oc r="AN12" t="inlineStr">
      <is>
        <t>CARNAVAL</t>
      </is>
    </oc>
    <nc r="AN12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0" sId="5" odxf="1" dxf="1">
    <oc r="AM13" t="inlineStr">
      <is>
        <t>RECESSO</t>
      </is>
    </oc>
    <nc r="AM13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1" sId="5" odxf="1" dxf="1">
    <oc r="AN13" t="inlineStr">
      <is>
        <t>CARNAVAL</t>
      </is>
    </oc>
    <nc r="AN13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2" sId="5" odxf="1" dxf="1">
    <oc r="AM14" t="inlineStr">
      <is>
        <t>RECESSO</t>
      </is>
    </oc>
    <nc r="AM14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3" sId="5" odxf="1" dxf="1">
    <oc r="AN14" t="inlineStr">
      <is>
        <t>CARNAVAL</t>
      </is>
    </oc>
    <nc r="AN14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4" sId="5" odxf="1" dxf="1">
    <oc r="AM15" t="inlineStr">
      <is>
        <t>RECESSO</t>
      </is>
    </oc>
    <nc r="AM15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5" sId="5" odxf="1" dxf="1">
    <oc r="AN15" t="inlineStr">
      <is>
        <t>CARNAVAL</t>
      </is>
    </oc>
    <nc r="AN15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6" sId="5" odxf="1" dxf="1">
    <oc r="AM16" t="inlineStr">
      <is>
        <t>RECESSO</t>
      </is>
    </oc>
    <nc r="AM16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7" sId="5" odxf="1" dxf="1">
    <oc r="AN16" t="inlineStr">
      <is>
        <t>CARNAVAL</t>
      </is>
    </oc>
    <nc r="AN16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58" sId="5" odxf="1" dxf="1">
    <oc r="AM17" t="inlineStr">
      <is>
        <t>RECESSO</t>
      </is>
    </oc>
    <nc r="AM17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</border>
    </ndxf>
  </rcc>
  <rcc rId="14959" sId="5" odxf="1" dxf="1">
    <oc r="AN17" t="inlineStr">
      <is>
        <t>CARNAVAL</t>
      </is>
    </oc>
    <nc r="AN17"/>
    <ndxf>
      <font>
        <b val="0"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</border>
    </ndxf>
  </rcc>
  <rcc rId="14960" sId="5" odxf="1" dxf="1">
    <nc r="AM18" t="inlineStr">
      <is>
        <t>Ponto Facultativo
Carnaval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961" sId="5" odxf="1" dxf="1">
    <nc r="AN18" t="inlineStr">
      <is>
        <t>Feriado de Carnaval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TOTAL!$A$1:$J$19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72" sId="6" odxf="1" dxf="1">
    <nc r="AJ18" t="inlineStr">
      <is>
        <t>TROCANDO  CAIXAS E OS ESPELHOS</t>
      </is>
    </nc>
    <odxf>
      <alignment wrapText="0"/>
    </odxf>
    <ndxf>
      <alignment wrapText="1"/>
    </ndxf>
  </rcc>
  <rcc rId="14973" sId="6" odxf="1" dxf="1">
    <nc r="AK18" t="inlineStr">
      <is>
        <t>TROCANDO  CAIXAS E OS ESPELHOS</t>
      </is>
    </nc>
    <odxf>
      <alignment wrapText="0"/>
    </odxf>
    <ndxf>
      <alignment wrapText="1"/>
    </ndxf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84" sId="4">
    <nc r="AI15">
      <v>70</v>
    </nc>
  </rcc>
  <rcc rId="14985" sId="4">
    <nc r="AI18" t="inlineStr">
      <is>
        <t xml:space="preserve">trocando caixas </t>
      </is>
    </nc>
  </rcc>
  <rcc rId="14986" sId="4" odxf="1" dxf="1">
    <nc r="AJ18" t="inlineStr">
      <is>
        <t xml:space="preserve">trocando caixas </t>
      </is>
    </nc>
    <odxf>
      <alignment wrapText="0"/>
    </odxf>
    <ndxf>
      <alignment wrapText="1"/>
    </ndxf>
  </rcc>
  <rcc rId="14987" sId="4">
    <nc r="AK2">
      <v>4</v>
    </nc>
  </rcc>
  <rcc rId="14988" sId="4">
    <nc r="AK18" t="inlineStr">
      <is>
        <t>trocando caixas</t>
      </is>
    </nc>
  </rcc>
  <rcc rId="14989" sId="4">
    <nc r="AH18" t="inlineStr">
      <is>
        <t xml:space="preserve">trocando caixas </t>
      </is>
    </nc>
  </rcc>
  <rcc rId="14990" sId="4">
    <nc r="AO18" t="inlineStr">
      <is>
        <t xml:space="preserve">recebendo pedido de processos </t>
      </is>
    </nc>
  </rcc>
  <rcc rId="14991" sId="4">
    <nc r="AP3">
      <v>2</v>
    </nc>
  </rcc>
  <rcc rId="14992" sId="4">
    <nc r="AP15">
      <v>140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03" sId="8">
    <nc r="AH15">
      <v>70</v>
    </nc>
  </rcc>
  <rcc rId="15004" sId="8">
    <nc r="AI15">
      <v>70</v>
    </nc>
  </rcc>
  <rcc rId="15005" sId="8" odxf="1" dxf="1">
    <nc r="AH18" t="inlineStr">
      <is>
        <t xml:space="preserve">trocando caixas </t>
      </is>
    </nc>
    <odxf>
      <alignment wrapText="0"/>
    </odxf>
    <ndxf>
      <alignment wrapText="1"/>
    </ndxf>
  </rcc>
  <rcc rId="15006" sId="8" odxf="1" dxf="1">
    <nc r="AI18" t="inlineStr">
      <is>
        <t xml:space="preserve">trocando caixas </t>
      </is>
    </nc>
    <odxf>
      <alignment wrapText="0"/>
    </odxf>
    <ndxf>
      <alignment wrapText="1"/>
    </ndxf>
  </rcc>
  <rcc rId="15007" sId="8" odxf="1" dxf="1">
    <nc r="AJ18" t="inlineStr">
      <is>
        <t xml:space="preserve">trocando caixas </t>
      </is>
    </nc>
    <odxf>
      <alignment wrapText="0"/>
    </odxf>
    <ndxf>
      <alignment wrapText="1"/>
    </ndxf>
  </rcc>
  <rcc rId="15008" sId="8">
    <nc r="AK18" t="inlineStr">
      <is>
        <t>trocando caixas</t>
      </is>
    </nc>
  </rcc>
  <rcc rId="15009" sId="8">
    <nc r="AP3">
      <v>2</v>
    </nc>
  </rcc>
  <rcc rId="15010" sId="8">
    <nc r="AP15">
      <v>140</v>
    </nc>
  </rcc>
  <rcc rId="15011" sId="8" odxf="1" dxf="1">
    <nc r="AO18" t="inlineStr">
      <is>
        <t xml:space="preserve">recebendo pedido de processos </t>
      </is>
    </nc>
    <odxf>
      <alignment wrapText="0"/>
    </odxf>
    <ndxf>
      <alignment wrapText="1"/>
    </ndxf>
  </rcc>
  <rfmt sheetId="8" sqref="AP18" start="0" length="0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22" sId="7" odxf="1" dxf="1">
    <nc r="AH18" t="inlineStr">
      <is>
        <t>arquivamento de pasta funcionais</t>
      </is>
    </nc>
    <odxf>
      <alignment wrapText="0"/>
    </odxf>
    <ndxf>
      <alignment wrapText="1"/>
    </ndxf>
  </rcc>
  <rfmt sheetId="7" sqref="AI18" start="0" length="0">
    <dxf>
      <alignment wrapText="1"/>
    </dxf>
  </rfmt>
  <rcc rId="15023" sId="7" odxf="1" dxf="1">
    <nc r="AJ18" t="inlineStr">
      <is>
        <t>TROCANDO  CAIXAS E OS ESPELHOS</t>
      </is>
    </nc>
    <odxf>
      <alignment wrapText="0"/>
    </odxf>
    <ndxf>
      <alignment wrapText="1"/>
    </ndxf>
  </rcc>
  <rcc rId="15024" sId="7" odxf="1" dxf="1">
    <nc r="AK18" t="inlineStr">
      <is>
        <t>TROCANDO  CAIXAS E OS ESPELHOS</t>
      </is>
    </nc>
    <odxf>
      <alignment wrapText="0"/>
    </odxf>
    <ndxf>
      <alignment wrapText="1"/>
    </ndxf>
  </rcc>
  <rcc rId="15025" sId="7">
    <nc r="AJ17">
      <v>7</v>
    </nc>
  </rcc>
  <rcc rId="15026" sId="7">
    <nc r="AK17">
      <v>7</v>
    </nc>
  </rcc>
  <rcc rId="15027" sId="7">
    <nc r="AI18" t="inlineStr">
      <is>
        <t>1.arquivamento de pasta funcionais.           2.TROCANDO  CAIXAS E OS ESPELHOS</t>
      </is>
    </nc>
  </rcc>
  <rcc rId="15028" sId="7">
    <nc r="AI17">
      <v>7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29" sId="5">
    <nc r="AO2">
      <v>1</v>
    </nc>
  </rcc>
  <rcc rId="15030" sId="5">
    <nc r="AP2">
      <v>1</v>
    </nc>
  </rcc>
  <rcc rId="15031" sId="5">
    <nc r="AO13">
      <v>1</v>
    </nc>
  </rcc>
  <rcc rId="15032" sId="5">
    <nc r="AP15">
      <v>140</v>
    </nc>
  </rcc>
  <rcc rId="15033" sId="5">
    <nc r="AQ16">
      <v>6</v>
    </nc>
  </rcc>
  <rfmt sheetId="5" sqref="AO17" start="0" length="0">
    <dxf>
      <border outline="0">
        <bottom/>
      </border>
    </dxf>
  </rfmt>
  <rfmt sheetId="5" sqref="AP17" start="0" length="0">
    <dxf>
      <border outline="0">
        <bottom/>
      </border>
    </dxf>
  </rfmt>
  <rfmt sheetId="5" sqref="AQ17" start="0" length="0">
    <dxf>
      <border outline="0">
        <bottom/>
      </border>
    </dxf>
  </rfmt>
  <rcc rId="15034" sId="5">
    <nc r="AO18" t="inlineStr">
      <is>
        <t xml:space="preserve"> 1. Pesquisa e busca
processo 71001.057163/2008-68</t>
      </is>
    </nc>
  </rcc>
  <rcc rId="15035" sId="5">
    <nc r="AP18" t="inlineStr">
      <is>
        <t>1. Desarquivamento
70 caixas do DEFNAS.
Caixas: 3251 a 3320.
2. Recebimento:
70 caixas do DEFNAS.
Caixas: 3181 a 3250.</t>
      </is>
    </nc>
  </rcc>
  <rcc rId="15036" sId="5">
    <nc r="AQ18" t="inlineStr">
      <is>
        <t>Conferência 6 caixas da
 DEFNAS.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TOTAL!$A$1:$A$19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47" sId="10">
    <nc r="AQ16">
      <v>4</v>
    </nc>
  </rcc>
  <rcc rId="15048" sId="10" odxf="1" dxf="1">
    <nc r="AQ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  <rsnm rId="15059" sheetId="2" oldName="[INDICADORES - Jan-Fev_2026.xlsx]Marcelo" newName="[INDICADORES - Jan-Fev_2026.xlsx]Leonardo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70" sId="10">
    <nc r="AP15">
      <v>70</v>
    </nc>
  </rcc>
  <rcc rId="15071" sId="10">
    <oc r="AQ16">
      <v>4</v>
    </oc>
    <nc r="AQ16">
      <v>5</v>
    </nc>
  </rcc>
  <rsnm rId="15072" sheetId="10" oldName="[INDICADORES - Jan-Fev_2026.xlsx]70" newName="[INDICADORES - Jan-Fev_2026.xlsx]Alessandro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K18">
    <dxf>
      <alignment wrapText="1"/>
    </dxf>
  </rfmt>
  <rcc rId="15073" sId="8">
    <nc r="AP18" t="inlineStr">
      <is>
        <t>RECEBIMENTO DE 70 CAIXAS DA CGPC E ENVIO DE 70 CAIXAS DA CGPC</t>
      </is>
    </nc>
  </rcc>
  <rcc rId="15074" sId="8">
    <nc r="AQ18" t="inlineStr">
      <is>
        <t>CONFERENCIA DE CAIXAS DA CGPC</t>
      </is>
    </nc>
  </rcc>
  <rfmt sheetId="8" sqref="AQ18">
    <dxf>
      <alignment wrapText="1"/>
    </dxf>
  </rfmt>
  <rcc rId="15075" sId="8" odxf="1" dxf="1">
    <nc r="AS18" t="inlineStr">
      <is>
        <t>CONFERENCIA DE CAIXAS DA CGPC</t>
      </is>
    </nc>
    <odxf>
      <alignment wrapText="0"/>
    </odxf>
    <ndxf>
      <alignment wrapText="1"/>
    </ndxf>
  </rcc>
  <rcc rId="15076" sId="8">
    <nc r="AS16">
      <v>7</v>
    </nc>
  </rcc>
  <rcc rId="15077" sId="8">
    <nc r="AQ16">
      <v>8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88" sId="4">
    <nc r="AQ18" t="inlineStr">
      <is>
        <t>CONFERENCIA DE CAIXAS DA CGPC</t>
      </is>
    </nc>
  </rcc>
  <rcc rId="15089" sId="4">
    <nc r="AS18" t="inlineStr">
      <is>
        <t>CONFERENCIA DE CAIXAS DA CGPC</t>
      </is>
    </nc>
  </rcc>
  <rcc rId="15090" sId="4">
    <nc r="AT18" t="inlineStr">
      <is>
        <t>CONFERENCIA DE CAIXAS DA CGPC</t>
      </is>
    </nc>
  </rcc>
  <rcc rId="15091" sId="4">
    <nc r="AU18" t="inlineStr">
      <is>
        <t xml:space="preserve">GUARDANDO AS 70 CAIXAS </t>
      </is>
    </nc>
  </rcc>
  <rcc rId="15092" sId="4">
    <nc r="AU15">
      <v>70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3" sId="7">
    <nc r="AP15">
      <v>140</v>
    </nc>
  </rcc>
  <rcc rId="15104" sId="7">
    <nc r="AQ16">
      <v>8</v>
    </nc>
  </rcc>
  <rcc rId="15105" sId="7" odxf="1" dxf="1">
    <nc r="AO18" t="inlineStr">
      <is>
        <t xml:space="preserve">recebendo pedido de processos </t>
      </is>
    </nc>
    <odxf>
      <alignment wrapText="0"/>
    </odxf>
    <ndxf>
      <alignment wrapText="1"/>
    </ndxf>
  </rcc>
  <rcc rId="15106" sId="7" odxf="1" dxf="1">
    <nc r="AP18" t="inlineStr">
      <is>
        <t>RECEBIMENTO DE 70 CAIXAS DA CGPC E ENVIO DE 70 CAIXAS DA CGPC</t>
      </is>
    </nc>
    <odxf>
      <alignment wrapText="0"/>
    </odxf>
    <ndxf>
      <alignment wrapText="1"/>
    </ndxf>
  </rcc>
  <rcc rId="15107" sId="7" odxf="1" dxf="1">
    <nc r="AQ18" t="inlineStr">
      <is>
        <t>CONFERENCIA DE CAIXAS DA CGPC</t>
      </is>
    </nc>
    <odxf>
      <alignment wrapText="0"/>
    </odxf>
    <ndxf>
      <alignment wrapText="1"/>
    </ndxf>
  </rcc>
  <rcc rId="15108" sId="6">
    <nc r="AP15">
      <v>140</v>
    </nc>
  </rcc>
  <rcc rId="15109" sId="6">
    <nc r="AQ16">
      <v>8</v>
    </nc>
  </rcc>
  <rfmt sheetId="6" sqref="AO18" start="0" length="0">
    <dxf>
      <alignment wrapText="1"/>
    </dxf>
  </rfmt>
  <rcc rId="15110" sId="6" odxf="1" dxf="1">
    <nc r="AP18" t="inlineStr">
      <is>
        <t>RECEBIMENTO DE 70 CAIXAS DA CGPC E ENVIO DE 70 CAIXAS DA CGPC</t>
      </is>
    </nc>
    <odxf>
      <alignment wrapText="0"/>
    </odxf>
    <ndxf>
      <alignment wrapText="1"/>
    </ndxf>
  </rcc>
  <rcc rId="15111" sId="6" odxf="1" dxf="1">
    <nc r="AQ18" t="inlineStr">
      <is>
        <t>CONFERENCIA DE CAIXAS DA CGPC</t>
      </is>
    </nc>
    <odxf>
      <alignment wrapText="0"/>
    </odxf>
    <ndxf>
      <alignment wrapText="1"/>
    </ndxf>
  </rcc>
  <rcc rId="15112" sId="6">
    <nc r="AO18" t="inlineStr">
      <is>
        <t>ATESTADO</t>
      </is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16" sId="4">
    <nc r="L18" t="inlineStr">
      <is>
        <t xml:space="preserve">ARQUIVAMENTO DE 70 CAIXAS  </t>
      </is>
    </nc>
  </rcc>
  <rcc rId="13117" sId="4">
    <nc r="I17">
      <v>10</v>
    </nc>
  </rcc>
  <rcc rId="13118" sId="4">
    <nc r="J17">
      <v>10</v>
    </nc>
  </rcc>
  <rcc rId="13119" sId="4">
    <nc r="K17">
      <v>10</v>
    </nc>
  </rcc>
  <rcc rId="13120" sId="4">
    <nc r="M17">
      <v>10</v>
    </nc>
  </rcc>
  <rcc rId="13121" sId="4">
    <nc r="I18" t="inlineStr">
      <is>
        <t>TROCA DE CAIXAS</t>
      </is>
    </nc>
  </rcc>
  <rcc rId="13122" sId="4">
    <nc r="J18" t="inlineStr">
      <is>
        <t>TROCA DE CAIXAS</t>
      </is>
    </nc>
  </rcc>
  <rcc rId="13123" sId="4">
    <nc r="K18" t="inlineStr">
      <is>
        <t>TROCA DE CAIXAS</t>
      </is>
    </nc>
  </rcc>
  <rcc rId="13124" sId="4">
    <nc r="M18" t="inlineStr">
      <is>
        <t>TROCA DE CAIXAS</t>
      </is>
    </nc>
  </rcc>
  <rcc rId="13125" sId="4">
    <nc r="L15">
      <v>70</v>
    </nc>
  </rcc>
  <rcc rId="13126" sId="4">
    <nc r="I14">
      <v>1</v>
    </nc>
  </rcc>
  <rcc rId="13127" sId="4">
    <nc r="I13">
      <v>1</v>
    </nc>
  </rcc>
  <rcc rId="13128" sId="4">
    <nc r="K13">
      <v>1</v>
    </nc>
  </rcc>
  <rcc rId="13129" sId="4">
    <nc r="L13">
      <v>1</v>
    </nc>
  </rcc>
  <rcc rId="13130" sId="4">
    <nc r="K4">
      <v>1</v>
    </nc>
  </rcc>
  <rcc rId="13131" sId="4">
    <nc r="K19" t="inlineStr">
      <is>
        <t>FAZENDO PESQUISA DE PROCESSOS</t>
      </is>
    </nc>
  </rcc>
  <rcc rId="13132" sId="4">
    <nc r="L19" t="inlineStr">
      <is>
        <t>OLHANDO OS PEDIDOS DE PROCESSO NO SEI</t>
      </is>
    </nc>
  </rcc>
  <rfmt sheetId="4" sqref="L19">
    <dxf>
      <alignment wrapText="1"/>
    </dxf>
  </rfmt>
  <rcc rId="13133" sId="4" odxf="1" dxf="1">
    <nc r="J19" t="inlineStr">
      <is>
        <t>OLHANDO OS PEDIDOS DE PROCESSO NO SEI</t>
      </is>
    </nc>
    <odxf>
      <alignment wrapText="0"/>
    </odxf>
    <ndxf>
      <alignment wrapText="1"/>
    </ndxf>
  </rcc>
  <rcc rId="13134" sId="4">
    <nc r="I19" t="inlineStr">
      <is>
        <t>OLHANDO OS PEDIDOS DE PROCESSO NO SEI</t>
      </is>
    </nc>
  </rcc>
  <rcc rId="13135" sId="4" odxf="1" dxf="1">
    <nc r="M19" t="inlineStr">
      <is>
        <t>OLHANDO OS PEDIDOS DE PROCESSO NO SEI</t>
      </is>
    </nc>
    <odxf>
      <alignment wrapText="0"/>
    </odxf>
    <ndxf>
      <alignment wrapText="1"/>
    </ndxf>
  </rcc>
  <rcc rId="13136" sId="4" odxf="1" dxf="1">
    <nc r="G19" t="inlineStr">
      <is>
        <t>OLHANDO OS PEDIDOS DE PROCESSO NO SEI</t>
      </is>
    </nc>
    <odxf>
      <alignment wrapText="0"/>
    </odxf>
    <ndxf>
      <alignment wrapText="1"/>
    </ndxf>
  </rcc>
  <rcc rId="13137" sId="4">
    <nc r="F19" t="inlineStr">
      <is>
        <t>OLHANDO OS PEDIDOS DE PROCESSO NO SEI</t>
      </is>
    </nc>
  </rcc>
  <rcc rId="13138" sId="4">
    <nc r="E19" t="inlineStr">
      <is>
        <t>OLHANDO OS PEDIDOS DE PROCESSO NO SEI</t>
      </is>
    </nc>
  </rcc>
  <rcc rId="13139" sId="4">
    <nc r="D19" t="inlineStr">
      <is>
        <t>OLHANDO OS PEDIDOS DE PROCESSO NO SEI</t>
      </is>
    </nc>
  </rcc>
  <rcc rId="13140" sId="4" odxf="1" dxf="1">
    <nc r="C19" t="inlineStr">
      <is>
        <t>OLHANDO OS PEDIDOS DE PROCESSO NO SEI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Diego!$A$1:$A$19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Danilo!$A$1:$A$20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1" sId="5">
    <nc r="BQ4">
      <v>1</v>
    </nc>
  </rcc>
  <rfmt sheetId="5" sqref="BT5" start="0" length="0">
    <dxf>
      <font>
        <b val="0"/>
        <sz val="11"/>
        <color theme="1"/>
        <name val="Aptos Narrow"/>
        <family val="2"/>
        <scheme val="minor"/>
      </font>
    </dxf>
  </rfmt>
  <rfmt sheetId="5" sqref="BT6" start="0" length="0">
    <dxf>
      <font>
        <b val="0"/>
        <sz val="11"/>
        <color theme="1"/>
        <name val="Aptos Narrow"/>
        <family val="2"/>
        <scheme val="minor"/>
      </font>
    </dxf>
  </rfmt>
  <rfmt sheetId="5" sqref="BQ17" start="0" length="0">
    <dxf>
      <border outline="0">
        <bottom/>
      </border>
    </dxf>
  </rfmt>
  <rfmt sheetId="5" sqref="BR17" start="0" length="0">
    <dxf>
      <border outline="0">
        <bottom/>
      </border>
    </dxf>
  </rfmt>
  <rfmt sheetId="5" sqref="BS17" start="0" length="0">
    <dxf>
      <border outline="0">
        <bottom/>
      </border>
    </dxf>
  </rfmt>
  <rfmt sheetId="5" sqref="BT17" start="0" length="0">
    <dxf>
      <border outline="0">
        <bottom/>
      </border>
    </dxf>
  </rfmt>
  <rfmt sheetId="5" sqref="BU17" start="0" length="0">
    <dxf>
      <border outline="0">
        <bottom/>
      </border>
    </dxf>
  </rfmt>
  <rcc rId="13152" sId="5" odxf="1" dxf="1">
    <nc r="BQ18" t="inlineStr">
      <is>
        <t>1. Alimentação planilha Guias
 de Transferência.</t>
      </is>
    </nc>
    <odxf>
      <alignment wrapText="0"/>
    </odxf>
    <ndxf>
      <alignment wrapText="1"/>
    </ndxf>
  </rcc>
  <rfmt sheetId="5" sqref="BR18" start="0" length="0">
    <dxf>
      <alignment wrapText="1"/>
    </dxf>
  </rfmt>
  <rfmt sheetId="5" sqref="BS18" start="0" length="0">
    <dxf>
      <alignment wrapText="1"/>
    </dxf>
  </rfmt>
  <rfmt sheetId="5" sqref="BT18" start="0" length="0">
    <dxf>
      <alignment wrapText="1"/>
    </dxf>
  </rfmt>
  <rfmt sheetId="5" sqref="BU18" start="0" length="0">
    <dxf>
      <alignment wrapText="1"/>
    </dxf>
  </rfmt>
  <rcc rId="13153" sId="5">
    <nc r="BS2">
      <v>1</v>
    </nc>
  </rcc>
  <rcc rId="13154" sId="5">
    <nc r="BT4">
      <v>1</v>
    </nc>
  </rcc>
  <rcc rId="13155" sId="5">
    <nc r="BU4">
      <v>2</v>
    </nc>
  </rcc>
  <rcc rId="13156" sId="5">
    <nc r="BR13">
      <v>2</v>
    </nc>
  </rcc>
  <rcc rId="13157" sId="5">
    <nc r="BS13">
      <v>1</v>
    </nc>
  </rcc>
  <rcc rId="13158" sId="5">
    <nc r="BT13">
      <v>1</v>
    </nc>
  </rcc>
  <rcc rId="13159" sId="5">
    <nc r="BU14">
      <v>1</v>
    </nc>
  </rcc>
  <rcc rId="13160" sId="5">
    <nc r="BT15">
      <v>70</v>
    </nc>
  </rcc>
  <rcc rId="13161" sId="5">
    <nc r="BR16">
      <v>10</v>
    </nc>
  </rcc>
  <rcc rId="13162" sId="5">
    <nc r="BR18" t="inlineStr">
      <is>
        <t>1. Conferência 
10 caixas 
DEFNAS.
2. Pesquisa de processos - solictação do 
e-mail da CONJUR:
44000.001801/2007-42
44006.002300/2001-38
44006.0047/2000-21</t>
      </is>
    </nc>
  </rcc>
  <rcc rId="13163" sId="5">
    <nc r="BS18" t="inlineStr">
      <is>
        <t xml:space="preserve"> 1. Pesquisa e busca processo
58000.002183/2009-24</t>
      </is>
    </nc>
  </rcc>
  <rcc rId="13164" sId="5">
    <nc r="BT18" t="inlineStr">
      <is>
        <t>1. Arquivamento e movimentação 
70 caixas da DEFNAS.</t>
      </is>
    </nc>
  </rcc>
  <rcc rId="13165" sId="5">
    <nc r="BU18" t="inlineStr">
      <is>
        <t>1. Orientação a CGP/MESP
para Arquivamento, via telefone.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Diego!$A$1:$A$19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76" sId="10">
    <nc r="C18" t="inlineStr">
      <is>
        <t>Transcrição dos processos SEI (Diarq) para Excel</t>
      </is>
    </nc>
  </rcc>
  <rfmt sheetId="10" sqref="C18">
    <dxf>
      <alignment wrapText="1"/>
    </dxf>
  </rfmt>
  <rcc rId="13177" sId="10" odxf="1" dxf="1">
    <nc r="D18" t="inlineStr">
      <is>
        <t>Transcrição dos processos SEI (Diarq) para Excel</t>
      </is>
    </nc>
    <odxf>
      <alignment wrapText="0"/>
    </odxf>
    <ndxf>
      <alignment wrapText="1"/>
    </ndxf>
  </rcc>
  <rcc rId="13178" sId="10" odxf="1" dxf="1">
    <nc r="E18" t="inlineStr">
      <is>
        <t>Transcrição dos processos SEI (Diarq) para Excel</t>
      </is>
    </nc>
    <odxf>
      <alignment wrapText="0"/>
    </odxf>
    <ndxf>
      <alignment wrapText="1"/>
    </ndxf>
  </rcc>
  <rcc rId="13179" sId="10" odxf="1" dxf="1">
    <nc r="F18" t="inlineStr">
      <is>
        <t>Transcrição dos processos SEI (Diarq) para Excel</t>
      </is>
    </nc>
    <odxf>
      <alignment wrapText="0"/>
    </odxf>
    <ndxf>
      <alignment wrapText="1"/>
    </ndxf>
  </rcc>
  <rcc rId="13180" sId="10" odxf="1" dxf="1">
    <nc r="G18" t="inlineStr">
      <is>
        <t>Transcrição dos processos SEI (Diarq) para Excel</t>
      </is>
    </nc>
    <odxf>
      <alignment wrapText="0"/>
    </odxf>
    <ndxf>
      <alignment wrapText="1"/>
    </ndxf>
  </rcc>
  <rfmt sheetId="10" sqref="C18:G18" start="0" length="2147483647">
    <dxf>
      <font>
        <b/>
      </font>
    </dxf>
  </rfmt>
  <rcc rId="13181" sId="10" odxf="1" dxf="1">
    <nc r="I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182" sId="10" odxf="1" dxf="1">
    <nc r="J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183" sId="10" odxf="1" dxf="1">
    <nc r="K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184" sId="10" odxf="1" dxf="1">
    <nc r="L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185" sId="10" odxf="1" dxf="1">
    <nc r="M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Diego!$A$1:$A$19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Diego!$A$1:$A$19</formula>
    <oldFormula>Diego!$A$1:$A$19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8" start="0" length="0">
    <dxf>
      <alignment wrapText="1"/>
    </dxf>
  </rfmt>
  <rfmt sheetId="8" sqref="F18" start="0" length="0">
    <dxf>
      <alignment wrapText="1"/>
    </dxf>
  </rfmt>
  <rfmt sheetId="8" sqref="G18" start="0" length="0">
    <dxf>
      <alignment wrapText="1"/>
    </dxf>
  </rfmt>
  <rfmt sheetId="8" xfDxf="1" sqref="C2" start="0" length="0">
    <dxf>
      <alignment horizontal="center" vertical="center"/>
    </dxf>
  </rfmt>
  <rfmt sheetId="8" xfDxf="1" sqref="D2" start="0" length="0">
    <dxf>
      <alignment horizontal="center" vertical="center"/>
    </dxf>
  </rfmt>
  <rfmt sheetId="8" xfDxf="1" sqref="E2" start="0" length="0">
    <dxf>
      <alignment horizontal="center" vertical="center"/>
    </dxf>
  </rfmt>
  <rfmt sheetId="8" xfDxf="1" sqref="F2" start="0" length="0">
    <dxf>
      <alignment horizontal="center" vertical="center"/>
    </dxf>
  </rfmt>
  <rfmt sheetId="8" xfDxf="1" sqref="G2" start="0" length="0">
    <dxf>
      <alignment horizontal="center" vertical="center"/>
    </dxf>
  </rfmt>
  <rcc rId="13206" sId="8" xfDxf="1" dxf="1">
    <oc r="H2">
      <f>SUM(C2:G2)</f>
    </oc>
    <nc r="H2">
      <v>1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2" start="0" length="0">
    <dxf>
      <alignment horizontal="center" vertical="center"/>
    </dxf>
  </rfmt>
  <rfmt sheetId="8" xfDxf="1" sqref="J2" start="0" length="0">
    <dxf>
      <alignment horizontal="center" vertical="center"/>
    </dxf>
  </rfmt>
  <rfmt sheetId="8" xfDxf="1" sqref="K2" start="0" length="0">
    <dxf>
      <alignment horizontal="center" vertical="center"/>
    </dxf>
  </rfmt>
  <rfmt sheetId="8" xfDxf="1" sqref="L2" start="0" length="0">
    <dxf>
      <alignment horizontal="center" vertical="center"/>
    </dxf>
  </rfmt>
  <rfmt sheetId="8" xfDxf="1" sqref="M2" start="0" length="0">
    <dxf>
      <alignment horizontal="center" vertical="center"/>
    </dxf>
  </rfmt>
  <rfmt sheetId="8" xfDxf="1" sqref="C3" start="0" length="0">
    <dxf>
      <alignment horizontal="center" vertical="center"/>
    </dxf>
  </rfmt>
  <rfmt sheetId="8" xfDxf="1" sqref="D3" start="0" length="0">
    <dxf>
      <alignment horizontal="center" vertical="center"/>
    </dxf>
  </rfmt>
  <rfmt sheetId="8" xfDxf="1" sqref="E3" start="0" length="0">
    <dxf>
      <alignment horizontal="center" vertical="center"/>
    </dxf>
  </rfmt>
  <rfmt sheetId="8" xfDxf="1" sqref="F3" start="0" length="0">
    <dxf>
      <alignment horizontal="center" vertical="center"/>
    </dxf>
  </rfmt>
  <rfmt sheetId="8" xfDxf="1" sqref="G3" start="0" length="0">
    <dxf>
      <alignment horizontal="center" vertical="center"/>
    </dxf>
  </rfmt>
  <rcc rId="13207" sId="8" xfDxf="1" dxf="1">
    <oc r="H3">
      <f>SUM(C3:G3)</f>
    </oc>
    <nc r="H3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3" start="0" length="0">
    <dxf>
      <alignment horizontal="center" vertical="center"/>
    </dxf>
  </rfmt>
  <rfmt sheetId="8" xfDxf="1" sqref="J3" start="0" length="0">
    <dxf>
      <alignment horizontal="center" vertical="center"/>
    </dxf>
  </rfmt>
  <rfmt sheetId="8" xfDxf="1" sqref="K3" start="0" length="0">
    <dxf>
      <alignment horizontal="center" vertical="center"/>
    </dxf>
  </rfmt>
  <rfmt sheetId="8" xfDxf="1" sqref="L3" start="0" length="0">
    <dxf>
      <alignment horizontal="center" vertical="center"/>
    </dxf>
  </rfmt>
  <rfmt sheetId="8" xfDxf="1" sqref="M3" start="0" length="0">
    <dxf>
      <alignment horizontal="center" vertical="center"/>
    </dxf>
  </rfmt>
  <rfmt sheetId="8" xfDxf="1" sqref="C4" start="0" length="0">
    <dxf>
      <alignment horizontal="center" vertical="center"/>
    </dxf>
  </rfmt>
  <rfmt sheetId="8" xfDxf="1" sqref="D4" start="0" length="0">
    <dxf>
      <alignment horizontal="center" vertical="center"/>
    </dxf>
  </rfmt>
  <rfmt sheetId="8" xfDxf="1" sqref="E4" start="0" length="0">
    <dxf>
      <alignment horizontal="center" vertical="center"/>
    </dxf>
  </rfmt>
  <rfmt sheetId="8" xfDxf="1" sqref="F4" start="0" length="0">
    <dxf>
      <alignment horizontal="center" vertical="center"/>
    </dxf>
  </rfmt>
  <rfmt sheetId="8" xfDxf="1" sqref="G4" start="0" length="0">
    <dxf>
      <alignment horizontal="center" vertical="center"/>
    </dxf>
  </rfmt>
  <rcc rId="13208" sId="8" xfDxf="1" dxf="1">
    <oc r="H4">
      <f>SUM(C4:G4)</f>
    </oc>
    <nc r="H4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4" start="0" length="0">
    <dxf>
      <alignment horizontal="center" vertical="center"/>
    </dxf>
  </rfmt>
  <rfmt sheetId="8" xfDxf="1" sqref="J4" start="0" length="0">
    <dxf>
      <alignment horizontal="center" vertical="center"/>
    </dxf>
  </rfmt>
  <rfmt sheetId="8" xfDxf="1" sqref="K4" start="0" length="0">
    <dxf>
      <alignment horizontal="center" vertical="center"/>
    </dxf>
  </rfmt>
  <rfmt sheetId="8" xfDxf="1" sqref="L4" start="0" length="0">
    <dxf>
      <alignment horizontal="center" vertical="center"/>
    </dxf>
  </rfmt>
  <rfmt sheetId="8" xfDxf="1" sqref="M4" start="0" length="0">
    <dxf>
      <alignment horizontal="center" vertical="center"/>
    </dxf>
  </rfmt>
  <rfmt sheetId="8" xfDxf="1" sqref="C5" start="0" length="0">
    <dxf>
      <alignment horizontal="center" vertical="center"/>
    </dxf>
  </rfmt>
  <rfmt sheetId="8" xfDxf="1" sqref="D5" start="0" length="0">
    <dxf>
      <alignment horizontal="center" vertical="center"/>
    </dxf>
  </rfmt>
  <rfmt sheetId="8" xfDxf="1" sqref="E5" start="0" length="0">
    <dxf>
      <alignment horizontal="center" vertical="center"/>
    </dxf>
  </rfmt>
  <rfmt sheetId="8" xfDxf="1" sqref="F5" start="0" length="0">
    <dxf>
      <alignment horizontal="center" vertical="center"/>
    </dxf>
  </rfmt>
  <rfmt sheetId="8" xfDxf="1" sqref="G5" start="0" length="0">
    <dxf>
      <alignment horizontal="center" vertical="center"/>
    </dxf>
  </rfmt>
  <rcc rId="13209" sId="8" xfDxf="1" dxf="1">
    <oc r="H5">
      <f>SUM(C5:G5)</f>
    </oc>
    <nc r="H5">
      <v>2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5" start="0" length="0">
    <dxf>
      <alignment horizontal="center" vertical="center"/>
    </dxf>
  </rfmt>
  <rfmt sheetId="8" xfDxf="1" sqref="J5" start="0" length="0">
    <dxf>
      <alignment horizontal="center" vertical="center"/>
    </dxf>
  </rfmt>
  <rfmt sheetId="8" xfDxf="1" sqref="K5" start="0" length="0">
    <dxf>
      <alignment horizontal="center" vertical="center"/>
    </dxf>
  </rfmt>
  <rfmt sheetId="8" xfDxf="1" sqref="L5" start="0" length="0">
    <dxf>
      <font>
        <b/>
      </font>
      <alignment horizontal="center" vertical="center"/>
    </dxf>
  </rfmt>
  <rfmt sheetId="8" xfDxf="1" sqref="M5" start="0" length="0">
    <dxf>
      <alignment horizontal="center" vertical="center"/>
    </dxf>
  </rfmt>
  <rfmt sheetId="8" xfDxf="1" sqref="C6" start="0" length="0">
    <dxf>
      <alignment horizontal="center" vertical="center"/>
    </dxf>
  </rfmt>
  <rfmt sheetId="8" xfDxf="1" sqref="D6" start="0" length="0">
    <dxf>
      <alignment horizontal="center" vertical="center"/>
    </dxf>
  </rfmt>
  <rfmt sheetId="8" xfDxf="1" sqref="E6" start="0" length="0">
    <dxf>
      <alignment horizontal="center" vertical="center"/>
    </dxf>
  </rfmt>
  <rfmt sheetId="8" xfDxf="1" sqref="F6" start="0" length="0">
    <dxf>
      <alignment horizontal="center" vertical="center"/>
    </dxf>
  </rfmt>
  <rfmt sheetId="8" xfDxf="1" sqref="G6" start="0" length="0">
    <dxf>
      <alignment horizontal="center" vertical="center"/>
    </dxf>
  </rfmt>
  <rcc rId="13210" sId="8" xfDxf="1" dxf="1">
    <oc r="H6">
      <f>SUM(C6:G6)</f>
    </oc>
    <nc r="H6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6" start="0" length="0">
    <dxf>
      <alignment horizontal="center" vertical="center"/>
    </dxf>
  </rfmt>
  <rfmt sheetId="8" xfDxf="1" sqref="J6" start="0" length="0">
    <dxf>
      <alignment horizontal="center" vertical="center"/>
    </dxf>
  </rfmt>
  <rfmt sheetId="8" xfDxf="1" sqref="K6" start="0" length="0">
    <dxf>
      <alignment horizontal="center" vertical="center"/>
    </dxf>
  </rfmt>
  <rfmt sheetId="8" xfDxf="1" sqref="L6" start="0" length="0">
    <dxf>
      <font>
        <b/>
      </font>
      <alignment horizontal="center" vertical="center"/>
    </dxf>
  </rfmt>
  <rfmt sheetId="8" xfDxf="1" sqref="M6" start="0" length="0">
    <dxf>
      <alignment horizontal="center" vertical="center"/>
    </dxf>
  </rfmt>
  <rfmt sheetId="8" xfDxf="1" sqref="C7" start="0" length="0">
    <dxf>
      <alignment horizontal="center" vertical="center"/>
    </dxf>
  </rfmt>
  <rfmt sheetId="8" xfDxf="1" sqref="D7" start="0" length="0">
    <dxf>
      <alignment horizontal="center" vertical="center"/>
    </dxf>
  </rfmt>
  <rfmt sheetId="8" xfDxf="1" sqref="E7" start="0" length="0">
    <dxf>
      <alignment horizontal="center" vertical="center"/>
    </dxf>
  </rfmt>
  <rfmt sheetId="8" xfDxf="1" sqref="F7" start="0" length="0">
    <dxf>
      <alignment horizontal="center" vertical="center"/>
    </dxf>
  </rfmt>
  <rfmt sheetId="8" xfDxf="1" sqref="G7" start="0" length="0">
    <dxf>
      <alignment horizontal="center" vertical="center"/>
    </dxf>
  </rfmt>
  <rcc rId="13211" sId="8" xfDxf="1" dxf="1">
    <oc r="H7">
      <f>SUM(C7:G7)</f>
    </oc>
    <nc r="H7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7" start="0" length="0">
    <dxf>
      <alignment horizontal="center" vertical="center"/>
    </dxf>
  </rfmt>
  <rfmt sheetId="8" xfDxf="1" sqref="J7" start="0" length="0">
    <dxf>
      <alignment horizontal="center" vertical="center"/>
    </dxf>
  </rfmt>
  <rfmt sheetId="8" xfDxf="1" sqref="K7" start="0" length="0">
    <dxf>
      <alignment horizontal="center" vertical="center"/>
    </dxf>
  </rfmt>
  <rfmt sheetId="8" xfDxf="1" sqref="L7" start="0" length="0">
    <dxf>
      <alignment horizontal="center" vertical="center"/>
    </dxf>
  </rfmt>
  <rfmt sheetId="8" xfDxf="1" sqref="M7" start="0" length="0">
    <dxf>
      <alignment horizontal="center" vertical="center"/>
    </dxf>
  </rfmt>
  <rfmt sheetId="8" xfDxf="1" sqref="C8" start="0" length="0">
    <dxf>
      <alignment horizontal="center" vertical="center"/>
    </dxf>
  </rfmt>
  <rfmt sheetId="8" xfDxf="1" sqref="D8" start="0" length="0">
    <dxf>
      <alignment horizontal="center" vertical="center"/>
    </dxf>
  </rfmt>
  <rfmt sheetId="8" xfDxf="1" sqref="E8" start="0" length="0">
    <dxf>
      <alignment horizontal="center" vertical="center"/>
    </dxf>
  </rfmt>
  <rfmt sheetId="8" xfDxf="1" sqref="F8" start="0" length="0">
    <dxf>
      <alignment horizontal="center" vertical="center"/>
    </dxf>
  </rfmt>
  <rfmt sheetId="8" xfDxf="1" sqref="G8" start="0" length="0">
    <dxf>
      <alignment horizontal="center" vertical="center"/>
    </dxf>
  </rfmt>
  <rcc rId="13212" sId="8" xfDxf="1" dxf="1">
    <oc r="H8">
      <f>SUM(C8:G8)</f>
    </oc>
    <nc r="H8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8" start="0" length="0">
    <dxf>
      <alignment horizontal="center" vertical="center"/>
    </dxf>
  </rfmt>
  <rfmt sheetId="8" xfDxf="1" sqref="J8" start="0" length="0">
    <dxf>
      <alignment horizontal="center" vertical="center"/>
    </dxf>
  </rfmt>
  <rfmt sheetId="8" xfDxf="1" sqref="K8" start="0" length="0">
    <dxf>
      <alignment horizontal="center" vertical="center"/>
    </dxf>
  </rfmt>
  <rfmt sheetId="8" xfDxf="1" sqref="L8" start="0" length="0">
    <dxf>
      <alignment horizontal="center" vertical="center"/>
    </dxf>
  </rfmt>
  <rfmt sheetId="8" xfDxf="1" sqref="M8" start="0" length="0">
    <dxf>
      <alignment horizontal="center" vertical="center"/>
    </dxf>
  </rfmt>
  <rfmt sheetId="8" xfDxf="1" sqref="C9" start="0" length="0">
    <dxf>
      <alignment horizontal="center" vertical="center"/>
    </dxf>
  </rfmt>
  <rfmt sheetId="8" xfDxf="1" sqref="D9" start="0" length="0">
    <dxf>
      <alignment horizontal="center" vertical="center"/>
    </dxf>
  </rfmt>
  <rfmt sheetId="8" xfDxf="1" sqref="E9" start="0" length="0">
    <dxf>
      <alignment horizontal="center" vertical="center"/>
    </dxf>
  </rfmt>
  <rfmt sheetId="8" xfDxf="1" sqref="F9" start="0" length="0">
    <dxf>
      <alignment horizontal="center" vertical="center"/>
    </dxf>
  </rfmt>
  <rfmt sheetId="8" xfDxf="1" sqref="G9" start="0" length="0">
    <dxf>
      <alignment horizontal="center" vertical="center"/>
    </dxf>
  </rfmt>
  <rcc rId="13213" sId="8" xfDxf="1" dxf="1">
    <oc r="H9">
      <f>SUM(C9:G9)</f>
    </oc>
    <nc r="H9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9" start="0" length="0">
    <dxf>
      <alignment horizontal="center" vertical="center"/>
    </dxf>
  </rfmt>
  <rfmt sheetId="8" xfDxf="1" sqref="J9" start="0" length="0">
    <dxf>
      <alignment horizontal="center" vertical="center"/>
    </dxf>
  </rfmt>
  <rfmt sheetId="8" xfDxf="1" sqref="K9" start="0" length="0">
    <dxf>
      <alignment horizontal="center" vertical="center"/>
    </dxf>
  </rfmt>
  <rfmt sheetId="8" xfDxf="1" sqref="L9" start="0" length="0">
    <dxf>
      <alignment horizontal="center" vertical="center"/>
    </dxf>
  </rfmt>
  <rfmt sheetId="8" xfDxf="1" sqref="M9" start="0" length="0">
    <dxf>
      <alignment horizontal="center" vertical="center"/>
    </dxf>
  </rfmt>
  <rfmt sheetId="8" xfDxf="1" sqref="C10" start="0" length="0">
    <dxf>
      <alignment horizontal="center" vertical="center"/>
    </dxf>
  </rfmt>
  <rfmt sheetId="8" xfDxf="1" sqref="D10" start="0" length="0">
    <dxf>
      <alignment horizontal="center" vertical="center"/>
    </dxf>
  </rfmt>
  <rfmt sheetId="8" xfDxf="1" sqref="E10" start="0" length="0">
    <dxf>
      <alignment horizontal="center" vertical="center"/>
    </dxf>
  </rfmt>
  <rfmt sheetId="8" xfDxf="1" sqref="F10" start="0" length="0">
    <dxf>
      <alignment horizontal="center" vertical="center"/>
    </dxf>
  </rfmt>
  <rfmt sheetId="8" xfDxf="1" sqref="G10" start="0" length="0">
    <dxf>
      <alignment horizontal="center" vertical="center"/>
    </dxf>
  </rfmt>
  <rcc rId="13214" sId="8" xfDxf="1" dxf="1">
    <oc r="H10">
      <f>SUM(C10:G10)</f>
    </oc>
    <nc r="H10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0" start="0" length="0">
    <dxf>
      <alignment horizontal="center" vertical="center"/>
    </dxf>
  </rfmt>
  <rfmt sheetId="8" xfDxf="1" sqref="J10" start="0" length="0">
    <dxf>
      <alignment horizontal="center" vertical="center"/>
    </dxf>
  </rfmt>
  <rfmt sheetId="8" xfDxf="1" sqref="K10" start="0" length="0">
    <dxf>
      <alignment horizontal="center" vertical="center"/>
    </dxf>
  </rfmt>
  <rfmt sheetId="8" xfDxf="1" sqref="L10" start="0" length="0">
    <dxf>
      <alignment horizontal="center" vertical="center"/>
    </dxf>
  </rfmt>
  <rfmt sheetId="8" xfDxf="1" sqref="M10" start="0" length="0">
    <dxf>
      <alignment horizontal="center" vertical="center"/>
    </dxf>
  </rfmt>
  <rfmt sheetId="8" xfDxf="1" sqref="C11" start="0" length="0">
    <dxf>
      <alignment horizontal="center" vertical="center"/>
    </dxf>
  </rfmt>
  <rfmt sheetId="8" xfDxf="1" sqref="D11" start="0" length="0">
    <dxf>
      <alignment horizontal="center" vertical="center"/>
    </dxf>
  </rfmt>
  <rfmt sheetId="8" xfDxf="1" sqref="E11" start="0" length="0">
    <dxf>
      <alignment horizontal="center" vertical="center"/>
    </dxf>
  </rfmt>
  <rfmt sheetId="8" xfDxf="1" sqref="F11" start="0" length="0">
    <dxf>
      <alignment horizontal="center" vertical="center"/>
    </dxf>
  </rfmt>
  <rfmt sheetId="8" xfDxf="1" sqref="G11" start="0" length="0">
    <dxf>
      <alignment horizontal="center" vertical="center"/>
    </dxf>
  </rfmt>
  <rcc rId="13215" sId="8" xfDxf="1" dxf="1">
    <oc r="H11">
      <f>SUM(C11:G11)</f>
    </oc>
    <nc r="H11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1" start="0" length="0">
    <dxf>
      <alignment horizontal="center" vertical="center"/>
    </dxf>
  </rfmt>
  <rfmt sheetId="8" xfDxf="1" sqref="J11" start="0" length="0">
    <dxf>
      <alignment horizontal="center" vertical="center"/>
    </dxf>
  </rfmt>
  <rfmt sheetId="8" xfDxf="1" sqref="K11" start="0" length="0">
    <dxf>
      <alignment horizontal="center" vertical="center"/>
    </dxf>
  </rfmt>
  <rfmt sheetId="8" xfDxf="1" sqref="L11" start="0" length="0">
    <dxf>
      <alignment horizontal="center" vertical="center"/>
    </dxf>
  </rfmt>
  <rfmt sheetId="8" xfDxf="1" sqref="M11" start="0" length="0">
    <dxf>
      <alignment horizontal="center" vertical="center"/>
    </dxf>
  </rfmt>
  <rfmt sheetId="8" xfDxf="1" sqref="C12" start="0" length="0">
    <dxf>
      <alignment horizontal="center" vertical="center"/>
    </dxf>
  </rfmt>
  <rfmt sheetId="8" xfDxf="1" sqref="D12" start="0" length="0">
    <dxf>
      <alignment horizontal="center" vertical="center"/>
    </dxf>
  </rfmt>
  <rfmt sheetId="8" xfDxf="1" sqref="E12" start="0" length="0">
    <dxf>
      <alignment horizontal="center" vertical="center"/>
    </dxf>
  </rfmt>
  <rfmt sheetId="8" xfDxf="1" sqref="F12" start="0" length="0">
    <dxf>
      <alignment horizontal="center" vertical="center"/>
    </dxf>
  </rfmt>
  <rfmt sheetId="8" xfDxf="1" sqref="G12" start="0" length="0">
    <dxf>
      <alignment horizontal="center" vertical="center"/>
    </dxf>
  </rfmt>
  <rcc rId="13216" sId="8" xfDxf="1" dxf="1">
    <oc r="H12">
      <f>SUM(C12:G12)</f>
    </oc>
    <nc r="H12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2" start="0" length="0">
    <dxf>
      <alignment horizontal="center" vertical="center"/>
    </dxf>
  </rfmt>
  <rfmt sheetId="8" xfDxf="1" sqref="J12" start="0" length="0">
    <dxf>
      <alignment horizontal="center" vertical="center"/>
    </dxf>
  </rfmt>
  <rfmt sheetId="8" xfDxf="1" sqref="K12" start="0" length="0">
    <dxf>
      <alignment horizontal="center" vertical="center"/>
    </dxf>
  </rfmt>
  <rfmt sheetId="8" xfDxf="1" sqref="L12" start="0" length="0">
    <dxf>
      <alignment horizontal="center" vertical="center"/>
    </dxf>
  </rfmt>
  <rfmt sheetId="8" xfDxf="1" sqref="M12" start="0" length="0">
    <dxf>
      <alignment horizontal="center" vertical="center"/>
    </dxf>
  </rfmt>
  <rfmt sheetId="8" xfDxf="1" sqref="C13" start="0" length="0">
    <dxf>
      <alignment horizontal="center" vertical="center"/>
    </dxf>
  </rfmt>
  <rfmt sheetId="8" xfDxf="1" sqref="D13" start="0" length="0">
    <dxf>
      <alignment horizontal="center" vertical="center"/>
    </dxf>
  </rfmt>
  <rfmt sheetId="8" xfDxf="1" sqref="E13" start="0" length="0">
    <dxf>
      <alignment horizontal="center" vertical="center"/>
    </dxf>
  </rfmt>
  <rfmt sheetId="8" xfDxf="1" sqref="F13" start="0" length="0">
    <dxf>
      <alignment horizontal="center" vertical="center"/>
    </dxf>
  </rfmt>
  <rfmt sheetId="8" xfDxf="1" sqref="G13" start="0" length="0">
    <dxf>
      <alignment horizontal="center" vertical="center"/>
    </dxf>
  </rfmt>
  <rcc rId="13217" sId="8" xfDxf="1" dxf="1">
    <oc r="H13">
      <f>SUM(C13:G13)</f>
    </oc>
    <nc r="H13">
      <v>2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3" start="0" length="0">
    <dxf>
      <alignment horizontal="center" vertical="center"/>
    </dxf>
  </rfmt>
  <rfmt sheetId="8" xfDxf="1" sqref="J13" start="0" length="0">
    <dxf>
      <alignment horizontal="center" vertical="center"/>
    </dxf>
  </rfmt>
  <rfmt sheetId="8" xfDxf="1" sqref="K13" start="0" length="0">
    <dxf>
      <alignment horizontal="center" vertical="center"/>
    </dxf>
  </rfmt>
  <rfmt sheetId="8" xfDxf="1" sqref="L13" start="0" length="0">
    <dxf>
      <alignment horizontal="center" vertical="center"/>
    </dxf>
  </rfmt>
  <rfmt sheetId="8" xfDxf="1" sqref="M13" start="0" length="0">
    <dxf>
      <alignment horizontal="center" vertical="center"/>
    </dxf>
  </rfmt>
  <rfmt sheetId="8" xfDxf="1" sqref="C14" start="0" length="0">
    <dxf>
      <alignment horizontal="center" vertical="center"/>
    </dxf>
  </rfmt>
  <rfmt sheetId="8" xfDxf="1" sqref="D14" start="0" length="0">
    <dxf>
      <alignment horizontal="center" vertical="center"/>
    </dxf>
  </rfmt>
  <rfmt sheetId="8" xfDxf="1" sqref="E14" start="0" length="0">
    <dxf>
      <alignment horizontal="center" vertical="center"/>
    </dxf>
  </rfmt>
  <rfmt sheetId="8" xfDxf="1" sqref="F14" start="0" length="0">
    <dxf>
      <alignment horizontal="center" vertical="center"/>
    </dxf>
  </rfmt>
  <rfmt sheetId="8" xfDxf="1" sqref="G14" start="0" length="0">
    <dxf>
      <alignment horizontal="center" vertical="center"/>
    </dxf>
  </rfmt>
  <rcc rId="13218" sId="8" xfDxf="1" dxf="1">
    <oc r="H14">
      <f>SUM(C14:G14)</f>
    </oc>
    <nc r="H14">
      <v>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4" start="0" length="0">
    <dxf>
      <alignment horizontal="center" vertical="center"/>
    </dxf>
  </rfmt>
  <rfmt sheetId="8" xfDxf="1" sqref="J14" start="0" length="0">
    <dxf>
      <alignment horizontal="center" vertical="center"/>
    </dxf>
  </rfmt>
  <rfmt sheetId="8" xfDxf="1" sqref="K14" start="0" length="0">
    <dxf>
      <alignment horizontal="center" vertical="center"/>
    </dxf>
  </rfmt>
  <rfmt sheetId="8" xfDxf="1" sqref="L14" start="0" length="0">
    <dxf>
      <alignment horizontal="center" vertical="center"/>
    </dxf>
  </rfmt>
  <rfmt sheetId="8" xfDxf="1" sqref="M14" start="0" length="0">
    <dxf>
      <alignment horizontal="center" vertical="center"/>
    </dxf>
  </rfmt>
  <rfmt sheetId="8" xfDxf="1" sqref="C15" start="0" length="0">
    <dxf>
      <alignment horizontal="center" vertical="center"/>
    </dxf>
  </rfmt>
  <rfmt sheetId="8" xfDxf="1" sqref="D15" start="0" length="0">
    <dxf>
      <alignment horizontal="center" vertical="center"/>
    </dxf>
  </rfmt>
  <rfmt sheetId="8" xfDxf="1" sqref="E15" start="0" length="0">
    <dxf>
      <alignment horizontal="center" vertical="center"/>
    </dxf>
  </rfmt>
  <rcc rId="13219" sId="8" xfDxf="1" dxf="1">
    <nc r="F15">
      <v>149</v>
    </nc>
    <ndxf>
      <alignment horizontal="center" vertical="center"/>
    </ndxf>
  </rcc>
  <rfmt sheetId="8" xfDxf="1" sqref="G15" start="0" length="0">
    <dxf>
      <alignment horizontal="center" vertical="center"/>
    </dxf>
  </rfmt>
  <rcc rId="13220" sId="8" xfDxf="1" dxf="1">
    <oc r="H15">
      <f>SUM(C15:G15)</f>
    </oc>
    <nc r="H15">
      <v>149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5" start="0" length="0">
    <dxf>
      <alignment horizontal="center" vertical="center"/>
    </dxf>
  </rfmt>
  <rfmt sheetId="8" xfDxf="1" sqref="J15" start="0" length="0">
    <dxf>
      <alignment horizontal="center" vertical="center"/>
    </dxf>
  </rfmt>
  <rfmt sheetId="8" xfDxf="1" sqref="K15" start="0" length="0">
    <dxf>
      <alignment horizontal="center" vertical="center"/>
    </dxf>
  </rfmt>
  <rcc rId="13221" sId="8" xfDxf="1" dxf="1">
    <nc r="L15">
      <v>70</v>
    </nc>
    <ndxf>
      <alignment horizontal="center" vertical="center"/>
    </ndxf>
  </rcc>
  <rfmt sheetId="8" xfDxf="1" sqref="M15" start="0" length="0">
    <dxf>
      <alignment horizontal="center" vertical="center"/>
    </dxf>
  </rfmt>
  <rfmt sheetId="8" xfDxf="1" sqref="C16" start="0" length="0">
    <dxf>
      <alignment horizontal="center" vertical="center"/>
    </dxf>
  </rfmt>
  <rfmt sheetId="8" xfDxf="1" sqref="D16" start="0" length="0">
    <dxf>
      <alignment horizontal="center" vertical="center"/>
    </dxf>
  </rfmt>
  <rfmt sheetId="8" xfDxf="1" sqref="E16" start="0" length="0">
    <dxf>
      <alignment horizontal="center" vertical="center"/>
    </dxf>
  </rfmt>
  <rfmt sheetId="8" xfDxf="1" sqref="F16" start="0" length="0">
    <dxf>
      <alignment horizontal="center" vertical="center"/>
    </dxf>
  </rfmt>
  <rfmt sheetId="8" xfDxf="1" sqref="G16" start="0" length="0">
    <dxf>
      <alignment horizontal="center" vertical="center"/>
    </dxf>
  </rfmt>
  <rcc rId="13222" sId="8" xfDxf="1" dxf="1">
    <oc r="H16">
      <f>SUM(C16:G16)</f>
    </oc>
    <nc r="H16">
      <v>11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ndxf>
  </rcc>
  <rfmt sheetId="8" xfDxf="1" sqref="I16" start="0" length="0">
    <dxf>
      <alignment horizontal="center" vertical="center"/>
    </dxf>
  </rfmt>
  <rfmt sheetId="8" xfDxf="1" sqref="J16" start="0" length="0">
    <dxf>
      <alignment horizontal="center" vertical="center"/>
    </dxf>
  </rfmt>
  <rfmt sheetId="8" xfDxf="1" sqref="K16" start="0" length="0">
    <dxf>
      <alignment horizontal="center" vertical="center"/>
    </dxf>
  </rfmt>
  <rfmt sheetId="8" xfDxf="1" sqref="L16" start="0" length="0">
    <dxf>
      <alignment horizontal="center" vertical="center"/>
    </dxf>
  </rfmt>
  <rfmt sheetId="8" xfDxf="1" sqref="M16" start="0" length="0">
    <dxf>
      <alignment horizontal="center" vertical="center"/>
    </dxf>
  </rfmt>
  <rfmt sheetId="8" xfDxf="1" sqref="C17" start="0" length="0">
    <dxf>
      <alignment horizontal="center" vertical="center"/>
      <border outline="0">
        <bottom style="thin">
          <color indexed="64"/>
        </bottom>
      </border>
    </dxf>
  </rfmt>
  <rfmt sheetId="8" xfDxf="1" sqref="D17" start="0" length="0">
    <dxf>
      <alignment horizontal="center" vertical="center"/>
      <border outline="0">
        <bottom style="thin">
          <color indexed="64"/>
        </bottom>
      </border>
    </dxf>
  </rfmt>
  <rfmt sheetId="8" xfDxf="1" sqref="E17" start="0" length="0">
    <dxf>
      <alignment horizontal="center" vertical="center"/>
      <border outline="0">
        <bottom style="thin">
          <color indexed="64"/>
        </bottom>
      </border>
    </dxf>
  </rfmt>
  <rfmt sheetId="8" xfDxf="1" sqref="F17" start="0" length="0">
    <dxf>
      <alignment horizontal="center" vertical="center"/>
      <border outline="0">
        <bottom style="thin">
          <color indexed="64"/>
        </bottom>
      </border>
    </dxf>
  </rfmt>
  <rfmt sheetId="8" xfDxf="1" sqref="G17" start="0" length="0">
    <dxf>
      <alignment horizontal="center" vertical="center"/>
      <border outline="0">
        <bottom style="thin">
          <color indexed="64"/>
        </bottom>
      </border>
    </dxf>
  </rfmt>
  <rcc rId="13223" sId="8" xfDxf="1" dxf="1">
    <oc r="H17">
      <f>SUM(C17:G17)</f>
    </oc>
    <nc r="H17">
      <v>30</v>
    </nc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8" xfDxf="1" sqref="I17" start="0" length="0">
    <dxf>
      <alignment horizontal="center" vertical="center"/>
      <border outline="0">
        <bottom style="thin">
          <color indexed="64"/>
        </bottom>
      </border>
    </dxf>
  </rfmt>
  <rfmt sheetId="8" xfDxf="1" sqref="J17" start="0" length="0">
    <dxf>
      <alignment horizontal="center" vertical="center"/>
      <border outline="0">
        <bottom style="thin">
          <color indexed="64"/>
        </bottom>
      </border>
    </dxf>
  </rfmt>
  <rfmt sheetId="8" xfDxf="1" sqref="K17" start="0" length="0">
    <dxf>
      <alignment horizontal="center" vertical="center"/>
      <border outline="0">
        <bottom style="thin">
          <color indexed="64"/>
        </bottom>
      </border>
    </dxf>
  </rfmt>
  <rfmt sheetId="8" xfDxf="1" sqref="L17" start="0" length="0">
    <dxf>
      <alignment horizontal="center" vertical="center"/>
      <border outline="0">
        <bottom style="thin">
          <color indexed="64"/>
        </bottom>
      </border>
    </dxf>
  </rfmt>
  <rfmt sheetId="8" xfDxf="1" sqref="M17" start="0" length="0">
    <dxf>
      <alignment horizontal="center" vertical="center"/>
      <border outline="0">
        <bottom style="thin">
          <color indexed="64"/>
        </bottom>
      </border>
    </dxf>
  </rfmt>
  <rfmt sheetId="8" xfDxf="1" sqref="C18" start="0" length="0">
    <dxf>
      <alignment horizontal="center" vertical="center" wrapText="1"/>
    </dxf>
  </rfmt>
  <rcc rId="13224" sId="8" xfDxf="1" dxf="1">
    <nc r="D18" t="inlineStr">
      <is>
        <t>TROCA DE CAIXAS</t>
      </is>
    </nc>
    <ndxf>
      <alignment horizontal="center" vertical="center"/>
    </ndxf>
  </rcc>
  <rcc rId="13225" sId="8" xfDxf="1" dxf="1">
    <nc r="E18" t="inlineStr">
      <is>
        <t>TROCA DE CAIXAS</t>
      </is>
    </nc>
    <ndxf>
      <alignment horizontal="center" vertical="center"/>
    </ndxf>
  </rcc>
  <rcc rId="13226" sId="8" xfDxf="1" dxf="1">
    <nc r="F18" t="inlineStr">
      <is>
        <t>1. Desarquivamento de 70 caixas 
do DEFNAS e Recebimento de 79.</t>
      </is>
    </nc>
    <ndxf>
      <alignment horizontal="center" vertical="center" wrapText="1"/>
    </ndxf>
  </rcc>
  <rfmt sheetId="8" xfDxf="1" sqref="G18" start="0" length="0">
    <dxf>
      <alignment horizontal="center" vertical="center" wrapText="1"/>
    </dxf>
  </rfmt>
  <rfmt sheetId="8" xfDxf="1" sqref="H18" start="0" length="0">
    <dxf>
      <alignment horizontal="center" vertical="center"/>
    </dxf>
  </rfmt>
  <rcc rId="13227" sId="8" xfDxf="1" dxf="1">
    <nc r="I18" t="inlineStr">
      <is>
        <t>TROCA DE CAIXAS</t>
      </is>
    </nc>
    <ndxf>
      <alignment horizontal="center" vertical="center"/>
    </ndxf>
  </rcc>
  <rcc rId="13228" sId="8" xfDxf="1" dxf="1">
    <nc r="J18" t="inlineStr">
      <is>
        <t>TROCA DE CAIXAS</t>
      </is>
    </nc>
    <ndxf>
      <alignment horizontal="center" vertical="center"/>
    </ndxf>
  </rcc>
  <rcc rId="13229" sId="8" xfDxf="1" dxf="1">
    <nc r="K18" t="inlineStr">
      <is>
        <t>TROCA DE CAIXAS</t>
      </is>
    </nc>
    <ndxf>
      <alignment horizontal="center" vertical="center"/>
    </ndxf>
  </rcc>
  <rcc rId="13230" sId="8" xfDxf="1" dxf="1">
    <nc r="L18" t="inlineStr">
      <is>
        <t xml:space="preserve">ARQUIVAMENTO DE 70 CAIXAS  </t>
      </is>
    </nc>
    <ndxf>
      <alignment horizontal="center" vertical="center"/>
    </ndxf>
  </rcc>
  <rcc rId="13231" sId="8" xfDxf="1" dxf="1">
    <nc r="M18" t="inlineStr">
      <is>
        <t>TROCA DE CAIXAS</t>
      </is>
    </nc>
    <ndxf>
      <alignment horizontal="center" vertical="center"/>
    </ndxf>
  </rcc>
  <rcc rId="13232" sId="8" xfDxf="1" dxf="1">
    <nc r="C19" t="inlineStr">
      <is>
        <t>OLHANDO OS PEDIDOS DE PROCESSO NO SEI</t>
      </is>
    </nc>
    <ndxf>
      <alignment horizontal="center" vertical="center"/>
    </ndxf>
  </rcc>
  <rcc rId="13233" sId="8" xfDxf="1" dxf="1">
    <nc r="D19" t="inlineStr">
      <is>
        <t>OLHANDO OS PEDIDOS DE PROCESSO NO SEI</t>
      </is>
    </nc>
    <ndxf>
      <alignment horizontal="center" vertical="center"/>
    </ndxf>
  </rcc>
  <rcc rId="13234" sId="8" xfDxf="1" dxf="1">
    <nc r="E19" t="inlineStr">
      <is>
        <t>OLHANDO OS PEDIDOS DE PROCESSO NO SEI</t>
      </is>
    </nc>
    <ndxf>
      <alignment horizontal="center" vertical="center"/>
    </ndxf>
  </rcc>
  <rcc rId="13235" sId="8" xfDxf="1" dxf="1">
    <nc r="F19" t="inlineStr">
      <is>
        <t>OLHANDO OS PEDIDOS DE PROCESSO NO SEI</t>
      </is>
    </nc>
    <ndxf>
      <alignment horizontal="center" vertical="center"/>
    </ndxf>
  </rcc>
  <rcc rId="13236" sId="8" xfDxf="1" dxf="1">
    <nc r="G19" t="inlineStr">
      <is>
        <t>OLHANDO OS PEDIDOS DE PROCESSO NO SEI</t>
      </is>
    </nc>
    <ndxf>
      <alignment horizontal="center" vertical="center"/>
    </ndxf>
  </rcc>
  <rfmt sheetId="8" xfDxf="1" sqref="H19" start="0" length="0">
    <dxf>
      <alignment horizontal="center" vertical="center"/>
    </dxf>
  </rfmt>
  <rcc rId="13237" sId="8" xfDxf="1" dxf="1">
    <nc r="I19" t="inlineStr">
      <is>
        <t>OLHANDO OS PEDIDOS DE PROCESSO NO SEI</t>
      </is>
    </nc>
    <ndxf>
      <alignment horizontal="center" vertical="center"/>
    </ndxf>
  </rcc>
  <rcc rId="13238" sId="8" xfDxf="1" dxf="1">
    <nc r="J19" t="inlineStr">
      <is>
        <t>OLHANDO OS PEDIDOS DE PROCESSO NO SEI</t>
      </is>
    </nc>
    <ndxf>
      <alignment horizontal="center" vertical="center"/>
    </ndxf>
  </rcc>
  <rcc rId="13239" sId="8" xfDxf="1" dxf="1">
    <nc r="K19" t="inlineStr">
      <is>
        <t>FAZENDO PESQUISA DE PROCESSOS</t>
      </is>
    </nc>
    <ndxf>
      <alignment horizontal="center" vertical="center"/>
    </ndxf>
  </rcc>
  <rcc rId="13240" sId="8" xfDxf="1" dxf="1">
    <nc r="L19" t="inlineStr">
      <is>
        <t>OLHANDO OS PEDIDOS DE PROCESSO NO SEI</t>
      </is>
    </nc>
    <ndxf>
      <alignment horizontal="center" vertical="center"/>
    </ndxf>
  </rcc>
  <rcc rId="13241" sId="8" xfDxf="1" dxf="1">
    <nc r="M19" t="inlineStr">
      <is>
        <t>OLHANDO OS PEDIDOS DE PROCESSO NO SEI</t>
      </is>
    </nc>
    <ndxf>
      <alignment horizontal="center" vertical="center"/>
    </ndxf>
  </rcc>
  <rfmt sheetId="8" sqref="E18">
    <dxf>
      <alignment wrapText="1"/>
    </dxf>
  </rfmt>
  <rfmt sheetId="8" sqref="D18">
    <dxf>
      <alignment wrapText="1"/>
    </dxf>
  </rfmt>
  <rfmt sheetId="8" sqref="I18">
    <dxf>
      <alignment wrapText="1"/>
    </dxf>
  </rfmt>
  <rfmt sheetId="8" sqref="J18">
    <dxf>
      <alignment wrapText="1"/>
    </dxf>
  </rfmt>
  <rfmt sheetId="8" sqref="K18">
    <dxf>
      <alignment wrapText="1"/>
    </dxf>
  </rfmt>
  <rfmt sheetId="8" sqref="L18">
    <dxf>
      <alignment wrapText="1"/>
    </dxf>
  </rfmt>
  <rfmt sheetId="8" sqref="M18">
    <dxf>
      <alignment wrapText="1"/>
    </dxf>
  </rfmt>
  <rcc rId="13242" sId="8">
    <nc r="I17">
      <v>15</v>
    </nc>
  </rcc>
  <rcc rId="13243" sId="8">
    <nc r="J17">
      <v>12</v>
    </nc>
  </rcc>
  <rcc rId="13244" sId="8">
    <nc r="M17">
      <v>15</v>
    </nc>
  </rcc>
  <rcc rId="13245" sId="8">
    <nc r="G18" t="inlineStr">
      <is>
        <t>TROCA DE CAIXAS</t>
      </is>
    </nc>
  </rcc>
  <rcc rId="13246" sId="8">
    <nc r="C18" t="inlineStr">
      <is>
        <t>TROCA DE CAIXAS</t>
      </is>
    </nc>
  </rcc>
  <rcc rId="13247" sId="8">
    <nc r="C17">
      <v>15</v>
    </nc>
  </rcc>
  <rcc rId="13248" sId="8">
    <nc r="D17">
      <v>14</v>
    </nc>
  </rcc>
  <rcc rId="13249" sId="8">
    <nc r="E17">
      <v>17</v>
    </nc>
  </rcc>
  <rcc rId="13250" sId="8">
    <nc r="G17">
      <v>14</v>
    </nc>
  </rcc>
  <rcc rId="13251" sId="8">
    <nc r="K17">
      <v>14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Diego!$A$1:$A$19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62" sId="7">
    <nc r="E17">
      <v>10</v>
    </nc>
  </rcc>
  <rcc rId="13263" sId="7">
    <nc r="F17">
      <v>15</v>
    </nc>
  </rcc>
  <rcc rId="13264" sId="7">
    <nc r="I17">
      <v>12</v>
    </nc>
  </rcc>
  <rcc rId="13265" sId="7">
    <nc r="J17">
      <v>10</v>
    </nc>
  </rcc>
  <rcc rId="13266" sId="7">
    <nc r="K17">
      <v>10</v>
    </nc>
  </rcc>
  <rcc rId="13267" sId="7">
    <nc r="M17">
      <v>12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Danilo!$A$1:$A$20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78" sId="7">
    <oc r="F17">
      <v>15</v>
    </oc>
    <nc r="F17">
      <v>10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79" sId="6">
    <nc r="C17">
      <v>10</v>
    </nc>
  </rcc>
  <rcc rId="13280" sId="6">
    <nc r="D17">
      <v>10</v>
    </nc>
  </rcc>
  <rcc rId="13281" sId="6">
    <nc r="E17">
      <v>10</v>
    </nc>
  </rcc>
  <rcc rId="13282" sId="6">
    <nc r="F17">
      <v>5</v>
    </nc>
  </rcc>
  <rcc rId="13283" sId="6">
    <nc r="I17">
      <v>10</v>
    </nc>
  </rcc>
  <rcc rId="13284" sId="6">
    <nc r="J17">
      <v>10</v>
    </nc>
  </rcc>
  <rcc rId="13285" sId="6">
    <nc r="K17">
      <v>6</v>
    </nc>
  </rcc>
  <rcc rId="13286" sId="6">
    <nc r="M17">
      <v>10</v>
    </nc>
  </rcc>
  <rcc rId="13287" sId="6">
    <nc r="O17">
      <v>10</v>
    </nc>
  </rcc>
  <rcc rId="13288" sId="6" odxf="1" dxf="1">
    <nc r="O18" t="inlineStr">
      <is>
        <t>TROCANDO  CAIXAS E OS ESPELHOS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Diego!$A$1:$A$19</formula>
    <oldFormula>Diego!$A$1:$A$19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Danilo!$A$1:$A$20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99" sId="5">
    <nc r="C5">
      <v>1</v>
    </nc>
  </rcc>
  <rcc rId="13300" sId="5">
    <nc r="G5">
      <v>1</v>
    </nc>
  </rcc>
  <rcc rId="13301" sId="5">
    <nc r="F2">
      <v>1</v>
    </nc>
  </rcc>
  <rcc rId="13302" sId="5">
    <nc r="D13">
      <v>2</v>
    </nc>
  </rcc>
  <rcc rId="13303" sId="5">
    <nc r="F15">
      <v>149</v>
    </nc>
  </rcc>
  <rcc rId="13304" sId="5">
    <nc r="G16">
      <v>9</v>
    </nc>
  </rcc>
  <rcc rId="13305" sId="5">
    <nc r="C16">
      <v>2</v>
    </nc>
  </rcc>
  <rcc rId="13306" sId="5">
    <nc r="C17">
      <v>5</v>
    </nc>
  </rcc>
  <rcc rId="13307" sId="5">
    <nc r="D17">
      <v>10</v>
    </nc>
  </rcc>
  <rcc rId="13308" sId="5">
    <nc r="E17">
      <v>10</v>
    </nc>
  </rcc>
  <rcc rId="13309" sId="5">
    <nc r="C18" t="inlineStr">
      <is>
        <t>1. Conferência 2 Guias
 de Transferência.</t>
      </is>
    </nc>
  </rcc>
  <rcc rId="13310" sId="5">
    <nc r="D18" t="inlineStr">
      <is>
        <t>1. Documento produzido:
Folha de Ponto e Termo de 
Cancelamento.</t>
      </is>
    </nc>
  </rcc>
  <rcc rId="13311" sId="5">
    <nc r="F18" t="inlineStr">
      <is>
        <t>1. Desarquivamento de 70 caixas 
do DEFNAS e Recebimento de 79.</t>
      </is>
    </nc>
  </rcc>
  <rcc rId="13312" sId="5">
    <nc r="G18" t="inlineStr">
      <is>
        <t>Conferência Guia de 
Transferência.</t>
      </is>
    </nc>
  </rcc>
  <rcc rId="13313" sId="5">
    <nc r="K2">
      <v>1</v>
    </nc>
  </rcc>
  <rcc rId="13314" sId="5">
    <nc r="I4">
      <v>1</v>
    </nc>
  </rcc>
  <rcc rId="13315" sId="5">
    <nc r="L4">
      <v>1</v>
    </nc>
  </rcc>
  <rcc rId="13316" sId="5">
    <nc r="M4">
      <v>2</v>
    </nc>
  </rcc>
  <rcc rId="13317" sId="5">
    <nc r="J13">
      <v>2</v>
    </nc>
  </rcc>
  <rcc rId="13318" sId="5">
    <nc r="K13">
      <v>1</v>
    </nc>
  </rcc>
  <rcc rId="13319" sId="5">
    <nc r="L13">
      <v>1</v>
    </nc>
  </rcc>
  <rcc rId="13320" sId="5">
    <nc r="M14">
      <v>1</v>
    </nc>
  </rcc>
  <rcc rId="13321" sId="5">
    <nc r="L15">
      <v>70</v>
    </nc>
  </rcc>
  <rcc rId="13322" sId="5">
    <nc r="J16">
      <v>10</v>
    </nc>
  </rcc>
  <rcc rId="13323" sId="5">
    <nc r="I18" t="inlineStr">
      <is>
        <t>1. Alimentação planilha Guias
 de Transferência.</t>
      </is>
    </nc>
  </rcc>
  <rcc rId="13324" sId="5">
    <nc r="J18" t="inlineStr">
      <is>
        <t>1. Conferência 
10 caixas 
DEFNAS.
2. Pesquisa de processos - solictação do 
e-mail da CONJUR:
44000.001801/2007-42
44006.002300/2001-38
44006.0047/2000-21</t>
      </is>
    </nc>
  </rcc>
  <rcc rId="13325" sId="5">
    <nc r="K18" t="inlineStr">
      <is>
        <t xml:space="preserve"> 1. Pesquisa e busca processo
58000.002183/2009-24</t>
      </is>
    </nc>
  </rcc>
  <rcc rId="13326" sId="5">
    <nc r="L18" t="inlineStr">
      <is>
        <t>1. Arquivamento e movimentação 
70 caixas da DEFNAS.</t>
      </is>
    </nc>
  </rcc>
  <rcc rId="13327" sId="5">
    <nc r="M18" t="inlineStr">
      <is>
        <t>1. Orientação a CGP/MESP
para Arquivamento, via telefone.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38" sId="4">
    <nc r="O18" t="inlineStr">
      <is>
        <t>TROCA DE CAIXAS</t>
      </is>
    </nc>
  </rcc>
  <rcc rId="13339" sId="4">
    <nc r="O17">
      <v>5</v>
    </nc>
  </rcc>
  <rcc rId="13340" sId="4">
    <nc r="O2">
      <v>1</v>
    </nc>
  </rcc>
  <rcc rId="13341" sId="4">
    <nc r="O13">
      <v>1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52" sId="4">
    <nc r="P17">
      <v>6</v>
    </nc>
  </rcc>
  <rcc rId="13353" sId="4">
    <nc r="P18" t="inlineStr">
      <is>
        <t>TROCA DE CAIXAS</t>
      </is>
    </nc>
  </rcc>
  <rcc rId="13354" sId="4">
    <nc r="P19" t="inlineStr">
      <is>
        <t>FAZENDO ESPELHOS</t>
      </is>
    </nc>
  </rcc>
  <rcc rId="13355" sId="4">
    <nc r="P14">
      <v>1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17:G17" start="0" length="0">
    <dxf>
      <border>
        <bottom style="thin">
          <color indexed="64"/>
        </bottom>
      </border>
    </dxf>
  </rfmt>
  <rcc rId="13366" sId="10" odxf="1" dxf="1">
    <nc r="O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367" sId="10" odxf="1" dxf="1">
    <nc r="P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368" sId="10" odxf="1" dxf="1">
    <nc r="Q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79" sId="8">
    <oc r="H2">
      <v>1</v>
    </oc>
    <nc r="H2">
      <f>SUM(C2:G2)</f>
    </nc>
  </rcc>
  <rcc rId="13380" sId="8">
    <oc r="H3">
      <v>0</v>
    </oc>
    <nc r="H3">
      <f>SUM(C3:G3)</f>
    </nc>
  </rcc>
  <rcc rId="13381" sId="8">
    <oc r="H4">
      <v>0</v>
    </oc>
    <nc r="H4">
      <f>SUM(C4:G4)</f>
    </nc>
  </rcc>
  <rcc rId="13382" sId="8">
    <oc r="H5">
      <v>2</v>
    </oc>
    <nc r="H5">
      <f>SUM(C5:G5)</f>
    </nc>
  </rcc>
  <rcc rId="13383" sId="8">
    <oc r="H6">
      <v>0</v>
    </oc>
    <nc r="H6">
      <f>SUM(C6:G6)</f>
    </nc>
  </rcc>
  <rcc rId="13384" sId="8">
    <oc r="H7">
      <v>0</v>
    </oc>
    <nc r="H7">
      <f>SUM(C7:G7)</f>
    </nc>
  </rcc>
  <rcc rId="13385" sId="8">
    <oc r="H8">
      <v>0</v>
    </oc>
    <nc r="H8">
      <f>SUM(C8:G8)</f>
    </nc>
  </rcc>
  <rcc rId="13386" sId="8">
    <oc r="H9">
      <v>0</v>
    </oc>
    <nc r="H9">
      <f>SUM(C9:G9)</f>
    </nc>
  </rcc>
  <rcc rId="13387" sId="8">
    <oc r="H10">
      <v>0</v>
    </oc>
    <nc r="H10">
      <f>SUM(C10:G10)</f>
    </nc>
  </rcc>
  <rcc rId="13388" sId="8">
    <oc r="H11">
      <v>0</v>
    </oc>
    <nc r="H11">
      <f>SUM(C11:G11)</f>
    </nc>
  </rcc>
  <rcc rId="13389" sId="8">
    <oc r="H12">
      <v>0</v>
    </oc>
    <nc r="H12">
      <f>SUM(C12:G12)</f>
    </nc>
  </rcc>
  <rcc rId="13390" sId="8">
    <oc r="H13">
      <v>2</v>
    </oc>
    <nc r="H13">
      <f>SUM(C13:G13)</f>
    </nc>
  </rcc>
  <rcc rId="13391" sId="8">
    <oc r="H14">
      <v>0</v>
    </oc>
    <nc r="H14">
      <f>SUM(C14:G14)</f>
    </nc>
  </rcc>
  <rcc rId="13392" sId="8">
    <oc r="H15">
      <v>149</v>
    </oc>
    <nc r="H15">
      <f>SUM(C15:G15)</f>
    </nc>
  </rcc>
  <rcc rId="13393" sId="8">
    <oc r="H16">
      <v>11</v>
    </oc>
    <nc r="H16">
      <f>SUM(C16:G16)</f>
    </nc>
  </rcc>
  <rcc rId="13394" sId="8">
    <oc r="H17">
      <v>30</v>
    </oc>
    <nc r="H17">
      <f>SUM(C17:G17)</f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5" sId="3" numFmtId="4">
    <oc r="D2">
      <f>Diego!N2+Aelton!N2+Leonam!N2+Danilo!N2+Marcos!N2+Alessandro!N2</f>
    </oc>
    <nc r="D2">
      <v>1</v>
    </nc>
  </rcc>
  <rcc rId="13396" sId="3" numFmtId="4">
    <oc r="D3">
      <f>Diego!N3+Aelton!N3+Leonam!N3+Danilo!N3+Marcos!N3+Alessandro!N3</f>
    </oc>
    <nc r="D3">
      <v>55</v>
    </nc>
  </rcc>
  <rcc rId="13397" sId="3" numFmtId="4">
    <oc r="D15">
      <f>Diego!N15+Aelton!N15+Leonam!N15+Danilo!N15+Marcos!N15+Alessandro!N15</f>
    </oc>
    <nc r="D15">
      <v>70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08" sId="6" odxf="1" dxf="1">
    <nc r="P18" t="inlineStr">
      <is>
        <t>TROCANDO  CAIXAS E OS ESPELHOS</t>
      </is>
    </nc>
    <odxf>
      <alignment wrapText="0"/>
    </odxf>
    <ndxf>
      <alignment wrapText="1"/>
    </ndxf>
  </rcc>
  <rcc rId="13409" sId="6" odxf="1" dxf="1">
    <nc r="Q18" t="inlineStr">
      <is>
        <t>TROCANDO  CAIXAS E OS ESPELHOS</t>
      </is>
    </nc>
    <odxf>
      <alignment wrapText="0"/>
    </odxf>
    <ndxf>
      <alignment wrapText="1"/>
    </ndxf>
  </rcc>
  <rcc rId="13410" sId="6" odxf="1" dxf="1">
    <nc r="R18" t="inlineStr">
      <is>
        <t>TROCANDO  CAIXAS E OS ESPELHOS</t>
      </is>
    </nc>
    <odxf>
      <alignment wrapText="0"/>
    </odxf>
    <ndxf>
      <alignment wrapText="1"/>
    </ndxf>
  </rcc>
  <rcc rId="13411" sId="6" odxf="1" dxf="1">
    <nc r="S18" t="inlineStr">
      <is>
        <t>TROCANDO  CAIXAS E OS ESPELHOS</t>
      </is>
    </nc>
    <odxf>
      <alignment wrapText="0"/>
    </odxf>
    <ndxf>
      <alignment wrapText="1"/>
    </ndxf>
  </rcc>
  <rcc rId="13412" sId="6">
    <nc r="P17">
      <v>10</v>
    </nc>
  </rcc>
  <rcc rId="13413" sId="6">
    <nc r="Q17">
      <v>10</v>
    </nc>
  </rcc>
  <rcc rId="13414" sId="6">
    <nc r="R17">
      <v>10</v>
    </nc>
  </rcc>
  <rcc rId="13415" sId="6">
    <nc r="S17">
      <v>10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Diego!$A$1:$A$19</formula>
    <oldFormula>Diego!$A$1:$A$19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6" sId="10" odxf="1" dxf="1">
    <nc r="R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3427" sId="10" odxf="1" dxf="1">
    <nc r="S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38" sId="1" odxf="1" dxf="1" numFmtId="21">
    <oc r="C1">
      <v>45810</v>
    </oc>
    <nc r="C1">
      <v>45662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39" sId="1" odxf="1" dxf="1" numFmtId="21">
    <oc r="D1">
      <v>45811</v>
    </oc>
    <nc r="D1">
      <v>45663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0" sId="1" odxf="1" dxf="1" numFmtId="21">
    <oc r="E1">
      <v>45812</v>
    </oc>
    <nc r="E1">
      <v>45664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1" sId="1" odxf="1" dxf="1" numFmtId="21">
    <oc r="F1">
      <v>45813</v>
    </oc>
    <nc r="F1">
      <v>45665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2" sId="1" odxf="1" dxf="1" numFmtId="21">
    <oc r="G1">
      <v>45814</v>
    </oc>
    <nc r="G1">
      <v>45666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" sqref="H1" start="0" length="0">
    <dxf>
      <numFmt numFmtId="0" formatCode="General"/>
    </dxf>
  </rfmt>
  <rcc rId="13443" sId="1" odxf="1" dxf="1" numFmtId="21">
    <oc r="I1">
      <v>45817</v>
    </oc>
    <nc r="I1">
      <v>45669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4" sId="1" odxf="1" dxf="1" numFmtId="21">
    <oc r="J1">
      <v>45818</v>
    </oc>
    <nc r="J1">
      <v>45670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5" sId="1" odxf="1" dxf="1" numFmtId="21">
    <oc r="K1">
      <v>45819</v>
    </oc>
    <nc r="K1">
      <v>45671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6" sId="1" odxf="1" dxf="1" numFmtId="21">
    <oc r="L1">
      <v>45820</v>
    </oc>
    <nc r="L1">
      <v>45672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7" sId="1" odxf="1" dxf="1" numFmtId="21">
    <oc r="M1">
      <v>45821</v>
    </oc>
    <nc r="M1">
      <v>45673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48" sId="1" odxf="1" dxf="1" numFmtId="21">
    <oc r="O1">
      <v>45824</v>
    </oc>
    <nc r="O1">
      <v>45676</v>
    </nc>
    <odxf>
      <border outline="0">
        <right style="thin">
          <color auto="1"/>
        </right>
      </border>
    </odxf>
    <ndxf>
      <border outline="0">
        <right/>
      </border>
    </ndxf>
  </rcc>
  <rcc rId="13449" sId="1" odxf="1" dxf="1" numFmtId="21">
    <oc r="P1">
      <v>45825</v>
    </oc>
    <nc r="P1">
      <v>45677</v>
    </nc>
    <odxf>
      <border outline="0">
        <right style="thin">
          <color auto="1"/>
        </right>
      </border>
    </odxf>
    <ndxf>
      <border outline="0">
        <right/>
      </border>
    </ndxf>
  </rcc>
  <rcc rId="13450" sId="1" odxf="1" dxf="1" numFmtId="21">
    <oc r="Q1">
      <v>45826</v>
    </oc>
    <nc r="Q1">
      <v>45678</v>
    </nc>
    <odxf>
      <border outline="0">
        <right style="thin">
          <color auto="1"/>
        </right>
      </border>
    </odxf>
    <ndxf>
      <border outline="0">
        <right/>
      </border>
    </ndxf>
  </rcc>
  <rcc rId="13451" sId="1" odxf="1" dxf="1" numFmtId="21">
    <oc r="R1">
      <v>45827</v>
    </oc>
    <nc r="R1">
      <v>45679</v>
    </nc>
    <odxf>
      <border outline="0">
        <right style="thin">
          <color auto="1"/>
        </right>
      </border>
    </odxf>
    <ndxf>
      <border outline="0">
        <right/>
      </border>
    </ndxf>
  </rcc>
  <rcc rId="13452" sId="1" odxf="1" dxf="1" numFmtId="21">
    <oc r="S1">
      <v>45828</v>
    </oc>
    <nc r="S1">
      <v>45680</v>
    </nc>
    <odxf>
      <border outline="0">
        <right style="thin">
          <color auto="1"/>
        </right>
      </border>
    </odxf>
    <ndxf>
      <border outline="0">
        <right/>
      </border>
    </ndxf>
  </rcc>
  <rcc rId="13453" sId="1" odxf="1" dxf="1" numFmtId="21">
    <oc r="U1">
      <v>45831</v>
    </oc>
    <nc r="U1">
      <v>45683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4" sId="1" odxf="1" dxf="1" numFmtId="21">
    <oc r="V1">
      <v>45832</v>
    </oc>
    <nc r="V1">
      <v>45684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5" sId="1" odxf="1" dxf="1" numFmtId="21">
    <oc r="W1">
      <v>45833</v>
    </oc>
    <nc r="W1">
      <v>45685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6" sId="1" odxf="1" dxf="1" numFmtId="21">
    <oc r="X1">
      <v>45834</v>
    </oc>
    <nc r="X1">
      <v>45686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7" sId="1" odxf="1" dxf="1" numFmtId="21">
    <oc r="Y1">
      <v>45835</v>
    </oc>
    <nc r="Y1">
      <v>45687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8" sId="1" odxf="1" dxf="1" numFmtId="21">
    <oc r="AA1">
      <v>45838</v>
    </oc>
    <nc r="AA1">
      <v>45690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59" sId="1" odxf="1" dxf="1" numFmtId="21">
    <oc r="AB1">
      <v>45839</v>
    </oc>
    <nc r="AB1">
      <v>45691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0" sId="1" odxf="1" dxf="1" numFmtId="21">
    <oc r="AC1">
      <v>45840</v>
    </oc>
    <nc r="AC1">
      <v>45692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1" sId="1" odxf="1" dxf="1" numFmtId="21">
    <oc r="AD1">
      <v>45841</v>
    </oc>
    <nc r="AD1">
      <v>45693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2" sId="1" odxf="1" dxf="1" numFmtId="21">
    <oc r="AE1">
      <v>45842</v>
    </oc>
    <nc r="AE1">
      <v>45694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3" sId="1" odxf="1" dxf="1" numFmtId="21">
    <oc r="AG1">
      <v>45845</v>
    </oc>
    <nc r="AG1">
      <v>45697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4" sId="1" odxf="1" dxf="1" numFmtId="21">
    <oc r="AH1">
      <v>45846</v>
    </oc>
    <nc r="AH1">
      <v>45698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5" sId="1" odxf="1" dxf="1" numFmtId="21">
    <oc r="AI1">
      <v>45847</v>
    </oc>
    <nc r="AI1">
      <v>45699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6" sId="1" odxf="1" dxf="1" numFmtId="21">
    <oc r="AJ1">
      <v>45848</v>
    </oc>
    <nc r="AJ1">
      <v>45700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7" sId="1" odxf="1" dxf="1" numFmtId="21">
    <oc r="AK1">
      <v>45849</v>
    </oc>
    <nc r="AK1">
      <v>45701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8" sId="1" odxf="1" dxf="1" numFmtId="21">
    <oc r="AM1">
      <v>45852</v>
    </oc>
    <nc r="AM1">
      <v>45704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69" sId="1" odxf="1" dxf="1" numFmtId="21">
    <oc r="AN1">
      <v>45853</v>
    </oc>
    <nc r="AN1">
      <v>45705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70" sId="1" odxf="1" dxf="1" numFmtId="21">
    <oc r="AO1">
      <v>45854</v>
    </oc>
    <nc r="AO1">
      <v>45706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71" sId="1" odxf="1" dxf="1" numFmtId="21">
    <oc r="AP1">
      <v>45855</v>
    </oc>
    <nc r="AP1">
      <v>45707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472" sId="1" odxf="1" dxf="1" numFmtId="21">
    <oc r="AQ1">
      <v>45856</v>
    </oc>
    <nc r="AQ1">
      <v>45708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" sqref="AR1" start="0" length="0">
    <dxf>
      <fill>
        <patternFill>
          <bgColor theme="0" tint="-0.14999847407452621"/>
        </patternFill>
      </fill>
    </dxf>
  </rfmt>
  <rcc rId="13473" sId="1" odxf="1" dxf="1" numFmtId="21">
    <oc r="AS1">
      <v>45859</v>
    </oc>
    <nc r="AS1">
      <v>45711</v>
    </nc>
    <odxf>
      <border outline="0">
        <right style="thin">
          <color auto="1"/>
        </right>
      </border>
    </odxf>
    <ndxf>
      <border outline="0">
        <right/>
      </border>
    </ndxf>
  </rcc>
  <rcc rId="13474" sId="1" odxf="1" dxf="1" numFmtId="21">
    <oc r="AT1">
      <v>45860</v>
    </oc>
    <nc r="AT1">
      <v>45712</v>
    </nc>
    <odxf>
      <border outline="0">
        <right style="thin">
          <color auto="1"/>
        </right>
      </border>
    </odxf>
    <ndxf>
      <border outline="0">
        <right/>
      </border>
    </ndxf>
  </rcc>
  <rcc rId="13475" sId="1" odxf="1" dxf="1" numFmtId="21">
    <oc r="AU1">
      <v>45861</v>
    </oc>
    <nc r="AU1">
      <v>45713</v>
    </nc>
    <odxf>
      <border outline="0">
        <right style="thin">
          <color auto="1"/>
        </right>
      </border>
    </odxf>
    <ndxf>
      <border outline="0">
        <right/>
      </border>
    </ndxf>
  </rcc>
  <rcc rId="13476" sId="1" odxf="1" dxf="1" numFmtId="21">
    <oc r="AV1">
      <v>45862</v>
    </oc>
    <nc r="AV1">
      <v>45714</v>
    </nc>
    <odxf>
      <border outline="0">
        <right style="thin">
          <color auto="1"/>
        </right>
      </border>
    </odxf>
    <ndxf>
      <border outline="0">
        <right/>
      </border>
    </ndxf>
  </rcc>
  <rcc rId="13477" sId="1" odxf="1" dxf="1" numFmtId="21">
    <oc r="AW1">
      <v>45863</v>
    </oc>
    <nc r="AW1">
      <v>45715</v>
    </nc>
    <odxf>
      <border outline="0">
        <right style="thin">
          <color auto="1"/>
        </right>
      </border>
    </odxf>
    <ndxf>
      <border outline="0">
        <right/>
      </border>
    </ndxf>
  </rcc>
  <rfmt sheetId="1" sqref="AX1" start="0" length="0">
    <dxf>
      <fill>
        <patternFill>
          <bgColor theme="0" tint="-0.14999847407452621"/>
        </patternFill>
      </fill>
    </dxf>
  </rfmt>
  <rfmt sheetId="1" sqref="C2" start="0" length="0">
    <dxf>
      <border outline="0">
        <top style="thin">
          <color indexed="64"/>
        </top>
      </border>
    </dxf>
  </rfmt>
  <rfmt sheetId="1" sqref="D2" start="0" length="0">
    <dxf>
      <border outline="0">
        <top style="thin">
          <color indexed="64"/>
        </top>
      </border>
    </dxf>
  </rfmt>
  <rfmt sheetId="1" sqref="E2" start="0" length="0">
    <dxf>
      <border outline="0">
        <top style="thin">
          <color indexed="64"/>
        </top>
      </border>
    </dxf>
  </rfmt>
  <rcc rId="13478" sId="1" odxf="1" dxf="1">
    <nc r="F2">
      <v>1</v>
    </nc>
    <odxf>
      <border outline="0">
        <top/>
      </border>
    </odxf>
    <ndxf>
      <border outline="0">
        <top style="thin">
          <color indexed="64"/>
        </top>
      </border>
    </ndxf>
  </rcc>
  <rfmt sheetId="1" sqref="G2" start="0" length="0">
    <dxf>
      <border outline="0">
        <right style="thin">
          <color indexed="64"/>
        </right>
        <top style="thin">
          <color indexed="64"/>
        </top>
      </border>
    </dxf>
  </rfmt>
  <rcc rId="13479" sId="1" odxf="1" dxf="1">
    <oc r="H2">
      <f>SUM(C2:G2)</f>
    </oc>
    <nc r="H2">
      <f>SUM(C2:G2)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0" sId="1" odxf="1" dxf="1">
    <oc r="N2">
      <f>SUM(I2:M2)</f>
    </oc>
    <nc r="N2">
      <f>SUM(I2:M2)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1" sId="1">
    <nc r="O2">
      <v>1</v>
    </nc>
  </rcc>
  <rcc rId="13482" sId="1" odxf="1" dxf="1">
    <oc r="T2">
      <f>SUM(O2:S2)</f>
    </oc>
    <nc r="T2">
      <f>SUM(O2:S2)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3" sId="1" odxf="1" dxf="1">
    <oc r="Z2">
      <f>SUM(U2:Y2)</f>
    </oc>
    <nc r="Z2">
      <f>SUM(U2:Y2)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4" sId="1" odxf="1" dxf="1">
    <oc r="AF2">
      <f>SUM(AA2:AE2)</f>
    </oc>
    <nc r="AF2">
      <f>SUM(AA2:AE2)</f>
    </nc>
    <odxf>
      <border outline="0">
        <left/>
      </border>
    </odxf>
    <ndxf>
      <border outline="0">
        <left style="thin">
          <color indexed="64"/>
        </left>
      </border>
    </ndxf>
  </rcc>
  <rcc rId="13485" sId="1" odxf="1" dxf="1">
    <oc r="AL2">
      <f>SUM(AG2:AK2)</f>
    </oc>
    <nc r="AL2">
      <f>SUM(AG2:AK2)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6" sId="1" odxf="1" dxf="1">
    <oc r="AR2">
      <f>SUM(AM2:AQ2)</f>
    </oc>
    <nc r="AR2">
      <f>SUM(AM2:AQ2)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AS2" start="0" length="0">
    <dxf>
      <numFmt numFmtId="21" formatCode="dd/mmm"/>
    </dxf>
  </rfmt>
  <rcc rId="13487" sId="1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3" start="0" length="0">
    <dxf>
      <border outline="0">
        <right style="thin">
          <color indexed="64"/>
        </right>
      </border>
    </dxf>
  </rfmt>
  <rcc rId="13488" sId="1" odxf="1" dxf="1">
    <oc r="H3">
      <f>SUM(C3:G3)</f>
    </oc>
    <nc r="H3">
      <f>SUM(C3:G3)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89" sId="1" odxf="1" dxf="1">
    <oc r="N3">
      <f>SUM(I3:M3)</f>
    </oc>
    <nc r="N3">
      <f>SUM(I3:M3)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0" sId="1" odxf="1" dxf="1">
    <oc r="T3">
      <f>SUM(O3:S3)</f>
    </oc>
    <nc r="T3">
      <f>SUM(O3:S3)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1" sId="1" odxf="1" dxf="1">
    <oc r="Z3">
      <f>SUM(U3:Y3)</f>
    </oc>
    <nc r="Z3">
      <f>SUM(U3:Y3)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2" sId="1" odxf="1" dxf="1">
    <oc r="AF3">
      <f>SUM(AA3:AE3)</f>
    </oc>
    <nc r="AF3">
      <f>SUM(AA3:AE3)</f>
    </nc>
    <odxf>
      <border outline="0">
        <left/>
      </border>
    </odxf>
    <ndxf>
      <border outline="0">
        <left style="thin">
          <color indexed="64"/>
        </left>
      </border>
    </ndxf>
  </rcc>
  <rcc rId="13493" sId="1" odxf="1" dxf="1">
    <oc r="AL3">
      <f>SUM(AG3:AK3)</f>
    </oc>
    <nc r="AL3">
      <f>SUM(AG3:AK3)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4" sId="1" odxf="1" dxf="1">
    <oc r="AR3">
      <f>SUM(AM3:AQ3)</f>
    </oc>
    <nc r="AR3">
      <f>SUM(AM3:AQ3)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495" sId="1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4" start="0" length="0">
    <dxf>
      <border outline="0">
        <right style="thin">
          <color indexed="64"/>
        </right>
      </border>
    </dxf>
  </rfmt>
  <rcc rId="13496" sId="1" odxf="1" dxf="1">
    <oc r="H4">
      <f>SUM(C4:G4)</f>
    </oc>
    <nc r="H4">
      <f>SUM(C4:G4)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7" sId="1">
    <nc r="K4">
      <v>1</v>
    </nc>
  </rcc>
  <rcc rId="13498" sId="1" odxf="1" dxf="1">
    <oc r="N4">
      <f>SUM(I4:M4)</f>
    </oc>
    <nc r="N4">
      <f>SUM(I4:M4)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499" sId="1" odxf="1" dxf="1">
    <oc r="T4">
      <f>SUM(O4:S4)</f>
    </oc>
    <nc r="T4">
      <f>SUM(O4:S4)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00" sId="1" odxf="1" dxf="1">
    <oc r="Z4">
      <f>SUM(U4:Y4)</f>
    </oc>
    <nc r="Z4">
      <f>SUM(U4:Y4)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01" sId="1" odxf="1" dxf="1">
    <oc r="AF4">
      <f>SUM(AA4:AE4)</f>
    </oc>
    <nc r="AF4">
      <f>SUM(AA4:AE4)</f>
    </nc>
    <odxf>
      <border outline="0">
        <left/>
      </border>
    </odxf>
    <ndxf>
      <border outline="0">
        <left style="thin">
          <color indexed="64"/>
        </left>
      </border>
    </ndxf>
  </rcc>
  <rcc rId="13502" sId="1" odxf="1" dxf="1">
    <oc r="AL4">
      <f>SUM(AG4:AK4)</f>
    </oc>
    <nc r="AL4">
      <f>SUM(AG4:AK4)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03" sId="1" odxf="1" dxf="1">
    <oc r="AR4">
      <f>SUM(AM4:AQ4)</f>
    </oc>
    <nc r="AR4">
      <f>SUM(AM4:AQ4)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04" sId="1" odxf="1" dxf="1">
    <oc r="AX4">
      <f>SUM(AS4:AW4)</f>
    </oc>
    <nc r="AX4">
      <f>SUM(AS4:AW4)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05" sId="1">
    <nc r="C5">
      <v>1</v>
    </nc>
  </rcc>
  <rcc rId="13506" sId="1" odxf="1" dxf="1">
    <nc r="G5">
      <v>1</v>
    </nc>
    <odxf>
      <border outline="0">
        <right/>
      </border>
    </odxf>
    <ndxf>
      <border outline="0">
        <right style="thin">
          <color indexed="64"/>
        </right>
      </border>
    </ndxf>
  </rcc>
  <rcc rId="13507" sId="1" odxf="1" dxf="1">
    <oc r="H5">
      <f>SUM(C5:G5)</f>
    </oc>
    <nc r="H5">
      <f>SUM(C5:G5)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1" sqref="L5" start="0" length="0">
    <dxf>
      <font>
        <b/>
        <sz val="11"/>
        <color theme="1"/>
        <name val="Aptos Narrow"/>
        <family val="2"/>
        <scheme val="minor"/>
      </font>
    </dxf>
  </rfmt>
  <rcc rId="13508" sId="1" odxf="1" dxf="1">
    <oc r="N5">
      <f>SUM(I5:M5)</f>
    </oc>
    <nc r="N5">
      <f>SUM(I5:M5)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09" sId="1" odxf="1" dxf="1">
    <oc r="T5">
      <f>SUM(O5:S5)</f>
    </oc>
    <nc r="T5">
      <f>SUM(O5:S5)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0" sId="1" odxf="1" dxf="1">
    <oc r="Z5">
      <f>SUM(U5:Y5)</f>
    </oc>
    <nc r="Z5">
      <f>SUM(U5:Y5)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1" sId="1" odxf="1" dxf="1">
    <oc r="AF5">
      <f>SUM(AA5:AE5)</f>
    </oc>
    <nc r="AF5">
      <f>SUM(AA5:AE5)</f>
    </nc>
    <odxf>
      <border outline="0">
        <left/>
      </border>
    </odxf>
    <ndxf>
      <border outline="0">
        <left style="thin">
          <color indexed="64"/>
        </left>
      </border>
    </ndxf>
  </rcc>
  <rcc rId="13512" sId="1" odxf="1" dxf="1">
    <oc r="AL5">
      <f>SUM(AG5:AK5)</f>
    </oc>
    <nc r="AL5">
      <f>SUM(AG5:AK5)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3" sId="1" odxf="1" dxf="1">
    <oc r="AR5">
      <f>SUM(AM5:AQ5)</f>
    </oc>
    <nc r="AR5">
      <f>SUM(AM5:AQ5)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14" sId="1" odxf="1" dxf="1">
    <oc r="AX5">
      <f>SUM(AS5:AW5)</f>
    </oc>
    <nc r="AX5">
      <f>SUM(AS5:AW5)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6" start="0" length="0">
    <dxf>
      <border outline="0">
        <right style="thin">
          <color indexed="64"/>
        </right>
      </border>
    </dxf>
  </rfmt>
  <rcc rId="13515" sId="1" odxf="1" dxf="1">
    <oc r="H6">
      <f>SUM(C6:G6)</f>
    </oc>
    <nc r="H6">
      <f>SUM(C6:G6)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1" sqref="L6" start="0" length="0">
    <dxf>
      <font>
        <b/>
        <sz val="11"/>
        <color theme="1"/>
        <name val="Aptos Narrow"/>
        <family val="2"/>
        <scheme val="minor"/>
      </font>
    </dxf>
  </rfmt>
  <rcc rId="13516" sId="1" odxf="1" dxf="1">
    <oc r="N6">
      <f>SUM(I6:M6)</f>
    </oc>
    <nc r="N6">
      <f>SUM(I6:M6)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7" sId="1" odxf="1" dxf="1">
    <oc r="T6">
      <f>SUM(O6:S6)</f>
    </oc>
    <nc r="T6">
      <f>SUM(O6:S6)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8" sId="1" odxf="1" dxf="1">
    <oc r="Z6">
      <f>SUM(U6:Y6)</f>
    </oc>
    <nc r="Z6">
      <f>SUM(U6:Y6)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19" sId="1" odxf="1" dxf="1">
    <oc r="AF6">
      <f>SUM(AA6:AE6)</f>
    </oc>
    <nc r="AF6">
      <f>SUM(AA6:AE6)</f>
    </nc>
    <odxf>
      <border outline="0">
        <left/>
      </border>
    </odxf>
    <ndxf>
      <border outline="0">
        <left style="thin">
          <color indexed="64"/>
        </left>
      </border>
    </ndxf>
  </rcc>
  <rcc rId="13520" sId="1" odxf="1" dxf="1">
    <oc r="AL6">
      <f>SUM(AG6:AK6)</f>
    </oc>
    <nc r="AL6">
      <f>SUM(AG6:AK6)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1" sId="1" odxf="1" dxf="1">
    <oc r="AR6">
      <f>SUM(AM6:AQ6)</f>
    </oc>
    <nc r="AR6">
      <f>SUM(AM6:AQ6)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22" sId="1" odxf="1" dxf="1">
    <oc r="AX6">
      <f>SUM(AS6:AW6)</f>
    </oc>
    <nc r="AX6">
      <f>SUM(AS6:AW6)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7" start="0" length="0">
    <dxf>
      <border outline="0">
        <right style="thin">
          <color indexed="64"/>
        </right>
      </border>
    </dxf>
  </rfmt>
  <rcc rId="13523" sId="1" odxf="1" dxf="1">
    <oc r="H7">
      <f>SUM(C7:G7)</f>
    </oc>
    <nc r="H7">
      <f>SUM(C7:G7)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4" sId="1" odxf="1" dxf="1">
    <oc r="N7">
      <f>SUM(I7:M7)</f>
    </oc>
    <nc r="N7">
      <f>SUM(I7:M7)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5" sId="1" odxf="1" dxf="1">
    <oc r="T7">
      <f>SUM(O7:S7)</f>
    </oc>
    <nc r="T7">
      <f>SUM(O7:S7)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6" sId="1" odxf="1" dxf="1">
    <oc r="Z7">
      <f>SUM(U7:Y7)</f>
    </oc>
    <nc r="Z7">
      <f>SUM(U7:Y7)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7" sId="1" odxf="1" dxf="1">
    <oc r="AF7">
      <f>SUM(AA7:AE7)</f>
    </oc>
    <nc r="AF7">
      <f>SUM(AA7:AE7)</f>
    </nc>
    <odxf>
      <border outline="0">
        <left/>
      </border>
    </odxf>
    <ndxf>
      <border outline="0">
        <left style="thin">
          <color indexed="64"/>
        </left>
      </border>
    </ndxf>
  </rcc>
  <rcc rId="13528" sId="1" odxf="1" dxf="1">
    <oc r="AL7">
      <f>SUM(AG7:AK7)</f>
    </oc>
    <nc r="AL7">
      <f>SUM(AG7:AK7)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29" sId="1" odxf="1" dxf="1">
    <oc r="AR7">
      <f>SUM(AM7:AQ7)</f>
    </oc>
    <nc r="AR7">
      <f>SUM(AM7:AQ7)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30" sId="1" odxf="1" dxf="1">
    <oc r="AX7">
      <f>SUM(AS7:AW7)</f>
    </oc>
    <nc r="AX7">
      <f>SUM(AS7:AW7)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8" start="0" length="0">
    <dxf>
      <border outline="0">
        <right style="thin">
          <color indexed="64"/>
        </right>
      </border>
    </dxf>
  </rfmt>
  <rcc rId="13531" sId="1" odxf="1" dxf="1">
    <oc r="H8">
      <f>SUM(C8:G8)</f>
    </oc>
    <nc r="H8">
      <f>SUM(C8:G8)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32" sId="1" odxf="1" dxf="1">
    <oc r="N8">
      <f>SUM(I8:M8)</f>
    </oc>
    <nc r="N8">
      <f>SUM(I8:M8)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33" sId="1" odxf="1" dxf="1">
    <oc r="T8">
      <f>SUM(O8:S8)</f>
    </oc>
    <nc r="T8">
      <f>SUM(O8:S8)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34" sId="1" odxf="1" dxf="1">
    <oc r="Z8">
      <f>SUM(U8:Y8)</f>
    </oc>
    <nc r="Z8">
      <f>SUM(U8:Y8)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35" sId="1" odxf="1" dxf="1">
    <oc r="AF8">
      <f>SUM(AA8:AE8)</f>
    </oc>
    <nc r="AF8">
      <f>SUM(AA8:AE8)</f>
    </nc>
    <odxf>
      <border outline="0">
        <left/>
      </border>
    </odxf>
    <ndxf>
      <border outline="0">
        <left style="thin">
          <color indexed="64"/>
        </left>
      </border>
    </ndxf>
  </rcc>
  <rcc rId="13536" sId="1" odxf="1" dxf="1">
    <oc r="AL8">
      <f>SUM(AG8:AK8)</f>
    </oc>
    <nc r="AL8">
      <f>SUM(AG8:AK8)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37" sId="1" odxf="1" dxf="1">
    <oc r="AR8">
      <f>SUM(AM8:AQ8)</f>
    </oc>
    <nc r="AR8">
      <f>SUM(AM8:AQ8)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38" sId="1" odxf="1" dxf="1">
    <oc r="AX8">
      <f>SUM(AS8:AW8)</f>
    </oc>
    <nc r="AX8">
      <f>SUM(AS8:AW8)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9" start="0" length="0">
    <dxf>
      <border outline="0">
        <right style="thin">
          <color indexed="64"/>
        </right>
      </border>
    </dxf>
  </rfmt>
  <rcc rId="13539" sId="1" odxf="1" dxf="1">
    <oc r="H9">
      <f>SUM(C9:G9)</f>
    </oc>
    <nc r="H9">
      <f>SUM(C9:G9)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0" sId="1" odxf="1" dxf="1">
    <oc r="N9">
      <f>SUM(I9:M9)</f>
    </oc>
    <nc r="N9">
      <f>SUM(I9:M9)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1" sId="1" odxf="1" dxf="1">
    <oc r="T9">
      <f>SUM(O9:S9)</f>
    </oc>
    <nc r="T9">
      <f>SUM(O9:S9)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2" sId="1" odxf="1" dxf="1">
    <oc r="Z9">
      <f>SUM(U9:Y9)</f>
    </oc>
    <nc r="Z9">
      <f>SUM(U9:Y9)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3" sId="1" odxf="1" dxf="1">
    <oc r="AF9">
      <f>SUM(AA9:AE9)</f>
    </oc>
    <nc r="AF9">
      <f>SUM(AA9:AE9)</f>
    </nc>
    <odxf>
      <border outline="0">
        <left/>
      </border>
    </odxf>
    <ndxf>
      <border outline="0">
        <left style="thin">
          <color indexed="64"/>
        </left>
      </border>
    </ndxf>
  </rcc>
  <rcc rId="13544" sId="1" odxf="1" dxf="1">
    <oc r="AL9">
      <f>SUM(AG9:AK9)</f>
    </oc>
    <nc r="AL9">
      <f>SUM(AG9:AK9)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5" sId="1" odxf="1" dxf="1">
    <oc r="AR9">
      <f>SUM(AM9:AQ9)</f>
    </oc>
    <nc r="AR9">
      <f>SUM(AM9:AQ9)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46" sId="1" odxf="1" dxf="1">
    <oc r="AX9">
      <f>SUM(AS9:AW9)</f>
    </oc>
    <nc r="AX9">
      <f>SUM(AS9:AW9)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10" start="0" length="0">
    <dxf>
      <border outline="0">
        <right style="thin">
          <color indexed="64"/>
        </right>
      </border>
    </dxf>
  </rfmt>
  <rcc rId="13547" sId="1" odxf="1" dxf="1">
    <oc r="H10">
      <f>SUM(C10:G10)</f>
    </oc>
    <nc r="H10">
      <f>SUM(C10:G10)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8" sId="1" odxf="1" dxf="1">
    <oc r="N10">
      <f>SUM(I10:M10)</f>
    </oc>
    <nc r="N10">
      <f>SUM(I10:M10)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49" sId="1" odxf="1" dxf="1">
    <oc r="T10">
      <f>SUM(O10:S10)</f>
    </oc>
    <nc r="T10">
      <f>SUM(O10:S10)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0" sId="1" odxf="1" dxf="1">
    <oc r="Z10">
      <f>SUM(U10:Y10)</f>
    </oc>
    <nc r="Z10">
      <f>SUM(U10:Y10)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1" sId="1" odxf="1" dxf="1">
    <oc r="AF10">
      <f>SUM(AA10:AE10)</f>
    </oc>
    <nc r="AF10">
      <f>SUM(AA10:AE10)</f>
    </nc>
    <odxf>
      <border outline="0">
        <left/>
      </border>
    </odxf>
    <ndxf>
      <border outline="0">
        <left style="thin">
          <color indexed="64"/>
        </left>
      </border>
    </ndxf>
  </rcc>
  <rcc rId="13552" sId="1" odxf="1" dxf="1">
    <oc r="AL10">
      <f>SUM(AG10:AK10)</f>
    </oc>
    <nc r="AL10">
      <f>SUM(AG10:AK10)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3" sId="1" odxf="1" dxf="1">
    <oc r="AR10">
      <f>SUM(AM10:AQ10)</f>
    </oc>
    <nc r="AR10">
      <f>SUM(AM10:AQ10)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54" sId="1" odxf="1" dxf="1">
    <oc r="AX10">
      <f>SUM(AS10:AW10)</f>
    </oc>
    <nc r="AX10">
      <f>SUM(AS10:AW10)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11" start="0" length="0">
    <dxf>
      <border outline="0">
        <right style="thin">
          <color indexed="64"/>
        </right>
      </border>
    </dxf>
  </rfmt>
  <rcc rId="13555" sId="1" odxf="1" dxf="1">
    <oc r="H11">
      <f>SUM(C11:G11)</f>
    </oc>
    <nc r="H11">
      <f>SUM(C11:G11)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6" sId="1" odxf="1" dxf="1">
    <oc r="N11">
      <f>SUM(I11:M11)</f>
    </oc>
    <nc r="N11">
      <f>SUM(I11:M11)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7" sId="1" odxf="1" dxf="1">
    <oc r="T11">
      <f>SUM(O11:S11)</f>
    </oc>
    <nc r="T11">
      <f>SUM(O11:S11)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8" sId="1" odxf="1" dxf="1">
    <oc r="Z11">
      <f>SUM(U11:Y11)</f>
    </oc>
    <nc r="Z11">
      <f>SUM(U11:Y11)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59" sId="1" odxf="1" dxf="1">
    <oc r="AF11">
      <f>SUM(AA11:AE11)</f>
    </oc>
    <nc r="AF11">
      <f>SUM(AA11:AE11)</f>
    </nc>
    <odxf>
      <border outline="0">
        <left/>
      </border>
    </odxf>
    <ndxf>
      <border outline="0">
        <left style="thin">
          <color indexed="64"/>
        </left>
      </border>
    </ndxf>
  </rcc>
  <rcc rId="13560" sId="1" odxf="1" dxf="1">
    <oc r="AL11">
      <f>SUM(AG11:AK11)</f>
    </oc>
    <nc r="AL11">
      <f>SUM(AG11:AK11)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1" sId="1" odxf="1" dxf="1">
    <oc r="AR11">
      <f>SUM(AM11:AQ11)</f>
    </oc>
    <nc r="AR11">
      <f>SUM(AM11:AQ11)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62" sId="1" odxf="1" dxf="1">
    <oc r="AX11">
      <f>SUM(AS11:AW11)</f>
    </oc>
    <nc r="AX11">
      <f>SUM(AS11:AW11)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12" start="0" length="0">
    <dxf>
      <border outline="0">
        <right style="thin">
          <color indexed="64"/>
        </right>
      </border>
    </dxf>
  </rfmt>
  <rcc rId="13563" sId="1" odxf="1" dxf="1">
    <oc r="H12">
      <f>SUM(C12:G12)</f>
    </oc>
    <nc r="H12">
      <f>SUM(C12:G12)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4" sId="1" odxf="1" dxf="1">
    <oc r="N12">
      <f>SUM(I12:M12)</f>
    </oc>
    <nc r="N12">
      <f>SUM(I12:M12)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5" sId="1" odxf="1" dxf="1">
    <oc r="T12">
      <f>SUM(O12:S12)</f>
    </oc>
    <nc r="T12">
      <f>SUM(O12:S12)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6" sId="1" odxf="1" dxf="1">
    <oc r="Z12">
      <f>SUM(U12:Y12)</f>
    </oc>
    <nc r="Z12">
      <f>SUM(U12:Y12)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7" sId="1" odxf="1" dxf="1">
    <oc r="AF12">
      <f>SUM(AA12:AE12)</f>
    </oc>
    <nc r="AF12">
      <f>SUM(AA12:AE12)</f>
    </nc>
    <odxf>
      <border outline="0">
        <left/>
      </border>
    </odxf>
    <ndxf>
      <border outline="0">
        <left style="thin">
          <color indexed="64"/>
        </left>
      </border>
    </ndxf>
  </rcc>
  <rcc rId="13568" sId="1" odxf="1" dxf="1">
    <oc r="AL12">
      <f>SUM(AG12:AK12)</f>
    </oc>
    <nc r="AL12">
      <f>SUM(AG12:AK12)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69" sId="1" odxf="1" dxf="1">
    <oc r="AR12">
      <f>SUM(AM12:AQ12)</f>
    </oc>
    <nc r="AR12">
      <f>SUM(AM12:AQ12)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70" sId="1" odxf="1" dxf="1">
    <oc r="AX12">
      <f>SUM(AS12:AW12)</f>
    </oc>
    <nc r="AX12">
      <f>SUM(AS12:AW12)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13" start="0" length="0">
    <dxf>
      <border outline="0">
        <right style="thin">
          <color indexed="64"/>
        </right>
      </border>
    </dxf>
  </rfmt>
  <rcc rId="13571" sId="1" odxf="1" dxf="1">
    <oc r="H13">
      <f>SUM(C13:G13)</f>
    </oc>
    <nc r="H13">
      <f>SUM(C13:G13)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72" sId="1">
    <oc r="J13">
      <v>1</v>
    </oc>
    <nc r="J13"/>
  </rcc>
  <rcc rId="13573" sId="1">
    <oc r="M13">
      <v>1</v>
    </oc>
    <nc r="M13"/>
  </rcc>
  <rcc rId="13574" sId="1" odxf="1" dxf="1">
    <oc r="N13">
      <f>SUM(I13:M13)</f>
    </oc>
    <nc r="N13">
      <f>SUM(I13:M13)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75" sId="1">
    <oc r="P13">
      <v>1</v>
    </oc>
    <nc r="P13"/>
  </rcc>
  <rcc rId="13576" sId="1" odxf="1" dxf="1">
    <oc r="T13">
      <f>SUM(O13:S13)</f>
    </oc>
    <nc r="T13">
      <f>SUM(O13:S13)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77" sId="1">
    <oc r="U13">
      <v>1</v>
    </oc>
    <nc r="U13"/>
  </rcc>
  <rcc rId="13578" sId="1">
    <oc r="V13">
      <v>1</v>
    </oc>
    <nc r="V13"/>
  </rcc>
  <rcc rId="13579" sId="1" odxf="1" dxf="1">
    <oc r="Z13">
      <f>SUM(U13:Y13)</f>
    </oc>
    <nc r="Z13">
      <f>SUM(U13:Y13)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80" sId="1">
    <oc r="AA13">
      <v>1</v>
    </oc>
    <nc r="AA13"/>
  </rcc>
  <rcc rId="13581" sId="1">
    <oc r="AC13">
      <v>1</v>
    </oc>
    <nc r="AC13"/>
  </rcc>
  <rcc rId="13582" sId="1" odxf="1" dxf="1">
    <oc r="AF13">
      <f>SUM(AA13:AE13)</f>
    </oc>
    <nc r="AF13">
      <f>SUM(AA13:AE13)</f>
    </nc>
    <odxf>
      <border outline="0">
        <left/>
      </border>
    </odxf>
    <ndxf>
      <border outline="0">
        <left style="thin">
          <color indexed="64"/>
        </left>
      </border>
    </ndxf>
  </rcc>
  <rcc rId="13583" sId="1" odxf="1" dxf="1">
    <oc r="AL13">
      <f>SUM(AG13:AK13)</f>
    </oc>
    <nc r="AL13">
      <f>SUM(AG13:AK13)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84" sId="1" odxf="1" dxf="1">
    <oc r="AR13">
      <f>SUM(AM13:AQ13)</f>
    </oc>
    <nc r="AR13">
      <f>SUM(AM13:AQ13)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85" sId="1" odxf="1" dxf="1">
    <oc r="AX13">
      <f>SUM(AS13:AW13)</f>
    </oc>
    <nc r="AX13">
      <f>SUM(AS13:AW13)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G14" start="0" length="0">
    <dxf>
      <border outline="0">
        <right style="thin">
          <color indexed="64"/>
        </right>
      </border>
    </dxf>
  </rfmt>
  <rcc rId="13586" sId="1" odxf="1" dxf="1">
    <oc r="H14">
      <f>SUM(C14:G14)</f>
    </oc>
    <nc r="H14">
      <f>SUM(C14:G14)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87" sId="1" odxf="1" dxf="1">
    <oc r="N14">
      <f>SUM(I14:M14)</f>
    </oc>
    <nc r="N14">
      <f>SUM(I14:M14)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88" sId="1" odxf="1" dxf="1">
    <oc r="T14">
      <f>SUM(O14:S14)</f>
    </oc>
    <nc r="T14">
      <f>SUM(O14:S14)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89" sId="1" odxf="1" dxf="1">
    <oc r="Z14">
      <f>SUM(U14:Y14)</f>
    </oc>
    <nc r="Z14">
      <f>SUM(U14:Y14)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90" sId="1" odxf="1" dxf="1">
    <oc r="AF14">
      <f>SUM(AA14:AE14)</f>
    </oc>
    <nc r="AF14">
      <f>SUM(AA14:AE14)</f>
    </nc>
    <odxf>
      <border outline="0">
        <left/>
      </border>
    </odxf>
    <ndxf>
      <border outline="0">
        <left style="thin">
          <color indexed="64"/>
        </left>
      </border>
    </ndxf>
  </rcc>
  <rcc rId="13591" sId="1" odxf="1" dxf="1">
    <oc r="AL14">
      <f>SUM(AG14:AK14)</f>
    </oc>
    <nc r="AL14">
      <f>SUM(AG14:AK14)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92" sId="1" odxf="1" dxf="1">
    <oc r="AR14">
      <f>SUM(AM14:AQ14)</f>
    </oc>
    <nc r="AR14">
      <f>SUM(AM14:AQ14)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93" sId="1" odxf="1" dxf="1">
    <oc r="AX14">
      <f>SUM(AS14:AW14)</f>
    </oc>
    <nc r="AX14">
      <f>SUM(AS14:AW14)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594" sId="1">
    <nc r="F15">
      <v>149</v>
    </nc>
  </rcc>
  <rfmt sheetId="1" sqref="G15" start="0" length="0">
    <dxf>
      <border outline="0">
        <right style="thin">
          <color indexed="64"/>
        </right>
      </border>
    </dxf>
  </rfmt>
  <rcc rId="13595" sId="1" odxf="1" dxf="1">
    <oc r="H15">
      <f>SUM(C15:G15)</f>
    </oc>
    <nc r="H15">
      <f>SUM(C15:G15)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96" sId="1">
    <nc r="L15">
      <v>70</v>
    </nc>
  </rcc>
  <rcc rId="13597" sId="1" odxf="1" dxf="1">
    <oc r="N15">
      <f>SUM(I15:M15)</f>
    </oc>
    <nc r="N15">
      <f>SUM(I15:M15)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98" sId="1" odxf="1" dxf="1">
    <oc r="T15">
      <f>SUM(O15:S15)</f>
    </oc>
    <nc r="T15">
      <f>SUM(O15:S15)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599" sId="1" odxf="1" dxf="1">
    <oc r="Z15">
      <f>SUM(U15:Y15)</f>
    </oc>
    <nc r="Z15">
      <f>SUM(U15:Y15)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600" sId="1" odxf="1" dxf="1">
    <oc r="AF15">
      <f>SUM(AA15:AE15)</f>
    </oc>
    <nc r="AF15">
      <f>SUM(AA15:AE15)</f>
    </nc>
    <odxf>
      <border outline="0">
        <left/>
      </border>
    </odxf>
    <ndxf>
      <border outline="0">
        <left style="thin">
          <color indexed="64"/>
        </left>
      </border>
    </ndxf>
  </rcc>
  <rcc rId="13601" sId="1" odxf="1" dxf="1">
    <oc r="AL15">
      <f>SUM(AG15:AK15)</f>
    </oc>
    <nc r="AL15">
      <f>SUM(AG15:AK15)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3602" sId="1" odxf="1" dxf="1">
    <oc r="AR15">
      <f>SUM(AM15:AQ15)</f>
    </oc>
    <nc r="AR15">
      <f>SUM(AM15:AQ15)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603" sId="1" odxf="1" dxf="1">
    <oc r="AX15">
      <f>SUM(AS15:AW15)</f>
    </oc>
    <nc r="AX15">
      <f>SUM(AS15:AW15)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604" sId="1" odxf="1" dxf="1">
    <nc r="C16">
      <v>2</v>
    </nc>
    <odxf>
      <border outline="0">
        <bottom style="thin">
          <color indexed="64"/>
        </bottom>
      </border>
    </odxf>
    <ndxf>
      <border outline="0">
        <bottom/>
      </border>
    </ndxf>
  </rcc>
  <rfmt sheetId="1" sqref="D16" start="0" length="0">
    <dxf>
      <border outline="0">
        <bottom/>
      </border>
    </dxf>
  </rfmt>
  <rfmt sheetId="1" sqref="E16" start="0" length="0">
    <dxf>
      <border outline="0">
        <bottom/>
      </border>
    </dxf>
  </rfmt>
  <rfmt sheetId="1" sqref="F16" start="0" length="0">
    <dxf>
      <border outline="0">
        <bottom/>
      </border>
    </dxf>
  </rfmt>
  <rcc rId="13605" sId="1" odxf="1" dxf="1">
    <nc r="G16">
      <v>9</v>
    </nc>
    <odxf>
      <border outline="0">
        <right/>
        <bottom style="thin">
          <color indexed="64"/>
        </bottom>
      </border>
    </odxf>
    <ndxf>
      <border outline="0">
        <right style="thin">
          <color indexed="64"/>
        </right>
        <bottom/>
      </border>
    </ndxf>
  </rcc>
  <rcc rId="13606" sId="1" odxf="1" dxf="1">
    <oc r="H16">
      <f>SUM(C16:G16)</f>
    </oc>
    <nc r="H16">
      <f>SUM(C16:G16)</f>
    </nc>
    <odxf>
      <border outline="0">
        <left/>
        <right/>
        <bottom style="thin">
          <color indexed="64"/>
        </bottom>
      </border>
    </odxf>
    <ndxf>
      <border outline="0">
        <left style="thin">
          <color indexed="64"/>
        </left>
        <right style="thin">
          <color indexed="64"/>
        </right>
        <bottom/>
      </border>
    </ndxf>
  </rcc>
  <rfmt sheetId="1" sqref="I16" start="0" length="0">
    <dxf>
      <border outline="0">
        <bottom/>
      </border>
    </dxf>
  </rfmt>
  <rfmt sheetId="1" sqref="J16" start="0" length="0">
    <dxf>
      <border outline="0">
        <bottom/>
      </border>
    </dxf>
  </rfmt>
  <rfmt sheetId="1" sqref="K16" start="0" length="0">
    <dxf>
      <border outline="0">
        <bottom/>
      </border>
    </dxf>
  </rfmt>
  <rfmt sheetId="1" sqref="L16" start="0" length="0">
    <dxf>
      <border outline="0">
        <bottom/>
      </border>
    </dxf>
  </rfmt>
  <rfmt sheetId="1" sqref="M16" start="0" length="0">
    <dxf>
      <border outline="0">
        <bottom/>
      </border>
    </dxf>
  </rfmt>
  <rcc rId="13607" sId="1" odxf="1" dxf="1">
    <oc r="N16">
      <f>SUM(I16:M16)</f>
    </oc>
    <nc r="N16">
      <f>SUM(I16:M16)</f>
    </nc>
    <odxf>
      <border outline="0">
        <left/>
        <right/>
        <bottom style="thin">
          <color indexed="64"/>
        </bottom>
      </border>
    </odxf>
    <ndxf>
      <border outline="0">
        <left style="thin">
          <color indexed="64"/>
        </left>
        <right style="thin">
          <color indexed="64"/>
        </right>
        <bottom/>
      </border>
    </ndxf>
  </rcc>
  <rfmt sheetId="1" sqref="O16" start="0" length="0">
    <dxf>
      <border outline="0">
        <bottom/>
      </border>
    </dxf>
  </rfmt>
  <rfmt sheetId="1" sqref="P16" start="0" length="0">
    <dxf>
      <border outline="0">
        <bottom/>
      </border>
    </dxf>
  </rfmt>
  <rfmt sheetId="1" sqref="Q16" start="0" length="0">
    <dxf>
      <border outline="0">
        <bottom/>
      </border>
    </dxf>
  </rfmt>
  <rfmt sheetId="1" sqref="R16" start="0" length="0">
    <dxf>
      <border outline="0">
        <bottom/>
      </border>
    </dxf>
  </rfmt>
  <rfmt sheetId="1" sqref="S16" start="0" length="0">
    <dxf>
      <border outline="0">
        <bottom/>
      </border>
    </dxf>
  </rfmt>
  <rcc rId="13608" sId="1" odxf="1" dxf="1">
    <oc r="T16">
      <f>SUM(O16:S16)</f>
    </oc>
    <nc r="T16">
      <f>SUM(O16:S16)</f>
    </nc>
    <odxf>
      <border outline="0">
        <left/>
        <right/>
        <bottom style="thin">
          <color indexed="64"/>
        </bottom>
      </border>
    </odxf>
    <ndxf>
      <border outline="0">
        <left style="thin">
          <color indexed="64"/>
        </left>
        <right style="thin">
          <color indexed="64"/>
        </right>
        <bottom/>
      </border>
    </ndxf>
  </rcc>
  <rfmt sheetId="1" sqref="U16" start="0" length="0">
    <dxf>
      <border outline="0">
        <bottom/>
      </border>
    </dxf>
  </rfmt>
  <rfmt sheetId="1" sqref="V16" start="0" length="0">
    <dxf>
      <border outline="0">
        <bottom/>
      </border>
    </dxf>
  </rfmt>
  <rfmt sheetId="1" sqref="W16" start="0" length="0">
    <dxf>
      <border outline="0">
        <bottom/>
      </border>
    </dxf>
  </rfmt>
  <rfmt sheetId="1" sqref="X16" start="0" length="0">
    <dxf>
      <border outline="0">
        <bottom/>
      </border>
    </dxf>
  </rfmt>
  <rfmt sheetId="1" sqref="Y16" start="0" length="0">
    <dxf>
      <border outline="0">
        <bottom/>
      </border>
    </dxf>
  </rfmt>
  <rcc rId="13609" sId="1" odxf="1" dxf="1">
    <oc r="Z16">
      <f>SUM(U16:Y16)</f>
    </oc>
    <nc r="Z16">
      <f>SUM(U16:Y16)</f>
    </nc>
    <odxf>
      <border outline="0">
        <left/>
        <right/>
        <bottom style="thin">
          <color indexed="64"/>
        </bottom>
      </border>
    </odxf>
    <ndxf>
      <border outline="0">
        <left style="thin">
          <color indexed="64"/>
        </left>
        <right style="thin">
          <color indexed="64"/>
        </right>
        <bottom/>
      </border>
    </ndxf>
  </rcc>
  <rfmt sheetId="1" sqref="AA16" start="0" length="0">
    <dxf>
      <border outline="0">
        <bottom/>
      </border>
    </dxf>
  </rfmt>
  <rfmt sheetId="1" sqref="AB16" start="0" length="0">
    <dxf>
      <border outline="0">
        <bottom/>
      </border>
    </dxf>
  </rfmt>
  <rfmt sheetId="1" sqref="AC16" start="0" length="0">
    <dxf>
      <border outline="0">
        <bottom/>
      </border>
    </dxf>
  </rfmt>
  <rfmt sheetId="1" sqref="AD16" start="0" length="0">
    <dxf>
      <border outline="0">
        <bottom/>
      </border>
    </dxf>
  </rfmt>
  <rfmt sheetId="1" sqref="AE16" start="0" length="0">
    <dxf>
      <border outline="0">
        <bottom/>
      </border>
    </dxf>
  </rfmt>
  <rcc rId="13610" sId="1" odxf="1" dxf="1">
    <oc r="AF16">
      <f>SUM(AA16:AE16)</f>
    </oc>
    <nc r="AF16">
      <f>SUM(AA16:AE16)</f>
    </nc>
    <odxf>
      <border outline="0">
        <left/>
        <bottom style="thin">
          <color indexed="64"/>
        </bottom>
      </border>
    </odxf>
    <ndxf>
      <border outline="0">
        <left style="thin">
          <color indexed="64"/>
        </left>
        <bottom/>
      </border>
    </ndxf>
  </rcc>
  <rfmt sheetId="1" sqref="AG16" start="0" length="0">
    <dxf>
      <border outline="0">
        <bottom/>
      </border>
    </dxf>
  </rfmt>
  <rfmt sheetId="1" sqref="AH16" start="0" length="0">
    <dxf>
      <border outline="0">
        <bottom/>
      </border>
    </dxf>
  </rfmt>
  <rfmt sheetId="1" sqref="AI16" start="0" length="0">
    <dxf>
      <border outline="0">
        <bottom/>
      </border>
    </dxf>
  </rfmt>
  <rfmt sheetId="1" sqref="AJ16" start="0" length="0">
    <dxf>
      <border outline="0">
        <bottom/>
      </border>
    </dxf>
  </rfmt>
  <rfmt sheetId="1" sqref="AK16" start="0" length="0">
    <dxf>
      <border outline="0">
        <bottom/>
      </border>
    </dxf>
  </rfmt>
  <rcc rId="13611" sId="1" odxf="1" dxf="1">
    <oc r="AL16">
      <f>SUM(AG16:AK16)</f>
    </oc>
    <nc r="AL16">
      <f>SUM(AG16:AK16)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1" sqref="AM16" start="0" length="0">
    <dxf>
      <border outline="0">
        <bottom/>
      </border>
    </dxf>
  </rfmt>
  <rfmt sheetId="1" sqref="AN16" start="0" length="0">
    <dxf>
      <border outline="0">
        <bottom/>
      </border>
    </dxf>
  </rfmt>
  <rfmt sheetId="1" sqref="AO16" start="0" length="0">
    <dxf>
      <border outline="0">
        <bottom/>
      </border>
    </dxf>
  </rfmt>
  <rfmt sheetId="1" sqref="AP16" start="0" length="0">
    <dxf>
      <border outline="0">
        <bottom/>
      </border>
    </dxf>
  </rfmt>
  <rfmt sheetId="1" sqref="AQ16" start="0" length="0">
    <dxf>
      <border outline="0">
        <bottom/>
      </border>
    </dxf>
  </rfmt>
  <rcc rId="13612" sId="1" odxf="1" dxf="1">
    <oc r="AR16">
      <f>SUM(AM16:AQ16)</f>
    </oc>
    <nc r="AR16">
      <f>SUM(AM16:AQ16)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1" sqref="AS16" start="0" length="0">
    <dxf>
      <border outline="0">
        <bottom/>
      </border>
    </dxf>
  </rfmt>
  <rfmt sheetId="1" sqref="AT16" start="0" length="0">
    <dxf>
      <border outline="0">
        <bottom/>
      </border>
    </dxf>
  </rfmt>
  <rfmt sheetId="1" sqref="AU16" start="0" length="0">
    <dxf>
      <border outline="0">
        <bottom/>
      </border>
    </dxf>
  </rfmt>
  <rfmt sheetId="1" sqref="AV16" start="0" length="0">
    <dxf>
      <border outline="0">
        <bottom/>
      </border>
    </dxf>
  </rfmt>
  <rfmt sheetId="1" sqref="AW16" start="0" length="0">
    <dxf>
      <border outline="0">
        <bottom/>
      </border>
    </dxf>
  </rfmt>
  <rcc rId="13613" sId="1" odxf="1" dxf="1">
    <oc r="AX16">
      <f>SUM(AS16:AW16)</f>
    </oc>
    <nc r="AX16">
      <f>SUM(AS16:AW16)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3614" sId="1" odxf="1" dxf="1">
    <nc r="C17">
      <v>10</v>
    </nc>
    <odxf>
      <alignment wrapText="1"/>
      <border outline="0">
        <left/>
        <bottom/>
      </border>
    </odxf>
    <ndxf>
      <alignment wrapText="0"/>
      <border outline="0">
        <left style="thin">
          <color indexed="64"/>
        </left>
        <bottom style="thin">
          <color indexed="64"/>
        </bottom>
      </border>
    </ndxf>
  </rcc>
  <rcc rId="13615" sId="1" odxf="1" dxf="1">
    <nc r="D17">
      <v>10</v>
    </nc>
    <odxf>
      <alignment wrapText="1"/>
      <border outline="0">
        <bottom/>
      </border>
    </odxf>
    <ndxf>
      <alignment wrapText="0"/>
      <border outline="0">
        <bottom style="thin">
          <color indexed="64"/>
        </bottom>
      </border>
    </ndxf>
  </rcc>
  <rcc rId="13616" sId="1" odxf="1" dxf="1">
    <nc r="E17">
      <v>10</v>
    </nc>
    <odxf>
      <alignment wrapText="1"/>
      <border outline="0">
        <bottom/>
      </border>
    </odxf>
    <ndxf>
      <alignment wrapText="0"/>
      <border outline="0">
        <bottom style="thin">
          <color indexed="64"/>
        </bottom>
      </border>
    </ndxf>
  </rcc>
  <rfmt sheetId="1" sqref="F17" start="0" length="0">
    <dxf>
      <alignment wrapText="0"/>
      <border outline="0">
        <bottom style="thin">
          <color indexed="64"/>
        </bottom>
      </border>
    </dxf>
  </rfmt>
  <rfmt sheetId="1" sqref="G17" start="0" length="0">
    <dxf>
      <alignment wrapText="0"/>
      <border outline="0">
        <right style="thin">
          <color indexed="64"/>
        </right>
        <bottom style="thin">
          <color indexed="64"/>
        </bottom>
      </border>
    </dxf>
  </rfmt>
  <rcc rId="13617" sId="1" odxf="1" dxf="1">
    <nc r="H17">
      <f>SUM(C17:G17)</f>
    </nc>
    <odxf>
      <fill>
        <patternFill patternType="none">
          <bgColor indexed="65"/>
        </patternFill>
      </fill>
      <alignment wrapText="1"/>
      <border outline="0">
        <left/>
        <right/>
        <bottom/>
      </border>
    </odxf>
    <ndxf>
      <fill>
        <patternFill patternType="solid">
          <bgColor theme="0" tint="-0.14999847407452621"/>
        </patternFill>
      </fill>
      <alignment wrapText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13618" sId="1" odxf="1" dxf="1">
    <nc r="I17">
      <v>10</v>
    </nc>
    <odxf>
      <border outline="0">
        <bottom/>
      </border>
    </odxf>
    <ndxf>
      <border outline="0">
        <bottom style="thin">
          <color indexed="64"/>
        </bottom>
      </border>
    </ndxf>
  </rcc>
  <rcc rId="13619" sId="1" odxf="1" dxf="1">
    <nc r="J17">
      <v>10</v>
    </nc>
    <odxf>
      <border outline="0">
        <bottom/>
      </border>
    </odxf>
    <ndxf>
      <border outline="0">
        <bottom style="thin">
          <color indexed="64"/>
        </bottom>
      </border>
    </ndxf>
  </rcc>
  <rcc rId="13620" sId="1" odxf="1" dxf="1">
    <nc r="K17">
      <v>10</v>
    </nc>
    <odxf>
      <alignment wrapText="1"/>
      <border outline="0">
        <bottom/>
      </border>
    </odxf>
    <ndxf>
      <alignment wrapText="0"/>
      <border outline="0">
        <bottom style="thin">
          <color indexed="64"/>
        </bottom>
      </border>
    </ndxf>
  </rcc>
  <rfmt sheetId="1" sqref="L17" start="0" length="0">
    <dxf>
      <border outline="0">
        <bottom style="thin">
          <color indexed="64"/>
        </bottom>
      </border>
    </dxf>
  </rfmt>
  <rcc rId="13621" sId="1" odxf="1" dxf="1">
    <nc r="M17">
      <v>10</v>
    </nc>
    <odxf>
      <alignment wrapText="1"/>
      <border outline="0">
        <bottom/>
      </border>
    </odxf>
    <ndxf>
      <alignment wrapText="0"/>
      <border outline="0">
        <bottom style="thin">
          <color indexed="64"/>
        </bottom>
      </border>
    </ndxf>
  </rcc>
  <rcc rId="13622" sId="1" odxf="1" dxf="1">
    <nc r="N17">
      <f>SUM(I17:M17)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13623" sId="1" odxf="1" dxf="1">
    <nc r="O17">
      <v>5</v>
    </nc>
    <odxf>
      <border outline="0">
        <bottom/>
      </border>
    </odxf>
    <ndxf>
      <border outline="0">
        <bottom style="thin">
          <color indexed="64"/>
        </bottom>
      </border>
    </ndxf>
  </rcc>
  <rcc rId="13624" sId="1" odxf="1" dxf="1">
    <nc r="P17">
      <v>6</v>
    </nc>
    <odxf>
      <border outline="0">
        <bottom/>
      </border>
    </odxf>
    <ndxf>
      <border outline="0">
        <bottom style="thin">
          <color indexed="64"/>
        </bottom>
      </border>
    </ndxf>
  </rcc>
  <rfmt sheetId="1" sqref="Q17" start="0" length="0">
    <dxf>
      <border outline="0">
        <bottom style="thin">
          <color indexed="64"/>
        </bottom>
      </border>
    </dxf>
  </rfmt>
  <rfmt sheetId="1" sqref="R17" start="0" length="0">
    <dxf>
      <border outline="0">
        <bottom style="thin">
          <color indexed="64"/>
        </bottom>
      </border>
    </dxf>
  </rfmt>
  <rfmt sheetId="1" sqref="S17" start="0" length="0">
    <dxf>
      <alignment wrapText="0"/>
      <border outline="0">
        <bottom style="thin">
          <color indexed="64"/>
        </bottom>
      </border>
    </dxf>
  </rfmt>
  <rcc rId="13625" sId="1" odxf="1" dxf="1">
    <nc r="T17">
      <f>SUM(O17:S17)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" sqref="U17" start="0" length="0">
    <dxf>
      <border outline="0">
        <bottom style="thin">
          <color indexed="64"/>
        </bottom>
      </border>
    </dxf>
  </rfmt>
  <rfmt sheetId="1" sqref="V17" start="0" length="0">
    <dxf>
      <border outline="0">
        <bottom style="thin">
          <color indexed="64"/>
        </bottom>
      </border>
    </dxf>
  </rfmt>
  <rfmt sheetId="1" sqref="W17" start="0" length="0">
    <dxf>
      <border outline="0">
        <bottom style="thin">
          <color indexed="64"/>
        </bottom>
      </border>
    </dxf>
  </rfmt>
  <rfmt sheetId="1" sqref="X17" start="0" length="0">
    <dxf>
      <border outline="0">
        <bottom style="thin">
          <color indexed="64"/>
        </bottom>
      </border>
    </dxf>
  </rfmt>
  <rfmt sheetId="1" sqref="Y17" start="0" length="0">
    <dxf>
      <border outline="0">
        <bottom style="thin">
          <color indexed="64"/>
        </bottom>
      </border>
    </dxf>
  </rfmt>
  <rcc rId="13626" sId="1" odxf="1" dxf="1">
    <nc r="Z17">
      <f>SUM(U17:Y17)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" sqref="AA17" start="0" length="0">
    <dxf>
      <border outline="0">
        <bottom style="thin">
          <color indexed="64"/>
        </bottom>
      </border>
    </dxf>
  </rfmt>
  <rfmt sheetId="1" sqref="AB17" start="0" length="0">
    <dxf>
      <border outline="0">
        <bottom style="thin">
          <color indexed="64"/>
        </bottom>
      </border>
    </dxf>
  </rfmt>
  <rfmt sheetId="1" sqref="AC17" start="0" length="0">
    <dxf>
      <border outline="0">
        <bottom style="thin">
          <color indexed="64"/>
        </bottom>
      </border>
    </dxf>
  </rfmt>
  <rfmt sheetId="1" sqref="AD17" start="0" length="0">
    <dxf>
      <border outline="0">
        <bottom style="thin">
          <color indexed="64"/>
        </bottom>
      </border>
    </dxf>
  </rfmt>
  <rfmt sheetId="1" sqref="AE17" start="0" length="0">
    <dxf>
      <border outline="0">
        <bottom style="thin">
          <color indexed="64"/>
        </bottom>
      </border>
    </dxf>
  </rfmt>
  <rcc rId="13627" sId="1" odxf="1" dxf="1">
    <nc r="AF17">
      <f>SUM(AA17:AE17)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" sqref="AG17" start="0" length="0">
    <dxf>
      <border outline="0">
        <bottom style="thin">
          <color indexed="64"/>
        </bottom>
      </border>
    </dxf>
  </rfmt>
  <rfmt sheetId="1" sqref="AH17" start="0" length="0">
    <dxf>
      <border outline="0">
        <bottom style="thin">
          <color indexed="64"/>
        </bottom>
      </border>
    </dxf>
  </rfmt>
  <rfmt sheetId="1" sqref="AI17" start="0" length="0">
    <dxf>
      <border outline="0">
        <bottom style="thin">
          <color indexed="64"/>
        </bottom>
      </border>
    </dxf>
  </rfmt>
  <rfmt sheetId="1" sqref="AJ17" start="0" length="0">
    <dxf>
      <border outline="0">
        <bottom style="thin">
          <color indexed="64"/>
        </bottom>
      </border>
    </dxf>
  </rfmt>
  <rfmt sheetId="1" sqref="AK17" start="0" length="0">
    <dxf>
      <border outline="0">
        <bottom style="thin">
          <color indexed="64"/>
        </bottom>
      </border>
    </dxf>
  </rfmt>
  <rcc rId="13628" sId="1" odxf="1" dxf="1">
    <nc r="AL17">
      <f>SUM(AG17:AK17)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" sqref="AM17" start="0" length="0">
    <dxf>
      <border outline="0">
        <bottom style="thin">
          <color indexed="64"/>
        </bottom>
      </border>
    </dxf>
  </rfmt>
  <rfmt sheetId="1" sqref="AN17" start="0" length="0">
    <dxf>
      <border outline="0">
        <bottom style="thin">
          <color indexed="64"/>
        </bottom>
      </border>
    </dxf>
  </rfmt>
  <rfmt sheetId="1" sqref="AO17" start="0" length="0">
    <dxf>
      <border outline="0">
        <bottom style="thin">
          <color indexed="64"/>
        </bottom>
      </border>
    </dxf>
  </rfmt>
  <rfmt sheetId="1" sqref="AP17" start="0" length="0">
    <dxf>
      <border outline="0">
        <bottom style="thin">
          <color indexed="64"/>
        </bottom>
      </border>
    </dxf>
  </rfmt>
  <rfmt sheetId="1" sqref="AQ17" start="0" length="0">
    <dxf>
      <border outline="0">
        <bottom style="thin">
          <color indexed="64"/>
        </bottom>
      </border>
    </dxf>
  </rfmt>
  <rcc rId="13629" sId="1" odxf="1" dxf="1">
    <nc r="AR17">
      <f>SUM(AM17:AQ17)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" sqref="AS17" start="0" length="0">
    <dxf>
      <border outline="0">
        <bottom style="thin">
          <color indexed="64"/>
        </bottom>
      </border>
    </dxf>
  </rfmt>
  <rfmt sheetId="1" sqref="AT17" start="0" length="0">
    <dxf>
      <border outline="0">
        <bottom style="thin">
          <color indexed="64"/>
        </bottom>
      </border>
    </dxf>
  </rfmt>
  <rfmt sheetId="1" sqref="AU17" start="0" length="0">
    <dxf>
      <border outline="0">
        <bottom style="thin">
          <color indexed="64"/>
        </bottom>
      </border>
    </dxf>
  </rfmt>
  <rfmt sheetId="1" sqref="AV17" start="0" length="0">
    <dxf>
      <border outline="0">
        <bottom style="thin">
          <color indexed="64"/>
        </bottom>
      </border>
    </dxf>
  </rfmt>
  <rfmt sheetId="1" sqref="AW17" start="0" length="0">
    <dxf>
      <border outline="0">
        <bottom style="thin">
          <color indexed="64"/>
        </bottom>
      </border>
    </dxf>
  </rfmt>
  <rcc rId="13630" sId="1" odxf="1" dxf="1">
    <nc r="AX17">
      <f>SUM(AS17:AW17)</f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rc rId="13631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Desarquivamento de Processos/Documentos - Saída de Guia Fora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1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  <top style="thin">
            <color indexed="64"/>
          </top>
        </border>
      </dxf>
    </rfmt>
    <rfmt sheetId="1" sqref="D2" start="0" length="0">
      <dxf>
        <border outline="0">
          <top style="thin">
            <color indexed="64"/>
          </top>
        </border>
      </dxf>
    </rfmt>
    <rfmt sheetId="1" sqref="E2" start="0" length="0">
      <dxf>
        <border outline="0">
          <top style="thin">
            <color indexed="64"/>
          </top>
        </border>
      </dxf>
    </rfmt>
    <rcc rId="0" sId="1" dxf="1">
      <nc r="F2">
        <v>1</v>
      </nc>
      <ndxf>
        <border outline="0">
          <top style="thin">
            <color indexed="64"/>
          </top>
        </border>
      </ndxf>
    </rcc>
    <rfmt sheetId="1" sqref="G2" start="0" length="0">
      <dxf>
        <border outline="0">
          <right style="thin">
            <color indexed="64"/>
          </right>
          <top style="thin">
            <color indexed="64"/>
          </top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>
      <nc r="O2">
        <v>1</v>
      </nc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1" sqref="AS2" start="0" length="0">
      <dxf>
        <numFmt numFmtId="21" formatCode="dd/mmm"/>
      </dxf>
    </rfmt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2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Caixas consultadas em pesquisa de desarquivamento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2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3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Retorno de Processos/Documentos Desarquivados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3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>
      <nc r="K2">
        <v>1</v>
      </nc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4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Recebimento de Documentos - Guia de Transferência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4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1" dxf="1">
      <nc r="C2">
        <v>1</v>
      </nc>
      <ndxf>
        <border outline="0">
          <left style="thin">
            <color indexed="64"/>
          </left>
        </border>
      </ndxf>
    </rcc>
    <rcc rId="0" sId="1" dxf="1">
      <nc r="G2">
        <v>1</v>
      </nc>
      <ndxf>
        <border outline="0">
          <right style="thin">
            <color indexed="64"/>
          </right>
        </border>
      </ndxf>
    </rcc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1" sqref="L2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5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Caixas separadas para classificação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5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1" sqref="L2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6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Processos/Documentos classificados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6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7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Caixas separadas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7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8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Caixas listadas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8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39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Processos/Documentos listados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9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40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Caixas inventariadas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10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41" sId="1" ref="A2:XFD2" action="deleteRow">
    <rfmt sheetId="1" xfDxf="1" sqref="A2:XFD2" start="0" length="0">
      <dxf>
        <alignment horizontal="center" vertical="center"/>
      </dxf>
    </rfmt>
    <rcc rId="0" sId="1" dxf="1">
      <nc r="A2" t="inlineStr">
        <is>
          <t>Processos/documentos inventariados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2">
        <v>11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2" start="0" length="0">
      <dxf>
        <border outline="0">
          <left style="thin">
            <color indexed="64"/>
          </left>
        </border>
      </dxf>
    </rfmt>
    <rfmt sheetId="1" sqref="G2" start="0" length="0">
      <dxf>
        <border outline="0">
          <right style="thin">
            <color indexed="64"/>
          </right>
        </border>
      </dxf>
    </rfmt>
    <rcc rId="0" sId="1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42" sId="1" ref="A4:XFD4" action="deleteRow">
    <rfmt sheetId="1" xfDxf="1" sqref="A4:XFD4" start="0" length="0">
      <dxf>
        <alignment horizontal="center" vertical="center"/>
      </dxf>
    </rfmt>
    <rcc rId="0" sId="1" dxf="1">
      <nc r="A4" t="inlineStr">
        <is>
          <t>Caixas remanejadas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B4">
        <v>14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1" sqref="C4" start="0" length="0">
      <dxf>
        <border outline="0">
          <left style="thin">
            <color indexed="64"/>
          </left>
        </border>
      </dxf>
    </rfmt>
    <rcc rId="0" sId="1">
      <nc r="F4">
        <v>149</v>
      </nc>
    </rcc>
    <rfmt sheetId="1" sqref="G4" start="0" length="0">
      <dxf>
        <border outline="0">
          <right style="thin">
            <color indexed="64"/>
          </right>
        </border>
      </dxf>
    </rfmt>
    <rcc rId="0" sId="1" dxf="1">
      <nc r="H4">
        <f>SUM(C4:G4)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>
      <nc r="L4">
        <v>70</v>
      </nc>
    </rcc>
    <rcc rId="0" sId="1" dxf="1">
      <nc r="N4">
        <f>SUM(I4:M4)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4">
        <f>SUM(O4:S4)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4">
        <f>SUM(U4:Y4)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4">
        <f>SUM(AA4:AE4)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4">
        <f>SUM(AG4:AK4)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4">
        <f>SUM(AM4:AQ4)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4">
        <f>SUM(AS4:AW4)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BD4">
        <f>SUM(AY4:BC4)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643" sId="1" ref="A4:XFD4" action="deleteRow">
    <rfmt sheetId="1" xfDxf="1" sqref="A4:XFD4" start="0" length="0">
      <dxf>
        <alignment horizontal="center" vertical="center"/>
      </dxf>
    </rfmt>
    <rcc rId="0" sId="1" dxf="1">
      <nc r="A4" t="inlineStr">
        <is>
          <t>Caixas conferidas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indexed="64"/>
          </left>
          <bottom style="thin">
            <color indexed="64"/>
          </bottom>
        </border>
      </ndxf>
    </rcc>
    <rcc rId="0" sId="1" dxf="1">
      <nc r="B4">
        <v>15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wrapText="1"/>
        <border outline="0">
          <right style="thin">
            <color indexed="64"/>
          </right>
          <bottom style="thin">
            <color indexed="64"/>
          </bottom>
        </border>
      </ndxf>
    </rcc>
    <rcc rId="0" sId="1" dxf="1">
      <nc r="C4">
        <v>2</v>
      </nc>
      <ndxf>
        <border outline="0">
          <left style="thin">
            <color indexed="64"/>
          </left>
        </border>
      </ndxf>
    </rcc>
    <rcc rId="0" sId="1" dxf="1">
      <nc r="G4">
        <v>9</v>
      </nc>
      <ndxf>
        <border outline="0">
          <right style="thin">
            <color indexed="64"/>
          </right>
        </border>
      </ndxf>
    </rcc>
    <rcc rId="0" sId="1" dxf="1">
      <nc r="H4">
        <f>SUM(C4:G4)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N4">
        <f>SUM(I4:M4)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T4">
        <f>SUM(O4:S4)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Z4">
        <f>SUM(U4:Y4)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F4">
        <f>SUM(AA4:AE4)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L4">
        <f>SUM(AG4:AK4)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R4">
        <f>SUM(AM4:AQ4)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" dxf="1">
      <nc r="AX4">
        <f>SUM(AS4:AW4)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1" sqref="AY4" start="0" length="0">
      <dxf>
        <border outline="0">
          <bottom style="thin">
            <color indexed="64"/>
          </bottom>
        </border>
      </dxf>
    </rfmt>
    <rfmt sheetId="1" sqref="AZ4" start="0" length="0">
      <dxf>
        <border outline="0">
          <bottom style="thin">
            <color indexed="64"/>
          </bottom>
        </border>
      </dxf>
    </rfmt>
    <rfmt sheetId="1" sqref="BA4" start="0" length="0">
      <dxf>
        <border outline="0">
          <bottom style="thin">
            <color indexed="64"/>
          </bottom>
        </border>
      </dxf>
    </rfmt>
    <rfmt sheetId="1" sqref="BB4" start="0" length="0">
      <dxf>
        <border outline="0">
          <bottom style="thin">
            <color indexed="64"/>
          </bottom>
        </border>
      </dxf>
    </rfmt>
    <rfmt sheetId="1" sqref="BC4" start="0" length="0">
      <dxf>
        <border outline="0">
          <bottom style="thin">
            <color indexed="64"/>
          </bottom>
        </border>
      </dxf>
    </rfmt>
    <rcc rId="0" sId="1" dxf="1">
      <nc r="BD4">
        <f>SUM(AY4:BC4)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cc rId="13644" sId="1">
    <nc r="A6" t="inlineStr">
      <is>
        <t xml:space="preserve">OUTRA ATIVIDADE. QUAL? </t>
      </is>
    </nc>
  </rcc>
  <rcc rId="13645" sId="1">
    <nc r="A7" t="inlineStr">
      <is>
        <t>OBSERVAÇÃO</t>
      </is>
    </nc>
  </rcc>
  <rrc rId="13646" sId="1" ref="A4:XFD4" action="deleteRow">
    <rfmt sheetId="1" xfDxf="1" sqref="A4:XFD4" start="0" length="0">
      <dxf>
        <alignment horizontal="center" vertical="center"/>
      </dxf>
    </rfmt>
    <rcc rId="0" sId="1">
      <nc r="A4" t="inlineStr">
        <is>
          <t xml:space="preserve">OUTRA ATIVIDADE. QUAL? </t>
        </is>
      </nc>
    </rcc>
    <rcc rId="0" sId="1" dxf="1">
      <nc r="C4">
        <v>10</v>
      </nc>
      <ndxf>
        <border outline="0">
          <left style="thin">
            <color indexed="64"/>
          </left>
          <bottom style="thin">
            <color indexed="64"/>
          </bottom>
        </border>
      </ndxf>
    </rcc>
    <rcc rId="0" sId="1" dxf="1">
      <nc r="D4">
        <v>10</v>
      </nc>
      <ndxf>
        <border outline="0">
          <bottom style="thin">
            <color indexed="64"/>
          </bottom>
        </border>
      </ndxf>
    </rcc>
    <rcc rId="0" sId="1" dxf="1">
      <nc r="E4">
        <v>10</v>
      </nc>
      <ndxf>
        <border outline="0">
          <bottom style="thin">
            <color indexed="64"/>
          </bottom>
        </border>
      </ndxf>
    </rcc>
    <rfmt sheetId="1" sqref="F4" start="0" length="0">
      <dxf>
        <border outline="0">
          <bottom style="thin">
            <color indexed="64"/>
          </bottom>
        </border>
      </dxf>
    </rfmt>
    <rfmt sheetId="1" sqref="G4" start="0" length="0">
      <dxf>
        <border outline="0">
          <right style="thin">
            <color indexed="64"/>
          </right>
          <bottom style="thin">
            <color indexed="64"/>
          </bottom>
        </border>
      </dxf>
    </rfmt>
    <rcc rId="0" sId="1" dxf="1">
      <nc r="H4">
        <f>SUM(C4:G4)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1" dxf="1">
      <nc r="I4">
        <v>10</v>
      </nc>
      <ndxf>
        <border outline="0">
          <bottom style="thin">
            <color indexed="64"/>
          </bottom>
        </border>
      </ndxf>
    </rcc>
    <rcc rId="0" sId="1" dxf="1">
      <nc r="J4">
        <v>10</v>
      </nc>
      <ndxf>
        <border outline="0">
          <bottom style="thin">
            <color indexed="64"/>
          </bottom>
        </border>
      </ndxf>
    </rcc>
    <rcc rId="0" sId="1" dxf="1">
      <nc r="K4">
        <v>10</v>
      </nc>
      <ndxf>
        <border outline="0">
          <bottom style="thin">
            <color indexed="64"/>
          </bottom>
        </border>
      </ndxf>
    </rcc>
    <rfmt sheetId="1" sqref="L4" start="0" length="0">
      <dxf>
        <border outline="0">
          <bottom style="thin">
            <color indexed="64"/>
          </bottom>
        </border>
      </dxf>
    </rfmt>
    <rcc rId="0" sId="1" dxf="1">
      <nc r="M4">
        <v>10</v>
      </nc>
      <ndxf>
        <border outline="0">
          <bottom style="thin">
            <color indexed="64"/>
          </bottom>
        </border>
      </ndxf>
    </rcc>
    <rcc rId="0" sId="1" dxf="1">
      <nc r="N4">
        <f>SUM(I4:M4)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1" dxf="1">
      <nc r="O4">
        <v>5</v>
      </nc>
      <ndxf>
        <border outline="0">
          <bottom style="thin">
            <color indexed="64"/>
          </bottom>
        </border>
      </ndxf>
    </rcc>
    <rcc rId="0" sId="1" dxf="1">
      <nc r="P4">
        <v>6</v>
      </nc>
      <ndxf>
        <border outline="0">
          <bottom style="thin">
            <color indexed="64"/>
          </bottom>
        </border>
      </ndxf>
    </rcc>
    <rfmt sheetId="1" sqref="Q4" start="0" length="0">
      <dxf>
        <border outline="0">
          <bottom style="thin">
            <color indexed="64"/>
          </bottom>
        </border>
      </dxf>
    </rfmt>
    <rfmt sheetId="1" sqref="R4" start="0" length="0">
      <dxf>
        <border outline="0">
          <bottom style="thin">
            <color indexed="64"/>
          </bottom>
        </border>
      </dxf>
    </rfmt>
    <rfmt sheetId="1" sqref="S4" start="0" length="0">
      <dxf>
        <border outline="0">
          <bottom style="thin">
            <color indexed="64"/>
          </bottom>
        </border>
      </dxf>
    </rfmt>
    <rcc rId="0" sId="1" dxf="1">
      <nc r="T4">
        <f>SUM(O4:S4)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1" sqref="U4" start="0" length="0">
      <dxf>
        <border outline="0">
          <bottom style="thin">
            <color indexed="64"/>
          </bottom>
        </border>
      </dxf>
    </rfmt>
    <rfmt sheetId="1" sqref="V4" start="0" length="0">
      <dxf>
        <border outline="0">
          <bottom style="thin">
            <color indexed="64"/>
          </bottom>
        </border>
      </dxf>
    </rfmt>
    <rfmt sheetId="1" sqref="W4" start="0" length="0">
      <dxf>
        <border outline="0">
          <bottom style="thin">
            <color indexed="64"/>
          </bottom>
        </border>
      </dxf>
    </rfmt>
    <rfmt sheetId="1" sqref="X4" start="0" length="0">
      <dxf>
        <border outline="0">
          <bottom style="thin">
            <color indexed="64"/>
          </bottom>
        </border>
      </dxf>
    </rfmt>
    <rfmt sheetId="1" sqref="Y4" start="0" length="0">
      <dxf>
        <border outline="0">
          <bottom style="thin">
            <color indexed="64"/>
          </bottom>
        </border>
      </dxf>
    </rfmt>
    <rcc rId="0" sId="1" dxf="1">
      <nc r="Z4">
        <f>SUM(U4:Y4)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1" sqref="AA4" start="0" length="0">
      <dxf>
        <border outline="0">
          <bottom style="thin">
            <color indexed="64"/>
          </bottom>
        </border>
      </dxf>
    </rfmt>
    <rfmt sheetId="1" sqref="AB4" start="0" length="0">
      <dxf>
        <border outline="0">
          <bottom style="thin">
            <color indexed="64"/>
          </bottom>
        </border>
      </dxf>
    </rfmt>
    <rfmt sheetId="1" sqref="AC4" start="0" length="0">
      <dxf>
        <border outline="0">
          <bottom style="thin">
            <color indexed="64"/>
          </bottom>
        </border>
      </dxf>
    </rfmt>
    <rfmt sheetId="1" sqref="AD4" start="0" length="0">
      <dxf>
        <border outline="0">
          <bottom style="thin">
            <color indexed="64"/>
          </bottom>
        </border>
      </dxf>
    </rfmt>
    <rfmt sheetId="1" sqref="AE4" start="0" length="0">
      <dxf>
        <border outline="0">
          <bottom style="thin">
            <color indexed="64"/>
          </bottom>
        </border>
      </dxf>
    </rfmt>
    <rcc rId="0" sId="1" dxf="1">
      <nc r="AF4">
        <f>SUM(AA4:AE4)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1" sqref="AG4" start="0" length="0">
      <dxf>
        <border outline="0">
          <bottom style="thin">
            <color indexed="64"/>
          </bottom>
        </border>
      </dxf>
    </rfmt>
    <rfmt sheetId="1" sqref="AH4" start="0" length="0">
      <dxf>
        <border outline="0">
          <bottom style="thin">
            <color indexed="64"/>
          </bottom>
        </border>
      </dxf>
    </rfmt>
    <rfmt sheetId="1" sqref="AI4" start="0" length="0">
      <dxf>
        <border outline="0">
          <bottom style="thin">
            <color indexed="64"/>
          </bottom>
        </border>
      </dxf>
    </rfmt>
    <rfmt sheetId="1" sqref="AJ4" start="0" length="0">
      <dxf>
        <border outline="0">
          <bottom style="thin">
            <color indexed="64"/>
          </bottom>
        </border>
      </dxf>
    </rfmt>
    <rfmt sheetId="1" sqref="AK4" start="0" length="0">
      <dxf>
        <border outline="0">
          <bottom style="thin">
            <color indexed="64"/>
          </bottom>
        </border>
      </dxf>
    </rfmt>
    <rcc rId="0" sId="1" dxf="1">
      <nc r="AL4">
        <f>SUM(AG4:AK4)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1" sqref="AM4" start="0" length="0">
      <dxf>
        <border outline="0">
          <bottom style="thin">
            <color indexed="64"/>
          </bottom>
        </border>
      </dxf>
    </rfmt>
    <rfmt sheetId="1" sqref="AN4" start="0" length="0">
      <dxf>
        <border outline="0">
          <bottom style="thin">
            <color indexed="64"/>
          </bottom>
        </border>
      </dxf>
    </rfmt>
    <rfmt sheetId="1" sqref="AO4" start="0" length="0">
      <dxf>
        <border outline="0">
          <bottom style="thin">
            <color indexed="64"/>
          </bottom>
        </border>
      </dxf>
    </rfmt>
    <rfmt sheetId="1" sqref="AP4" start="0" length="0">
      <dxf>
        <border outline="0">
          <bottom style="thin">
            <color indexed="64"/>
          </bottom>
        </border>
      </dxf>
    </rfmt>
    <rfmt sheetId="1" sqref="AQ4" start="0" length="0">
      <dxf>
        <border outline="0">
          <bottom style="thin">
            <color indexed="64"/>
          </bottom>
        </border>
      </dxf>
    </rfmt>
    <rcc rId="0" sId="1" dxf="1">
      <nc r="AR4">
        <f>SUM(AM4:AQ4)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1" sqref="AS4" start="0" length="0">
      <dxf>
        <border outline="0">
          <bottom style="thin">
            <color indexed="64"/>
          </bottom>
        </border>
      </dxf>
    </rfmt>
    <rfmt sheetId="1" sqref="AT4" start="0" length="0">
      <dxf>
        <border outline="0">
          <bottom style="thin">
            <color indexed="64"/>
          </bottom>
        </border>
      </dxf>
    </rfmt>
    <rfmt sheetId="1" sqref="AU4" start="0" length="0">
      <dxf>
        <border outline="0">
          <bottom style="thin">
            <color indexed="64"/>
          </bottom>
        </border>
      </dxf>
    </rfmt>
    <rfmt sheetId="1" sqref="AV4" start="0" length="0">
      <dxf>
        <border outline="0">
          <bottom style="thin">
            <color indexed="64"/>
          </bottom>
        </border>
      </dxf>
    </rfmt>
    <rfmt sheetId="1" sqref="AW4" start="0" length="0">
      <dxf>
        <border outline="0">
          <bottom style="thin">
            <color indexed="64"/>
          </bottom>
        </border>
      </dxf>
    </rfmt>
    <rcc rId="0" sId="1" dxf="1">
      <nc r="AX4">
        <f>SUM(AS4:AW4)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3647" sId="1" ref="A4:XFD4" action="deleteRow">
    <undo index="65535" exp="area" ref3D="1" dr="$A$1:$A$4" dn="Z_E3841903_5B68_44FD_8F09_58E03D1025C5_.wvu.FilterData" sId="1"/>
    <undo index="65535" exp="area" ref3D="1" dr="$A$1:$A$4" dn="Z_B3CDE377_BA5D_4E06_91D9_3A48E1959BA5_.wvu.FilterData" sId="1"/>
    <undo index="65535" exp="area" ref3D="1" dr="$A$1:$A$4" dn="Z_9B623083_AA7B_440B_95EA_C33E1AB3D963_.wvu.FilterData" sId="1"/>
    <undo index="65535" exp="area" ref3D="1" dr="$A$1:$A$4" dn="Z_86039CF8_B158_4D70_9A6F_A10C29CBD68A_.wvu.FilterData" sId="1"/>
    <undo index="65535" exp="area" ref3D="1" dr="$A$1:$A$4" dn="Z_3D987F8E_A6EA_454D_9537_6BFC5053CB00_.wvu.FilterData" sId="1"/>
    <undo index="65535" exp="area" ref3D="1" dr="$A$1:$A$4" dn="Z_20CB6D8F_C24D_4D4B_A424_AF380F620455_.wvu.FilterData" sId="1"/>
    <undo index="65535" exp="area" ref3D="1" dr="$A$1:$A$4" dn="_FiltrarBancodeDados" sId="1"/>
    <undo index="65535" exp="area" ref3D="1" dr="$A$1:$A$4" dn="Z_18A482E0_C8B6_4AA1_9E04_15FA7C9CD5E3_.wvu.FilterData" sId="1"/>
    <rfmt sheetId="1" xfDxf="1" sqref="A4:XFD4" start="0" length="0">
      <dxf>
        <alignment horizontal="center" vertical="center"/>
      </dxf>
    </rfmt>
    <rcc rId="0" sId="1">
      <nc r="A4" t="inlineStr">
        <is>
          <t>OBSERVAÇÃO</t>
        </is>
      </nc>
    </rcc>
    <rfmt sheetId="1" sqref="C4" start="0" length="0">
      <dxf>
        <alignment wrapText="1"/>
      </dxf>
    </rfmt>
  </rrc>
  <rcc rId="13648" sId="1">
    <oc r="B2">
      <v>12</v>
    </oc>
    <nc r="B2">
      <v>1</v>
    </nc>
  </rcc>
  <rcc rId="13649" sId="1">
    <oc r="B3">
      <v>13</v>
    </oc>
    <nc r="B3">
      <v>2</v>
    </nc>
  </rcc>
  <rfmt sheetId="1" sqref="C3:BD3" start="0" length="0">
    <dxf>
      <border>
        <bottom style="thin">
          <color indexed="64"/>
        </bottom>
      </border>
    </dxf>
  </rfmt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650" sId="1" ref="AY1:AY1048576" action="deleteCol">
    <undo index="65535" exp="area" dr="AY3:BC3" r="BD3" sId="1"/>
    <undo index="65535" exp="area" dr="AY2:BC2" r="BD2" sId="1"/>
    <rfmt sheetId="1" xfDxf="1" sqref="AY1:AY1048576" start="0" length="0">
      <dxf>
        <alignment horizontal="center" vertical="center"/>
      </dxf>
    </rfmt>
    <rcc rId="0" sId="1" dxf="1" numFmtId="21">
      <nc r="AY1">
        <v>45866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AY2" start="0" length="0">
      <dxf/>
    </rfmt>
    <rfmt sheetId="1" sqref="AY3" start="0" length="0">
      <dxf>
        <border outline="0">
          <bottom style="thin">
            <color indexed="64"/>
          </bottom>
        </border>
      </dxf>
    </rfmt>
  </rrc>
  <rrc rId="13651" sId="1" ref="AY1:AY1048576" action="deleteCol">
    <undo index="65535" exp="area" dr="AY3:BB3" r="BC3" sId="1"/>
    <undo index="65535" exp="area" dr="AY2:BB2" r="BC2" sId="1"/>
    <rfmt sheetId="1" xfDxf="1" sqref="AY1:AY1048576" start="0" length="0">
      <dxf>
        <alignment horizontal="center" vertical="center"/>
      </dxf>
    </rfmt>
    <rcc rId="0" sId="1" dxf="1" numFmtId="21">
      <nc r="AY1">
        <v>45867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AY2" start="0" length="0">
      <dxf/>
    </rfmt>
    <rfmt sheetId="1" sqref="AY3" start="0" length="0">
      <dxf>
        <border outline="0">
          <bottom style="thin">
            <color indexed="64"/>
          </bottom>
        </border>
      </dxf>
    </rfmt>
  </rrc>
  <rrc rId="13652" sId="1" ref="AY1:AY1048576" action="deleteCol">
    <undo index="65535" exp="area" dr="AY3:BA3" r="BB3" sId="1"/>
    <undo index="65535" exp="area" dr="AY2:BA2" r="BB2" sId="1"/>
    <rfmt sheetId="1" xfDxf="1" sqref="AY1:AY1048576" start="0" length="0">
      <dxf>
        <alignment horizontal="center" vertical="center"/>
      </dxf>
    </rfmt>
    <rcc rId="0" sId="1" dxf="1" numFmtId="21">
      <nc r="AY1">
        <v>45868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AY2" start="0" length="0">
      <dxf/>
    </rfmt>
    <rfmt sheetId="1" sqref="AY3" start="0" length="0">
      <dxf>
        <border outline="0">
          <bottom style="thin">
            <color indexed="64"/>
          </bottom>
        </border>
      </dxf>
    </rfmt>
  </rrc>
  <rrc rId="13653" sId="1" ref="AY1:AY1048576" action="deleteCol">
    <undo index="65535" exp="area" dr="AY3:AZ3" r="BA3" sId="1"/>
    <undo index="65535" exp="area" dr="AY2:AZ2" r="BA2" sId="1"/>
    <rfmt sheetId="1" xfDxf="1" sqref="AY1:AY1048576" start="0" length="0">
      <dxf>
        <alignment horizontal="center" vertical="center"/>
      </dxf>
    </rfmt>
    <rcc rId="0" sId="1" dxf="1" numFmtId="21">
      <nc r="AY1">
        <v>45869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AY2" start="0" length="0">
      <dxf/>
    </rfmt>
    <rfmt sheetId="1" sqref="AY3" start="0" length="0">
      <dxf>
        <border outline="0">
          <bottom style="thin">
            <color indexed="64"/>
          </bottom>
        </border>
      </dxf>
    </rfmt>
  </rrc>
  <rrc rId="13654" sId="1" ref="AY1:AY1048576" action="deleteCol">
    <undo index="65535" exp="area" dr="AY3" r="AZ3" sId="1"/>
    <undo index="65535" exp="area" dr="AY2" r="AZ2" sId="1"/>
    <rfmt sheetId="1" xfDxf="1" sqref="AY1:AY1048576" start="0" length="0">
      <dxf>
        <alignment horizontal="center" vertical="center"/>
      </dxf>
    </rfmt>
    <rcc rId="0" sId="1" dxf="1" numFmtId="21">
      <nc r="AY1">
        <v>45870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AY2" start="0" length="0">
      <dxf/>
    </rfmt>
    <rfmt sheetId="1" sqref="AY3" start="0" length="0">
      <dxf>
        <border outline="0">
          <bottom style="thin">
            <color indexed="64"/>
          </bottom>
        </border>
      </dxf>
    </rfmt>
  </rrc>
  <rrc rId="13655" sId="1" ref="AY1:AY1048576" action="deleteCol">
    <rfmt sheetId="1" xfDxf="1" sqref="AY1:AY1048576" start="0" length="0">
      <dxf>
        <alignment horizontal="center" vertical="center"/>
      </dxf>
    </rfmt>
    <rcc rId="0" sId="1" dxf="1">
      <nc r="AY1" t="inlineStr">
        <is>
          <t>TOTAL SEMANA</t>
        </is>
      </nc>
      <ndxf>
        <fill>
          <patternFill patternType="solid">
            <bgColor theme="0" tint="-0.249977111117893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AY2">
        <f>SUM(#REF!)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  <rcc rId="0" sId="1" dxf="1">
      <nc r="AY3">
        <f>SUM(#REF!)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  <bottom style="thin">
            <color indexed="64"/>
          </bottom>
        </border>
      </ndxf>
    </rcc>
  </rrc>
  <rrc rId="13656" sId="1" ref="AY1:AY1048576" action="deleteCol">
    <rfmt sheetId="1" xfDxf="1" sqref="AY1:AY1048576" start="0" length="0">
      <dxf>
        <alignment horizontal="center" vertical="center"/>
      </dxf>
    </rfmt>
  </rrc>
  <rrc rId="13657" sId="1" ref="AY1:AY1048576" action="deleteCol">
    <rfmt sheetId="1" xfDxf="1" sqref="AY1:AY1048576" start="0" length="0">
      <dxf>
        <alignment horizontal="center" vertical="center"/>
      </dxf>
    </rfmt>
  </rrc>
  <rrc rId="13658" sId="1" ref="AY1:AY1048576" action="deleteCol">
    <rfmt sheetId="1" xfDxf="1" sqref="AY1:AY1048576" start="0" length="0">
      <dxf>
        <alignment horizontal="center" vertical="center"/>
      </dxf>
    </rfmt>
  </rrc>
  <rrc rId="13659" sId="1" ref="AY1:AY1048576" action="deleteCol">
    <rfmt sheetId="1" xfDxf="1" sqref="AY1:AY1048576" start="0" length="0">
      <dxf>
        <alignment horizontal="center" vertical="center"/>
      </dxf>
    </rfmt>
  </rrc>
  <rrc rId="13660" sId="1" ref="AY1:AY1048576" action="deleteCol">
    <rfmt sheetId="1" xfDxf="1" sqref="AY1:AY1048576" start="0" length="0">
      <dxf>
        <alignment horizontal="center" vertical="center"/>
      </dxf>
    </rfmt>
  </rrc>
  <rrc rId="13661" sId="1" ref="AY1:AY1048576" action="deleteCol">
    <rfmt sheetId="1" xfDxf="1" sqref="AY1:AY1048576" start="0" length="0">
      <dxf>
        <alignment horizontal="center" vertical="center"/>
      </dxf>
    </rfmt>
  </rrc>
  <rcc rId="13662" sId="2" odxf="1" dxf="1" numFmtId="21">
    <oc r="C1">
      <v>45810</v>
    </oc>
    <nc r="C1">
      <v>45662</v>
    </nc>
    <odxf>
      <border outline="0">
        <right style="thin">
          <color auto="1"/>
        </right>
      </border>
    </odxf>
    <ndxf>
      <border outline="0">
        <right/>
      </border>
    </ndxf>
  </rcc>
  <rcc rId="13663" sId="2" odxf="1" dxf="1" numFmtId="21">
    <oc r="D1">
      <v>45811</v>
    </oc>
    <nc r="D1">
      <v>45663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64" sId="2" odxf="1" dxf="1" numFmtId="21">
    <oc r="E1">
      <v>45812</v>
    </oc>
    <nc r="E1">
      <v>45664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65" sId="2" odxf="1" dxf="1" numFmtId="21">
    <oc r="F1">
      <v>45813</v>
    </oc>
    <nc r="F1">
      <v>45665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66" sId="2" odxf="1" dxf="1" numFmtId="21">
    <oc r="G1">
      <v>45814</v>
    </oc>
    <nc r="G1">
      <v>45666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2" sqref="H1" start="0" length="0">
    <dxf>
      <numFmt numFmtId="0" formatCode="General"/>
    </dxf>
  </rfmt>
  <rcc rId="13667" sId="2" odxf="1" dxf="1" numFmtId="21">
    <oc r="I1">
      <v>45817</v>
    </oc>
    <nc r="I1">
      <v>45669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68" sId="2" odxf="1" dxf="1" numFmtId="21">
    <oc r="J1">
      <v>45818</v>
    </oc>
    <nc r="J1">
      <v>45670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69" sId="2" odxf="1" dxf="1" numFmtId="21">
    <oc r="K1">
      <v>45819</v>
    </oc>
    <nc r="K1">
      <v>45671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70" sId="2" odxf="1" dxf="1" numFmtId="21">
    <oc r="L1">
      <v>45820</v>
    </oc>
    <nc r="L1">
      <v>45672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71" sId="2" odxf="1" dxf="1" numFmtId="21">
    <oc r="M1">
      <v>45821</v>
    </oc>
    <nc r="M1">
      <v>45673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72" sId="2" odxf="1" dxf="1" numFmtId="21">
    <oc r="O1">
      <v>45824</v>
    </oc>
    <nc r="O1">
      <v>45676</v>
    </nc>
    <odxf>
      <border outline="0">
        <right style="thin">
          <color auto="1"/>
        </right>
      </border>
    </odxf>
    <ndxf>
      <border outline="0">
        <right/>
      </border>
    </ndxf>
  </rcc>
  <rcc rId="13673" sId="2" odxf="1" dxf="1" numFmtId="21">
    <oc r="P1">
      <v>45825</v>
    </oc>
    <nc r="P1">
      <v>45677</v>
    </nc>
    <odxf>
      <border outline="0">
        <right style="thin">
          <color auto="1"/>
        </right>
      </border>
    </odxf>
    <ndxf>
      <border outline="0">
        <right/>
      </border>
    </ndxf>
  </rcc>
  <rcc rId="13674" sId="2" odxf="1" dxf="1" numFmtId="21">
    <oc r="Q1">
      <v>45826</v>
    </oc>
    <nc r="Q1">
      <v>45678</v>
    </nc>
    <odxf>
      <border outline="0">
        <right style="thin">
          <color auto="1"/>
        </right>
      </border>
    </odxf>
    <ndxf>
      <border outline="0">
        <right/>
      </border>
    </ndxf>
  </rcc>
  <rcc rId="13675" sId="2" odxf="1" dxf="1" numFmtId="21">
    <oc r="R1">
      <v>45827</v>
    </oc>
    <nc r="R1">
      <v>45679</v>
    </nc>
    <odxf>
      <border outline="0">
        <right style="thin">
          <color auto="1"/>
        </right>
      </border>
    </odxf>
    <ndxf>
      <border outline="0">
        <right/>
      </border>
    </ndxf>
  </rcc>
  <rcc rId="13676" sId="2" odxf="1" dxf="1" numFmtId="21">
    <oc r="S1">
      <v>45828</v>
    </oc>
    <nc r="S1">
      <v>45680</v>
    </nc>
    <odxf>
      <border outline="0">
        <right style="thin">
          <color auto="1"/>
        </right>
      </border>
    </odxf>
    <ndxf>
      <border outline="0">
        <right/>
      </border>
    </ndxf>
  </rcc>
  <rcc rId="13677" sId="2" odxf="1" dxf="1" numFmtId="21">
    <oc r="U1">
      <v>45831</v>
    </oc>
    <nc r="U1">
      <v>45683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78" sId="2" odxf="1" dxf="1" numFmtId="21">
    <oc r="V1">
      <v>45832</v>
    </oc>
    <nc r="V1">
      <v>45684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79" sId="2" odxf="1" dxf="1" numFmtId="21">
    <oc r="W1">
      <v>45833</v>
    </oc>
    <nc r="W1">
      <v>45685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0" sId="2" odxf="1" dxf="1" numFmtId="21">
    <oc r="X1">
      <v>45834</v>
    </oc>
    <nc r="X1">
      <v>45686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1" sId="2" odxf="1" dxf="1" numFmtId="21">
    <oc r="Y1">
      <v>45835</v>
    </oc>
    <nc r="Y1">
      <v>45687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2" sId="2" odxf="1" dxf="1" numFmtId="21">
    <oc r="AA1">
      <v>45838</v>
    </oc>
    <nc r="AA1">
      <v>45690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3" sId="2" odxf="1" dxf="1" numFmtId="21">
    <oc r="AB1">
      <v>45839</v>
    </oc>
    <nc r="AB1">
      <v>45691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4" sId="2" odxf="1" dxf="1" numFmtId="21">
    <oc r="AC1">
      <v>45840</v>
    </oc>
    <nc r="AC1">
      <v>45692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5" sId="2" odxf="1" dxf="1" numFmtId="21">
    <oc r="AD1">
      <v>45841</v>
    </oc>
    <nc r="AD1">
      <v>45693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6" sId="2" odxf="1" dxf="1" numFmtId="21">
    <oc r="AE1">
      <v>45842</v>
    </oc>
    <nc r="AE1">
      <v>45694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7" sId="2" odxf="1" dxf="1" numFmtId="21">
    <oc r="AG1">
      <v>45845</v>
    </oc>
    <nc r="AG1">
      <v>45697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8" sId="2" odxf="1" dxf="1" numFmtId="21">
    <oc r="AH1">
      <v>45846</v>
    </oc>
    <nc r="AH1">
      <v>45698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89" sId="2" odxf="1" dxf="1" numFmtId="21">
    <oc r="AI1">
      <v>45847</v>
    </oc>
    <nc r="AI1">
      <v>45699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0" sId="2" odxf="1" dxf="1" numFmtId="21">
    <oc r="AJ1">
      <v>45848</v>
    </oc>
    <nc r="AJ1">
      <v>45700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1" sId="2" odxf="1" dxf="1" numFmtId="21">
    <oc r="AK1">
      <v>45849</v>
    </oc>
    <nc r="AK1">
      <v>45701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2" sId="2" odxf="1" dxf="1" numFmtId="21">
    <oc r="AM1">
      <v>45852</v>
    </oc>
    <nc r="AM1">
      <v>45704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3" sId="2" odxf="1" dxf="1" numFmtId="21">
    <oc r="AN1">
      <v>45853</v>
    </oc>
    <nc r="AN1">
      <v>45705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4" sId="2" odxf="1" dxf="1" numFmtId="21">
    <oc r="AO1">
      <v>45854</v>
    </oc>
    <nc r="AO1">
      <v>45706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5" sId="2" odxf="1" dxf="1" numFmtId="21">
    <oc r="AP1">
      <v>45855</v>
    </oc>
    <nc r="AP1">
      <v>45707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3696" sId="2" odxf="1" dxf="1" numFmtId="21">
    <oc r="AQ1">
      <v>45856</v>
    </oc>
    <nc r="AQ1">
      <v>45708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2" sqref="AR1" start="0" length="0">
    <dxf>
      <fill>
        <patternFill>
          <bgColor theme="0" tint="-0.14999847407452621"/>
        </patternFill>
      </fill>
    </dxf>
  </rfmt>
  <rcc rId="13697" sId="2" odxf="1" dxf="1" numFmtId="21">
    <oc r="AS1">
      <v>45859</v>
    </oc>
    <nc r="AS1">
      <v>45711</v>
    </nc>
    <odxf>
      <border outline="0">
        <right style="thin">
          <color auto="1"/>
        </right>
      </border>
    </odxf>
    <ndxf>
      <border outline="0">
        <right/>
      </border>
    </ndxf>
  </rcc>
  <rcc rId="13698" sId="2" odxf="1" dxf="1" numFmtId="21">
    <oc r="AT1">
      <v>45860</v>
    </oc>
    <nc r="AT1">
      <v>45712</v>
    </nc>
    <odxf>
      <border outline="0">
        <right style="thin">
          <color auto="1"/>
        </right>
      </border>
    </odxf>
    <ndxf>
      <border outline="0">
        <right/>
      </border>
    </ndxf>
  </rcc>
  <rcc rId="13699" sId="2" odxf="1" dxf="1" numFmtId="21">
    <oc r="AU1">
      <v>45861</v>
    </oc>
    <nc r="AU1">
      <v>45713</v>
    </nc>
    <odxf>
      <border outline="0">
        <right style="thin">
          <color auto="1"/>
        </right>
      </border>
    </odxf>
    <ndxf>
      <border outline="0">
        <right/>
      </border>
    </ndxf>
  </rcc>
  <rcc rId="13700" sId="2" odxf="1" dxf="1" numFmtId="21">
    <oc r="AV1">
      <v>45862</v>
    </oc>
    <nc r="AV1">
      <v>45714</v>
    </nc>
    <odxf>
      <border outline="0">
        <right style="thin">
          <color auto="1"/>
        </right>
      </border>
    </odxf>
    <ndxf>
      <border outline="0">
        <right/>
      </border>
    </ndxf>
  </rcc>
  <rcc rId="13701" sId="2" odxf="1" dxf="1" numFmtId="21">
    <oc r="AW1">
      <v>45863</v>
    </oc>
    <nc r="AW1">
      <v>45715</v>
    </nc>
    <odxf>
      <border outline="0">
        <right style="thin">
          <color auto="1"/>
        </right>
      </border>
    </odxf>
    <ndxf>
      <border outline="0">
        <right/>
      </border>
    </ndxf>
  </rcc>
  <rfmt sheetId="2" sqref="AX1" start="0" length="0">
    <dxf>
      <fill>
        <patternFill>
          <bgColor theme="0" tint="-0.14999847407452621"/>
        </patternFill>
      </fill>
    </dxf>
  </rfmt>
  <rfmt sheetId="2" sqref="D2" start="0" length="0">
    <dxf/>
  </rfmt>
  <rfmt sheetId="2" sqref="E2" start="0" length="0">
    <dxf/>
  </rfmt>
  <rfmt sheetId="2" sqref="F2" start="0" length="0">
    <dxf/>
  </rfmt>
  <rfmt sheetId="2" sqref="G2" start="0" length="0">
    <dxf>
      <border outline="0">
        <right style="thin">
          <color indexed="64"/>
        </right>
      </border>
    </dxf>
  </rfmt>
  <rcc rId="13702" sId="2" odxf="1" dxf="1">
    <oc r="H2">
      <f>SUM(C2:G2)</f>
    </oc>
    <nc r="H2">
      <f>SUM(C2:G2)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2" sqref="I2" start="0" length="0">
    <dxf/>
  </rfmt>
  <rfmt sheetId="2" sqref="J2" start="0" length="0">
    <dxf/>
  </rfmt>
  <rfmt sheetId="2" sqref="K2" start="0" length="0">
    <dxf/>
  </rfmt>
  <rfmt sheetId="2" sqref="L2" start="0" length="0">
    <dxf/>
  </rfmt>
  <rfmt sheetId="2" sqref="M2" start="0" length="0">
    <dxf/>
  </rfmt>
  <rcc rId="13703" sId="2" odxf="1" dxf="1">
    <oc r="N2">
      <f>SUM(I2:M2)</f>
    </oc>
    <nc r="N2">
      <f>SUM(I2:M2)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2" sqref="O2" start="0" length="0">
    <dxf/>
  </rfmt>
  <rfmt sheetId="2" sqref="P2" start="0" length="0">
    <dxf/>
  </rfmt>
  <rfmt sheetId="2" sqref="Q2" start="0" length="0">
    <dxf/>
  </rfmt>
  <rfmt sheetId="2" sqref="R2" start="0" length="0">
    <dxf/>
  </rfmt>
  <rfmt sheetId="2" sqref="S2" start="0" length="0">
    <dxf/>
  </rfmt>
  <rcc rId="13704" sId="2" odxf="1" dxf="1">
    <oc r="T2">
      <f>SUM(O2:S2)</f>
    </oc>
    <nc r="T2">
      <f>SUM(O2:S2)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2" sqref="U2" start="0" length="0">
    <dxf/>
  </rfmt>
  <rfmt sheetId="2" sqref="V2" start="0" length="0">
    <dxf/>
  </rfmt>
  <rfmt sheetId="2" sqref="W2" start="0" length="0">
    <dxf/>
  </rfmt>
  <rfmt sheetId="2" sqref="X2" start="0" length="0">
    <dxf/>
  </rfmt>
  <rfmt sheetId="2" sqref="Y2" start="0" length="0">
    <dxf/>
  </rfmt>
  <rcc rId="13705" sId="2" odxf="1" dxf="1">
    <oc r="Z2">
      <f>SUM(U2:Y2)</f>
    </oc>
    <nc r="Z2">
      <f>SUM(U2:Y2)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2" sqref="AA2" start="0" length="0">
    <dxf/>
  </rfmt>
  <rfmt sheetId="2" sqref="AB2" start="0" length="0">
    <dxf/>
  </rfmt>
  <rfmt sheetId="2" sqref="AC2" start="0" length="0">
    <dxf/>
  </rfmt>
  <rfmt sheetId="2" sqref="AD2" start="0" length="0">
    <dxf/>
  </rfmt>
  <rfmt sheetId="2" sqref="AE2" start="0" length="0">
    <dxf/>
  </rfmt>
  <rcc rId="13706" sId="2" odxf="1" dxf="1">
    <oc r="AF2">
      <f>SUM(AA2:AE2)</f>
    </oc>
    <nc r="AF2">
      <f>SUM(AA2:AE2)</f>
    </nc>
    <odxf>
      <border outline="0">
        <left/>
      </border>
    </odxf>
    <ndxf>
      <border outline="0">
        <left style="thin">
          <color indexed="64"/>
        </left>
      </border>
    </ndxf>
  </rcc>
  <rfmt sheetId="2" sqref="AG2" start="0" length="0">
    <dxf/>
  </rfmt>
  <rfmt sheetId="2" sqref="AH2" start="0" length="0">
    <dxf/>
  </rfmt>
  <rfmt sheetId="2" sqref="AI2" start="0" length="0">
    <dxf/>
  </rfmt>
  <rfmt sheetId="2" sqref="AJ2" start="0" length="0">
    <dxf/>
  </rfmt>
  <rfmt sheetId="2" sqref="AK2" start="0" length="0">
    <dxf/>
  </rfmt>
  <rcc rId="13707" sId="2" odxf="1" dxf="1">
    <oc r="AL2">
      <f>SUM(AG2:AK2)</f>
    </oc>
    <nc r="AL2">
      <f>SUM(AG2:AK2)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2" sqref="AM2" start="0" length="0">
    <dxf/>
  </rfmt>
  <rfmt sheetId="2" sqref="AN2" start="0" length="0">
    <dxf/>
  </rfmt>
  <rfmt sheetId="2" sqref="AO2" start="0" length="0">
    <dxf/>
  </rfmt>
  <rfmt sheetId="2" sqref="AP2" start="0" length="0">
    <dxf/>
  </rfmt>
  <rfmt sheetId="2" sqref="AQ2" start="0" length="0">
    <dxf/>
  </rfmt>
  <rcc rId="13708" sId="2" odxf="1" dxf="1">
    <oc r="AR2">
      <f>SUM(AM2:AQ2)</f>
    </oc>
    <nc r="AR2">
      <f>SUM(AM2:AQ2)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2" sqref="AS2" start="0" length="0">
    <dxf/>
  </rfmt>
  <rfmt sheetId="2" sqref="AT2" start="0" length="0">
    <dxf/>
  </rfmt>
  <rfmt sheetId="2" sqref="AU2" start="0" length="0">
    <dxf/>
  </rfmt>
  <rfmt sheetId="2" sqref="AV2" start="0" length="0">
    <dxf/>
  </rfmt>
  <rfmt sheetId="2" sqref="AW2" start="0" length="0">
    <dxf/>
  </rfmt>
  <rcc rId="13709" sId="2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2" sqref="C3" start="0" length="0">
    <dxf>
      <border outline="0">
        <bottom style="thin">
          <color indexed="64"/>
        </bottom>
      </border>
    </dxf>
  </rfmt>
  <rfmt sheetId="2" sqref="D3" start="0" length="0">
    <dxf>
      <border outline="0">
        <bottom style="thin">
          <color indexed="64"/>
        </bottom>
      </border>
    </dxf>
  </rfmt>
  <rfmt sheetId="2" sqref="E3" start="0" length="0">
    <dxf>
      <border outline="0">
        <bottom style="thin">
          <color indexed="64"/>
        </bottom>
      </border>
    </dxf>
  </rfmt>
  <rfmt sheetId="2" sqref="F3" start="0" length="0">
    <dxf>
      <border outline="0">
        <bottom style="thin">
          <color indexed="64"/>
        </bottom>
      </border>
    </dxf>
  </rfmt>
  <rfmt sheetId="2" sqref="G3" start="0" length="0">
    <dxf>
      <border outline="0">
        <right style="thin">
          <color indexed="64"/>
        </right>
        <bottom style="thin">
          <color indexed="64"/>
        </bottom>
      </border>
    </dxf>
  </rfmt>
  <rcc rId="13710" sId="2" odxf="1" dxf="1">
    <oc r="H3">
      <f>SUM(C3:G3)</f>
    </oc>
    <nc r="H3">
      <f>SUM(C3:G3)</f>
    </nc>
    <odxf>
      <border outline="0">
        <left/>
        <right/>
        <bottom/>
      </border>
    </odxf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I3" start="0" length="0">
    <dxf>
      <border outline="0">
        <bottom style="thin">
          <color indexed="64"/>
        </bottom>
      </border>
    </dxf>
  </rfmt>
  <rfmt sheetId="2" sqref="J3" start="0" length="0">
    <dxf>
      <border outline="0">
        <bottom style="thin">
          <color indexed="64"/>
        </bottom>
      </border>
    </dxf>
  </rfmt>
  <rfmt sheetId="2" sqref="K3" start="0" length="0">
    <dxf>
      <border outline="0">
        <bottom style="thin">
          <color indexed="64"/>
        </bottom>
      </border>
    </dxf>
  </rfmt>
  <rfmt sheetId="2" sqref="L3" start="0" length="0">
    <dxf>
      <border outline="0">
        <bottom style="thin">
          <color indexed="64"/>
        </bottom>
      </border>
    </dxf>
  </rfmt>
  <rfmt sheetId="2" sqref="M3" start="0" length="0">
    <dxf>
      <border outline="0">
        <bottom style="thin">
          <color indexed="64"/>
        </bottom>
      </border>
    </dxf>
  </rfmt>
  <rcc rId="13711" sId="2" odxf="1" dxf="1">
    <oc r="N3">
      <f>SUM(I3:M3)</f>
    </oc>
    <nc r="N3">
      <f>SUM(I3:M3)</f>
    </nc>
    <odxf>
      <border outline="0">
        <left/>
        <right/>
        <bottom/>
      </border>
    </odxf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O3" start="0" length="0">
    <dxf>
      <border outline="0">
        <bottom style="thin">
          <color indexed="64"/>
        </bottom>
      </border>
    </dxf>
  </rfmt>
  <rfmt sheetId="2" sqref="P3" start="0" length="0">
    <dxf>
      <border outline="0">
        <bottom style="thin">
          <color indexed="64"/>
        </bottom>
      </border>
    </dxf>
  </rfmt>
  <rfmt sheetId="2" sqref="Q3" start="0" length="0">
    <dxf>
      <border outline="0">
        <bottom style="thin">
          <color indexed="64"/>
        </bottom>
      </border>
    </dxf>
  </rfmt>
  <rfmt sheetId="2" sqref="R3" start="0" length="0">
    <dxf>
      <border outline="0">
        <bottom style="thin">
          <color indexed="64"/>
        </bottom>
      </border>
    </dxf>
  </rfmt>
  <rfmt sheetId="2" sqref="S3" start="0" length="0">
    <dxf>
      <border outline="0">
        <bottom style="thin">
          <color indexed="64"/>
        </bottom>
      </border>
    </dxf>
  </rfmt>
  <rcc rId="13712" sId="2" odxf="1" dxf="1">
    <oc r="T3">
      <f>SUM(O3:S3)</f>
    </oc>
    <nc r="T3">
      <f>SUM(O3:S3)</f>
    </nc>
    <odxf>
      <border outline="0">
        <left/>
        <right/>
        <bottom/>
      </border>
    </odxf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U3" start="0" length="0">
    <dxf>
      <border outline="0">
        <bottom style="thin">
          <color indexed="64"/>
        </bottom>
      </border>
    </dxf>
  </rfmt>
  <rfmt sheetId="2" sqref="V3" start="0" length="0">
    <dxf>
      <border outline="0">
        <bottom style="thin">
          <color indexed="64"/>
        </bottom>
      </border>
    </dxf>
  </rfmt>
  <rfmt sheetId="2" sqref="W3" start="0" length="0">
    <dxf>
      <border outline="0">
        <bottom style="thin">
          <color indexed="64"/>
        </bottom>
      </border>
    </dxf>
  </rfmt>
  <rfmt sheetId="2" sqref="X3" start="0" length="0">
    <dxf>
      <border outline="0">
        <bottom style="thin">
          <color indexed="64"/>
        </bottom>
      </border>
    </dxf>
  </rfmt>
  <rfmt sheetId="2" sqref="Y3" start="0" length="0">
    <dxf>
      <border outline="0">
        <bottom style="thin">
          <color indexed="64"/>
        </bottom>
      </border>
    </dxf>
  </rfmt>
  <rcc rId="13713" sId="2" odxf="1" dxf="1">
    <oc r="Z3">
      <f>SUM(U3:Y3)</f>
    </oc>
    <nc r="Z3">
      <f>SUM(U3:Y3)</f>
    </nc>
    <odxf>
      <border outline="0">
        <left/>
        <right/>
        <bottom/>
      </border>
    </odxf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AA3" start="0" length="0">
    <dxf>
      <border outline="0">
        <bottom style="thin">
          <color indexed="64"/>
        </bottom>
      </border>
    </dxf>
  </rfmt>
  <rfmt sheetId="2" sqref="AB3" start="0" length="0">
    <dxf>
      <border outline="0">
        <bottom style="thin">
          <color indexed="64"/>
        </bottom>
      </border>
    </dxf>
  </rfmt>
  <rfmt sheetId="2" sqref="AC3" start="0" length="0">
    <dxf>
      <border outline="0">
        <bottom style="thin">
          <color indexed="64"/>
        </bottom>
      </border>
    </dxf>
  </rfmt>
  <rfmt sheetId="2" sqref="AD3" start="0" length="0">
    <dxf>
      <border outline="0">
        <bottom style="thin">
          <color indexed="64"/>
        </bottom>
      </border>
    </dxf>
  </rfmt>
  <rfmt sheetId="2" sqref="AE3" start="0" length="0">
    <dxf>
      <border outline="0">
        <bottom style="thin">
          <color indexed="64"/>
        </bottom>
      </border>
    </dxf>
  </rfmt>
  <rcc rId="13714" sId="2" odxf="1" dxf="1">
    <oc r="AF3">
      <f>SUM(AA3:AE3)</f>
    </oc>
    <nc r="AF3">
      <f>SUM(AA3:AE3)</f>
    </nc>
    <odxf>
      <border outline="0">
        <left/>
        <bottom/>
      </border>
    </odxf>
    <ndxf>
      <border outline="0">
        <left style="thin">
          <color indexed="64"/>
        </left>
        <bottom style="thin">
          <color indexed="64"/>
        </bottom>
      </border>
    </ndxf>
  </rcc>
  <rfmt sheetId="2" sqref="AG3" start="0" length="0">
    <dxf>
      <border outline="0">
        <bottom style="thin">
          <color indexed="64"/>
        </bottom>
      </border>
    </dxf>
  </rfmt>
  <rfmt sheetId="2" sqref="AH3" start="0" length="0">
    <dxf>
      <border outline="0">
        <bottom style="thin">
          <color indexed="64"/>
        </bottom>
      </border>
    </dxf>
  </rfmt>
  <rfmt sheetId="2" sqref="AI3" start="0" length="0">
    <dxf>
      <border outline="0">
        <bottom style="thin">
          <color indexed="64"/>
        </bottom>
      </border>
    </dxf>
  </rfmt>
  <rfmt sheetId="2" sqref="AJ3" start="0" length="0">
    <dxf>
      <border outline="0">
        <bottom style="thin">
          <color indexed="64"/>
        </bottom>
      </border>
    </dxf>
  </rfmt>
  <rfmt sheetId="2" sqref="AK3" start="0" length="0">
    <dxf>
      <border outline="0">
        <bottom style="thin">
          <color indexed="64"/>
        </bottom>
      </border>
    </dxf>
  </rfmt>
  <rcc rId="13715" sId="2" odxf="1" dxf="1">
    <oc r="AL3">
      <f>SUM(AG3:AK3)</f>
    </oc>
    <nc r="AL3">
      <f>SUM(AG3:AK3)</f>
    </nc>
    <odxf>
      <border outline="0">
        <left/>
        <right/>
        <bottom/>
      </border>
    </odxf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AM3" start="0" length="0">
    <dxf>
      <border outline="0">
        <bottom style="thin">
          <color indexed="64"/>
        </bottom>
      </border>
    </dxf>
  </rfmt>
  <rfmt sheetId="2" sqref="AN3" start="0" length="0">
    <dxf>
      <border outline="0">
        <bottom style="thin">
          <color indexed="64"/>
        </bottom>
      </border>
    </dxf>
  </rfmt>
  <rfmt sheetId="2" sqref="AO3" start="0" length="0">
    <dxf>
      <border outline="0">
        <bottom style="thin">
          <color indexed="64"/>
        </bottom>
      </border>
    </dxf>
  </rfmt>
  <rfmt sheetId="2" sqref="AP3" start="0" length="0">
    <dxf>
      <border outline="0">
        <bottom style="thin">
          <color indexed="64"/>
        </bottom>
      </border>
    </dxf>
  </rfmt>
  <rfmt sheetId="2" sqref="AQ3" start="0" length="0">
    <dxf>
      <border outline="0">
        <bottom style="thin">
          <color indexed="64"/>
        </bottom>
      </border>
    </dxf>
  </rfmt>
  <rcc rId="13716" sId="2" odxf="1" dxf="1">
    <oc r="AR3">
      <f>SUM(AM3:AQ3)</f>
    </oc>
    <nc r="AR3">
      <f>SUM(AM3:AQ3)</f>
    </nc>
    <odxf>
      <fill>
        <patternFill>
          <bgColor theme="0" tint="-0.249977111117893"/>
        </patternFill>
      </fill>
      <border outline="0">
        <left/>
        <right/>
        <bottom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AS3" start="0" length="0">
    <dxf>
      <border outline="0">
        <bottom style="thin">
          <color indexed="64"/>
        </bottom>
      </border>
    </dxf>
  </rfmt>
  <rfmt sheetId="2" sqref="AT3" start="0" length="0">
    <dxf>
      <border outline="0">
        <bottom style="thin">
          <color indexed="64"/>
        </bottom>
      </border>
    </dxf>
  </rfmt>
  <rfmt sheetId="2" sqref="AU3" start="0" length="0">
    <dxf>
      <border outline="0">
        <bottom style="thin">
          <color indexed="64"/>
        </bottom>
      </border>
    </dxf>
  </rfmt>
  <rfmt sheetId="2" sqref="AV3" start="0" length="0">
    <dxf>
      <border outline="0">
        <bottom style="thin">
          <color indexed="64"/>
        </bottom>
      </border>
    </dxf>
  </rfmt>
  <rfmt sheetId="2" sqref="AW3" start="0" length="0">
    <dxf>
      <border outline="0">
        <bottom style="thin">
          <color indexed="64"/>
        </bottom>
      </border>
    </dxf>
  </rfmt>
  <rcc rId="13717" sId="2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  <bottom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sqref="C4" start="0" length="0">
    <dxf>
      <border outline="0">
        <left/>
      </border>
    </dxf>
  </rfmt>
  <rcc rId="13718" sId="2" odxf="1" dxf="1">
    <oc r="H4">
      <f>SUM(C4:G4)</f>
    </oc>
    <nc r="H4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19" sId="2" odxf="1" dxf="1">
    <oc r="N4">
      <f>SUM(I4:M4)</f>
    </oc>
    <nc r="N4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0" sId="2" odxf="1" dxf="1">
    <oc r="T4">
      <f>SUM(O4:S4)</f>
    </oc>
    <nc r="T4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1" sId="2" odxf="1" dxf="1">
    <oc r="Z4">
      <f>SUM(U4:Y4)</f>
    </oc>
    <nc r="Z4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2" sId="2" odxf="1" dxf="1">
    <oc r="AF4">
      <f>SUM(AA4:AE4)</f>
    </oc>
    <nc r="AF4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23" sId="2" odxf="1" dxf="1">
    <oc r="AL4">
      <f>SUM(AG4:AK4)</f>
    </oc>
    <nc r="AL4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4" sId="2" odxf="1" dxf="1">
    <oc r="AR4">
      <f>SUM(AM4:AQ4)</f>
    </oc>
    <nc r="AR4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25" sId="2" odxf="1" dxf="1">
    <oc r="AX4">
      <f>SUM(AS4:AW4)</f>
    </oc>
    <nc r="AX4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5" start="0" length="0">
    <dxf>
      <border outline="0">
        <left/>
      </border>
    </dxf>
  </rfmt>
  <rcc rId="13726" sId="2" odxf="1" dxf="1">
    <oc r="H5">
      <f>SUM(C5:G5)</f>
    </oc>
    <nc r="H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7" sId="2" odxf="1" dxf="1">
    <oc r="N5">
      <f>SUM(I5:M5)</f>
    </oc>
    <nc r="N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8" sId="2" odxf="1" dxf="1">
    <oc r="T5">
      <f>SUM(O5:S5)</f>
    </oc>
    <nc r="T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29" sId="2" odxf="1" dxf="1">
    <oc r="Z5">
      <f>SUM(U5:Y5)</f>
    </oc>
    <nc r="Z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0" sId="2" odxf="1" dxf="1">
    <oc r="AF5">
      <f>SUM(AA5:AE5)</f>
    </oc>
    <nc r="AF5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31" sId="2" odxf="1" dxf="1">
    <oc r="AL5">
      <f>SUM(AG5:AK5)</f>
    </oc>
    <nc r="AL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2" sId="2" odxf="1" dxf="1">
    <oc r="AR5">
      <f>SUM(AM5:AQ5)</f>
    </oc>
    <nc r="AR5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33" sId="2" odxf="1" dxf="1">
    <oc r="AX5">
      <f>SUM(AS5:AW5)</f>
    </oc>
    <nc r="AX5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6" start="0" length="0">
    <dxf>
      <border outline="0">
        <left/>
      </border>
    </dxf>
  </rfmt>
  <rcc rId="13734" sId="2" odxf="1" dxf="1">
    <oc r="H6">
      <f>SUM(C6:G6)</f>
    </oc>
    <nc r="H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5" sId="2" odxf="1" dxf="1">
    <oc r="N6">
      <f>SUM(I6:M6)</f>
    </oc>
    <nc r="N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6" sId="2" odxf="1" dxf="1">
    <oc r="T6">
      <f>SUM(O6:S6)</f>
    </oc>
    <nc r="T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7" sId="2" odxf="1" dxf="1">
    <oc r="Z6">
      <f>SUM(U6:Y6)</f>
    </oc>
    <nc r="Z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38" sId="2" odxf="1" dxf="1">
    <oc r="AF6">
      <f>SUM(AA6:AE6)</f>
    </oc>
    <nc r="AF6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39" sId="2" odxf="1" dxf="1">
    <oc r="AL6">
      <f>SUM(AG6:AK6)</f>
    </oc>
    <nc r="AL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0" sId="2" odxf="1" dxf="1">
    <oc r="AR6">
      <f>SUM(AM6:AQ6)</f>
    </oc>
    <nc r="AR6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41" sId="2" odxf="1" dxf="1">
    <oc r="AX6">
      <f>SUM(AS6:AW6)</f>
    </oc>
    <nc r="AX6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7" start="0" length="0">
    <dxf>
      <border outline="0">
        <left/>
      </border>
    </dxf>
  </rfmt>
  <rcc rId="13742" sId="2" odxf="1" dxf="1">
    <oc r="H7">
      <f>SUM(C7:G7)</f>
    </oc>
    <nc r="H7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3" sId="2" odxf="1" dxf="1">
    <oc r="N7">
      <f>SUM(I7:M7)</f>
    </oc>
    <nc r="N7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4" sId="2" odxf="1" dxf="1">
    <oc r="T7">
      <f>SUM(O7:S7)</f>
    </oc>
    <nc r="T7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5" sId="2" odxf="1" dxf="1">
    <oc r="Z7">
      <f>SUM(U7:Y7)</f>
    </oc>
    <nc r="Z7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6" sId="2" odxf="1" dxf="1">
    <oc r="AF7">
      <f>SUM(AA7:AE7)</f>
    </oc>
    <nc r="AF7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47" sId="2" odxf="1" dxf="1">
    <oc r="AL7">
      <f>SUM(AG7:AK7)</f>
    </oc>
    <nc r="AL7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48" sId="2" odxf="1" dxf="1">
    <oc r="AR7">
      <f>SUM(AM7:AQ7)</f>
    </oc>
    <nc r="AR7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49" sId="2" odxf="1" dxf="1">
    <oc r="AX7">
      <f>SUM(AS7:AW7)</f>
    </oc>
    <nc r="AX7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8" start="0" length="0">
    <dxf>
      <border outline="0">
        <left/>
      </border>
    </dxf>
  </rfmt>
  <rcc rId="13750" sId="2" odxf="1" dxf="1">
    <oc r="H8">
      <f>SUM(C8:G8)</f>
    </oc>
    <nc r="H8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1" sId="2" odxf="1" dxf="1">
    <oc r="N8">
      <f>SUM(I8:M8)</f>
    </oc>
    <nc r="N8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2" sId="2" odxf="1" dxf="1">
    <oc r="T8">
      <f>SUM(O8:S8)</f>
    </oc>
    <nc r="T8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3" sId="2" odxf="1" dxf="1">
    <oc r="Z8">
      <f>SUM(U8:Y8)</f>
    </oc>
    <nc r="Z8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4" sId="2" odxf="1" dxf="1">
    <oc r="AF8">
      <f>SUM(AA8:AE8)</f>
    </oc>
    <nc r="AF8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55" sId="2" odxf="1" dxf="1">
    <oc r="AL8">
      <f>SUM(AG8:AK8)</f>
    </oc>
    <nc r="AL8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6" sId="2" odxf="1" dxf="1">
    <oc r="AR8">
      <f>SUM(AM8:AQ8)</f>
    </oc>
    <nc r="AR8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57" sId="2" odxf="1" dxf="1">
    <oc r="AX8">
      <f>SUM(AS8:AW8)</f>
    </oc>
    <nc r="AX8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9" start="0" length="0">
    <dxf>
      <border outline="0">
        <left/>
      </border>
    </dxf>
  </rfmt>
  <rcc rId="13758" sId="2" odxf="1" dxf="1">
    <oc r="H9">
      <f>SUM(C9:G9)</f>
    </oc>
    <nc r="H9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59" sId="2" odxf="1" dxf="1">
    <oc r="N9">
      <f>SUM(I9:M9)</f>
    </oc>
    <nc r="N9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0" sId="2" odxf="1" dxf="1">
    <oc r="T9">
      <f>SUM(O9:S9)</f>
    </oc>
    <nc r="T9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1" sId="2" odxf="1" dxf="1">
    <oc r="Z9">
      <f>SUM(U9:Y9)</f>
    </oc>
    <nc r="Z9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2" sId="2" odxf="1" dxf="1">
    <oc r="AF9">
      <f>SUM(AA9:AE9)</f>
    </oc>
    <nc r="AF9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63" sId="2" odxf="1" dxf="1">
    <oc r="AL9">
      <f>SUM(AG9:AK9)</f>
    </oc>
    <nc r="AL9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4" sId="2" odxf="1" dxf="1">
    <oc r="AR9">
      <f>SUM(AM9:AQ9)</f>
    </oc>
    <nc r="AR9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65" sId="2" odxf="1" dxf="1">
    <oc r="AX9">
      <f>SUM(AS9:AW9)</f>
    </oc>
    <nc r="AX9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0" start="0" length="0">
    <dxf>
      <border outline="0">
        <left/>
      </border>
    </dxf>
  </rfmt>
  <rcc rId="13766" sId="2" odxf="1" dxf="1">
    <oc r="H10">
      <f>SUM(C10:G10)</f>
    </oc>
    <nc r="H10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7" sId="2" odxf="1" dxf="1">
    <oc r="N10">
      <f>SUM(I10:M10)</f>
    </oc>
    <nc r="N10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8" sId="2" odxf="1" dxf="1">
    <oc r="T10">
      <f>SUM(O10:S10)</f>
    </oc>
    <nc r="T10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69" sId="2" odxf="1" dxf="1">
    <oc r="Z10">
      <f>SUM(U10:Y10)</f>
    </oc>
    <nc r="Z10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0" sId="2" odxf="1" dxf="1">
    <oc r="AF10">
      <f>SUM(AA10:AE10)</f>
    </oc>
    <nc r="AF10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71" sId="2" odxf="1" dxf="1">
    <oc r="AL10">
      <f>SUM(AG10:AK10)</f>
    </oc>
    <nc r="AL10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2" sId="2" odxf="1" dxf="1">
    <oc r="AR10">
      <f>SUM(AM10:AQ10)</f>
    </oc>
    <nc r="AR10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73" sId="2" odxf="1" dxf="1">
    <oc r="AX10">
      <f>SUM(AS10:AW10)</f>
    </oc>
    <nc r="AX10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1" start="0" length="0">
    <dxf>
      <border outline="0">
        <left/>
      </border>
    </dxf>
  </rfmt>
  <rcc rId="13774" sId="2" odxf="1" dxf="1">
    <oc r="H11">
      <f>SUM(C11:G11)</f>
    </oc>
    <nc r="H11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5" sId="2" odxf="1" dxf="1">
    <oc r="N11">
      <f>SUM(I11:M11)</f>
    </oc>
    <nc r="N11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6" sId="2" odxf="1" dxf="1">
    <oc r="T11">
      <f>SUM(O11:S11)</f>
    </oc>
    <nc r="T11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7" sId="2" odxf="1" dxf="1">
    <oc r="Z11">
      <f>SUM(U11:Y11)</f>
    </oc>
    <nc r="Z11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78" sId="2" odxf="1" dxf="1">
    <oc r="AF11">
      <f>SUM(AA11:AE11)</f>
    </oc>
    <nc r="AF11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79" sId="2" odxf="1" dxf="1">
    <oc r="AL11">
      <f>SUM(AG11:AK11)</f>
    </oc>
    <nc r="AL11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0" sId="2" odxf="1" dxf="1">
    <oc r="AR11">
      <f>SUM(AM11:AQ11)</f>
    </oc>
    <nc r="AR11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81" sId="2" odxf="1" dxf="1">
    <oc r="AX11">
      <f>SUM(AS11:AW11)</f>
    </oc>
    <nc r="AX11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2" start="0" length="0">
    <dxf>
      <border outline="0">
        <left/>
      </border>
    </dxf>
  </rfmt>
  <rcc rId="13782" sId="2" odxf="1" dxf="1">
    <oc r="H12">
      <f>SUM(C12:G12)</f>
    </oc>
    <nc r="H12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3" sId="2" odxf="1" dxf="1">
    <oc r="N12">
      <f>SUM(I12:M12)</f>
    </oc>
    <nc r="N12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4" sId="2" odxf="1" dxf="1">
    <oc r="T12">
      <f>SUM(O12:S12)</f>
    </oc>
    <nc r="T12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5" sId="2" odxf="1" dxf="1">
    <oc r="Z12">
      <f>SUM(U12:Y12)</f>
    </oc>
    <nc r="Z12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6" sId="2" odxf="1" dxf="1">
    <oc r="AF12">
      <f>SUM(AA12:AE12)</f>
    </oc>
    <nc r="AF12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87" sId="2" odxf="1" dxf="1">
    <oc r="AL12">
      <f>SUM(AG12:AK12)</f>
    </oc>
    <nc r="AL12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88" sId="2" odxf="1" dxf="1">
    <oc r="AR12">
      <f>SUM(AM12:AQ12)</f>
    </oc>
    <nc r="AR12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89" sId="2" odxf="1" dxf="1">
    <oc r="AX12">
      <f>SUM(AS12:AW12)</f>
    </oc>
    <nc r="AX12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3" start="0" length="0">
    <dxf>
      <border outline="0">
        <left/>
      </border>
    </dxf>
  </rfmt>
  <rfmt sheetId="2" sqref="H13" start="0" length="0">
    <dxf>
      <fill>
        <patternFill patternType="none">
          <bgColor indexed="65"/>
        </patternFill>
      </fill>
    </dxf>
  </rfmt>
  <rfmt sheetId="2" sqref="N13" start="0" length="0">
    <dxf>
      <fill>
        <patternFill patternType="none">
          <bgColor indexed="65"/>
        </patternFill>
      </fill>
    </dxf>
  </rfmt>
  <rfmt sheetId="2" sqref="T13" start="0" length="0">
    <dxf>
      <fill>
        <patternFill patternType="none">
          <bgColor indexed="65"/>
        </patternFill>
      </fill>
    </dxf>
  </rfmt>
  <rfmt sheetId="2" sqref="Z13" start="0" length="0">
    <dxf>
      <fill>
        <patternFill patternType="none">
          <bgColor indexed="65"/>
        </patternFill>
      </fill>
    </dxf>
  </rfmt>
  <rfmt sheetId="2" sqref="AF13" start="0" length="0">
    <dxf>
      <fill>
        <patternFill patternType="none">
          <bgColor indexed="65"/>
        </patternFill>
      </fill>
      <border outline="0">
        <right/>
      </border>
    </dxf>
  </rfmt>
  <rfmt sheetId="2" sqref="AL13" start="0" length="0">
    <dxf>
      <fill>
        <patternFill patternType="none">
          <bgColor indexed="65"/>
        </patternFill>
      </fill>
    </dxf>
  </rfmt>
  <rfmt sheetId="2" sqref="AR13" start="0" length="0">
    <dxf>
      <fill>
        <patternFill patternType="none">
          <bgColor indexed="65"/>
        </patternFill>
      </fill>
    </dxf>
  </rfmt>
  <rfmt sheetId="2" sqref="AX13" start="0" length="0">
    <dxf>
      <fill>
        <patternFill patternType="none">
          <bgColor indexed="65"/>
        </patternFill>
      </fill>
    </dxf>
  </rfmt>
  <rfmt sheetId="2" sqref="C14" start="0" length="0">
    <dxf>
      <border outline="0">
        <left/>
      </border>
    </dxf>
  </rfmt>
  <rfmt sheetId="2" sqref="H14" start="0" length="0">
    <dxf>
      <fill>
        <patternFill patternType="none">
          <bgColor indexed="65"/>
        </patternFill>
      </fill>
    </dxf>
  </rfmt>
  <rfmt sheetId="2" sqref="N14" start="0" length="0">
    <dxf>
      <fill>
        <patternFill patternType="none">
          <bgColor indexed="65"/>
        </patternFill>
      </fill>
    </dxf>
  </rfmt>
  <rfmt sheetId="2" sqref="T14" start="0" length="0">
    <dxf>
      <fill>
        <patternFill patternType="none">
          <bgColor indexed="65"/>
        </patternFill>
      </fill>
    </dxf>
  </rfmt>
  <rfmt sheetId="2" sqref="Z14" start="0" length="0">
    <dxf>
      <fill>
        <patternFill patternType="none">
          <bgColor indexed="65"/>
        </patternFill>
      </fill>
    </dxf>
  </rfmt>
  <rfmt sheetId="2" sqref="AF14" start="0" length="0">
    <dxf>
      <fill>
        <patternFill patternType="none">
          <bgColor indexed="65"/>
        </patternFill>
      </fill>
      <border outline="0">
        <right/>
      </border>
    </dxf>
  </rfmt>
  <rfmt sheetId="2" sqref="AL14" start="0" length="0">
    <dxf>
      <fill>
        <patternFill patternType="none">
          <bgColor indexed="65"/>
        </patternFill>
      </fill>
    </dxf>
  </rfmt>
  <rfmt sheetId="2" sqref="AR14" start="0" length="0">
    <dxf>
      <fill>
        <patternFill patternType="none">
          <bgColor indexed="65"/>
        </patternFill>
      </fill>
    </dxf>
  </rfmt>
  <rfmt sheetId="2" sqref="AX14" start="0" length="0">
    <dxf>
      <fill>
        <patternFill patternType="none">
          <bgColor indexed="65"/>
        </patternFill>
      </fill>
    </dxf>
  </rfmt>
  <rfmt sheetId="2" sqref="C15" start="0" length="0">
    <dxf>
      <border outline="0">
        <left/>
      </border>
    </dxf>
  </rfmt>
  <rcc rId="13790" sId="2" odxf="1" dxf="1">
    <oc r="H15">
      <f>SUM(C15:G15)</f>
    </oc>
    <nc r="H1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91" sId="2" odxf="1" dxf="1">
    <oc r="N15">
      <f>SUM(I15:M15)</f>
    </oc>
    <nc r="N1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92" sId="2" odxf="1" dxf="1">
    <oc r="T15">
      <f>SUM(O15:S15)</f>
    </oc>
    <nc r="T1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93" sId="2" odxf="1" dxf="1">
    <oc r="Z15">
      <f>SUM(U15:Y15)</f>
    </oc>
    <nc r="Z1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94" sId="2" odxf="1" dxf="1">
    <oc r="AF15">
      <f>SUM(AA15:AE15)</f>
    </oc>
    <nc r="AF15"/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3795" sId="2" odxf="1" dxf="1">
    <oc r="AL15">
      <f>SUM(AG15:AK15)</f>
    </oc>
    <nc r="AL15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13796" sId="2" odxf="1" dxf="1">
    <oc r="AR15">
      <f>SUM(AM15:AQ15)</f>
    </oc>
    <nc r="AR15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cc rId="13797" sId="2" odxf="1" dxf="1">
    <oc r="AX15">
      <f>SUM(AS15:AW15)</f>
    </oc>
    <nc r="AX15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6" start="0" length="0">
    <dxf>
      <border outline="0">
        <left/>
        <bottom/>
      </border>
    </dxf>
  </rfmt>
  <rfmt sheetId="2" sqref="D16" start="0" length="0">
    <dxf>
      <border outline="0">
        <bottom/>
      </border>
    </dxf>
  </rfmt>
  <rfmt sheetId="2" sqref="E16" start="0" length="0">
    <dxf>
      <border outline="0">
        <bottom/>
      </border>
    </dxf>
  </rfmt>
  <rfmt sheetId="2" sqref="F16" start="0" length="0">
    <dxf>
      <border outline="0">
        <bottom/>
      </border>
    </dxf>
  </rfmt>
  <rfmt sheetId="2" sqref="G16" start="0" length="0">
    <dxf>
      <border outline="0">
        <bottom/>
      </border>
    </dxf>
  </rfmt>
  <rcc rId="13798" sId="2" odxf="1" dxf="1">
    <oc r="H16">
      <f>SUM(C16:G16)</f>
    </oc>
    <nc r="H16"/>
    <odxf>
      <fill>
        <patternFill patternType="solid">
          <bgColor theme="0" tint="-0.14999847407452621"/>
        </patternFill>
      </fill>
      <border outline="0"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bottom/>
      </border>
    </ndxf>
  </rcc>
  <rfmt sheetId="2" sqref="I16" start="0" length="0">
    <dxf>
      <border outline="0">
        <bottom/>
      </border>
    </dxf>
  </rfmt>
  <rfmt sheetId="2" sqref="J16" start="0" length="0">
    <dxf>
      <border outline="0">
        <bottom/>
      </border>
    </dxf>
  </rfmt>
  <rfmt sheetId="2" sqref="K16" start="0" length="0">
    <dxf>
      <border outline="0">
        <bottom/>
      </border>
    </dxf>
  </rfmt>
  <rfmt sheetId="2" sqref="L16" start="0" length="0">
    <dxf>
      <border outline="0">
        <bottom/>
      </border>
    </dxf>
  </rfmt>
  <rfmt sheetId="2" sqref="M16" start="0" length="0">
    <dxf>
      <border outline="0">
        <bottom/>
      </border>
    </dxf>
  </rfmt>
  <rcc rId="13799" sId="2" odxf="1" dxf="1">
    <oc r="N16">
      <f>SUM(I16:M16)</f>
    </oc>
    <nc r="N16"/>
    <odxf>
      <fill>
        <patternFill patternType="solid">
          <bgColor theme="0" tint="-0.14999847407452621"/>
        </patternFill>
      </fill>
      <border outline="0"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bottom/>
      </border>
    </ndxf>
  </rcc>
  <rfmt sheetId="2" sqref="O16" start="0" length="0">
    <dxf>
      <border outline="0">
        <bottom/>
      </border>
    </dxf>
  </rfmt>
  <rfmt sheetId="2" sqref="P16" start="0" length="0">
    <dxf>
      <border outline="0">
        <bottom/>
      </border>
    </dxf>
  </rfmt>
  <rfmt sheetId="2" sqref="Q16" start="0" length="0">
    <dxf>
      <border outline="0">
        <bottom/>
      </border>
    </dxf>
  </rfmt>
  <rfmt sheetId="2" sqref="R16" start="0" length="0">
    <dxf>
      <border outline="0">
        <bottom/>
      </border>
    </dxf>
  </rfmt>
  <rfmt sheetId="2" sqref="S16" start="0" length="0">
    <dxf>
      <border outline="0">
        <bottom/>
      </border>
    </dxf>
  </rfmt>
  <rcc rId="13800" sId="2" odxf="1" dxf="1">
    <oc r="T16">
      <f>SUM(O16:S16)</f>
    </oc>
    <nc r="T16"/>
    <odxf>
      <fill>
        <patternFill patternType="solid">
          <bgColor theme="0" tint="-0.14999847407452621"/>
        </patternFill>
      </fill>
      <border outline="0"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bottom/>
      </border>
    </ndxf>
  </rcc>
  <rfmt sheetId="2" sqref="U16" start="0" length="0">
    <dxf>
      <border outline="0">
        <bottom/>
      </border>
    </dxf>
  </rfmt>
  <rfmt sheetId="2" sqref="V16" start="0" length="0">
    <dxf>
      <border outline="0">
        <bottom/>
      </border>
    </dxf>
  </rfmt>
  <rfmt sheetId="2" sqref="W16" start="0" length="0">
    <dxf>
      <border outline="0">
        <bottom/>
      </border>
    </dxf>
  </rfmt>
  <rfmt sheetId="2" sqref="X16" start="0" length="0">
    <dxf>
      <border outline="0">
        <bottom/>
      </border>
    </dxf>
  </rfmt>
  <rfmt sheetId="2" sqref="Y16" start="0" length="0">
    <dxf>
      <border outline="0">
        <bottom/>
      </border>
    </dxf>
  </rfmt>
  <rcc rId="13801" sId="2" odxf="1" dxf="1">
    <oc r="Z16">
      <f>SUM(U16:Y16)</f>
    </oc>
    <nc r="Z16"/>
    <odxf>
      <fill>
        <patternFill patternType="solid">
          <bgColor theme="0" tint="-0.14999847407452621"/>
        </patternFill>
      </fill>
      <border outline="0"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bottom/>
      </border>
    </ndxf>
  </rcc>
  <rfmt sheetId="2" sqref="AA16" start="0" length="0">
    <dxf>
      <border outline="0">
        <bottom/>
      </border>
    </dxf>
  </rfmt>
  <rfmt sheetId="2" sqref="AB16" start="0" length="0">
    <dxf>
      <border outline="0">
        <bottom/>
      </border>
    </dxf>
  </rfmt>
  <rfmt sheetId="2" sqref="AC16" start="0" length="0">
    <dxf>
      <border outline="0">
        <bottom/>
      </border>
    </dxf>
  </rfmt>
  <rfmt sheetId="2" sqref="AD16" start="0" length="0">
    <dxf>
      <border outline="0">
        <bottom/>
      </border>
    </dxf>
  </rfmt>
  <rfmt sheetId="2" sqref="AE16" start="0" length="0">
    <dxf>
      <border outline="0">
        <bottom/>
      </border>
    </dxf>
  </rfmt>
  <rcc rId="13802" sId="2" odxf="1" dxf="1">
    <oc r="AF16">
      <f>SUM(AA16:AE16)</f>
    </oc>
    <nc r="AF16"/>
    <odxf>
      <fill>
        <patternFill patternType="solid">
          <bgColor theme="0" tint="-0.14999847407452621"/>
        </patternFill>
      </fill>
      <border outline="0">
        <right style="thin">
          <color indexed="64"/>
        </right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bottom/>
      </border>
    </ndxf>
  </rcc>
  <rfmt sheetId="2" sqref="AG16" start="0" length="0">
    <dxf>
      <border outline="0">
        <bottom/>
      </border>
    </dxf>
  </rfmt>
  <rfmt sheetId="2" sqref="AH16" start="0" length="0">
    <dxf>
      <border outline="0">
        <bottom/>
      </border>
    </dxf>
  </rfmt>
  <rfmt sheetId="2" sqref="AI16" start="0" length="0">
    <dxf>
      <border outline="0">
        <bottom/>
      </border>
    </dxf>
  </rfmt>
  <rfmt sheetId="2" sqref="AJ16" start="0" length="0">
    <dxf>
      <border outline="0">
        <bottom/>
      </border>
    </dxf>
  </rfmt>
  <rfmt sheetId="2" sqref="AK16" start="0" length="0">
    <dxf>
      <border outline="0">
        <bottom/>
      </border>
    </dxf>
  </rfmt>
  <rcc rId="13803" sId="2" odxf="1" dxf="1">
    <oc r="AL16">
      <f>SUM(AG16:AK16)</f>
    </oc>
    <nc r="AL16"/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fmt sheetId="2" sqref="AM16" start="0" length="0">
    <dxf>
      <border outline="0">
        <bottom/>
      </border>
    </dxf>
  </rfmt>
  <rfmt sheetId="2" sqref="AN16" start="0" length="0">
    <dxf>
      <border outline="0">
        <bottom/>
      </border>
    </dxf>
  </rfmt>
  <rfmt sheetId="2" sqref="AO16" start="0" length="0">
    <dxf>
      <border outline="0">
        <bottom/>
      </border>
    </dxf>
  </rfmt>
  <rfmt sheetId="2" sqref="AP16" start="0" length="0">
    <dxf>
      <border outline="0">
        <bottom/>
      </border>
    </dxf>
  </rfmt>
  <rfmt sheetId="2" sqref="AQ16" start="0" length="0">
    <dxf>
      <border outline="0">
        <bottom/>
      </border>
    </dxf>
  </rfmt>
  <rcc rId="13804" sId="2" odxf="1" dxf="1">
    <oc r="AR16">
      <f>SUM(AM16:AQ16)</f>
    </oc>
    <nc r="AR16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AS16" start="0" length="0">
    <dxf>
      <border outline="0">
        <bottom/>
      </border>
    </dxf>
  </rfmt>
  <rfmt sheetId="2" sqref="AT16" start="0" length="0">
    <dxf>
      <border outline="0">
        <bottom/>
      </border>
    </dxf>
  </rfmt>
  <rfmt sheetId="2" sqref="AU16" start="0" length="0">
    <dxf>
      <border outline="0">
        <bottom/>
      </border>
    </dxf>
  </rfmt>
  <rfmt sheetId="2" sqref="AV16" start="0" length="0">
    <dxf>
      <border outline="0">
        <bottom/>
      </border>
    </dxf>
  </rfmt>
  <rfmt sheetId="2" sqref="AW16" start="0" length="0">
    <dxf>
      <border outline="0">
        <bottom/>
      </border>
    </dxf>
  </rfmt>
  <rcc rId="13805" sId="2" odxf="1" dxf="1">
    <oc r="AX16">
      <f>SUM(AS16:AW16)</f>
    </oc>
    <nc r="AX16"/>
    <odxf>
      <fill>
        <patternFill patternType="solid">
          <bgColor theme="0" tint="-0.249977111117893"/>
        </patternFill>
      </fill>
    </odxf>
    <ndxf>
      <fill>
        <patternFill patternType="none">
          <bgColor indexed="65"/>
        </patternFill>
      </fill>
    </ndxf>
  </rcc>
  <rfmt sheetId="2" sqref="C17" start="0" length="0">
    <dxf>
      <alignment wrapText="0"/>
    </dxf>
  </rfmt>
  <rfmt sheetId="2" sqref="D17" start="0" length="0">
    <dxf>
      <alignment wrapText="0"/>
    </dxf>
  </rfmt>
  <rfmt sheetId="2" sqref="E17" start="0" length="0">
    <dxf>
      <alignment wrapText="0"/>
    </dxf>
  </rfmt>
  <rfmt sheetId="2" sqref="F17" start="0" length="0">
    <dxf>
      <alignment wrapText="0"/>
    </dxf>
  </rfmt>
  <rfmt sheetId="2" sqref="G17" start="0" length="0">
    <dxf>
      <alignment wrapText="0"/>
    </dxf>
  </rfmt>
  <rfmt sheetId="2" sqref="H17" start="0" length="0">
    <dxf>
      <alignment wrapText="0"/>
    </dxf>
  </rfmt>
  <rfmt sheetId="2" sqref="K17" start="0" length="0">
    <dxf>
      <alignment wrapText="0"/>
    </dxf>
  </rfmt>
  <rfmt sheetId="2" sqref="M17" start="0" length="0">
    <dxf>
      <alignment wrapText="0"/>
    </dxf>
  </rfmt>
  <rfmt sheetId="2" sqref="S17" start="0" length="0">
    <dxf>
      <alignment wrapText="0"/>
    </dxf>
  </rfmt>
  <rfmt sheetId="2" sqref="C18" start="0" length="0">
    <dxf>
      <alignment wrapText="0"/>
    </dxf>
  </rfmt>
  <rrc rId="13806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Desarquivamento de Processos/Documentos - Saída de Guia Fora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1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2" sqref="C2" start="0" length="0">
      <dxf>
        <border outline="0">
          <left style="thin">
            <color indexed="64"/>
          </left>
        </border>
      </dxf>
    </rfmt>
    <rfmt sheetId="2" sqref="D2" start="0" length="0">
      <dxf/>
    </rfmt>
    <rfmt sheetId="2" sqref="E2" start="0" length="0">
      <dxf/>
    </rfmt>
    <rfmt sheetId="2" sqref="F2" start="0" length="0">
      <dxf/>
    </rfmt>
    <rfmt sheetId="2" sqref="G2" start="0" length="0">
      <dxf>
        <border outline="0">
          <right style="thin">
            <color indexed="64"/>
          </right>
        </border>
      </dxf>
    </rfmt>
    <rcc rId="0" sId="2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I2" start="0" length="0">
      <dxf/>
    </rfmt>
    <rfmt sheetId="2" sqref="J2" start="0" length="0">
      <dxf/>
    </rfmt>
    <rfmt sheetId="2" sqref="K2" start="0" length="0">
      <dxf/>
    </rfmt>
    <rfmt sheetId="2" sqref="L2" start="0" length="0">
      <dxf/>
    </rfmt>
    <rfmt sheetId="2" sqref="M2" start="0" length="0">
      <dxf/>
    </rfmt>
    <rcc rId="0" sId="2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O2" start="0" length="0">
      <dxf/>
    </rfmt>
    <rfmt sheetId="2" sqref="P2" start="0" length="0">
      <dxf/>
    </rfmt>
    <rfmt sheetId="2" sqref="Q2" start="0" length="0">
      <dxf/>
    </rfmt>
    <rfmt sheetId="2" sqref="R2" start="0" length="0">
      <dxf/>
    </rfmt>
    <rfmt sheetId="2" sqref="S2" start="0" length="0">
      <dxf/>
    </rfmt>
    <rcc rId="0" sId="2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U2" start="0" length="0">
      <dxf/>
    </rfmt>
    <rfmt sheetId="2" sqref="V2" start="0" length="0">
      <dxf/>
    </rfmt>
    <rfmt sheetId="2" sqref="W2" start="0" length="0">
      <dxf/>
    </rfmt>
    <rfmt sheetId="2" sqref="X2" start="0" length="0">
      <dxf/>
    </rfmt>
    <rfmt sheetId="2" sqref="Y2" start="0" length="0">
      <dxf/>
    </rfmt>
    <rcc rId="0" sId="2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AA2" start="0" length="0">
      <dxf/>
    </rfmt>
    <rfmt sheetId="2" sqref="AB2" start="0" length="0">
      <dxf/>
    </rfmt>
    <rfmt sheetId="2" sqref="AC2" start="0" length="0">
      <dxf/>
    </rfmt>
    <rfmt sheetId="2" sqref="AD2" start="0" length="0">
      <dxf/>
    </rfmt>
    <rfmt sheetId="2" sqref="AE2" start="0" length="0">
      <dxf/>
    </rfmt>
    <rcc rId="0" sId="2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AG2" start="0" length="0">
      <dxf/>
    </rfmt>
    <rfmt sheetId="2" sqref="AH2" start="0" length="0">
      <dxf/>
    </rfmt>
    <rfmt sheetId="2" sqref="AI2" start="0" length="0">
      <dxf/>
    </rfmt>
    <rfmt sheetId="2" sqref="AJ2" start="0" length="0">
      <dxf/>
    </rfmt>
    <rfmt sheetId="2" sqref="AK2" start="0" length="0">
      <dxf/>
    </rfmt>
    <rcc rId="0" sId="2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AM2" start="0" length="0">
      <dxf/>
    </rfmt>
    <rfmt sheetId="2" sqref="AN2" start="0" length="0">
      <dxf/>
    </rfmt>
    <rfmt sheetId="2" sqref="AO2" start="0" length="0">
      <dxf/>
    </rfmt>
    <rfmt sheetId="2" sqref="AP2" start="0" length="0">
      <dxf/>
    </rfmt>
    <rfmt sheetId="2" sqref="AQ2" start="0" length="0">
      <dxf/>
    </rfmt>
    <rcc rId="0" sId="2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fmt sheetId="2" sqref="AS2" start="0" length="0">
      <dxf/>
    </rfmt>
    <rfmt sheetId="2" sqref="AT2" start="0" length="0">
      <dxf/>
    </rfmt>
    <rfmt sheetId="2" sqref="AU2" start="0" length="0">
      <dxf/>
    </rfmt>
    <rfmt sheetId="2" sqref="AV2" start="0" length="0">
      <dxf/>
    </rfmt>
    <rfmt sheetId="2" sqref="AW2" start="0" length="0">
      <dxf/>
    </rfmt>
    <rcc rId="0" sId="2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07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Caixas consultadas em pesquisa de desarquivamento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2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fmt sheetId="2" sqref="C2" start="0" length="0">
      <dxf>
        <border outline="0">
          <left style="thin">
            <color indexed="64"/>
          </left>
          <bottom style="thin">
            <color indexed="64"/>
          </bottom>
        </border>
      </dxf>
    </rfmt>
    <rfmt sheetId="2" sqref="D2" start="0" length="0">
      <dxf>
        <border outline="0">
          <bottom style="thin">
            <color indexed="64"/>
          </bottom>
        </border>
      </dxf>
    </rfmt>
    <rfmt sheetId="2" sqref="E2" start="0" length="0">
      <dxf>
        <border outline="0">
          <bottom style="thin">
            <color indexed="64"/>
          </bottom>
        </border>
      </dxf>
    </rfmt>
    <rfmt sheetId="2" sqref="F2" start="0" length="0">
      <dxf>
        <border outline="0">
          <bottom style="thin">
            <color indexed="64"/>
          </bottom>
        </border>
      </dxf>
    </rfmt>
    <rfmt sheetId="2" sqref="G2" start="0" length="0">
      <dxf>
        <border outline="0">
          <right style="thin">
            <color indexed="64"/>
          </right>
          <bottom style="thin">
            <color indexed="64"/>
          </bottom>
        </border>
      </dxf>
    </rfmt>
    <rcc rId="0" sId="2" dxf="1">
      <nc r="H2">
        <f>SUM(C2:G2)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I2" start="0" length="0">
      <dxf>
        <border outline="0">
          <bottom style="thin">
            <color indexed="64"/>
          </bottom>
        </border>
      </dxf>
    </rfmt>
    <rfmt sheetId="2" sqref="J2" start="0" length="0">
      <dxf>
        <border outline="0">
          <bottom style="thin">
            <color indexed="64"/>
          </bottom>
        </border>
      </dxf>
    </rfmt>
    <rfmt sheetId="2" sqref="K2" start="0" length="0">
      <dxf>
        <border outline="0">
          <bottom style="thin">
            <color indexed="64"/>
          </bottom>
        </border>
      </dxf>
    </rfmt>
    <rfmt sheetId="2" sqref="L2" start="0" length="0">
      <dxf>
        <border outline="0">
          <bottom style="thin">
            <color indexed="64"/>
          </bottom>
        </border>
      </dxf>
    </rfmt>
    <rfmt sheetId="2" sqref="M2" start="0" length="0">
      <dxf>
        <border outline="0">
          <bottom style="thin">
            <color indexed="64"/>
          </bottom>
        </border>
      </dxf>
    </rfmt>
    <rcc rId="0" sId="2" dxf="1">
      <nc r="N2">
        <f>SUM(I2:M2)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O2" start="0" length="0">
      <dxf>
        <border outline="0">
          <bottom style="thin">
            <color indexed="64"/>
          </bottom>
        </border>
      </dxf>
    </rfmt>
    <rfmt sheetId="2" sqref="P2" start="0" length="0">
      <dxf>
        <border outline="0">
          <bottom style="thin">
            <color indexed="64"/>
          </bottom>
        </border>
      </dxf>
    </rfmt>
    <rfmt sheetId="2" sqref="Q2" start="0" length="0">
      <dxf>
        <border outline="0">
          <bottom style="thin">
            <color indexed="64"/>
          </bottom>
        </border>
      </dxf>
    </rfmt>
    <rfmt sheetId="2" sqref="R2" start="0" length="0">
      <dxf>
        <border outline="0">
          <bottom style="thin">
            <color indexed="64"/>
          </bottom>
        </border>
      </dxf>
    </rfmt>
    <rfmt sheetId="2" sqref="S2" start="0" length="0">
      <dxf>
        <border outline="0">
          <bottom style="thin">
            <color indexed="64"/>
          </bottom>
        </border>
      </dxf>
    </rfmt>
    <rcc rId="0" sId="2" dxf="1">
      <nc r="T2">
        <f>SUM(O2:S2)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U2" start="0" length="0">
      <dxf>
        <border outline="0">
          <bottom style="thin">
            <color indexed="64"/>
          </bottom>
        </border>
      </dxf>
    </rfmt>
    <rfmt sheetId="2" sqref="V2" start="0" length="0">
      <dxf>
        <border outline="0">
          <bottom style="thin">
            <color indexed="64"/>
          </bottom>
        </border>
      </dxf>
    </rfmt>
    <rfmt sheetId="2" sqref="W2" start="0" length="0">
      <dxf>
        <border outline="0">
          <bottom style="thin">
            <color indexed="64"/>
          </bottom>
        </border>
      </dxf>
    </rfmt>
    <rfmt sheetId="2" sqref="X2" start="0" length="0">
      <dxf>
        <border outline="0">
          <bottom style="thin">
            <color indexed="64"/>
          </bottom>
        </border>
      </dxf>
    </rfmt>
    <rfmt sheetId="2" sqref="Y2" start="0" length="0">
      <dxf>
        <border outline="0">
          <bottom style="thin">
            <color indexed="64"/>
          </bottom>
        </border>
      </dxf>
    </rfmt>
    <rcc rId="0" sId="2" dxf="1">
      <nc r="Z2">
        <f>SUM(U2:Y2)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AA2" start="0" length="0">
      <dxf>
        <border outline="0">
          <bottom style="thin">
            <color indexed="64"/>
          </bottom>
        </border>
      </dxf>
    </rfmt>
    <rfmt sheetId="2" sqref="AB2" start="0" length="0">
      <dxf>
        <border outline="0">
          <bottom style="thin">
            <color indexed="64"/>
          </bottom>
        </border>
      </dxf>
    </rfmt>
    <rfmt sheetId="2" sqref="AC2" start="0" length="0">
      <dxf>
        <border outline="0">
          <bottom style="thin">
            <color indexed="64"/>
          </bottom>
        </border>
      </dxf>
    </rfmt>
    <rfmt sheetId="2" sqref="AD2" start="0" length="0">
      <dxf>
        <border outline="0">
          <bottom style="thin">
            <color indexed="64"/>
          </bottom>
        </border>
      </dxf>
    </rfmt>
    <rfmt sheetId="2" sqref="AE2" start="0" length="0">
      <dxf>
        <border outline="0">
          <bottom style="thin">
            <color indexed="64"/>
          </bottom>
        </border>
      </dxf>
    </rfmt>
    <rcc rId="0" sId="2" dxf="1">
      <nc r="AF2">
        <f>SUM(AA2:AE2)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AG2" start="0" length="0">
      <dxf>
        <border outline="0">
          <bottom style="thin">
            <color indexed="64"/>
          </bottom>
        </border>
      </dxf>
    </rfmt>
    <rfmt sheetId="2" sqref="AH2" start="0" length="0">
      <dxf>
        <border outline="0">
          <bottom style="thin">
            <color indexed="64"/>
          </bottom>
        </border>
      </dxf>
    </rfmt>
    <rfmt sheetId="2" sqref="AI2" start="0" length="0">
      <dxf>
        <border outline="0">
          <bottom style="thin">
            <color indexed="64"/>
          </bottom>
        </border>
      </dxf>
    </rfmt>
    <rfmt sheetId="2" sqref="AJ2" start="0" length="0">
      <dxf>
        <border outline="0">
          <bottom style="thin">
            <color indexed="64"/>
          </bottom>
        </border>
      </dxf>
    </rfmt>
    <rfmt sheetId="2" sqref="AK2" start="0" length="0">
      <dxf>
        <border outline="0">
          <bottom style="thin">
            <color indexed="64"/>
          </bottom>
        </border>
      </dxf>
    </rfmt>
    <rcc rId="0" sId="2" dxf="1">
      <nc r="AL2">
        <f>SUM(AG2:AK2)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AM2" start="0" length="0">
      <dxf>
        <border outline="0">
          <bottom style="thin">
            <color indexed="64"/>
          </bottom>
        </border>
      </dxf>
    </rfmt>
    <rfmt sheetId="2" sqref="AN2" start="0" length="0">
      <dxf>
        <border outline="0">
          <bottom style="thin">
            <color indexed="64"/>
          </bottom>
        </border>
      </dxf>
    </rfmt>
    <rfmt sheetId="2" sqref="AO2" start="0" length="0">
      <dxf>
        <border outline="0">
          <bottom style="thin">
            <color indexed="64"/>
          </bottom>
        </border>
      </dxf>
    </rfmt>
    <rfmt sheetId="2" sqref="AP2" start="0" length="0">
      <dxf>
        <border outline="0">
          <bottom style="thin">
            <color indexed="64"/>
          </bottom>
        </border>
      </dxf>
    </rfmt>
    <rfmt sheetId="2" sqref="AQ2" start="0" length="0">
      <dxf>
        <border outline="0">
          <bottom style="thin">
            <color indexed="64"/>
          </bottom>
        </border>
      </dxf>
    </rfmt>
    <rcc rId="0" sId="2" dxf="1">
      <nc r="AR2">
        <f>SUM(AM2:AQ2)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AS2" start="0" length="0">
      <dxf>
        <border outline="0">
          <bottom style="thin">
            <color indexed="64"/>
          </bottom>
        </border>
      </dxf>
    </rfmt>
    <rfmt sheetId="2" sqref="AT2" start="0" length="0">
      <dxf>
        <border outline="0">
          <bottom style="thin">
            <color indexed="64"/>
          </bottom>
        </border>
      </dxf>
    </rfmt>
    <rfmt sheetId="2" sqref="AU2" start="0" length="0">
      <dxf>
        <border outline="0">
          <bottom style="thin">
            <color indexed="64"/>
          </bottom>
        </border>
      </dxf>
    </rfmt>
    <rfmt sheetId="2" sqref="AV2" start="0" length="0">
      <dxf>
        <border outline="0">
          <bottom style="thin">
            <color indexed="64"/>
          </bottom>
        </border>
      </dxf>
    </rfmt>
    <rfmt sheetId="2" sqref="AW2" start="0" length="0">
      <dxf>
        <border outline="0">
          <bottom style="thin">
            <color indexed="64"/>
          </bottom>
        </border>
      </dxf>
    </rfmt>
    <rcc rId="0" sId="2" dxf="1">
      <nc r="AX2">
        <f>SUM(AS2:AW2)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08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Retorno de Processos/Documentos Desarquivados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3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09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Recebimento de Documentos - Guia de Transferência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4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0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Caixas separadas para classificação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5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1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Processos/Documentos classificados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6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2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Caixas separadas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7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3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Caixas listadas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8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4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Processos/Documentos listados para eliminação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9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5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Caixas inventariadas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10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6" sId="2" ref="A2:XFD2" action="deleteRow">
    <rfmt sheetId="2" xfDxf="1" sqref="A2:XFD2" start="0" length="0">
      <dxf>
        <alignment horizontal="center" vertical="center"/>
      </dxf>
    </rfmt>
    <rcc rId="0" sId="2" dxf="1">
      <nc r="A2" t="inlineStr">
        <is>
          <t>Processos/documentos inventariados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2">
        <v>11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2">
        <f>SUM(AY2:BC2)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7" sId="2" ref="A4:XFD4" action="deleteRow">
    <rfmt sheetId="2" xfDxf="1" sqref="A4:XFD4" start="0" length="0">
      <dxf>
        <alignment horizontal="center" vertical="center"/>
      </dxf>
    </rfmt>
    <rcc rId="0" sId="2" dxf="1">
      <nc r="A4" t="inlineStr">
        <is>
          <t>Caixas remanejadas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B4">
        <v>14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right style="thin">
            <color indexed="64"/>
          </right>
        </border>
      </ndxf>
    </rcc>
    <rcc rId="0" sId="2" dxf="1">
      <nc r="BD4">
        <f>SUM(AY4:BC4)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18" sId="2" ref="A4:XFD4" action="deleteRow">
    <rfmt sheetId="2" xfDxf="1" sqref="A4:XFD4" start="0" length="0">
      <dxf>
        <alignment horizontal="center" vertical="center"/>
      </dxf>
    </rfmt>
    <rcc rId="0" sId="2" dxf="1">
      <nc r="A4" t="inlineStr">
        <is>
          <t>Caixas conferidas</t>
        </is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EDEDED"/>
            <bgColor rgb="FFF2F2F2"/>
          </patternFill>
        </fill>
        <alignment horizontal="right" wrapText="1"/>
        <border outline="0">
          <left style="thin">
            <color indexed="64"/>
          </left>
          <bottom style="thin">
            <color indexed="64"/>
          </bottom>
        </border>
      </ndxf>
    </rcc>
    <rcc rId="0" sId="2" dxf="1">
      <nc r="B4">
        <v>15</v>
      </nc>
      <ndxf>
        <font>
          <b/>
          <sz val="11"/>
          <color auto="1"/>
          <name val="Calibri"/>
          <family val="2"/>
          <scheme val="none"/>
        </font>
        <fill>
          <patternFill patternType="solid">
            <fgColor rgb="FFDDDDDD"/>
            <bgColor rgb="FFF2F2F2"/>
          </patternFill>
        </fill>
        <alignment wrapText="1"/>
        <border outline="0">
          <right style="thin">
            <color indexed="64"/>
          </right>
          <bottom style="thin">
            <color indexed="64"/>
          </bottom>
        </border>
      </ndxf>
    </rcc>
    <rfmt sheetId="2" sqref="AY4" start="0" length="0">
      <dxf>
        <border outline="0">
          <bottom style="thin">
            <color indexed="64"/>
          </bottom>
        </border>
      </dxf>
    </rfmt>
    <rfmt sheetId="2" sqref="AZ4" start="0" length="0">
      <dxf>
        <border outline="0">
          <bottom style="thin">
            <color indexed="64"/>
          </bottom>
        </border>
      </dxf>
    </rfmt>
    <rfmt sheetId="2" sqref="BA4" start="0" length="0">
      <dxf>
        <border outline="0">
          <bottom style="thin">
            <color indexed="64"/>
          </bottom>
        </border>
      </dxf>
    </rfmt>
    <rfmt sheetId="2" sqref="BB4" start="0" length="0">
      <dxf>
        <border outline="0">
          <bottom style="thin">
            <color indexed="64"/>
          </bottom>
        </border>
      </dxf>
    </rfmt>
    <rfmt sheetId="2" sqref="BC4" start="0" length="0">
      <dxf>
        <border outline="0">
          <bottom style="thin">
            <color indexed="64"/>
          </bottom>
        </border>
      </dxf>
    </rfmt>
    <rcc rId="0" sId="2" dxf="1">
      <nc r="BD4">
        <f>SUM(AY4:BC4)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cc rId="13819" sId="2">
    <oc r="B2">
      <v>12</v>
    </oc>
    <nc r="B2">
      <v>1</v>
    </nc>
  </rcc>
  <rcc rId="13820" sId="2">
    <oc r="B3">
      <v>13</v>
    </oc>
    <nc r="B3">
      <v>2</v>
    </nc>
  </rcc>
  <rfmt sheetId="2" sqref="AX1:AX3" start="0" length="0">
    <dxf>
      <border>
        <right style="thin">
          <color indexed="64"/>
        </right>
      </border>
    </dxf>
  </rfmt>
  <rfmt sheetId="2" sqref="A3:AX3" start="0" length="0">
    <dxf>
      <border>
        <bottom style="thin">
          <color indexed="64"/>
        </bottom>
      </border>
    </dxf>
  </rfmt>
  <rfmt sheetId="2" sqref="H1:H3" start="0" length="0">
    <dxf>
      <border>
        <left style="thin">
          <color indexed="64"/>
        </left>
      </border>
    </dxf>
  </rfmt>
  <rfmt sheetId="2" sqref="H1:H3" start="0" length="0">
    <dxf>
      <border>
        <right style="thin">
          <color indexed="64"/>
        </right>
      </border>
    </dxf>
  </rfmt>
  <rfmt sheetId="2" sqref="N1:N3" start="0" length="0">
    <dxf>
      <border>
        <left style="thin">
          <color indexed="64"/>
        </left>
      </border>
    </dxf>
  </rfmt>
  <rfmt sheetId="2" sqref="N1:N3" start="0" length="0">
    <dxf>
      <border>
        <right style="thin">
          <color indexed="64"/>
        </right>
      </border>
    </dxf>
  </rfmt>
  <rfmt sheetId="2" sqref="T1:T3" start="0" length="0">
    <dxf>
      <border>
        <left style="thin">
          <color indexed="64"/>
        </left>
      </border>
    </dxf>
  </rfmt>
  <rfmt sheetId="2" sqref="T1:T3" start="0" length="0">
    <dxf>
      <border>
        <right style="thin">
          <color indexed="64"/>
        </right>
      </border>
    </dxf>
  </rfmt>
  <rfmt sheetId="2" sqref="Z1:Z3" start="0" length="0">
    <dxf>
      <border>
        <left style="thin">
          <color indexed="64"/>
        </left>
      </border>
    </dxf>
  </rfmt>
  <rfmt sheetId="2" sqref="Z1:Z3" start="0" length="0">
    <dxf>
      <border>
        <right style="thin">
          <color indexed="64"/>
        </right>
      </border>
    </dxf>
  </rfmt>
  <rfmt sheetId="2" sqref="AF1:AF3" start="0" length="0">
    <dxf>
      <border>
        <left style="thin">
          <color indexed="64"/>
        </left>
      </border>
    </dxf>
  </rfmt>
  <rfmt sheetId="2" sqref="AF1:AF3" start="0" length="0">
    <dxf>
      <border>
        <right style="thin">
          <color indexed="64"/>
        </right>
      </border>
    </dxf>
  </rfmt>
  <rfmt sheetId="2" sqref="AL1:AL3" start="0" length="0">
    <dxf>
      <border>
        <left style="thin">
          <color indexed="64"/>
        </left>
      </border>
    </dxf>
  </rfmt>
  <rfmt sheetId="2" sqref="AL1:AL3" start="0" length="0">
    <dxf>
      <border>
        <right style="thin">
          <color indexed="64"/>
        </right>
      </border>
    </dxf>
  </rfmt>
  <rfmt sheetId="2" sqref="AR1:AR3" start="0" length="0">
    <dxf>
      <border>
        <left style="thin">
          <color indexed="64"/>
        </left>
      </border>
    </dxf>
  </rfmt>
  <rfmt sheetId="2" sqref="AR1:AR3" start="0" length="0">
    <dxf>
      <border>
        <right style="thin">
          <color indexed="64"/>
        </right>
      </border>
    </dxf>
  </rfmt>
  <rfmt sheetId="2" sqref="AX1:AX3" start="0" length="0">
    <dxf>
      <border>
        <left style="thin">
          <color indexed="64"/>
        </left>
      </border>
    </dxf>
  </rfmt>
  <rrc rId="13821" sId="2" ref="AY1:AY1048576" action="deleteCol">
    <undo index="65535" exp="area" dr="AY3:BC3" r="BD3" sId="2"/>
    <undo index="65535" exp="area" dr="AY2:BC2" r="BD2" sId="2"/>
    <rfmt sheetId="2" xfDxf="1" sqref="AY1:AY1048576" start="0" length="0">
      <dxf>
        <alignment horizontal="center" vertical="center"/>
      </dxf>
    </rfmt>
    <rcc rId="0" sId="2" dxf="1" numFmtId="21">
      <nc r="AY1">
        <v>45866</v>
      </nc>
      <ndxf>
        <numFmt numFmtId="21" formatCode="dd/mmm"/>
        <border outline="0"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</rrc>
  <rrc rId="13822" sId="2" ref="AY1:AY1048576" action="deleteCol">
    <undo index="65535" exp="area" dr="AY3:BB3" r="BC3" sId="2"/>
    <undo index="65535" exp="area" dr="AY2:BB2" r="BC2" sId="2"/>
    <rfmt sheetId="2" xfDxf="1" sqref="AY1:AY1048576" start="0" length="0">
      <dxf>
        <alignment horizontal="center" vertical="center"/>
      </dxf>
    </rfmt>
    <rcc rId="0" sId="2" dxf="1" numFmtId="21">
      <nc r="AY1">
        <v>45867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</rrc>
  <rrc rId="13823" sId="2" ref="AY1:AY1048576" action="deleteCol">
    <undo index="65535" exp="area" dr="AY3:BA3" r="BB3" sId="2"/>
    <undo index="65535" exp="area" dr="AY2:BA2" r="BB2" sId="2"/>
    <rfmt sheetId="2" xfDxf="1" sqref="AY1:AY1048576" start="0" length="0">
      <dxf>
        <alignment horizontal="center" vertical="center"/>
      </dxf>
    </rfmt>
    <rcc rId="0" sId="2" dxf="1" numFmtId="21">
      <nc r="AY1">
        <v>45868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</rrc>
  <rrc rId="13824" sId="2" ref="AY1:AY1048576" action="deleteCol">
    <undo index="65535" exp="area" dr="AY3:AZ3" r="BA3" sId="2"/>
    <undo index="65535" exp="area" dr="AY2:AZ2" r="BA2" sId="2"/>
    <rfmt sheetId="2" xfDxf="1" sqref="AY1:AY1048576" start="0" length="0">
      <dxf>
        <alignment horizontal="center" vertical="center"/>
      </dxf>
    </rfmt>
    <rcc rId="0" sId="2" dxf="1" numFmtId="21">
      <nc r="AY1">
        <v>45869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</rrc>
  <rrc rId="13825" sId="2" ref="AY1:AY1048576" action="deleteCol">
    <undo index="65535" exp="area" dr="AY3" r="AZ3" sId="2"/>
    <undo index="65535" exp="area" dr="AY2" r="AZ2" sId="2"/>
    <rfmt sheetId="2" xfDxf="1" sqref="AY1:AY1048576" start="0" length="0">
      <dxf>
        <alignment horizontal="center" vertical="center"/>
      </dxf>
    </rfmt>
    <rcc rId="0" sId="2" dxf="1" numFmtId="21">
      <nc r="AY1">
        <v>45870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</rrc>
  <rrc rId="13826" sId="2" ref="AY1:AY1048576" action="deleteCol">
    <rfmt sheetId="2" xfDxf="1" sqref="AY1:AY1048576" start="0" length="0">
      <dxf>
        <alignment horizontal="center" vertical="center"/>
      </dxf>
    </rfmt>
    <rcc rId="0" sId="2" dxf="1">
      <nc r="AY1" t="inlineStr">
        <is>
          <t>TOTAL SEMANA</t>
        </is>
      </nc>
      <ndxf>
        <fill>
          <patternFill patternType="solid">
            <bgColor theme="0" tint="-0.249977111117893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AY2">
        <f>SUM(#REF!)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  <rcc rId="0" sId="2" dxf="1">
      <nc r="AY3">
        <f>SUM(#REF!)</f>
      </nc>
      <ndxf>
        <fill>
          <patternFill patternType="solid">
            <bgColor theme="0" tint="-0.249977111117893"/>
          </patternFill>
        </fill>
        <border outline="0">
          <right style="thin">
            <color indexed="64"/>
          </right>
        </border>
      </ndxf>
    </rcc>
  </rrc>
  <rrc rId="13827" sId="2" ref="AY1:AY1048576" action="deleteCol">
    <rfmt sheetId="2" xfDxf="1" sqref="AY1:AY1048576" start="0" length="0">
      <dxf>
        <alignment horizontal="center" vertical="center"/>
      </dxf>
    </rfmt>
  </rrc>
  <rrc rId="13828" sId="2" ref="AY1:AY1048576" action="deleteCol">
    <rfmt sheetId="2" xfDxf="1" sqref="AY1:AY1048576" start="0" length="0">
      <dxf>
        <alignment horizontal="center" vertical="center"/>
      </dxf>
    </rfmt>
  </rrc>
  <rfmt sheetId="2" sqref="AX1:AX3">
    <dxf>
      <fill>
        <patternFill>
          <bgColor theme="2" tint="-9.9978637043366805E-2"/>
        </patternFill>
      </fill>
    </dxf>
  </rfmt>
  <rfmt sheetId="2" sqref="AR1:AR3 AL1:AL3">
    <dxf>
      <fill>
        <patternFill>
          <bgColor theme="2" tint="-9.9978637043366805E-2"/>
        </patternFill>
      </fill>
    </dxf>
  </rfmt>
  <rfmt sheetId="2" sqref="T1:T3 Z1:Z3 AF1:AF3">
    <dxf>
      <fill>
        <patternFill>
          <bgColor theme="2" tint="-9.9978637043366805E-2"/>
        </patternFill>
      </fill>
    </dxf>
  </rfmt>
  <rfmt sheetId="2" sqref="N1:N3 H1:H3">
    <dxf>
      <fill>
        <patternFill>
          <bgColor theme="2" tint="-9.9978637043366805E-2"/>
        </patternFill>
      </fill>
    </dxf>
  </rfmt>
  <rcc rId="13829" sId="2">
    <oc r="H2">
      <f>SUM(C13:G13)</f>
    </oc>
    <nc r="H2">
      <f>SUM(C2:G2)</f>
    </nc>
  </rcc>
  <rcc rId="13830" sId="2" odxf="1" dxf="1">
    <oc r="H3">
      <f>SUM(C14:G14)</f>
    </oc>
    <nc r="H3">
      <f>SUM(C3:G3)</f>
    </nc>
    <ndxf>
      <border outline="0">
        <bottom/>
      </border>
    </ndxf>
  </rcc>
  <rfmt sheetId="2" sqref="H3" start="0" length="0">
    <dxf>
      <border>
        <bottom style="thin">
          <color indexed="64"/>
        </bottom>
      </border>
    </dxf>
  </rfmt>
  <rcc rId="13831" sId="2">
    <oc r="N3">
      <f>SUM(I14:M14)</f>
    </oc>
    <nc r="N3">
      <f>SUM(I3:M3)</f>
    </nc>
  </rcc>
  <rcc rId="13832" sId="2">
    <oc r="N2">
      <f>SUM(I13:M13)</f>
    </oc>
    <nc r="N2">
      <f>SUM(I2:M2)</f>
    </nc>
  </rcc>
  <rcc rId="13833" sId="2">
    <oc r="T2">
      <f>SUM(O13:S13)</f>
    </oc>
    <nc r="T2">
      <f>SUM(O2:S2)</f>
    </nc>
  </rcc>
  <rcc rId="13834" sId="2" odxf="1" dxf="1">
    <oc r="T3">
      <f>SUM(O14:S14)</f>
    </oc>
    <nc r="T3">
      <f>SUM(O3:S3)</f>
    </nc>
    <ndxf>
      <border outline="0">
        <bottom/>
      </border>
    </ndxf>
  </rcc>
  <rfmt sheetId="2" sqref="T3" start="0" length="0">
    <dxf>
      <border>
        <bottom style="thin">
          <color indexed="64"/>
        </bottom>
      </border>
    </dxf>
  </rfmt>
  <rcc rId="13835" sId="2">
    <oc r="Z2">
      <f>SUM(U13:Y13)</f>
    </oc>
    <nc r="Z2">
      <f>SUM(U2:Y2)</f>
    </nc>
  </rcc>
  <rcc rId="13836" sId="2">
    <oc r="Z3">
      <f>SUM(U14:Y14)</f>
    </oc>
    <nc r="Z3">
      <f>SUM(U3:Y3)</f>
    </nc>
  </rcc>
  <rcc rId="13837" sId="2">
    <oc r="AF2">
      <f>SUM(AA13:AE13)</f>
    </oc>
    <nc r="AF2">
      <f>SUM(AA2:AE2)</f>
    </nc>
  </rcc>
  <rcc rId="13838" sId="2">
    <oc r="AF3">
      <f>SUM(AA14:AE14)</f>
    </oc>
    <nc r="AF3">
      <f>SUM(AA3:AE3)</f>
    </nc>
  </rcc>
  <rcc rId="13839" sId="2">
    <oc r="AL2">
      <f>SUM(AG13:AK13)</f>
    </oc>
    <nc r="AL2">
      <f>SUM(AG2:AK2)</f>
    </nc>
  </rcc>
  <rcc rId="13840" sId="2">
    <oc r="AL3">
      <f>SUM(AG14:AK14)</f>
    </oc>
    <nc r="AL3">
      <f>SUM(AG3:AK3)</f>
    </nc>
  </rcc>
  <rcc rId="13841" sId="2">
    <oc r="AR2">
      <f>SUM(AM13:AQ13)</f>
    </oc>
    <nc r="AR2">
      <f>SUM(AM2:AQ2)</f>
    </nc>
  </rcc>
  <rcc rId="13842" sId="2">
    <oc r="AR3">
      <f>SUM(AM14:AQ14)</f>
    </oc>
    <nc r="AR3">
      <f>SUM(AM3:AQ3)</f>
    </nc>
  </rcc>
  <rcc rId="13843" sId="2">
    <oc r="AX2">
      <f>SUM(AS13:AW13)</f>
    </oc>
    <nc r="AX2">
      <f>SUM(AS2:AW2)</f>
    </nc>
  </rcc>
  <rcc rId="13844" sId="2">
    <oc r="AX3">
      <f>SUM(AS14:AW14)</f>
    </oc>
    <nc r="AX3">
      <f>SUM(AS3:AW3)</f>
    </nc>
  </rcc>
  <rcc rId="13845" sId="3">
    <oc r="C13">
      <f>Diego!H13+Aelton!H13+Leonam!H13+Danilo!H13+Marcos!H13+Alessandro!H13</f>
    </oc>
    <nc r="C13">
      <f>Diego!H13+Aelton!H13+Leonam!H13+Danilo!H13+Marcos!H13+Alessandro!H13+Patrícia!H2+Marcelo!H2</f>
    </nc>
  </rcc>
  <rcc rId="13846" sId="3">
    <oc r="C14">
      <f>Diego!H14+Aelton!H14+Leonam!H14+Danilo!H14+Marcos!H14+Alessandro!H14</f>
    </oc>
    <nc r="C14">
      <f>Diego!H14+Aelton!H14+Leonam!H14+Danilo!H14+Marcos!H14+Alessandro!H14+Patrícia!H3+Marcelo!H3</f>
    </nc>
  </rcc>
  <rcc rId="13847" sId="3">
    <oc r="D13">
      <f>Diego!N13+Aelton!N13+Leonam!N13+Danilo!N13+Marcos!N13+Alessandro!N13</f>
    </oc>
    <nc r="D13">
      <f>Diego!N13+Aelton!N13+Leonam!N13+Danilo!N13+Marcos!N13+Alessandro!N13+Patrícia!N2+Marcelo!N2</f>
    </nc>
  </rcc>
  <rcc rId="13848" sId="3">
    <oc r="D14">
      <f>Diego!N14+Aelton!N14+Leonam!N14+Danilo!N14+Marcos!N14+Alessandro!N14</f>
    </oc>
    <nc r="D14">
      <f>Diego!N14+Aelton!N14+Leonam!N14+Danilo!N14+Marcos!N14+Alessandro!N14+Patrícia!N3+Marcelo!N3</f>
    </nc>
  </rcc>
  <rcc rId="13849" sId="3">
    <oc r="E13">
      <f>Diego!T13+Aelton!T13+Leonam!T13+Danilo!T13+Marcos!T13+Alessandro!T13</f>
    </oc>
    <nc r="E13">
      <f>Diego!T13+Aelton!T13+Leonam!T13+Danilo!T13+Marcos!T13+Alessandro!T13+Patrícia!T2+Marcelo!T2</f>
    </nc>
  </rcc>
  <rcc rId="13850" sId="3">
    <oc r="E14">
      <f>Diego!T14+Aelton!T14+Leonam!T14+Danilo!T14+Marcos!T14+Alessandro!T14</f>
    </oc>
    <nc r="E14">
      <f>Diego!T14+Aelton!T14+Leonam!T14+Danilo!T14+Marcos!T14+Alessandro!T14+Patrícia!T3+Marcelo!T3</f>
    </nc>
  </rcc>
  <rcc rId="13851" sId="3">
    <oc r="F13">
      <f>Diego!Z13+Aelton!Z13+Leonam!Z13+Danilo!Z13+Marcos!Z13+Alessandro!Z13</f>
    </oc>
    <nc r="F13">
      <f>Diego!Z13+Aelton!Z13+Leonam!Z13+Danilo!Z13+Marcos!Z13+Alessandro!Z13+Patrícia!Z2+Marcelo!Z2</f>
    </nc>
  </rcc>
  <rcc rId="13852" sId="3">
    <oc r="F14">
      <f>Diego!Z14+Aelton!Z14+Leonam!Z14+Danilo!Z14+Marcos!Z14+Alessandro!Z14</f>
    </oc>
    <nc r="F14">
      <f>Diego!Z14+Aelton!Z14+Leonam!Z14+Danilo!Z14+Marcos!Z14+Alessandro!Z14+Patrícia!Z3+Marcelo!Z3</f>
    </nc>
  </rcc>
  <rcc rId="13853" sId="3">
    <oc r="G13">
      <f>Diego!AF13+Aelton!AF13+Leonam!AF13+Danilo!AF13+Marcos!AF13+Alessandro!AF13</f>
    </oc>
    <nc r="G13">
      <f>Diego!AF13+Aelton!AF13+Leonam!AF13+Danilo!AF13+Marcos!AF13+Alessandro!AF13+Patrícia!AF2+Marcelo!AF2</f>
    </nc>
  </rcc>
  <rcc rId="13854" sId="3">
    <oc r="G14">
      <f>Diego!AF14+Aelton!AF14+Leonam!AF14+Danilo!AF14+Marcos!AF14+Alessandro!AF14</f>
    </oc>
    <nc r="G14">
      <f>Diego!AF14+Aelton!AF14+Leonam!AF14+Danilo!AF14+Marcos!AF14+Alessandro!AF14+Patrícia!AF3+Marcelo!AF3</f>
    </nc>
  </rcc>
  <rcc rId="13855" sId="3">
    <oc r="H13">
      <f>Diego!AL13+Aelton!AL13+Leonam!AL13+Danilo!AL13+Marcos!AL13+Alessandro!AL13</f>
    </oc>
    <nc r="H13">
      <f>Diego!AL13+Aelton!AL13+Leonam!AL13+Danilo!AL13+Marcos!AL13+Alessandro!AL13+Patrícia!AL2+Marcelo!AL2</f>
    </nc>
  </rcc>
  <rcc rId="13856" sId="3">
    <oc r="H14">
      <f>Diego!AL14+Aelton!AL14+Leonam!AL14+Danilo!AL14+Marcos!AL14+Alessandro!AL14</f>
    </oc>
    <nc r="H14">
      <f>Diego!AL14+Aelton!AL14+Leonam!AL14+Danilo!AL14+Marcos!AL14+Alessandro!AL14+Patrícia!AL3+Marcelo!AL3</f>
    </nc>
  </rcc>
  <rcc rId="13857" sId="3">
    <oc r="I13">
      <f>Diego!AR13+Aelton!AR13+Leonam!AR13+Danilo!AR13+Marcos!AR13+Alessandro!AR13</f>
    </oc>
    <nc r="I13">
      <f>Diego!AR13+Aelton!AR13+Leonam!AR13+Danilo!AR13+Marcos!AR13+Alessandro!AR13+Patrícia!AR2+Marcelo!AR2</f>
    </nc>
  </rcc>
  <rcc rId="13858" sId="3">
    <oc r="I14">
      <f>Diego!AR14+Aelton!AR14+Leonam!AR14+Danilo!AR14+Marcos!AR14+Alessandro!AR14</f>
    </oc>
    <nc r="I14">
      <f>Diego!AR14+Aelton!AR14+Leonam!AR14+Danilo!AR14+Marcos!AR14+Alessandro!AR14+Patrícia!AR3+Marcelo!AR3</f>
    </nc>
  </rcc>
  <rcc rId="13859" sId="3">
    <oc r="J13">
      <f>Diego!AX13+Aelton!AX13+Leonam!AX13+Danilo!AX13+Marcos!AX13+Alessandro!AX13</f>
    </oc>
    <nc r="J13">
      <f>Diego!AX13+Aelton!AX13+Leonam!AX13+Danilo!AX13+Marcos!AX13+Alessandro!AX13+Patrícia!AX2+Marcelo!AX2</f>
    </nc>
  </rcc>
  <rcc rId="13860" sId="3">
    <oc r="J14">
      <f>Diego!AX14+Aelton!AX14+Leonam!AX14+Danilo!AX14+Marcos!AX14+Alessandro!AX14</f>
    </oc>
    <nc r="J14">
      <f>Diego!AX14+Aelton!AX14+Leonam!AX14+Danilo!AX14+Marcos!AX14+Alessandro!AX14+Patrícia!AX3+Marcelo!AX3</f>
    </nc>
  </rcc>
  <rcv guid="{3D987F8E-A6EA-454D-9537-6BFC5053CB00}" action="delete"/>
  <rdn rId="0" localSheetId="1" customView="1" name="Z_3D987F8E_A6EA_454D_9537_6BFC5053CB00_.wvu.FilterData" hidden="1" oldHidden="1">
    <formula>Patrícia!$A$1:$A$3</formula>
    <oldFormula>Patrícia!$A$1:$A$3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TOTAL!$A$1:$A$19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1" sId="7" odxf="1" dxf="1">
    <nc r="O18" t="inlineStr">
      <is>
        <t>TROCA DE CAIXAS E ESPELHOS</t>
      </is>
    </nc>
    <odxf>
      <alignment wrapText="0"/>
    </odxf>
    <ndxf>
      <alignment wrapText="1"/>
    </ndxf>
  </rcc>
  <rcc rId="13872" sId="7" odxf="1" dxf="1">
    <nc r="P18" t="inlineStr">
      <is>
        <t>TROCA DE CAIXAS E ESPELHOS</t>
      </is>
    </nc>
    <odxf>
      <alignment wrapText="0"/>
    </odxf>
    <ndxf>
      <alignment wrapText="1"/>
    </ndxf>
  </rcc>
  <rcc rId="13873" sId="7" odxf="1" dxf="1">
    <nc r="Q18" t="inlineStr">
      <is>
        <t>TROCA DE CAIXAS E ESPELHOS</t>
      </is>
    </nc>
    <odxf>
      <alignment wrapText="0"/>
    </odxf>
    <ndxf>
      <alignment wrapText="1"/>
    </ndxf>
  </rcc>
  <rcc rId="13874" sId="7" odxf="1" dxf="1">
    <nc r="R18" t="inlineStr">
      <is>
        <t>TROCA DE CAIXAS E ESPELHOS</t>
      </is>
    </nc>
    <odxf>
      <alignment wrapText="0"/>
    </odxf>
    <ndxf>
      <alignment wrapText="1"/>
    </ndxf>
  </rcc>
  <rcc rId="13875" sId="7" odxf="1" dxf="1">
    <nc r="S18" t="inlineStr">
      <is>
        <t>TROCA DE CAIXAS E ESPELHOS</t>
      </is>
    </nc>
    <odxf>
      <alignment wrapText="0"/>
    </odxf>
    <ndxf>
      <alignment wrapText="1"/>
    </ndxf>
  </rcc>
  <rcc rId="13876" sId="7">
    <nc r="O17">
      <v>5</v>
    </nc>
  </rcc>
  <rcc rId="13877" sId="7">
    <nc r="P17">
      <v>5</v>
    </nc>
  </rcc>
  <rcc rId="13878" sId="7">
    <nc r="Q17">
      <v>5</v>
    </nc>
  </rcc>
  <rcc rId="13879" sId="7">
    <nc r="R17">
      <v>5</v>
    </nc>
  </rcc>
  <rcc rId="13880" sId="7">
    <nc r="S17">
      <v>5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81" sId="4">
    <nc r="Q18" t="inlineStr">
      <is>
        <t>TROCA DE CAIXAS</t>
      </is>
    </nc>
  </rcc>
  <rcc rId="13882" sId="4">
    <nc r="R18" t="inlineStr">
      <is>
        <t>TROCA DE CAIXAS</t>
      </is>
    </nc>
  </rcc>
  <rcc rId="13883" sId="4">
    <nc r="S18" t="inlineStr">
      <is>
        <t>TROCA DE CAIXAS</t>
      </is>
    </nc>
  </rcc>
  <rcc rId="13884" sId="4">
    <nc r="Q19" t="inlineStr">
      <is>
        <t>FAZENDO ESPELHOS</t>
      </is>
    </nc>
  </rcc>
  <rcc rId="13885" sId="4">
    <nc r="R19" t="inlineStr">
      <is>
        <t>FAZENDO ESPELHOS</t>
      </is>
    </nc>
  </rcc>
  <rcc rId="13886" sId="4">
    <nc r="S19" t="inlineStr">
      <is>
        <t>FAZENDO ESPELHOS</t>
      </is>
    </nc>
  </rcc>
  <rcc rId="13887" sId="4">
    <nc r="Q17">
      <v>10</v>
    </nc>
  </rcc>
  <rcc rId="13888" sId="4">
    <nc r="R17">
      <v>10</v>
    </nc>
  </rcc>
  <rcc rId="13889" sId="4">
    <nc r="S17">
      <v>8</v>
    </nc>
  </rcc>
  <rcc rId="13890" sId="4">
    <nc r="U15">
      <v>70</v>
    </nc>
  </rcc>
  <rcc rId="13891" sId="4">
    <nc r="U13">
      <v>1</v>
    </nc>
  </rcc>
  <rcc rId="13892" sId="4">
    <nc r="U4">
      <v>1</v>
    </nc>
  </rcc>
  <rcv guid="{20CB6D8F-C24D-4D4B-A424-AF380F620455}" action="delete"/>
  <rdn rId="0" localSheetId="1" customView="1" name="Z_20CB6D8F_C24D_4D4B_A424_AF380F620455_.wvu.FilterData" hidden="1" oldHidden="1">
    <formula>Patrícia!$A$1:$A$3</formula>
    <oldFormula>Patrícia!$A$1:$A$3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TOTAL!$A$1:$J$19</formula>
    <oldFormula>TOTAL!$A$1:$A$19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03" sId="5">
    <nc r="BW13">
      <v>1</v>
    </nc>
  </rcc>
  <rcc rId="13904" sId="5">
    <nc r="BW14">
      <v>1</v>
    </nc>
  </rcc>
  <rcc rId="13905" sId="5" odxf="1" dxf="1">
    <nc r="BW17">
      <v>10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BX17" start="0" length="0">
    <dxf>
      <border outline="0">
        <bottom/>
      </border>
    </dxf>
  </rfmt>
  <rfmt sheetId="5" sqref="BY17" start="0" length="0">
    <dxf>
      <border outline="0">
        <bottom/>
      </border>
    </dxf>
  </rfmt>
  <rfmt sheetId="5" sqref="BZ17" start="0" length="0">
    <dxf>
      <border outline="0">
        <bottom/>
      </border>
    </dxf>
  </rfmt>
  <rfmt sheetId="5" sqref="CA17" start="0" length="0">
    <dxf>
      <border outline="0">
        <bottom/>
      </border>
    </dxf>
  </rfmt>
  <rcc rId="13906" sId="5" odxf="1" dxf="1">
    <nc r="BW18" t="inlineStr">
      <is>
        <t>Troca de caixa e espelho.
Total 10 caixas.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BX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Y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Z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CA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3907" sId="5">
    <nc r="BX17">
      <v>10</v>
    </nc>
  </rcc>
  <rcc rId="13908" sId="5">
    <nc r="BY17">
      <v>10</v>
    </nc>
  </rcc>
  <rcc rId="13909" sId="5">
    <nc r="BZ17">
      <v>10</v>
    </nc>
  </rcc>
  <rcc rId="13910" sId="5">
    <nc r="CA17">
      <v>10</v>
    </nc>
  </rcc>
  <rcc rId="13911" sId="5">
    <nc r="BX18" t="inlineStr">
      <is>
        <t>Troca de caixa e espelho.
Total 10 caixas.</t>
      </is>
    </nc>
  </rcc>
  <rcc rId="13912" sId="5">
    <nc r="BY18" t="inlineStr">
      <is>
        <t>Troca de caixa e espelho.
Total 10 caixas.</t>
      </is>
    </nc>
  </rcc>
  <rcc rId="13913" sId="5">
    <nc r="BZ18" t="inlineStr">
      <is>
        <t>Troca de caixa e espelho.
Total 10 caixas.</t>
      </is>
    </nc>
  </rcc>
  <rcc rId="13914" sId="5">
    <nc r="CA18" t="inlineStr">
      <is>
        <t>Troca de caixa e espelho.
Total 10 caixas.</t>
      </is>
    </nc>
  </rcc>
  <rcv guid="{86039CF8-B158-4D70-9A6F-A10C29CBD68A}" action="delete"/>
  <rdn rId="0" localSheetId="1" customView="1" name="Z_86039CF8_B158_4D70_9A6F_A10C29CBD68A_.wvu.FilterData" hidden="1" oldHidden="1">
    <formula>Patrícia!$A$1:$A$3</formula>
    <oldFormula>Patrícia!$A$1:$A$3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TOTAL!$A$1:$J$19</formula>
    <oldFormula>TOTAL!$A$1:$A$19</oldFormula>
  </rdn>
  <rdn rId="0" localSheetId="4" customView="1" name="Z_86039CF8_B158_4D70_9A6F_A10C29CBD68A_.wvu.FilterData" hidden="1" oldHidden="1">
    <formula>Diego!$A$1:$A$19</formula>
    <oldFormula>Diego!$A$1:$A$19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Patrícia!$A$1:$A$3</formula>
    <oldFormula>Patrícia!$A$1:$A$3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35" sId="4">
    <nc r="V18" t="inlineStr">
      <is>
        <t>RECEBIMENTO DE 70 CAIXAS DA CGPC</t>
      </is>
    </nc>
  </rcc>
  <rcc rId="13936" sId="4">
    <nc r="V19" t="inlineStr">
      <is>
        <t>ENVIANDO 70 CAIXAS PARA O MONTES</t>
      </is>
    </nc>
  </rcc>
  <rrc rId="13937" sId="4" eol="1" ref="A20:XFD20" action="insertRow"/>
  <rfmt sheetId="4" sqref="V20">
    <dxf>
      <alignment wrapText="1"/>
    </dxf>
  </rfmt>
  <rcc rId="13938" sId="4">
    <nc r="V20" t="inlineStr">
      <is>
        <t>ENVIANDO 104 PROCESSOS PARA BLOCO A</t>
      </is>
    </nc>
  </rcc>
  <rcv guid="{20CB6D8F-C24D-4D4B-A424-AF380F620455}" action="delete"/>
  <rdn rId="0" localSheetId="1" customView="1" name="Z_20CB6D8F_C24D_4D4B_A424_AF380F620455_.wvu.FilterData" hidden="1" oldHidden="1">
    <formula>Patrícia!$A$1:$A$3</formula>
    <oldFormula>Patrícia!$A$1:$A$3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49" sId="8">
    <oc r="C19" t="inlineStr">
      <is>
        <t>OLHANDO OS PEDIDOS DE PROCESSO NO SEI</t>
      </is>
    </oc>
    <nc r="C19"/>
  </rcc>
  <rcc rId="13950" sId="8">
    <oc r="D19" t="inlineStr">
      <is>
        <t>OLHANDO OS PEDIDOS DE PROCESSO NO SEI</t>
      </is>
    </oc>
    <nc r="D19"/>
  </rcc>
  <rcc rId="13951" sId="8">
    <oc r="E19" t="inlineStr">
      <is>
        <t>OLHANDO OS PEDIDOS DE PROCESSO NO SEI</t>
      </is>
    </oc>
    <nc r="E19"/>
  </rcc>
  <rcc rId="13952" sId="8">
    <oc r="F19" t="inlineStr">
      <is>
        <t>OLHANDO OS PEDIDOS DE PROCESSO NO SEI</t>
      </is>
    </oc>
    <nc r="F19"/>
  </rcc>
  <rcc rId="13953" sId="8">
    <oc r="G19" t="inlineStr">
      <is>
        <t>OLHANDO OS PEDIDOS DE PROCESSO NO SEI</t>
      </is>
    </oc>
    <nc r="G19"/>
  </rcc>
  <rcc rId="13954" sId="8">
    <oc r="I19" t="inlineStr">
      <is>
        <t>OLHANDO OS PEDIDOS DE PROCESSO NO SEI</t>
      </is>
    </oc>
    <nc r="I19"/>
  </rcc>
  <rcc rId="13955" sId="8">
    <oc r="J19" t="inlineStr">
      <is>
        <t>OLHANDO OS PEDIDOS DE PROCESSO NO SEI</t>
      </is>
    </oc>
    <nc r="J19"/>
  </rcc>
  <rcc rId="13956" sId="8">
    <oc r="K19" t="inlineStr">
      <is>
        <t>FAZENDO PESQUISA DE PROCESSOS</t>
      </is>
    </oc>
    <nc r="K19"/>
  </rcc>
  <rcc rId="13957" sId="8">
    <oc r="L19" t="inlineStr">
      <is>
        <t>OLHANDO OS PEDIDOS DE PROCESSO NO SEI</t>
      </is>
    </oc>
    <nc r="L19"/>
  </rcc>
  <rcc rId="13958" sId="8">
    <oc r="M19" t="inlineStr">
      <is>
        <t>OLHANDO OS PEDIDOS DE PROCESSO NO SEI</t>
      </is>
    </oc>
    <nc r="M19"/>
  </rcc>
  <rcc rId="13959" sId="8" odxf="1" dxf="1">
    <nc r="O18" t="inlineStr">
      <is>
        <t>TROCA DE CAIXAS</t>
      </is>
    </nc>
    <odxf>
      <alignment wrapText="0"/>
    </odxf>
    <ndxf>
      <alignment wrapText="1"/>
    </ndxf>
  </rcc>
  <rcc rId="13960" sId="8" odxf="1" dxf="1">
    <nc r="P18" t="inlineStr">
      <is>
        <t>TROCA DE CAIXAS</t>
      </is>
    </nc>
    <odxf>
      <alignment wrapText="0"/>
    </odxf>
    <ndxf>
      <alignment wrapText="1"/>
    </ndxf>
  </rcc>
  <rcc rId="13961" sId="8" odxf="1" dxf="1">
    <nc r="Q18" t="inlineStr">
      <is>
        <t>TROCA DE CAIXAS</t>
      </is>
    </nc>
    <odxf>
      <alignment wrapText="0"/>
    </odxf>
    <ndxf>
      <alignment wrapText="1"/>
    </ndxf>
  </rcc>
  <rcc rId="13962" sId="8" odxf="1" dxf="1">
    <nc r="R18" t="inlineStr">
      <is>
        <t>TROCA DE CAIXAS</t>
      </is>
    </nc>
    <odxf>
      <alignment wrapText="0"/>
    </odxf>
    <ndxf>
      <alignment wrapText="1"/>
    </ndxf>
  </rcc>
  <rcc rId="13963" sId="8" odxf="1" dxf="1">
    <nc r="S18" t="inlineStr">
      <is>
        <t>TROCA DE CAIXAS</t>
      </is>
    </nc>
    <odxf>
      <alignment wrapText="0"/>
    </odxf>
    <ndxf>
      <alignment wrapText="1"/>
    </ndxf>
  </rcc>
  <rcc rId="13964" sId="8">
    <nc r="O17">
      <v>17</v>
    </nc>
  </rcc>
  <rcc rId="13965" sId="8">
    <nc r="P17">
      <v>14</v>
    </nc>
  </rcc>
  <rcc rId="13966" sId="8">
    <nc r="Q17">
      <v>14</v>
    </nc>
  </rcc>
  <rcc rId="13967" sId="8">
    <nc r="R17">
      <v>15</v>
    </nc>
  </rcc>
  <rcc rId="13968" sId="8">
    <nc r="S17">
      <v>16</v>
    </nc>
  </rcc>
  <rcc rId="13969" sId="8" odxf="1" dxf="1">
    <nc r="U18" t="inlineStr">
      <is>
        <t>TROCA DE CAIXAS</t>
      </is>
    </nc>
    <odxf>
      <alignment wrapText="0"/>
    </odxf>
    <ndxf>
      <alignment wrapText="1"/>
    </ndxf>
  </rcc>
  <rcc rId="13970" sId="8">
    <nc r="U17">
      <v>15</v>
    </nc>
  </rcc>
  <rcv guid="{E3841903-5B68-44FD-8F09-58E03D1025C5}" action="delete"/>
  <rdn rId="0" localSheetId="1" customView="1" name="Z_E3841903_5B68_44FD_8F09_58E03D1025C5_.wvu.FilterData" hidden="1" oldHidden="1">
    <formula>Patrícia!$A$1:$A$3</formula>
    <oldFormula>Patrícia!$A$1:$A$3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Diego!$A$1:$A$19</formula>
    <oldFormula>Diego!$A$1:$A$19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Patrícia!$A$1:$A$3</formula>
    <oldFormula>Patrícia!$A$1:$A$3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Diego!$A$1:$A$19</formula>
    <oldFormula>Diego!$A$1:$A$19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91" sId="5">
    <nc r="O13">
      <v>1</v>
    </nc>
  </rcc>
  <rcc rId="13992" sId="5">
    <nc r="O14">
      <v>1</v>
    </nc>
  </rcc>
  <rcc rId="13993" sId="5" odxf="1" dxf="1">
    <nc r="O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3994" sId="5" odxf="1" dxf="1">
    <nc r="P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3995" sId="5" odxf="1" dxf="1">
    <nc r="Q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3996" sId="5" odxf="1" dxf="1">
    <nc r="R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3997" sId="5" odxf="1" dxf="1">
    <nc r="S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3998" sId="5" odxf="1" dxf="1">
    <nc r="O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3999" sId="5" odxf="1" dxf="1">
    <nc r="P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000" sId="5" odxf="1" dxf="1">
    <nc r="Q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001" sId="5" odxf="1" dxf="1">
    <nc r="R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4002" sId="5" odxf="1" dxf="1">
    <nc r="S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Patrícia!$A$1:$A$3</formula>
    <oldFormula>Patrícia!$A$1:$A$3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Diego!$A$1:$A$19</formula>
    <oldFormula>Diego!$A$1:$A$19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13" sId="5" numFmtId="21">
    <oc r="BI1">
      <v>2</v>
    </oc>
    <nc r="BI1"/>
  </rcc>
  <rcc rId="14014" sId="5">
    <oc r="BJ1" t="inlineStr">
      <is>
        <t>TOTAL SEMANA</t>
      </is>
    </oc>
    <nc r="BJ1"/>
  </rcc>
  <rcc rId="14015" sId="5" numFmtId="21">
    <oc r="BK1">
      <v>45662</v>
    </oc>
    <nc r="BK1"/>
  </rcc>
  <rcc rId="14016" sId="5" numFmtId="21">
    <oc r="BL1">
      <v>45663</v>
    </oc>
    <nc r="BL1"/>
  </rcc>
  <rcc rId="14017" sId="5" numFmtId="21">
    <oc r="BM1">
      <v>45664</v>
    </oc>
    <nc r="BM1"/>
  </rcc>
  <rcc rId="14018" sId="5" numFmtId="21">
    <oc r="BN1">
      <v>45665</v>
    </oc>
    <nc r="BN1"/>
  </rcc>
  <rcc rId="14019" sId="5" numFmtId="21">
    <oc r="BO1">
      <v>45666</v>
    </oc>
    <nc r="BO1"/>
  </rcc>
  <rcc rId="14020" sId="5">
    <oc r="BP1" t="inlineStr">
      <is>
        <t>TOTAL SEMANA</t>
      </is>
    </oc>
    <nc r="BP1"/>
  </rcc>
  <rcc rId="14021" sId="5" numFmtId="21">
    <oc r="BQ1">
      <v>45669</v>
    </oc>
    <nc r="BQ1"/>
  </rcc>
  <rcc rId="14022" sId="5" numFmtId="21">
    <oc r="BR1">
      <v>45670</v>
    </oc>
    <nc r="BR1"/>
  </rcc>
  <rcc rId="14023" sId="5" numFmtId="21">
    <oc r="BS1">
      <v>45671</v>
    </oc>
    <nc r="BS1"/>
  </rcc>
  <rcc rId="14024" sId="5" numFmtId="21">
    <oc r="BT1">
      <v>45672</v>
    </oc>
    <nc r="BT1"/>
  </rcc>
  <rcc rId="14025" sId="5" numFmtId="21">
    <oc r="BU1">
      <v>45673</v>
    </oc>
    <nc r="BU1"/>
  </rcc>
  <rcc rId="14026" sId="5">
    <oc r="BV1" t="inlineStr">
      <is>
        <t>TOTAL SEMANA</t>
      </is>
    </oc>
    <nc r="BV1"/>
  </rcc>
  <rcc rId="14027" sId="5" numFmtId="21">
    <oc r="BW1">
      <v>45676</v>
    </oc>
    <nc r="BW1"/>
  </rcc>
  <rcc rId="14028" sId="5" numFmtId="21">
    <oc r="BX1">
      <v>45677</v>
    </oc>
    <nc r="BX1"/>
  </rcc>
  <rcc rId="14029" sId="5" numFmtId="21">
    <oc r="BY1">
      <v>45678</v>
    </oc>
    <nc r="BY1"/>
  </rcc>
  <rcc rId="14030" sId="5" numFmtId="21">
    <oc r="BZ1">
      <v>45679</v>
    </oc>
    <nc r="BZ1"/>
  </rcc>
  <rcc rId="14031" sId="5" numFmtId="21">
    <oc r="CA1">
      <v>45680</v>
    </oc>
    <nc r="CA1"/>
  </rcc>
  <rcc rId="14032" sId="5">
    <oc r="CB1" t="inlineStr">
      <is>
        <t>TOTAL SEMANA</t>
      </is>
    </oc>
    <nc r="CB1"/>
  </rcc>
  <rcc rId="14033" sId="5" numFmtId="21">
    <oc r="CC1">
      <v>45683</v>
    </oc>
    <nc r="CC1"/>
  </rcc>
  <rcc rId="14034" sId="5" numFmtId="21">
    <oc r="CD1">
      <v>45684</v>
    </oc>
    <nc r="CD1"/>
  </rcc>
  <rcc rId="14035" sId="5" numFmtId="21">
    <oc r="CE1">
      <v>45685</v>
    </oc>
    <nc r="CE1"/>
  </rcc>
  <rcc rId="14036" sId="5" numFmtId="21">
    <oc r="CF1">
      <v>45686</v>
    </oc>
    <nc r="CF1"/>
  </rcc>
  <rcc rId="14037" sId="5" numFmtId="21">
    <oc r="CG1">
      <v>45687</v>
    </oc>
    <nc r="CG1"/>
  </rcc>
  <rcc rId="14038" sId="5">
    <oc r="CH1" t="inlineStr">
      <is>
        <t>TOTAL SEMANA</t>
      </is>
    </oc>
    <nc r="CH1"/>
  </rcc>
  <rcc rId="14039" sId="5" numFmtId="21">
    <oc r="CI1">
      <v>45690</v>
    </oc>
    <nc r="CI1"/>
  </rcc>
  <rcc rId="14040" sId="5" numFmtId="21">
    <oc r="CJ1">
      <v>45691</v>
    </oc>
    <nc r="CJ1"/>
  </rcc>
  <rcc rId="14041" sId="5" numFmtId="21">
    <oc r="CK1">
      <v>45692</v>
    </oc>
    <nc r="CK1"/>
  </rcc>
  <rcc rId="14042" sId="5" numFmtId="21">
    <oc r="CL1">
      <v>45693</v>
    </oc>
    <nc r="CL1"/>
  </rcc>
  <rcc rId="14043" sId="5" numFmtId="21">
    <oc r="CM1">
      <v>45694</v>
    </oc>
    <nc r="CM1"/>
  </rcc>
  <rcc rId="14044" sId="5">
    <oc r="CN1" t="inlineStr">
      <is>
        <t>TOTAL SEMANA</t>
      </is>
    </oc>
    <nc r="CN1"/>
  </rcc>
  <rcc rId="14045" sId="5" numFmtId="21">
    <oc r="CO1">
      <v>45697</v>
    </oc>
    <nc r="CO1"/>
  </rcc>
  <rcc rId="14046" sId="5" numFmtId="21">
    <oc r="CP1">
      <v>45698</v>
    </oc>
    <nc r="CP1"/>
  </rcc>
  <rcc rId="14047" sId="5" numFmtId="21">
    <oc r="CQ1">
      <v>45699</v>
    </oc>
    <nc r="CQ1"/>
  </rcc>
  <rcc rId="14048" sId="5" numFmtId="21">
    <oc r="CR1">
      <v>45700</v>
    </oc>
    <nc r="CR1"/>
  </rcc>
  <rcc rId="14049" sId="5" numFmtId="21">
    <oc r="CS1">
      <v>45701</v>
    </oc>
    <nc r="CS1"/>
  </rcc>
  <rcc rId="14050" sId="5">
    <oc r="CT1" t="inlineStr">
      <is>
        <t>TOTAL SEMANA</t>
      </is>
    </oc>
    <nc r="CT1"/>
  </rcc>
  <rcc rId="14051" sId="5" numFmtId="21">
    <oc r="CU1">
      <v>45704</v>
    </oc>
    <nc r="CU1"/>
  </rcc>
  <rcc rId="14052" sId="5" numFmtId="21">
    <oc r="CV1">
      <v>45705</v>
    </oc>
    <nc r="CV1"/>
  </rcc>
  <rcc rId="14053" sId="5" numFmtId="21">
    <oc r="CW1">
      <v>45706</v>
    </oc>
    <nc r="CW1"/>
  </rcc>
  <rcc rId="14054" sId="5" numFmtId="21">
    <oc r="CX1">
      <v>45707</v>
    </oc>
    <nc r="CX1"/>
  </rcc>
  <rcc rId="14055" sId="5" numFmtId="21">
    <oc r="CY1">
      <v>45708</v>
    </oc>
    <nc r="CY1"/>
  </rcc>
  <rcc rId="14056" sId="5">
    <oc r="CZ1" t="inlineStr">
      <is>
        <t>TOTAL SEMANA</t>
      </is>
    </oc>
    <nc r="CZ1"/>
  </rcc>
  <rcc rId="14057" sId="5" numFmtId="21">
    <oc r="DA1">
      <v>45711</v>
    </oc>
    <nc r="DA1"/>
  </rcc>
  <rcc rId="14058" sId="5" numFmtId="21">
    <oc r="DB1">
      <v>45712</v>
    </oc>
    <nc r="DB1"/>
  </rcc>
  <rcc rId="14059" sId="5" numFmtId="21">
    <oc r="DC1">
      <v>45713</v>
    </oc>
    <nc r="DC1"/>
  </rcc>
  <rcc rId="14060" sId="5" numFmtId="21">
    <oc r="DD1">
      <v>45714</v>
    </oc>
    <nc r="DD1"/>
  </rcc>
  <rcc rId="14061" sId="5" numFmtId="21">
    <oc r="DE1">
      <v>45715</v>
    </oc>
    <nc r="DE1"/>
  </rcc>
  <rcc rId="14062" sId="5">
    <oc r="DF1" t="inlineStr">
      <is>
        <t>TOTAL SEMANA</t>
      </is>
    </oc>
    <nc r="DF1"/>
  </rcc>
  <rcc rId="14063" sId="5">
    <oc r="BJ2">
      <f>SUM(BI2:BI2)</f>
    </oc>
    <nc r="BJ2"/>
  </rcc>
  <rcc rId="14064" sId="5">
    <oc r="BN2">
      <v>1</v>
    </oc>
    <nc r="BN2"/>
  </rcc>
  <rcc rId="14065" sId="5">
    <oc r="BP2">
      <f>SUM(BK2:BO2)</f>
    </oc>
    <nc r="BP2"/>
  </rcc>
  <rcc rId="14066" sId="5">
    <oc r="BS2">
      <v>1</v>
    </oc>
    <nc r="BS2"/>
  </rcc>
  <rcc rId="14067" sId="5">
    <oc r="BV2">
      <f>SUM(BQ2:BU2)</f>
    </oc>
    <nc r="BV2"/>
  </rcc>
  <rcc rId="14068" sId="5">
    <oc r="CB2">
      <f>SUM(BW2:CA2)</f>
    </oc>
    <nc r="CB2"/>
  </rcc>
  <rcc rId="14069" sId="5">
    <oc r="CH2">
      <f>SUM(CC2:CG2)</f>
    </oc>
    <nc r="CH2"/>
  </rcc>
  <rcc rId="14070" sId="5">
    <oc r="CN2">
      <f>SUM(CI2:CM2)</f>
    </oc>
    <nc r="CN2"/>
  </rcc>
  <rcc rId="14071" sId="5">
    <oc r="CT2">
      <f>SUM(CO2:CS2)</f>
    </oc>
    <nc r="CT2"/>
  </rcc>
  <rcc rId="14072" sId="5">
    <oc r="CZ2">
      <f>SUM(CU2:CY2)</f>
    </oc>
    <nc r="CZ2"/>
  </rcc>
  <rcc rId="14073" sId="5">
    <oc r="DF2">
      <f>SUM(DA2:DE2)</f>
    </oc>
    <nc r="DF2"/>
  </rcc>
  <rcc rId="14074" sId="5">
    <oc r="BJ3">
      <f>SUM(BI3:BI3)</f>
    </oc>
    <nc r="BJ3"/>
  </rcc>
  <rcc rId="14075" sId="5">
    <oc r="BP3">
      <f>SUM(BK3:BO3)</f>
    </oc>
    <nc r="BP3"/>
  </rcc>
  <rcc rId="14076" sId="5">
    <oc r="BV3">
      <f>SUM(BQ3:BU3)</f>
    </oc>
    <nc r="BV3"/>
  </rcc>
  <rcc rId="14077" sId="5">
    <oc r="CB3">
      <f>SUM(BW3:CA3)</f>
    </oc>
    <nc r="CB3"/>
  </rcc>
  <rcc rId="14078" sId="5">
    <oc r="CH3">
      <f>SUM(CC3:CG3)</f>
    </oc>
    <nc r="CH3"/>
  </rcc>
  <rcc rId="14079" sId="5">
    <oc r="CN3">
      <f>SUM(CI3:CM3)</f>
    </oc>
    <nc r="CN3"/>
  </rcc>
  <rcc rId="14080" sId="5">
    <oc r="CT3">
      <f>SUM(CO3:CS3)</f>
    </oc>
    <nc r="CT3"/>
  </rcc>
  <rcc rId="14081" sId="5">
    <oc r="CZ3">
      <f>SUM(CU3:CY3)</f>
    </oc>
    <nc r="CZ3"/>
  </rcc>
  <rcc rId="14082" sId="5">
    <oc r="DF3">
      <f>SUM(DA3:DE3)</f>
    </oc>
    <nc r="DF3"/>
  </rcc>
  <rcc rId="14083" sId="5">
    <oc r="BJ4">
      <f>SUM(BI4:BI4)</f>
    </oc>
    <nc r="BJ4"/>
  </rcc>
  <rcc rId="14084" sId="5">
    <oc r="BP4">
      <f>SUM(BK4:BO4)</f>
    </oc>
    <nc r="BP4"/>
  </rcc>
  <rcc rId="14085" sId="5">
    <oc r="BQ4">
      <v>1</v>
    </oc>
    <nc r="BQ4"/>
  </rcc>
  <rcc rId="14086" sId="5">
    <oc r="BT4">
      <v>1</v>
    </oc>
    <nc r="BT4"/>
  </rcc>
  <rcc rId="14087" sId="5">
    <oc r="BU4">
      <v>2</v>
    </oc>
    <nc r="BU4"/>
  </rcc>
  <rcc rId="14088" sId="5">
    <oc r="BV4">
      <f>SUM(BQ4:BU4)</f>
    </oc>
    <nc r="BV4"/>
  </rcc>
  <rcc rId="14089" sId="5">
    <oc r="CB4">
      <f>SUM(BW4:CA4)</f>
    </oc>
    <nc r="CB4"/>
  </rcc>
  <rcc rId="14090" sId="5">
    <oc r="CH4">
      <f>SUM(CC4:CG4)</f>
    </oc>
    <nc r="CH4"/>
  </rcc>
  <rcc rId="14091" sId="5">
    <oc r="CN4">
      <f>SUM(CI4:CM4)</f>
    </oc>
    <nc r="CN4"/>
  </rcc>
  <rcc rId="14092" sId="5">
    <oc r="CT4">
      <f>SUM(CO4:CS4)</f>
    </oc>
    <nc r="CT4"/>
  </rcc>
  <rcc rId="14093" sId="5">
    <oc r="CZ4">
      <f>SUM(CU4:CY4)</f>
    </oc>
    <nc r="CZ4"/>
  </rcc>
  <rcc rId="14094" sId="5">
    <oc r="DF4">
      <f>SUM(DA4:DE4)</f>
    </oc>
    <nc r="DF4"/>
  </rcc>
  <rcc rId="14095" sId="5">
    <oc r="BJ5">
      <f>SUM(BI5:BI5)</f>
    </oc>
    <nc r="BJ5"/>
  </rcc>
  <rcc rId="14096" sId="5">
    <oc r="BK5">
      <v>1</v>
    </oc>
    <nc r="BK5"/>
  </rcc>
  <rcc rId="14097" sId="5">
    <oc r="BO5">
      <v>1</v>
    </oc>
    <nc r="BO5"/>
  </rcc>
  <rcc rId="14098" sId="5">
    <oc r="BP5">
      <f>SUM(BK5:BO5)</f>
    </oc>
    <nc r="BP5"/>
  </rcc>
  <rcc rId="14099" sId="5">
    <oc r="BV5">
      <f>SUM(BQ5:BU5)</f>
    </oc>
    <nc r="BV5"/>
  </rcc>
  <rcc rId="14100" sId="5">
    <oc r="CB5">
      <f>SUM(BW5:CA5)</f>
    </oc>
    <nc r="CB5"/>
  </rcc>
  <rcc rId="14101" sId="5">
    <oc r="CH5">
      <f>SUM(CC5:CG5)</f>
    </oc>
    <nc r="CH5"/>
  </rcc>
  <rcc rId="14102" sId="5">
    <oc r="CN5">
      <f>SUM(CI5:CM5)</f>
    </oc>
    <nc r="CN5"/>
  </rcc>
  <rcc rId="14103" sId="5">
    <oc r="CT5">
      <f>SUM(CO5:CS5)</f>
    </oc>
    <nc r="CT5"/>
  </rcc>
  <rcc rId="14104" sId="5">
    <oc r="CZ5">
      <f>SUM(CU5:CY5)</f>
    </oc>
    <nc r="CZ5"/>
  </rcc>
  <rcc rId="14105" sId="5">
    <oc r="DF5">
      <f>SUM(DA5:DE5)</f>
    </oc>
    <nc r="DF5"/>
  </rcc>
  <rcc rId="14106" sId="5">
    <oc r="BJ6">
      <f>SUM(BI6:BI6)</f>
    </oc>
    <nc r="BJ6"/>
  </rcc>
  <rcc rId="14107" sId="5">
    <oc r="BP6">
      <f>SUM(BK6:BO6)</f>
    </oc>
    <nc r="BP6"/>
  </rcc>
  <rcc rId="14108" sId="5">
    <oc r="BV6">
      <f>SUM(BQ6:BU6)</f>
    </oc>
    <nc r="BV6"/>
  </rcc>
  <rcc rId="14109" sId="5">
    <oc r="CB6">
      <f>SUM(BW6:CA6)</f>
    </oc>
    <nc r="CB6"/>
  </rcc>
  <rcc rId="14110" sId="5">
    <oc r="CH6">
      <f>SUM(CC6:CG6)</f>
    </oc>
    <nc r="CH6"/>
  </rcc>
  <rcc rId="14111" sId="5">
    <oc r="CN6">
      <f>SUM(CI6:CM6)</f>
    </oc>
    <nc r="CN6"/>
  </rcc>
  <rcc rId="14112" sId="5">
    <oc r="CT6">
      <f>SUM(CO6:CS6)</f>
    </oc>
    <nc r="CT6"/>
  </rcc>
  <rcc rId="14113" sId="5">
    <oc r="CZ6">
      <f>SUM(CU6:CY6)</f>
    </oc>
    <nc r="CZ6"/>
  </rcc>
  <rcc rId="14114" sId="5">
    <oc r="DF6">
      <f>SUM(DA6:DE6)</f>
    </oc>
    <nc r="DF6"/>
  </rcc>
  <rcc rId="14115" sId="5">
    <oc r="BJ7">
      <f>SUM(BI7:BI7)</f>
    </oc>
    <nc r="BJ7"/>
  </rcc>
  <rcc rId="14116" sId="5">
    <oc r="BP7">
      <f>SUM(BK7:BO7)</f>
    </oc>
    <nc r="BP7"/>
  </rcc>
  <rcc rId="14117" sId="5">
    <oc r="BV7">
      <f>SUM(BQ7:BU7)</f>
    </oc>
    <nc r="BV7"/>
  </rcc>
  <rcc rId="14118" sId="5">
    <oc r="CB7">
      <f>SUM(BW7:CA7)</f>
    </oc>
    <nc r="CB7"/>
  </rcc>
  <rcc rId="14119" sId="5">
    <oc r="CH7">
      <f>SUM(CC7:CG7)</f>
    </oc>
    <nc r="CH7"/>
  </rcc>
  <rcc rId="14120" sId="5">
    <oc r="CN7">
      <f>SUM(CI7:CM7)</f>
    </oc>
    <nc r="CN7"/>
  </rcc>
  <rcc rId="14121" sId="5">
    <oc r="CT7">
      <f>SUM(CO7:CS7)</f>
    </oc>
    <nc r="CT7"/>
  </rcc>
  <rcc rId="14122" sId="5">
    <oc r="CZ7">
      <f>SUM(CU7:CY7)</f>
    </oc>
    <nc r="CZ7"/>
  </rcc>
  <rcc rId="14123" sId="5">
    <oc r="DF7">
      <f>SUM(DA7:DE7)</f>
    </oc>
    <nc r="DF7"/>
  </rcc>
  <rcc rId="14124" sId="5">
    <oc r="BJ8">
      <f>SUM(BI8:BI8)</f>
    </oc>
    <nc r="BJ8"/>
  </rcc>
  <rcc rId="14125" sId="5">
    <oc r="BP8">
      <f>SUM(BK8:BO8)</f>
    </oc>
    <nc r="BP8"/>
  </rcc>
  <rcc rId="14126" sId="5">
    <oc r="BV8">
      <f>SUM(BQ8:BU8)</f>
    </oc>
    <nc r="BV8"/>
  </rcc>
  <rcc rId="14127" sId="5">
    <oc r="CB8">
      <f>SUM(BW8:CA8)</f>
    </oc>
    <nc r="CB8"/>
  </rcc>
  <rcc rId="14128" sId="5">
    <oc r="CH8">
      <f>SUM(CC8:CG8)</f>
    </oc>
    <nc r="CH8"/>
  </rcc>
  <rcc rId="14129" sId="5">
    <oc r="CN8">
      <f>SUM(CI8:CM8)</f>
    </oc>
    <nc r="CN8"/>
  </rcc>
  <rcc rId="14130" sId="5">
    <oc r="CT8">
      <f>SUM(CO8:CS8)</f>
    </oc>
    <nc r="CT8"/>
  </rcc>
  <rcc rId="14131" sId="5">
    <oc r="CZ8">
      <f>SUM(CU8:CY8)</f>
    </oc>
    <nc r="CZ8"/>
  </rcc>
  <rcc rId="14132" sId="5">
    <oc r="DF8">
      <f>SUM(DA8:DE8)</f>
    </oc>
    <nc r="DF8"/>
  </rcc>
  <rcc rId="14133" sId="5">
    <oc r="BJ9">
      <f>SUM(BI9:BI9)</f>
    </oc>
    <nc r="BJ9"/>
  </rcc>
  <rcc rId="14134" sId="5">
    <oc r="BP9">
      <f>SUM(BK9:BO9)</f>
    </oc>
    <nc r="BP9"/>
  </rcc>
  <rcc rId="14135" sId="5">
    <oc r="BV9">
      <f>SUM(BQ9:BU9)</f>
    </oc>
    <nc r="BV9"/>
  </rcc>
  <rcc rId="14136" sId="5">
    <oc r="CB9">
      <f>SUM(BW9:CA9)</f>
    </oc>
    <nc r="CB9"/>
  </rcc>
  <rcc rId="14137" sId="5">
    <oc r="CH9">
      <f>SUM(CC9:CG9)</f>
    </oc>
    <nc r="CH9"/>
  </rcc>
  <rcc rId="14138" sId="5">
    <oc r="CN9">
      <f>SUM(CI9:CM9)</f>
    </oc>
    <nc r="CN9"/>
  </rcc>
  <rcc rId="14139" sId="5">
    <oc r="CT9">
      <f>SUM(CO9:CS9)</f>
    </oc>
    <nc r="CT9"/>
  </rcc>
  <rcc rId="14140" sId="5">
    <oc r="CZ9">
      <f>SUM(CU9:CY9)</f>
    </oc>
    <nc r="CZ9"/>
  </rcc>
  <rcc rId="14141" sId="5">
    <oc r="DF9">
      <f>SUM(DA9:DE9)</f>
    </oc>
    <nc r="DF9"/>
  </rcc>
  <rcc rId="14142" sId="5">
    <oc r="BJ10">
      <f>SUM(BI10:BI10)</f>
    </oc>
    <nc r="BJ10"/>
  </rcc>
  <rcc rId="14143" sId="5">
    <oc r="BP10">
      <f>SUM(BK10:BO10)</f>
    </oc>
    <nc r="BP10"/>
  </rcc>
  <rcc rId="14144" sId="5">
    <oc r="BV10">
      <f>SUM(BQ10:BU10)</f>
    </oc>
    <nc r="BV10"/>
  </rcc>
  <rcc rId="14145" sId="5">
    <oc r="CB10">
      <f>SUM(BW10:CA10)</f>
    </oc>
    <nc r="CB10"/>
  </rcc>
  <rcc rId="14146" sId="5">
    <oc r="CH10">
      <f>SUM(CC10:CG10)</f>
    </oc>
    <nc r="CH10"/>
  </rcc>
  <rcc rId="14147" sId="5">
    <oc r="CN10">
      <f>SUM(CI10:CM10)</f>
    </oc>
    <nc r="CN10"/>
  </rcc>
  <rcc rId="14148" sId="5">
    <oc r="CT10">
      <f>SUM(CO10:CS10)</f>
    </oc>
    <nc r="CT10"/>
  </rcc>
  <rcc rId="14149" sId="5">
    <oc r="CZ10">
      <f>SUM(CU10:CY10)</f>
    </oc>
    <nc r="CZ10"/>
  </rcc>
  <rcc rId="14150" sId="5">
    <oc r="DF10">
      <f>SUM(DA10:DE10)</f>
    </oc>
    <nc r="DF10"/>
  </rcc>
  <rcc rId="14151" sId="5">
    <oc r="BJ11">
      <f>SUM(BI11:BI11)</f>
    </oc>
    <nc r="BJ11"/>
  </rcc>
  <rcc rId="14152" sId="5">
    <oc r="BP11">
      <f>SUM(BK11:BO11)</f>
    </oc>
    <nc r="BP11"/>
  </rcc>
  <rcc rId="14153" sId="5">
    <oc r="BV11">
      <f>SUM(BQ11:BU11)</f>
    </oc>
    <nc r="BV11"/>
  </rcc>
  <rcc rId="14154" sId="5">
    <oc r="CB11">
      <f>SUM(BW11:CA11)</f>
    </oc>
    <nc r="CB11"/>
  </rcc>
  <rcc rId="14155" sId="5">
    <oc r="CH11">
      <f>SUM(CC11:CG11)</f>
    </oc>
    <nc r="CH11"/>
  </rcc>
  <rcc rId="14156" sId="5">
    <oc r="CN11">
      <f>SUM(CI11:CM11)</f>
    </oc>
    <nc r="CN11"/>
  </rcc>
  <rcc rId="14157" sId="5">
    <oc r="CT11">
      <f>SUM(CO11:CS11)</f>
    </oc>
    <nc r="CT11"/>
  </rcc>
  <rcc rId="14158" sId="5">
    <oc r="CZ11">
      <f>SUM(CU11:CY11)</f>
    </oc>
    <nc r="CZ11"/>
  </rcc>
  <rcc rId="14159" sId="5">
    <oc r="DF11">
      <f>SUM(DA11:DE11)</f>
    </oc>
    <nc r="DF11"/>
  </rcc>
  <rcc rId="14160" sId="5">
    <oc r="BJ12">
      <f>SUM(BI12:BI12)</f>
    </oc>
    <nc r="BJ12"/>
  </rcc>
  <rcc rId="14161" sId="5">
    <oc r="BP12">
      <f>SUM(BK12:BO12)</f>
    </oc>
    <nc r="BP12"/>
  </rcc>
  <rcc rId="14162" sId="5">
    <oc r="BV12">
      <f>SUM(BQ12:BU12)</f>
    </oc>
    <nc r="BV12"/>
  </rcc>
  <rcc rId="14163" sId="5">
    <oc r="CB12">
      <f>SUM(BW12:CA12)</f>
    </oc>
    <nc r="CB12"/>
  </rcc>
  <rcc rId="14164" sId="5">
    <oc r="CH12">
      <f>SUM(CC12:CG12)</f>
    </oc>
    <nc r="CH12"/>
  </rcc>
  <rcc rId="14165" sId="5">
    <oc r="CN12">
      <f>SUM(CI12:CM12)</f>
    </oc>
    <nc r="CN12"/>
  </rcc>
  <rcc rId="14166" sId="5">
    <oc r="CT12">
      <f>SUM(CO12:CS12)</f>
    </oc>
    <nc r="CT12"/>
  </rcc>
  <rcc rId="14167" sId="5">
    <oc r="CZ12">
      <f>SUM(CU12:CY12)</f>
    </oc>
    <nc r="CZ12"/>
  </rcc>
  <rcc rId="14168" sId="5">
    <oc r="DF12">
      <f>SUM(DA12:DE12)</f>
    </oc>
    <nc r="DF12"/>
  </rcc>
  <rcc rId="14169" sId="5">
    <oc r="BJ13">
      <f>SUM(BI13:BI13)</f>
    </oc>
    <nc r="BJ13"/>
  </rcc>
  <rcc rId="14170" sId="5">
    <oc r="BL13">
      <v>2</v>
    </oc>
    <nc r="BL13"/>
  </rcc>
  <rcc rId="14171" sId="5">
    <oc r="BP13">
      <f>SUM(BK13:BO13)</f>
    </oc>
    <nc r="BP13"/>
  </rcc>
  <rcc rId="14172" sId="5">
    <oc r="BR13">
      <v>2</v>
    </oc>
    <nc r="BR13"/>
  </rcc>
  <rcc rId="14173" sId="5">
    <oc r="BS13">
      <v>1</v>
    </oc>
    <nc r="BS13"/>
  </rcc>
  <rcc rId="14174" sId="5">
    <oc r="BT13">
      <v>1</v>
    </oc>
    <nc r="BT13"/>
  </rcc>
  <rcc rId="14175" sId="5">
    <oc r="BV13">
      <f>SUM(BQ13:BU13)</f>
    </oc>
    <nc r="BV13"/>
  </rcc>
  <rcc rId="14176" sId="5">
    <oc r="BW13">
      <v>1</v>
    </oc>
    <nc r="BW13"/>
  </rcc>
  <rcc rId="14177" sId="5">
    <oc r="CB13">
      <f>SUM(BW13:CA13)</f>
    </oc>
    <nc r="CB13"/>
  </rcc>
  <rcc rId="14178" sId="5">
    <oc r="CH13">
      <f>SUM(CC13:CG13)</f>
    </oc>
    <nc r="CH13"/>
  </rcc>
  <rcc rId="14179" sId="5">
    <oc r="CN13">
      <f>SUM(CI13:CM13)</f>
    </oc>
    <nc r="CN13"/>
  </rcc>
  <rcc rId="14180" sId="5">
    <oc r="CT13">
      <f>SUM(CO13:CS13)</f>
    </oc>
    <nc r="CT13"/>
  </rcc>
  <rcc rId="14181" sId="5">
    <oc r="CZ13">
      <f>SUM(CU13:CY13)</f>
    </oc>
    <nc r="CZ13"/>
  </rcc>
  <rcc rId="14182" sId="5">
    <oc r="DF13">
      <f>SUM(DA13:DE13)</f>
    </oc>
    <nc r="DF13"/>
  </rcc>
  <rcc rId="14183" sId="5">
    <oc r="BJ14">
      <f>SUM(BI14:BI14)</f>
    </oc>
    <nc r="BJ14"/>
  </rcc>
  <rcc rId="14184" sId="5">
    <oc r="BP14">
      <f>SUM(BK14:BO14)</f>
    </oc>
    <nc r="BP14"/>
  </rcc>
  <rcc rId="14185" sId="5">
    <oc r="BU14">
      <v>1</v>
    </oc>
    <nc r="BU14"/>
  </rcc>
  <rcc rId="14186" sId="5">
    <oc r="BV14">
      <f>SUM(BQ14:BU14)</f>
    </oc>
    <nc r="BV14"/>
  </rcc>
  <rcc rId="14187" sId="5">
    <oc r="BW14">
      <v>1</v>
    </oc>
    <nc r="BW14"/>
  </rcc>
  <rcc rId="14188" sId="5">
    <oc r="CB14">
      <f>SUM(BW14:CA14)</f>
    </oc>
    <nc r="CB14"/>
  </rcc>
  <rcc rId="14189" sId="5">
    <oc r="CH14">
      <f>SUM(CC14:CG14)</f>
    </oc>
    <nc r="CH14"/>
  </rcc>
  <rcc rId="14190" sId="5">
    <oc r="CN14">
      <f>SUM(CI14:CM14)</f>
    </oc>
    <nc r="CN14"/>
  </rcc>
  <rcc rId="14191" sId="5">
    <oc r="CT14">
      <f>SUM(CO14:CS14)</f>
    </oc>
    <nc r="CT14"/>
  </rcc>
  <rcc rId="14192" sId="5">
    <oc r="CZ14">
      <f>SUM(CU14:CY14)</f>
    </oc>
    <nc r="CZ14"/>
  </rcc>
  <rcc rId="14193" sId="5">
    <oc r="DF14">
      <f>SUM(DA14:DE14)</f>
    </oc>
    <nc r="DF14"/>
  </rcc>
  <rcc rId="14194" sId="5">
    <oc r="BJ15">
      <f>SUM(BI15:BI15)</f>
    </oc>
    <nc r="BJ15"/>
  </rcc>
  <rcc rId="14195" sId="5">
    <oc r="BN15">
      <v>149</v>
    </oc>
    <nc r="BN15"/>
  </rcc>
  <rcc rId="14196" sId="5">
    <oc r="BP15">
      <f>SUM(BK15:BO15)</f>
    </oc>
    <nc r="BP15"/>
  </rcc>
  <rcc rId="14197" sId="5">
    <oc r="BT15">
      <v>70</v>
    </oc>
    <nc r="BT15"/>
  </rcc>
  <rcc rId="14198" sId="5">
    <oc r="BV15">
      <f>SUM(BQ15:BU15)</f>
    </oc>
    <nc r="BV15"/>
  </rcc>
  <rcc rId="14199" sId="5">
    <oc r="CB15">
      <f>SUM(BW15:CA15)</f>
    </oc>
    <nc r="CB15"/>
  </rcc>
  <rcc rId="14200" sId="5">
    <oc r="CH15">
      <f>SUM(CC15:CG15)</f>
    </oc>
    <nc r="CH15"/>
  </rcc>
  <rcc rId="14201" sId="5">
    <oc r="CN15">
      <f>SUM(CI15:CM15)</f>
    </oc>
    <nc r="CN15"/>
  </rcc>
  <rcc rId="14202" sId="5">
    <oc r="CT15">
      <f>SUM(CO15:CS15)</f>
    </oc>
    <nc r="CT15"/>
  </rcc>
  <rcc rId="14203" sId="5">
    <oc r="CZ15">
      <f>SUM(CU15:CY15)</f>
    </oc>
    <nc r="CZ15"/>
  </rcc>
  <rcc rId="14204" sId="5">
    <oc r="DF15">
      <f>SUM(DA15:DE15)</f>
    </oc>
    <nc r="DF15"/>
  </rcc>
  <rcc rId="14205" sId="5">
    <oc r="BJ16">
      <f>SUM(BI16:BI16)</f>
    </oc>
    <nc r="BJ16"/>
  </rcc>
  <rcc rId="14206" sId="5">
    <oc r="BK16">
      <v>2</v>
    </oc>
    <nc r="BK16"/>
  </rcc>
  <rcc rId="14207" sId="5">
    <oc r="BO16">
      <v>9</v>
    </oc>
    <nc r="BO16"/>
  </rcc>
  <rcc rId="14208" sId="5">
    <oc r="BP16">
      <f>SUM(BK16:BO16)</f>
    </oc>
    <nc r="BP16"/>
  </rcc>
  <rcc rId="14209" sId="5">
    <oc r="BR16">
      <v>10</v>
    </oc>
    <nc r="BR16"/>
  </rcc>
  <rcc rId="14210" sId="5">
    <oc r="BV16">
      <f>SUM(BQ16:BU16)</f>
    </oc>
    <nc r="BV16"/>
  </rcc>
  <rcc rId="14211" sId="5">
    <oc r="CB16">
      <f>SUM(BW16:CA16)</f>
    </oc>
    <nc r="CB16"/>
  </rcc>
  <rcc rId="14212" sId="5">
    <oc r="CH16">
      <f>SUM(CC16:CG16)</f>
    </oc>
    <nc r="CH16"/>
  </rcc>
  <rcc rId="14213" sId="5">
    <oc r="CN16">
      <f>SUM(CI16:CM16)</f>
    </oc>
    <nc r="CN16"/>
  </rcc>
  <rcc rId="14214" sId="5">
    <oc r="CT16">
      <f>SUM(CO16:CS16)</f>
    </oc>
    <nc r="CT16"/>
  </rcc>
  <rcc rId="14215" sId="5">
    <oc r="CZ16">
      <f>SUM(CU16:CY16)</f>
    </oc>
    <nc r="CZ16"/>
  </rcc>
  <rcc rId="14216" sId="5">
    <oc r="DF16">
      <f>SUM(DA16:DE16)</f>
    </oc>
    <nc r="DF16"/>
  </rcc>
  <rcc rId="14217" sId="5" numFmtId="4">
    <oc r="BI17">
      <v>10</v>
    </oc>
    <nc r="BI17"/>
  </rcc>
  <rcc rId="14218" sId="5">
    <oc r="BJ17">
      <f>SUM(BI17:BI17)</f>
    </oc>
    <nc r="BJ17"/>
  </rcc>
  <rcc rId="14219" sId="5">
    <oc r="BK17">
      <v>5</v>
    </oc>
    <nc r="BK17"/>
  </rcc>
  <rcc rId="14220" sId="5">
    <oc r="BL17">
      <v>10</v>
    </oc>
    <nc r="BL17"/>
  </rcc>
  <rcc rId="14221" sId="5">
    <oc r="BM17">
      <v>10</v>
    </oc>
    <nc r="BM17"/>
  </rcc>
  <rcc rId="14222" sId="5">
    <oc r="BP17">
      <f>SUM(BK17:BO17)</f>
    </oc>
    <nc r="BP17"/>
  </rcc>
  <rcc rId="14223" sId="5">
    <oc r="BV17">
      <f>SUM(BQ17:BU17)</f>
    </oc>
    <nc r="BV17"/>
  </rcc>
  <rcc rId="14224" sId="5">
    <oc r="BW17">
      <v>10</v>
    </oc>
    <nc r="BW17"/>
  </rcc>
  <rcc rId="14225" sId="5">
    <oc r="BX17">
      <v>10</v>
    </oc>
    <nc r="BX17"/>
  </rcc>
  <rcc rId="14226" sId="5">
    <oc r="BY17">
      <v>10</v>
    </oc>
    <nc r="BY17"/>
  </rcc>
  <rcc rId="14227" sId="5">
    <oc r="BZ17">
      <v>10</v>
    </oc>
    <nc r="BZ17"/>
  </rcc>
  <rcc rId="14228" sId="5">
    <oc r="CA17">
      <v>10</v>
    </oc>
    <nc r="CA17"/>
  </rcc>
  <rcc rId="14229" sId="5">
    <oc r="CB17">
      <f>SUM(BW17:CA17)</f>
    </oc>
    <nc r="CB17"/>
  </rcc>
  <rcc rId="14230" sId="5">
    <oc r="CH17">
      <f>SUM(CC17:CG17)</f>
    </oc>
    <nc r="CH17"/>
  </rcc>
  <rcc rId="14231" sId="5">
    <oc r="CN17">
      <f>SUM(CI17:CM17)</f>
    </oc>
    <nc r="CN17"/>
  </rcc>
  <rcc rId="14232" sId="5">
    <oc r="CT17">
      <f>SUM(CO17:CS17)</f>
    </oc>
    <nc r="CT17"/>
  </rcc>
  <rcc rId="14233" sId="5">
    <oc r="CZ17">
      <f>SUM(CU17:CY17)</f>
    </oc>
    <nc r="CZ17"/>
  </rcc>
  <rcc rId="14234" sId="5">
    <oc r="DF17">
      <f>SUM(DA17:DE17)</f>
    </oc>
    <nc r="DF17"/>
  </rcc>
  <rcc rId="14235" sId="5">
    <oc r="BK18" t="inlineStr">
      <is>
        <t>1. Conferência 2 Guias
 de Transferência.</t>
      </is>
    </oc>
    <nc r="BK18"/>
  </rcc>
  <rcc rId="14236" sId="5">
    <oc r="BL18" t="inlineStr">
      <is>
        <t>1. Documento produzido:
Folha de Ponto e Termo de 
Cancelamento.</t>
      </is>
    </oc>
    <nc r="BL18"/>
  </rcc>
  <rcc rId="14237" sId="5">
    <oc r="BN18" t="inlineStr">
      <is>
        <t>1. Desarquivamento de 70 caixas 
do DEFNAS e Recebimento de 79.</t>
      </is>
    </oc>
    <nc r="BN18"/>
  </rcc>
  <rcc rId="14238" sId="5">
    <oc r="BO18" t="inlineStr">
      <is>
        <t>Conferência Guia de 
Transferência.</t>
      </is>
    </oc>
    <nc r="BO18"/>
  </rcc>
  <rcc rId="14239" sId="5">
    <oc r="BQ18" t="inlineStr">
      <is>
        <t>1. Alimentação planilha Guias
 de Transferência.</t>
      </is>
    </oc>
    <nc r="BQ18"/>
  </rcc>
  <rcc rId="14240" sId="5">
    <oc r="BR18" t="inlineStr">
      <is>
        <t>1. Conferência 
10 caixas 
DEFNAS.
2. Pesquisa de processos - solictação do 
e-mail da CONJUR:
44000.001801/2007-42
44006.002300/2001-38
44006.0047/2000-21</t>
      </is>
    </oc>
    <nc r="BR18"/>
  </rcc>
  <rcc rId="14241" sId="5">
    <oc r="BS18" t="inlineStr">
      <is>
        <t xml:space="preserve"> 1. Pesquisa e busca processo
58000.002183/2009-24</t>
      </is>
    </oc>
    <nc r="BS18"/>
  </rcc>
  <rcc rId="14242" sId="5">
    <oc r="BT18" t="inlineStr">
      <is>
        <t>1. Arquivamento e movimentação 
70 caixas da DEFNAS.</t>
      </is>
    </oc>
    <nc r="BT18"/>
  </rcc>
  <rcc rId="14243" sId="5">
    <oc r="BU18" t="inlineStr">
      <is>
        <t>1. Orientação a CGP/MESP
para Arquivamento, via telefone.</t>
      </is>
    </oc>
    <nc r="BU18"/>
  </rcc>
  <rcc rId="14244" sId="5">
    <oc r="BW18" t="inlineStr">
      <is>
        <t>Troca de caixa e espelho.
Total 10 caixas.</t>
      </is>
    </oc>
    <nc r="BW18"/>
  </rcc>
  <rcc rId="14245" sId="5">
    <oc r="BX18" t="inlineStr">
      <is>
        <t>Troca de caixa e espelho.
Total 10 caixas.</t>
      </is>
    </oc>
    <nc r="BX18"/>
  </rcc>
  <rcc rId="14246" sId="5">
    <oc r="BY18" t="inlineStr">
      <is>
        <t>Troca de caixa e espelho.
Total 10 caixas.</t>
      </is>
    </oc>
    <nc r="BY18"/>
  </rcc>
  <rcc rId="14247" sId="5">
    <oc r="BZ18" t="inlineStr">
      <is>
        <t>Troca de caixa e espelho.
Total 10 caixas.</t>
      </is>
    </oc>
    <nc r="BZ18"/>
  </rcc>
  <rcc rId="14248" sId="5">
    <oc r="CA18" t="inlineStr">
      <is>
        <t>Troca de caixa e espelho.
Total 10 caixas.</t>
      </is>
    </oc>
    <nc r="CA18"/>
  </rcc>
  <rrc rId="14249" sId="5" ref="BH1:BH1048576" action="deleteCol">
    <rfmt sheetId="5" xfDxf="1" sqref="BH1:BH1048576" start="0" length="0">
      <dxf>
        <alignment horizontal="center" vertical="center"/>
      </dxf>
    </rfmt>
  </rrc>
  <rrc rId="14250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6" start="0" length="0">
      <dxf>
        <numFmt numFmtId="3" formatCode="#,##0"/>
      </dxf>
    </rfmt>
    <rfmt sheetId="5" sqref="BH17" start="0" length="0">
      <dxf>
        <numFmt numFmtId="3" formatCode="#,##0"/>
        <border outline="0">
          <bottom style="thin">
            <color indexed="64"/>
          </bottom>
        </border>
      </dxf>
    </rfmt>
  </rrc>
  <rrc rId="14251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52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3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4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5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6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7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58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59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60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61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62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</dxf>
    </rfmt>
  </rrc>
  <rrc rId="14263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64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14265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14266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14267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14268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8" start="0" length="0">
      <dxf>
        <alignment wrapText="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14269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70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1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2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3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4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5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76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7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8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79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0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1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82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3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4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5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6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7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88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89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0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1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2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3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294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2" start="0" length="0">
      <dxf>
        <numFmt numFmtId="21" formatCode="dd/mmm"/>
      </dxf>
    </rfmt>
    <rfmt sheetId="5" sqref="BH17" start="0" length="0">
      <dxf>
        <border outline="0">
          <bottom style="thin">
            <color indexed="64"/>
          </bottom>
        </border>
      </dxf>
    </rfmt>
  </rrc>
  <rrc rId="14295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6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7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8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5" sqref="BH17" start="0" length="0">
      <dxf>
        <border outline="0">
          <bottom style="thin">
            <color indexed="64"/>
          </bottom>
        </border>
      </dxf>
    </rfmt>
  </rrc>
  <rrc rId="14299" sId="5" ref="BH1:BH1048576" action="deleteCol">
    <rfmt sheetId="5" xfDxf="1" sqref="BH1:BH1048576" start="0" length="0">
      <dxf>
        <alignment horizontal="center" vertical="center"/>
      </dxf>
    </rfmt>
    <rfmt sheetId="5" sqref="BH1" start="0" length="0">
      <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5" sqref="BH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8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9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0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1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2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3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4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5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6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5" sqref="BH17" start="0" length="0">
      <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rc>
  <rrc rId="14300" sId="5" ref="BH1:BH1048576" action="deleteCol">
    <rfmt sheetId="5" xfDxf="1" sqref="BH1:BH1048576" start="0" length="0">
      <dxf>
        <alignment horizontal="center" vertical="center"/>
      </dxf>
    </rfmt>
  </rrc>
  <rrc rId="14301" sId="5" ref="BH1:BH1048576" action="deleteCol">
    <rfmt sheetId="5" xfDxf="1" sqref="BH1:BH1048576" start="0" length="0">
      <dxf>
        <alignment horizontal="center" vertical="center"/>
      </dxf>
    </rfmt>
  </rrc>
  <rrc rId="14302" sId="5" ref="BH1:BH1048576" action="deleteCol">
    <rfmt sheetId="5" xfDxf="1" sqref="BH1:BH1048576" start="0" length="0">
      <dxf>
        <alignment horizontal="center" vertical="center"/>
      </dxf>
    </rfmt>
  </rrc>
  <rrc rId="14303" sId="5" ref="BH1:BH1048576" action="deleteCol">
    <rfmt sheetId="5" xfDxf="1" sqref="BH1:BH1048576" start="0" length="0">
      <dxf>
        <alignment horizontal="center" vertical="center"/>
      </dxf>
    </rfmt>
  </rrc>
  <rrc rId="14304" sId="5" ref="BH1:BH1048576" action="deleteCol">
    <rfmt sheetId="5" xfDxf="1" sqref="BH1:BH1048576" start="0" length="0">
      <dxf>
        <alignment horizontal="center" vertical="center"/>
      </dxf>
    </rfmt>
  </rrc>
  <rcv guid="{86039CF8-B158-4D70-9A6F-A10C29CBD68A}" action="delete"/>
  <rdn rId="0" localSheetId="1" customView="1" name="Z_86039CF8_B158_4D70_9A6F_A10C29CBD68A_.wvu.FilterData" hidden="1" oldHidden="1">
    <formula>Patrícia!$A$1:$A$3</formula>
    <oldFormula>Patrícia!$A$1:$A$3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Diego!$A$1:$A$19</formula>
    <oldFormula>Diego!$A$1:$A$19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15" sId="10" odxf="1" dxf="1">
    <nc r="U18" t="inlineStr">
      <is>
        <t>Transcrição dos processos SEI (Diarq) para Excel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fmt sheetId="10" sqref="V18">
    <dxf>
      <alignment wrapText="1"/>
    </dxf>
  </rfmt>
  <rfmt sheetId="10" sqref="V18" start="0" length="2147483647">
    <dxf>
      <font>
        <b/>
      </font>
    </dxf>
  </rfmt>
  <rcc rId="14316" sId="10">
    <nc r="V18" t="inlineStr">
      <is>
        <t>Alimentação de planilha de control de atividades (Gustavo)</t>
      </is>
    </nc>
  </rcc>
  <rfmt sheetId="5" sqref="I18:T18" start="0" length="0">
    <dxf>
      <border>
        <top/>
      </border>
    </dxf>
  </rfmt>
  <rfmt sheetId="5" sqref="O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P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Q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R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S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I18:T18" start="0" length="0">
    <dxf>
      <border>
        <bottom/>
      </border>
    </dxf>
  </rfmt>
  <rfmt sheetId="5" sqref="O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P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Q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R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S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C17:T17" start="0" length="0">
    <dxf>
      <border>
        <bottom style="thin">
          <color indexed="64"/>
        </bottom>
      </border>
    </dxf>
  </rfmt>
  <rfmt sheetId="5" sqref="O17" start="0" length="0">
    <dxf>
      <border outline="0">
        <bottom/>
      </border>
    </dxf>
  </rfmt>
  <rfmt sheetId="5" sqref="P17" start="0" length="0">
    <dxf>
      <border outline="0">
        <bottom/>
      </border>
    </dxf>
  </rfmt>
  <rfmt sheetId="5" sqref="Q17" start="0" length="0">
    <dxf>
      <border outline="0">
        <bottom/>
      </border>
    </dxf>
  </rfmt>
  <rfmt sheetId="5" sqref="R17" start="0" length="0">
    <dxf>
      <border outline="0">
        <bottom/>
      </border>
    </dxf>
  </rfmt>
  <rfmt sheetId="5" sqref="S17" start="0" length="0">
    <dxf>
      <border outline="0">
        <bottom/>
      </border>
    </dxf>
  </rfmt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17" sId="10">
    <oc r="V18" t="inlineStr">
      <is>
        <t>Alimentação de planilha de control de atividades (Gustavo)</t>
      </is>
    </oc>
    <nc r="V18" t="inlineStr">
      <is>
        <t>Alimentação de planilha de controle de atividades (Gustavo)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Patrícia!$A$1:$A$3</formula>
    <oldFormula>Patrícia!$A$1:$A$3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28" sId="8" odxf="1" dxf="1">
    <nc r="V18" t="inlineStr">
      <is>
        <t>RECEBIMENTO DE 70 CAIXAS DA CGPC</t>
      </is>
    </nc>
    <odxf>
      <alignment wrapText="0"/>
    </odxf>
    <ndxf>
      <alignment wrapText="1"/>
    </ndxf>
  </rcc>
  <rcc rId="14329" sId="8" odxf="1" dxf="1">
    <nc r="V19" t="inlineStr">
      <is>
        <t>ENVIANDO 70 CAIXAS PARA O MONTES</t>
      </is>
    </nc>
    <odxf>
      <alignment wrapText="0"/>
    </odxf>
    <ndxf>
      <alignment wrapText="1"/>
    </ndxf>
  </rcc>
  <rcc rId="14330" sId="8" odxf="1" dxf="1">
    <nc r="V20" t="inlineStr">
      <is>
        <t>ENVIANDO 104 PROCESSOS PARA BLOCO A</t>
      </is>
    </nc>
    <odxf>
      <alignment wrapText="0"/>
    </odxf>
    <ndxf>
      <alignment wrapText="1"/>
    </ndxf>
  </rcc>
  <rcc rId="14331" sId="8">
    <nc r="W18" t="inlineStr">
      <is>
        <t>CONFERÊNCIA DE CAIXAS DFSNAS</t>
      </is>
    </nc>
  </rcc>
  <rfmt sheetId="8" sqref="W18">
    <dxf>
      <alignment wrapText="1"/>
    </dxf>
  </rfmt>
  <rcc rId="14332" sId="8">
    <nc r="W17">
      <v>10</v>
    </nc>
  </rcc>
  <rcc rId="14333" sId="8">
    <nc r="V17">
      <v>244</v>
    </nc>
  </rcc>
  <rcv guid="{E3841903-5B68-44FD-8F09-58E03D1025C5}" action="delete"/>
  <rdn rId="0" localSheetId="1" customView="1" name="Z_E3841903_5B68_44FD_8F09_58E03D1025C5_.wvu.FilterData" hidden="1" oldHidden="1">
    <formula>Patrícia!$A$1:$A$3</formula>
    <oldFormula>Patrícia!$A$1:$A$3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Diego!$A$1:$A$19</formula>
    <oldFormula>Diego!$A$1:$A$19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O18" start="0" length="0">
    <dxf>
      <border>
        <left/>
      </border>
    </dxf>
  </rfmt>
  <rfmt sheetId="5" sqref="O18:S18" start="0" length="0">
    <dxf>
      <border>
        <top/>
      </border>
    </dxf>
  </rfmt>
  <rfmt sheetId="5" sqref="S18" start="0" length="0">
    <dxf>
      <border>
        <right/>
      </border>
    </dxf>
  </rfmt>
  <rfmt sheetId="5" sqref="O18:S18" start="0" length="0">
    <dxf>
      <border>
        <bottom/>
      </border>
    </dxf>
  </rfmt>
  <rfmt sheetId="5" sqref="O18:S18">
    <dxf>
      <border>
        <left/>
        <right/>
        <vertical/>
      </border>
    </dxf>
  </rfmt>
  <rfmt sheetId="5" sqref="O17:S17" start="0" length="0">
    <dxf>
      <border>
        <bottom style="thin">
          <color indexed="64"/>
        </bottom>
      </border>
    </dxf>
  </rfmt>
  <rfmt sheetId="10" sqref="W18" start="0" length="0">
    <dxf>
      <font>
        <b/>
        <sz val="11"/>
        <color theme="1"/>
        <name val="Aptos Narrow"/>
        <family val="2"/>
        <scheme val="minor"/>
      </font>
      <alignment wrapText="1"/>
    </dxf>
  </rfmt>
  <rcc rId="14344" sId="10">
    <nc r="W18" t="inlineStr">
      <is>
        <r>
          <t xml:space="preserve">Alimentação de planilha de controle de atividades (Gustavo)
*******
</t>
        </r>
        <r>
          <rPr>
            <b/>
            <sz val="11"/>
            <color rgb="FFFF0000"/>
            <rFont val="Aptos Narrow"/>
            <family val="2"/>
          </rPr>
          <t>Consulta/exame (atestado vespertino)</t>
        </r>
        <r>
          <rPr>
            <b/>
            <sz val="11"/>
            <color theme="1"/>
            <rFont val="Aptos Narrow"/>
            <family val="2"/>
          </rPr>
          <t xml:space="preserve">
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Patrícia!$A$1:$A$3</formula>
    <oldFormula>Patrícia!$A$1:$A$3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55" sId="6" odxf="1" dxf="1">
    <nc r="U18" t="inlineStr">
      <is>
        <t>TROCA DE CAIXAS</t>
      </is>
    </nc>
    <odxf>
      <alignment wrapText="0"/>
    </odxf>
    <ndxf>
      <alignment wrapText="1"/>
    </ndxf>
  </rcc>
  <rcc rId="14356" sId="6" odxf="1" dxf="1">
    <nc r="V18" t="inlineStr">
      <is>
        <t>RECEBIMENTO DE 70 CAIXAS DA CGPC</t>
      </is>
    </nc>
    <odxf>
      <alignment wrapText="0"/>
    </odxf>
    <ndxf>
      <alignment wrapText="1"/>
    </ndxf>
  </rcc>
  <rcc rId="14357" sId="6" odxf="1" dxf="1">
    <nc r="W18" t="inlineStr">
      <is>
        <t>CONFERÊNCIA DE CAIXAS DFSNAS</t>
      </is>
    </nc>
    <odxf>
      <alignment wrapText="0"/>
    </odxf>
    <ndxf>
      <alignment wrapText="1"/>
    </ndxf>
  </rcc>
  <rcc rId="14358" sId="6" odxf="1" dxf="1">
    <nc r="V19" t="inlineStr">
      <is>
        <t>ENVIANDO 70 CAIXAS PARA O MONTES</t>
      </is>
    </nc>
    <odxf>
      <alignment wrapText="0"/>
    </odxf>
    <ndxf>
      <alignment wrapText="1"/>
    </ndxf>
  </rcc>
  <rcc rId="14359" sId="6" odxf="1" dxf="1">
    <nc r="V20" t="inlineStr">
      <is>
        <t>ENVIANDO 104 PROCESSOS PARA BLOCO A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Patrícia!$A$1:$A$3</oldFormula>
  </rdn>
  <rdn rId="0" localSheetId="2" customView="1" name="Z_9B623083_AA7B_440B_95EA_C33E1AB3D963_.wvu.FilterData" hidden="1" oldHidden="1">
    <formula>Marcelo!$A$1:$A$5</formula>
    <oldFormula>Marcelo!$A$1:$A$5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Diego!$A$1:$A$19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70" sId="6" odxf="1" dxf="1">
    <nc r="Y18" t="inlineStr">
      <is>
        <t>MONITORAMENTO DA LIMPEZA DA SALA G15/ G7 (BL A)</t>
      </is>
    </nc>
    <odxf>
      <alignment wrapText="0" readingOrder="0"/>
    </odxf>
    <ndxf>
      <alignment wrapText="1" readingOrder="0"/>
    </ndxf>
  </rcc>
  <rcc rId="14371" sId="6" odxf="1" dxf="1">
    <nc r="X18" t="inlineStr">
      <is>
        <t>CONFERÊNCIA DE CAIXAS DFSNAS</t>
      </is>
    </nc>
    <odxf>
      <alignment wrapText="0" readingOrder="0"/>
    </odxf>
    <ndxf>
      <alignment wrapText="1" readingOrder="0"/>
    </ndxf>
  </rcc>
  <rcc rId="14372" sId="6">
    <nc r="Y19" t="inlineStr">
      <is>
        <t xml:space="preserve">ARQUIVANDO PROCESSO DE 104 VOLUMES NO BLOCO A </t>
      </is>
    </nc>
  </rcc>
  <rfmt sheetId="6" sqref="Y19">
    <dxf>
      <alignment wrapText="1" readingOrder="0"/>
    </dxf>
  </rfmt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Marcelo!$A$1:$A$5</formula>
    <oldFormula>Marcelo!$A$1:$A$5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qref="V18" start="0" length="0">
    <dxf>
      <alignment horizontal="center" vertical="center" wrapText="1" readingOrder="0"/>
    </dxf>
  </rfmt>
  <rfmt sheetId="6" xfDxf="1" sqref="V19" start="0" length="0">
    <dxf>
      <alignment horizontal="center" vertical="center" wrapText="1" readingOrder="0"/>
    </dxf>
  </rfmt>
  <rcc rId="14383" sId="6">
    <oc r="V19" t="inlineStr">
      <is>
        <t>ENVIANDO 70 CAIXAS PARA O MONTES</t>
      </is>
    </oc>
    <nc r="V19"/>
  </rcc>
  <rcc rId="14384" sId="6">
    <oc r="V18" t="inlineStr">
      <is>
        <t>RECEBIMENTO DE 70 CAIXAS DA CGPC</t>
      </is>
    </oc>
    <nc r="V18" t="inlineStr">
      <is>
        <t xml:space="preserve">1 - RECEBIMENTO DE 70 CAIXAS DA CGPC              
2 - ENVIANDO 70 CAIXAS PARA O MONTES
</t>
      </is>
    </nc>
  </rcc>
  <rm rId="14385" sheetId="6" source="V20" destination="V19" sourceSheetId="6">
    <rfmt sheetId="6" sqref="V19" start="0" length="0">
      <dxf>
        <alignment horizontal="center" vertical="center" wrapText="1" readingOrder="0"/>
      </dxf>
    </rfmt>
  </rm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Marcelo!$A$1:$A$5</formula>
    <oldFormula>Marcelo!$A$1:$A$5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40" sId="10">
    <oc r="Y18" t="inlineStr">
      <is>
        <t>Conferência de Caixas</t>
      </is>
    </oc>
    <nc r="Y18" t="inlineStr">
      <is>
        <t>Conferência de Caixas DEFNAS/DAP</t>
      </is>
    </nc>
  </rcc>
  <rcc rId="14441" sId="10">
    <oc r="X18" t="inlineStr">
      <is>
        <t>Conferência de Caixas</t>
      </is>
    </oc>
    <nc r="X18" t="inlineStr">
      <is>
        <t>Conferência de Caixas DEFNAS/DAP</t>
      </is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U18">
    <dxf>
      <alignment wrapText="1"/>
    </dxf>
  </rfmt>
  <rfmt sheetId="7" sqref="V18">
    <dxf>
      <alignment wrapText="1"/>
    </dxf>
  </rfmt>
  <rcc rId="14452" sId="7">
    <nc r="U18" t="inlineStr">
      <is>
        <t xml:space="preserve">Vistórias das salas G15/G7/G17 BLOCO A. Pesquisando desarquivamento </t>
      </is>
    </nc>
  </rcc>
  <rcc rId="14453" sId="7">
    <nc r="U3">
      <v>5</v>
    </nc>
  </rcc>
  <rcc rId="14454" sId="7">
    <nc r="V18" t="inlineStr">
      <is>
        <t>Informações prestadas dos dislizantes bloco A. Recebimento de 104 volumes no BLOCO A</t>
      </is>
    </nc>
  </rcc>
  <rcc rId="14455" sId="7">
    <nc r="W13">
      <v>3</v>
    </nc>
  </rcc>
  <rcc rId="14456" sId="7">
    <nc r="W2">
      <v>1</v>
    </nc>
  </rcc>
  <rfmt sheetId="7" sqref="X18">
    <dxf>
      <alignment wrapText="1"/>
    </dxf>
  </rfmt>
  <rcc rId="14457" sId="7">
    <nc r="X4">
      <v>8</v>
    </nc>
  </rcc>
  <rcc rId="14458" sId="7">
    <nc r="Y4">
      <v>12</v>
    </nc>
  </rcc>
  <rcc rId="14459" sId="7" odxf="1" dxf="1">
    <nc r="Y18" t="inlineStr">
      <is>
        <t>Caixas separadas, referente aos 104 volumes</t>
      </is>
    </nc>
    <odxf>
      <alignment wrapText="0"/>
    </odxf>
    <ndxf>
      <alignment wrapText="1"/>
    </ndxf>
  </rcc>
  <rcc rId="14460" sId="7">
    <nc r="V4">
      <v>1</v>
    </nc>
  </rcc>
  <rfmt sheetId="7" sqref="W18">
    <dxf>
      <alignment wrapText="1"/>
    </dxf>
  </rfmt>
  <rcc rId="14461" sId="7">
    <nc r="X18" t="inlineStr">
      <is>
        <t xml:space="preserve">Caixas separadas, referente aos 104 volumes.Entrega de 07 volumes na dipro para digitalizar  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F15" start="0" length="2147483647">
    <dxf>
      <font>
        <b/>
      </font>
    </dxf>
  </rfmt>
  <rfmt sheetId="3" sqref="F17" start="0" length="2147483647">
    <dxf>
      <font>
        <b/>
      </font>
    </dxf>
  </rfmt>
  <rfmt sheetId="3" sqref="F17 F15" start="0" length="2147483647">
    <dxf>
      <font>
        <sz val="14"/>
      </font>
    </dxf>
  </rfmt>
  <rfmt sheetId="3" sqref="F17 F15" start="0" length="2147483647">
    <dxf>
      <font>
        <b val="0"/>
      </font>
    </dxf>
  </rfmt>
  <rfmt sheetId="3" sqref="F17 F15" start="0" length="2147483647">
    <dxf>
      <font>
        <b/>
      </font>
    </dxf>
  </rfmt>
  <rfmt sheetId="5" sqref="T18:Z18" start="0" length="0">
    <dxf>
      <border>
        <bottom style="thin">
          <color indexed="64"/>
        </bottom>
      </border>
    </dxf>
  </rfmt>
  <rfmt sheetId="5" sqref="T18:Z18" start="0" length="0">
    <dxf>
      <border>
        <top/>
      </border>
    </dxf>
  </rfmt>
  <rfmt sheetId="5" sqref="T18:Z18" start="0" length="0">
    <dxf>
      <border>
        <bottom/>
      </border>
    </dxf>
  </rfmt>
  <rfmt sheetId="5" sqref="T17:Z17" start="0" length="0">
    <dxf>
      <border>
        <bottom style="thin">
          <color indexed="64"/>
        </bottom>
      </border>
    </dxf>
  </rfmt>
  <rfmt sheetId="10" xfDxf="1" sqref="AA18" start="0" length="0">
    <dxf>
      <alignment horizontal="center" vertical="center"/>
    </dxf>
  </rfmt>
  <rcc rId="14489" sId="10" odxf="1" dxf="1">
    <nc r="AA18" t="inlineStr">
      <is>
        <t>Alimentação de planilha de controle de atividades (Gustavo)</t>
      </is>
    </nc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00" sId="4">
    <nc r="AA18" t="inlineStr">
      <is>
        <t>Reunião pela parte da manha</t>
      </is>
    </nc>
  </rcc>
  <rcc rId="14501" sId="4">
    <nc r="AA19" t="inlineStr">
      <is>
        <t>Reunião pela parte da tarde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TOTAL!$A$1:$J$19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12" sId="8" odxf="1" dxf="1">
    <nc r="AA18" t="inlineStr">
      <is>
        <t>Reunião pela parte da manha</t>
      </is>
    </nc>
    <odxf>
      <alignment wrapText="0"/>
    </odxf>
    <ndxf>
      <alignment wrapText="1"/>
    </ndxf>
  </rcc>
  <rcc rId="14513" sId="8" odxf="1" dxf="1">
    <nc r="AA19" t="inlineStr">
      <is>
        <t>Reunião pela parte da tarde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36" sId="5">
    <nc r="AB13">
      <v>1</v>
    </nc>
  </rcc>
  <rcc rId="14537" sId="5">
    <nc r="AD13">
      <v>2</v>
    </nc>
  </rcc>
  <rcc rId="14538" sId="5">
    <nc r="AA15">
      <v>70</v>
    </nc>
  </rcc>
  <rcc rId="14539" sId="5">
    <nc r="AC15">
      <v>140</v>
    </nc>
  </rcc>
  <rfmt sheetId="5" sqref="AA17" start="0" length="0">
    <dxf>
      <border outline="0">
        <bottom/>
      </border>
    </dxf>
  </rfmt>
  <rcc rId="14540" sId="5" odxf="1" dxf="1">
    <nc r="AB17">
      <v>10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AC17" start="0" length="0">
    <dxf>
      <border outline="0">
        <bottom/>
      </border>
    </dxf>
  </rfmt>
  <rfmt sheetId="5" sqref="AD17" start="0" length="0">
    <dxf>
      <border outline="0">
        <bottom/>
      </border>
    </dxf>
  </rfmt>
  <rfmt sheetId="5" sqref="AE17" start="0" length="0">
    <dxf>
      <border outline="0">
        <bottom/>
      </border>
    </dxf>
  </rfmt>
  <rfmt sheetId="5" sqref="AA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B18" start="0" length="0">
    <dxf>
      <alignment wrapText="0"/>
    </dxf>
  </rfmt>
  <rcc rId="14541" sId="5">
    <nc r="AC18" t="inlineStr">
      <is>
        <t>1. Desarquivamento
70 caixas do DEFNAS.
2. Recebimento:
70 caixas do DEFNAS.
3. Reunião sobre reforma da nossa sala 24.32 e não ter home office, trabalhar presencial.</t>
      </is>
    </nc>
  </rcc>
  <rcc rId="14542" sId="5">
    <nc r="AD18" t="inlineStr">
      <is>
        <t>Pesquisa e busca por 
pasta funcional
Albano Soares Martins Junior</t>
      </is>
    </nc>
  </rcc>
  <rcc rId="14543" sId="5">
    <nc r="AE18" t="inlineStr">
      <is>
        <t>Pesquisa e busca por 
pasta funcional
Albano Soares Martins Junior</t>
      </is>
    </nc>
  </rcc>
  <rcc rId="14544" sId="5">
    <nc r="AA18" t="inlineStr">
      <is>
        <t>1. Guarda das 70 caixas do DEFNAS.
2. Reunião: Apresentação do novo chefe  (Leonardo) do Arquivo.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TOTAL!$A$1:$A$19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Marcelo!$A$1:$A$5</formula>
    <oldFormula>Marcelo!$A$1:$A$5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5" sId="6" odxf="1" dxf="1">
    <nc r="AC18" t="inlineStr">
      <is>
        <t>1. Desarquivamento
70 caixas do DEFNAS.
2. Recebimento:
70 caixas do DEFNAS.
3. Reunião sobre reforma da nossa sala 24.32 e não ter home office, trabalhar presencial.</t>
      </is>
    </nc>
    <odxf>
      <alignment wrapText="0" readingOrder="0"/>
    </odxf>
    <ndxf>
      <alignment wrapText="1" readingOrder="0"/>
    </ndxf>
  </rcc>
  <rcc rId="14566" sId="6" odxf="1" dxf="1">
    <nc r="AD18" t="inlineStr">
      <is>
        <t>Pesquisa e busca por 
pasta funcional
Albano Soares Martins Junior</t>
      </is>
    </nc>
    <odxf>
      <alignment wrapText="0" readingOrder="0"/>
    </odxf>
    <ndxf>
      <alignment wrapText="1" readingOrder="0"/>
    </ndxf>
  </rcc>
  <rcc rId="14567" sId="6" odxf="1" dxf="1">
    <nc r="AE18" t="inlineStr">
      <is>
        <t>Pesquisa e busca por 
pasta funcional
Albano Soares Martins Junior</t>
      </is>
    </nc>
    <odxf>
      <alignment wrapText="0" readingOrder="0"/>
    </odxf>
    <ndxf>
      <alignment wrapText="1" readingOrder="0"/>
    </ndxf>
  </rcc>
  <rcc rId="14568" sId="6">
    <nc r="AB13">
      <v>1</v>
    </nc>
  </rcc>
  <rcc rId="14569" sId="6">
    <nc r="AD13">
      <v>2</v>
    </nc>
  </rcc>
  <rcc rId="14570" sId="6">
    <nc r="AA15">
      <v>70</v>
    </nc>
  </rcc>
  <rcc rId="14571" sId="6">
    <nc r="AC15">
      <v>140</v>
    </nc>
  </rcc>
  <rfmt sheetId="6" sqref="AA17" start="0" length="0">
    <dxf>
      <border outline="0">
        <bottom/>
      </border>
    </dxf>
  </rfmt>
  <rcc rId="14572" sId="6" odxf="1" dxf="1">
    <nc r="AB17">
      <v>10</v>
    </nc>
    <ndxf>
      <border outline="0">
        <bottom/>
      </border>
    </ndxf>
  </rcc>
  <rfmt sheetId="6" sqref="AC17" start="0" length="0">
    <dxf>
      <border outline="0">
        <bottom/>
      </border>
    </dxf>
  </rfmt>
  <rfmt sheetId="6" sqref="AD17" start="0" length="0">
    <dxf>
      <border outline="0">
        <bottom/>
      </border>
    </dxf>
  </rfmt>
  <rfmt sheetId="6" sqref="AE17" start="0" length="0">
    <dxf>
      <border outline="0">
        <bottom/>
      </border>
    </dxf>
  </rfmt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73" sId="4">
    <nc r="AB18" t="inlineStr">
      <is>
        <t>RECEBIMENTO DE 70 CAIXAS DA CGPC</t>
      </is>
    </nc>
  </rcc>
  <rcc rId="14574" sId="4">
    <nc r="AC18" t="inlineStr">
      <is>
        <t>CARREGANDO 70 CAIXAS  PARA CGPC</t>
      </is>
    </nc>
  </rcc>
  <rfmt sheetId="4" sqref="AC19" start="0" length="0">
    <dxf>
      <alignment wrapText="1"/>
    </dxf>
  </rfmt>
  <rcc rId="14575" sId="4">
    <nc r="AC19" t="inlineStr">
      <is>
        <t>DESCARREGANDO 70 CAIXAS  DA CGPC</t>
      </is>
    </nc>
  </rcc>
  <rcc rId="14576" sId="4">
    <nc r="AE19" t="inlineStr">
      <is>
        <t xml:space="preserve">TROCANDO ESPELHO DE CAIXAS </t>
      </is>
    </nc>
  </rcc>
  <rcc rId="14577" sId="4">
    <nc r="AE18" t="inlineStr">
      <is>
        <t xml:space="preserve">TROCANDO ESPELHO DE CAIXAS </t>
      </is>
    </nc>
  </rcc>
  <rcc rId="14578" sId="4">
    <nc r="AD19" t="inlineStr">
      <is>
        <t xml:space="preserve">TROCANDO ESPELHO DE CAIXAS </t>
      </is>
    </nc>
  </rcc>
  <rcc rId="14579" sId="4">
    <nc r="AD18" t="inlineStr">
      <is>
        <t xml:space="preserve">TROCANDO ESPELHO DE CAIXAS </t>
      </is>
    </nc>
  </rcc>
  <rcc rId="14580" sId="4">
    <nc r="AG18" t="inlineStr">
      <is>
        <t>FAZENDO  ESPELHOS NOVOS DAS CAIXAS DA CGPC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TOTAL!$A$1:$A$19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91" sId="7">
    <nc r="AA15">
      <v>70</v>
    </nc>
  </rcc>
  <rcc rId="14592" sId="7">
    <nc r="AC15">
      <v>140</v>
    </nc>
  </rcc>
  <rfmt sheetId="7" sqref="AA17" start="0" length="0">
    <dxf>
      <border outline="0">
        <bottom/>
      </border>
    </dxf>
  </rfmt>
  <rcc rId="14593" sId="7" odxf="1" dxf="1">
    <nc r="AB17">
      <v>10</v>
    </nc>
    <odxf>
      <border outline="0">
        <bottom style="thin">
          <color indexed="64"/>
        </bottom>
      </border>
    </odxf>
    <ndxf>
      <border outline="0">
        <bottom/>
      </border>
    </ndxf>
  </rcc>
  <rfmt sheetId="7" sqref="AC17" start="0" length="0">
    <dxf>
      <border outline="0">
        <bottom/>
      </border>
    </dxf>
  </rfmt>
  <rfmt sheetId="7" sqref="AD17" start="0" length="0">
    <dxf>
      <border outline="0">
        <bottom/>
      </border>
    </dxf>
  </rfmt>
  <rfmt sheetId="7" sqref="AE17" start="0" length="0">
    <dxf>
      <border outline="0">
        <bottom/>
      </border>
    </dxf>
  </rfmt>
  <rcc rId="14594" sId="7" odxf="1" dxf="1">
    <nc r="AA18" t="inlineStr">
      <is>
        <t>Reunião pela parte da manha</t>
      </is>
    </nc>
    <odxf>
      <alignment wrapText="0"/>
    </odxf>
    <ndxf>
      <alignment wrapText="1"/>
    </ndxf>
  </rcc>
  <rcc rId="14595" sId="7" odxf="1" dxf="1">
    <nc r="AC18" t="inlineStr">
      <is>
        <t>1. Desarquivamento
70 caixas do DEFNAS.
2. Recebimento:
70 caixas do DEFNAS.
3. Reunião sobre reforma da nossa sala 24.32 e não ter home office, trabalhar presencial.</t>
      </is>
    </nc>
    <odxf>
      <alignment wrapText="0"/>
    </odxf>
    <ndxf>
      <alignment wrapText="1"/>
    </ndxf>
  </rcc>
  <rcc rId="14596" sId="7" odxf="1" dxf="1">
    <nc r="AD18" t="inlineStr">
      <is>
        <t>Pesquisa e busca por 
pasta funcional
Albano Soares Martins Junior</t>
      </is>
    </nc>
    <odxf>
      <alignment wrapText="0"/>
    </odxf>
    <ndxf>
      <alignment wrapText="1"/>
    </ndxf>
  </rcc>
  <rcc rId="14597" sId="7" odxf="1" dxf="1">
    <nc r="AE18" t="inlineStr">
      <is>
        <t>Pesquisa e busca por 
pasta funcional
Albano Soares Martins Junior</t>
      </is>
    </nc>
    <odxf>
      <alignment wrapText="0"/>
    </odxf>
    <ndxf>
      <alignment wrapText="1"/>
    </ndxf>
  </rcc>
  <rcc rId="14598" sId="7">
    <nc r="AD3">
      <v>4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Patrícia!$A$1:$A$3</oldFormula>
  </rdn>
  <rdn rId="0" localSheetId="2" customView="1" name="Z_B3CDE377_BA5D_4E06_91D9_3A48E1959BA5_.wvu.FilterData" hidden="1" oldHidden="1">
    <formula>Marcelo!$A$1:$A$5</formula>
    <oldFormula>Marcelo!$A$1:$A$5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Diego!$A$1:$A$19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09" sId="7">
    <nc r="AG13">
      <v>2</v>
    </nc>
  </rcc>
  <rcc rId="14610" sId="7">
    <nc r="AH13">
      <v>2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11" sId="10" odxf="1" dxf="1">
    <nc r="AB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fmt sheetId="10" sqref="AC18" start="0" length="0">
    <dxf>
      <font>
        <b/>
        <sz val="11"/>
        <color theme="1"/>
        <name val="Aptos Narrow"/>
        <family val="2"/>
        <scheme val="minor"/>
      </font>
      <alignment wrapText="1"/>
    </dxf>
  </rfmt>
  <rcc rId="14612" sId="10" odxf="1" dxf="1">
    <nc r="AE18" t="inlineStr">
      <is>
        <t>Conferência de Caixas DEFNAS/DAP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4613" sId="10" odxf="1" dxf="1">
    <nc r="AD18" t="inlineStr">
      <is>
        <t>Conferência de Caixas DEFNAS/DAP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4614" sId="10">
    <nc r="AC18" t="inlineStr">
      <is>
        <t>Recebimento de 70 caixas DEFNAS/DAP</t>
      </is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Marcelo!$A$1:$A$5</formula>
    <oldFormula>Marcelo!$A$1:$A$5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G18" start="0" length="0">
    <dxf>
      <alignment wrapText="1" readingOrder="0"/>
    </dxf>
  </rfmt>
  <rcc rId="14635" sId="6">
    <nc r="AG18" t="inlineStr">
      <is>
        <t>entrega da
pasta funcional
Albano Soares Martins Junior</t>
      </is>
    </nc>
  </rcc>
  <rcc rId="14636" sId="6">
    <nc r="AH18" t="inlineStr">
      <is>
        <t>arquivamento de pasta funcionais</t>
      </is>
    </nc>
  </rcc>
  <rfmt sheetId="6" sqref="AH18">
    <dxf>
      <alignment wrapText="1" readingOrder="0"/>
    </dxf>
  </rfmt>
  <rcc rId="14637" sId="6" odxf="1" dxf="1">
    <nc r="AI18" t="inlineStr">
      <is>
        <t>arquivamento de pasta funcionais</t>
      </is>
    </nc>
    <odxf>
      <alignment wrapText="0" readingOrder="0"/>
    </odxf>
    <ndxf>
      <alignment wrapText="1" readingOrder="0"/>
    </ndxf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Marcelo!$A$1:$A$5</formula>
    <oldFormula>Marcelo!$A$1:$A$5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48" sId="6">
    <nc r="AG2">
      <v>1</v>
    </nc>
  </rcc>
  <rcc rId="14649" sId="6">
    <nc r="AH4">
      <v>2</v>
    </nc>
  </rcc>
  <rcc rId="14650" sId="6">
    <nc r="AI4">
      <v>2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51" sId="8" odxf="1" dxf="1">
    <nc r="AB18" t="inlineStr">
      <is>
        <t>RECEBIMENTO DE 70 CAIXAS DA CGPC</t>
      </is>
    </nc>
    <odxf>
      <alignment wrapText="0"/>
    </odxf>
    <ndxf>
      <alignment wrapText="1"/>
    </ndxf>
  </rcc>
  <rcc rId="14652" sId="8" odxf="1" dxf="1">
    <nc r="AC18" t="inlineStr">
      <is>
        <t>CARREGANDO 70 CAIXAS  PARA CGPC</t>
      </is>
    </nc>
    <odxf>
      <alignment wrapText="0"/>
    </odxf>
    <ndxf>
      <alignment wrapText="1"/>
    </ndxf>
  </rcc>
  <rcc rId="14653" sId="8" odxf="1" dxf="1">
    <nc r="AD18" t="inlineStr">
      <is>
        <t xml:space="preserve">TROCANDO ESPELHO DE CAIXAS </t>
      </is>
    </nc>
    <odxf>
      <alignment wrapText="0"/>
    </odxf>
    <ndxf>
      <alignment wrapText="1"/>
    </ndxf>
  </rcc>
  <rcc rId="14654" sId="8" odxf="1" dxf="1">
    <nc r="AE18" t="inlineStr">
      <is>
        <t xml:space="preserve">TROCANDO ESPELHO DE CAIXAS </t>
      </is>
    </nc>
    <odxf>
      <alignment wrapText="0"/>
    </odxf>
    <ndxf>
      <alignment wrapText="1"/>
    </ndxf>
  </rcc>
  <rcc rId="14655" sId="8" odxf="1" dxf="1">
    <nc r="AG18" t="inlineStr">
      <is>
        <t>FAZENDO  ESPELHOS NOVOS DAS CAIXAS DA CGPC</t>
      </is>
    </nc>
    <odxf>
      <alignment wrapText="0"/>
    </odxf>
    <ndxf>
      <alignment wrapText="1"/>
    </ndxf>
  </rcc>
  <rfmt sheetId="8" sqref="AB19" start="0" length="0">
    <dxf>
      <alignment wrapText="1"/>
    </dxf>
  </rfmt>
  <rcc rId="14656" sId="8" odxf="1" dxf="1">
    <nc r="AC19" t="inlineStr">
      <is>
        <t>DESCARREGANDO 70 CAIXAS  DA CGPC</t>
      </is>
    </nc>
    <odxf>
      <alignment wrapText="0"/>
    </odxf>
    <ndxf>
      <alignment wrapText="1"/>
    </ndxf>
  </rcc>
  <rcc rId="14657" sId="8" odxf="1" dxf="1">
    <nc r="AD19" t="inlineStr">
      <is>
        <t xml:space="preserve">TROCANDO ESPELHO DE CAIXAS </t>
      </is>
    </nc>
    <odxf>
      <alignment wrapText="0"/>
    </odxf>
    <ndxf>
      <alignment wrapText="1"/>
    </ndxf>
  </rcc>
  <rcc rId="14658" sId="8" odxf="1" dxf="1">
    <nc r="AE19" t="inlineStr">
      <is>
        <t xml:space="preserve">TROCANDO ESPELHO DE CAIXAS 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Marcelo!$A$1:$A$5</formula>
    <oldFormula>Marcelo!$A$1:$A$5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9" sId="4">
    <nc r="AH15">
      <v>70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Marcelo!$A$1:$A$5</formula>
    <oldFormula>Marcelo!$A$1:$A$5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0" sId="8">
    <nc r="AB15">
      <v>70</v>
    </nc>
  </rcc>
  <rcc rId="14681" sId="10">
    <nc r="AC15">
      <v>70</v>
    </nc>
  </rcc>
  <rcc rId="14682" sId="4">
    <nc r="AB15">
      <v>70</v>
    </nc>
  </rcc>
  <rcc rId="14683" sId="4">
    <nc r="AC15">
      <v>70</v>
    </nc>
  </rcc>
  <rcc rId="14684" sId="8">
    <nc r="AC15">
      <v>70</v>
    </nc>
  </rcc>
  <rfmt sheetId="5" sqref="AA17:AE17" start="0" length="0">
    <dxf>
      <border>
        <bottom style="thin">
          <color indexed="64"/>
        </bottom>
      </border>
    </dxf>
  </rfmt>
  <rfmt sheetId="5" sqref="AA18" start="0" length="0">
    <dxf>
      <border>
        <left/>
      </border>
    </dxf>
  </rfmt>
  <rfmt sheetId="5" sqref="AA18:AF18" start="0" length="0">
    <dxf>
      <border>
        <top/>
      </border>
    </dxf>
  </rfmt>
  <rfmt sheetId="5" sqref="AA18:AF18" start="0" length="0">
    <dxf>
      <border>
        <bottom/>
      </border>
    </dxf>
  </rfmt>
  <rfmt sheetId="5" sqref="AA18:AF18">
    <dxf>
      <border>
        <left/>
        <right/>
        <vertical/>
      </border>
    </dxf>
  </rfmt>
  <rfmt sheetId="5" sqref="AA17:AE17" start="0" length="0">
    <dxf>
      <border>
        <bottom style="thin">
          <color indexed="64"/>
        </bottom>
      </border>
    </dxf>
  </rfmt>
  <rfmt sheetId="5" sqref="AF17" start="0" length="0">
    <dxf>
      <border>
        <bottom style="thin">
          <color indexed="64"/>
        </bottom>
      </border>
    </dxf>
  </rfmt>
  <rfmt sheetId="6" sqref="AA17:AE17" start="0" length="0">
    <dxf>
      <border>
        <bottom style="thin">
          <color indexed="64"/>
        </bottom>
      </border>
    </dxf>
  </rfmt>
  <rfmt sheetId="7" sqref="AA17:AE17" start="0" length="0">
    <dxf>
      <border>
        <bottom style="thin">
          <color indexed="64"/>
        </bottom>
      </border>
    </dxf>
  </rfmt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3" sId="8">
    <nc r="AT15">
      <v>70</v>
    </nc>
  </rcc>
  <rcc rId="15134" sId="8">
    <nc r="AT18" t="inlineStr">
      <is>
        <t>ARQUIVAMENTO DE CAIXAS CGPC</t>
      </is>
    </nc>
  </rcc>
  <rfmt sheetId="8" sqref="AT18">
    <dxf>
      <alignment wrapText="1"/>
    </dxf>
  </rfmt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5" sId="10">
    <nc r="AS16">
      <v>5</v>
    </nc>
  </rcc>
  <rcc rId="15136" sId="10" odxf="1" dxf="1">
    <nc r="AT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5137" sId="10" odxf="1" dxf="1">
    <nc r="AU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5138" sId="10" odxf="1" dxf="1">
    <nc r="AV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5139" sId="10" odxf="1" dxf="1">
    <nc r="AW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U18" start="0" length="0">
    <dxf>
      <alignment wrapText="1"/>
    </dxf>
  </rfmt>
  <rfmt sheetId="8" sqref="AV18" start="0" length="0">
    <dxf>
      <alignment wrapText="1"/>
    </dxf>
  </rfmt>
  <rfmt sheetId="8" sqref="AW18" start="0" length="0">
    <dxf>
      <alignment wrapText="1"/>
    </dxf>
  </rfmt>
  <rcc rId="15150" sId="8">
    <nc r="AU18" t="inlineStr">
      <is>
        <t>TROCANDO CAIXAS</t>
      </is>
    </nc>
  </rcc>
  <rcc rId="15151" sId="8">
    <nc r="AV18" t="inlineStr">
      <is>
        <t>TROCANDO CAIXAS</t>
      </is>
    </nc>
  </rcc>
  <rcc rId="15152" sId="8">
    <nc r="AW18" t="inlineStr">
      <is>
        <t>TROCANDO CAIXAS</t>
      </is>
    </nc>
  </rcc>
  <rcc rId="15153" sId="8">
    <nc r="AU17">
      <v>8</v>
    </nc>
  </rcc>
  <rcc rId="15154" sId="8">
    <nc r="AV17">
      <v>10</v>
    </nc>
  </rcc>
  <rcc rId="15155" sId="8">
    <nc r="AW17">
      <v>8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S2" start="0" length="0">
    <dxf>
      <numFmt numFmtId="0" formatCode="General"/>
    </dxf>
  </rfmt>
  <rcc rId="15166" sId="5">
    <nc r="AU4">
      <v>1</v>
    </nc>
  </rcc>
  <rcc rId="15167" sId="5">
    <nc r="AV4">
      <v>5</v>
    </nc>
  </rcc>
  <rcc rId="15168" sId="5">
    <nc r="AS13">
      <v>1</v>
    </nc>
  </rcc>
  <rcc rId="15169" sId="5">
    <nc r="AU13">
      <v>2</v>
    </nc>
  </rcc>
  <rcc rId="15170" sId="5">
    <nc r="AV13">
      <v>3</v>
    </nc>
  </rcc>
  <rcc rId="15171" sId="5">
    <nc r="AU15">
      <v>70</v>
    </nc>
  </rcc>
  <rcc rId="15172" sId="5">
    <nc r="AS16">
      <v>5</v>
    </nc>
  </rcc>
  <rfmt sheetId="5" sqref="AS17" start="0" length="0">
    <dxf>
      <border outline="0">
        <bottom/>
      </border>
    </dxf>
  </rfmt>
  <rcc rId="15173" sId="5" odxf="1" dxf="1">
    <nc r="AT17">
      <v>5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AU17" start="0" length="0">
    <dxf>
      <border outline="0">
        <bottom/>
      </border>
    </dxf>
  </rfmt>
  <rfmt sheetId="5" sqref="AV17" start="0" length="0">
    <dxf>
      <border outline="0">
        <bottom/>
      </border>
    </dxf>
  </rfmt>
  <rfmt sheetId="5" sqref="AW17" start="0" length="0">
    <dxf>
      <border outline="0">
        <bottom/>
      </border>
    </dxf>
  </rfmt>
  <rcc rId="15174" sId="5">
    <nc r="AS18" t="inlineStr">
      <is>
        <t>1. Conferência 5 caixas
 da DEFNAS.
2. Pesquisa localização processos:
44006.004706/2000-21 - Encontrada a caixa.
44006.002300/2001-39
44000.001801/2007-42</t>
      </is>
    </nc>
  </rcc>
  <rcc rId="15175" sId="5">
    <nc r="AT18" t="inlineStr">
      <is>
        <t>1. Troca de caixa e espelho.
Total 5 caixas.
2. Pesquisa localização processos:
44006.004706/2000-21 - Encontrada a caixa.
44006.002300/2001-39
44000.001801/2007-42</t>
      </is>
    </nc>
  </rcc>
  <rcc rId="15176" sId="5">
    <nc r="AU18" t="inlineStr">
      <is>
        <t xml:space="preserve">Arquivamento de
 70 caixas do DEFNAS </t>
      </is>
    </nc>
  </rcc>
  <rcc rId="15177" sId="5">
    <nc r="AV18" t="inlineStr">
      <is>
        <t>1. Arquivamento processoS
da SESAN.
2. Pesquisa localização de 13 processos vindo da DIPRO mais 1 CD.
Os processos são cópias, ver se existe o original.</t>
      </is>
    </nc>
  </rcc>
  <rcc rId="15178" sId="5">
    <nc r="AW18" t="inlineStr">
      <is>
        <t>1. Pesquisa localização processos:
44006.004706/2000-21 - Encontrada a caixa.
44006.002300/2001-39
44000.001801/2007-42
2. Pesquisa localização de 13 processos vindo da DIPRO mais 1 CD.
Os processos são cópias, ver se existe o original.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W19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99" sId="5">
    <oc r="AV18" t="inlineStr">
      <is>
        <t>1. Arquivamento processoS
da SESAN.
2. Pesquisa localização de 13 processos vindo da DIPRO mais 1 CD.
Os processos são cópias, ver se existe o original.</t>
      </is>
    </oc>
    <nc r="AV18" t="inlineStr">
      <is>
        <t>1. Arquivamento processoS
da SESAN.
2. Pesquisa localização de 14 processos vindo da DIPRO mais 1 CD.
Os processos são cópias, ver se existe o original.</t>
      </is>
    </nc>
  </rcc>
  <rcc rId="15200" sId="5">
    <oc r="AW18" t="inlineStr">
      <is>
        <t>1. Pesquisa localização processos:
44006.004706/2000-21 - Encontrada a caixa.
44006.002300/2001-39
44000.001801/2007-42
2. Pesquisa localização de 13 processos vindo da DIPRO mais 1 CD.
Os processos são cópias, ver se existe o original.</t>
      </is>
    </oc>
    <nc r="AW18" t="inlineStr">
      <is>
        <t>1. Pesquisa localização processos:
44006.004706/2000-21 - Encontrada a caixa.
44006.002300/2001-39
44000.001801/2007-42
2. Pesquisa localização de 14 processos vindo da DIPRO mais 1 CD.
Os processos são cópias, ver se existe o original.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01" sId="7">
    <nc r="AU15">
      <v>70</v>
    </nc>
  </rcc>
  <rcc rId="15202" sId="7">
    <nc r="AS16">
      <v>5</v>
    </nc>
  </rcc>
  <rfmt sheetId="7" sqref="AS17" start="0" length="0">
    <dxf>
      <border outline="0">
        <bottom/>
      </border>
    </dxf>
  </rfmt>
  <rcc rId="15203" sId="7" odxf="1" dxf="1">
    <nc r="AT17">
      <v>5</v>
    </nc>
    <odxf>
      <border outline="0">
        <bottom style="thin">
          <color indexed="64"/>
        </bottom>
      </border>
    </odxf>
    <ndxf>
      <border outline="0">
        <bottom/>
      </border>
    </ndxf>
  </rcc>
  <rfmt sheetId="7" sqref="AU17" start="0" length="0">
    <dxf>
      <border outline="0">
        <bottom/>
      </border>
    </dxf>
  </rfmt>
  <rfmt sheetId="7" sqref="AV17" start="0" length="0">
    <dxf>
      <border outline="0">
        <bottom/>
      </border>
    </dxf>
  </rfmt>
  <rfmt sheetId="7" sqref="AW17" start="0" length="0">
    <dxf>
      <border outline="0">
        <bottom/>
      </border>
    </dxf>
  </rfmt>
  <rfmt sheetId="7" sqref="AS18" start="0" length="0">
    <dxf>
      <alignment wrapText="1"/>
    </dxf>
  </rfmt>
  <rfmt sheetId="7" sqref="AT18" start="0" length="0">
    <dxf>
      <alignment wrapText="1"/>
    </dxf>
  </rfmt>
  <rcc rId="15204" sId="7" odxf="1" dxf="1">
    <nc r="AU18" t="inlineStr">
      <is>
        <t xml:space="preserve">Arquivamento de
 70 caixas do DEFNAS </t>
      </is>
    </nc>
    <odxf>
      <alignment wrapText="0"/>
    </odxf>
    <ndxf>
      <alignment wrapText="1"/>
    </ndxf>
  </rcc>
  <rfmt sheetId="7" sqref="AV18" start="0" length="0">
    <dxf>
      <alignment wrapText="1"/>
    </dxf>
  </rfmt>
  <rfmt sheetId="7" sqref="AW18" start="0" length="0">
    <dxf>
      <alignment wrapText="1"/>
    </dxf>
  </rfmt>
  <rcc rId="15205" sId="7">
    <nc r="AS18" t="inlineStr">
      <is>
        <t xml:space="preserve">1. Conferência 5 caixas
 da DEFNAS.
</t>
      </is>
    </nc>
  </rcc>
  <rcc rId="15206" sId="7">
    <nc r="AT18" t="inlineStr">
      <is>
        <t xml:space="preserve">1. Troca de caixa e espelho.
Total 5 caixas.
</t>
      </is>
    </nc>
  </rcc>
  <rcc rId="15207" sId="7">
    <nc r="AV5">
      <v>1</v>
    </nc>
  </rcc>
  <rcc rId="15208" sId="7">
    <nc r="AV4">
      <v>2</v>
    </nc>
  </rcc>
  <rcc rId="15209" sId="7">
    <nc r="AV18" t="inlineStr">
      <is>
        <t xml:space="preserve">1. Troa de caixas e espelhos    2.ARQUIVAMENTO DE PROCESSO BLOCO A 7 VOLUMES.RECEBIMENTO DE 01 PASTA FUNCIONAL BL A </t>
      </is>
    </nc>
  </rcc>
  <rcc rId="15210" sId="7">
    <nc r="AV17">
      <v>3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11" sId="7">
    <nc r="AW18" t="inlineStr">
      <is>
        <t xml:space="preserve">Troca de caixas e espelho </t>
      </is>
    </nc>
  </rcc>
  <rcc rId="15212" sId="7">
    <nc r="AW17">
      <v>7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S17:AW17" start="0" length="0">
    <dxf>
      <border>
        <bottom style="thin">
          <color indexed="64"/>
        </bottom>
      </border>
    </dxf>
  </rfmt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D2:D3" start="0" length="2147483647">
    <dxf>
      <font>
        <b/>
      </font>
    </dxf>
  </rfmt>
  <rfmt sheetId="3" sqref="D15" start="0" length="2147483647">
    <dxf>
      <font>
        <b/>
      </font>
    </dxf>
  </rfmt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D2:D3" start="0" length="2147483647">
    <dxf>
      <font>
        <sz val="14"/>
      </font>
    </dxf>
  </rfmt>
  <rfmt sheetId="3" sqref="D15 F17" start="0" length="2147483647">
    <dxf>
      <font>
        <sz val="14"/>
      </font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">
  <userInfo guid="{9AE2EB49-692E-47C8-A9D6-916BA30AE000}" name="Danilo Rafael Basilio da Silva" id="-1332236337" dateTime="2026-01-16T10:13:22"/>
  <userInfo guid="{530E1615-B934-41D2-9203-F709320333F4}" name="Alessandro Borges de Araújo" id="-864263881" dateTime="2026-01-19T12:47:47"/>
  <userInfo guid="{D547917B-2BA1-4803-9896-50581D6A099A}" name="Alessandro Borges de Araújo" id="-864261957" dateTime="2026-01-26T09:54:29"/>
  <userInfo guid="{D983D5CC-49F9-4C95-A98D-F21D754C2EC7}" name="Alessandro Borges de Araújo" id="-864251565" dateTime="2026-01-29T11:53:14"/>
  <userInfo guid="{439670E9-F309-492A-882F-B3FB84777532}" name="Alessandro Borges de Araújo" id="-864257475" dateTime="2026-02-02T11:22:47"/>
  <userInfo guid="{15D5946B-56A2-481C-A0F5-C554704350A0}" name="Alessandro Borges de Araújo" id="-864265029" dateTime="2026-02-09T10:31:39"/>
  <userInfo guid="{58ABB421-53CA-44AE-A122-1945CED2EF6C}" name="Alessandro Borges de Araújo" id="-864276304" dateTime="2026-03-03T17:18:38"/>
  <userInfo guid="{33264B41-05C7-462C-9AD6-E69C4819D3BF}" name="Alessandro Borges de Araújo" id="-864266306" dateTime="2026-03-12T10:20:23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22" t="s">
        <v>9</v>
      </c>
      <c r="B1" s="21" t="s">
        <v>29</v>
      </c>
    </row>
    <row r="2" spans="1:2" ht="18.75" x14ac:dyDescent="0.25">
      <c r="A2" s="23" t="s">
        <v>18</v>
      </c>
      <c r="B2" s="27" t="s">
        <v>30</v>
      </c>
    </row>
    <row r="3" spans="1:2" ht="31.5" x14ac:dyDescent="0.25">
      <c r="A3" s="24" t="s">
        <v>0</v>
      </c>
      <c r="B3" s="28" t="s">
        <v>31</v>
      </c>
    </row>
    <row r="4" spans="1:2" ht="18.75" x14ac:dyDescent="0.25">
      <c r="A4" s="25" t="s">
        <v>17</v>
      </c>
      <c r="B4" s="27" t="s">
        <v>30</v>
      </c>
    </row>
    <row r="5" spans="1:2" ht="18.75" x14ac:dyDescent="0.25">
      <c r="A5" s="26" t="s">
        <v>16</v>
      </c>
      <c r="B5" s="28" t="s">
        <v>32</v>
      </c>
    </row>
    <row r="6" spans="1:2" ht="31.5" x14ac:dyDescent="0.25">
      <c r="A6" s="25" t="s">
        <v>1</v>
      </c>
      <c r="B6" s="30" t="s">
        <v>33</v>
      </c>
    </row>
    <row r="7" spans="1:2" ht="18.75" x14ac:dyDescent="0.25">
      <c r="A7" s="26" t="s">
        <v>2</v>
      </c>
      <c r="B7" s="28" t="s">
        <v>23</v>
      </c>
    </row>
    <row r="8" spans="1:2" ht="18.75" x14ac:dyDescent="0.25">
      <c r="A8" s="25" t="s">
        <v>3</v>
      </c>
      <c r="B8" s="30" t="s">
        <v>34</v>
      </c>
    </row>
    <row r="9" spans="1:2" ht="18.75" x14ac:dyDescent="0.25">
      <c r="A9" s="26" t="s">
        <v>25</v>
      </c>
      <c r="B9" s="28" t="s">
        <v>23</v>
      </c>
    </row>
    <row r="10" spans="1:2" ht="18.75" x14ac:dyDescent="0.25">
      <c r="A10" s="25" t="s">
        <v>12</v>
      </c>
      <c r="B10" s="29" t="s">
        <v>23</v>
      </c>
    </row>
    <row r="11" spans="1:2" ht="18.75" x14ac:dyDescent="0.25">
      <c r="A11" s="26" t="s">
        <v>4</v>
      </c>
      <c r="B11" s="31" t="s">
        <v>23</v>
      </c>
    </row>
    <row r="12" spans="1:2" ht="18.75" x14ac:dyDescent="0.25">
      <c r="A12" s="25" t="s">
        <v>5</v>
      </c>
      <c r="B12" s="30" t="s">
        <v>23</v>
      </c>
    </row>
    <row r="13" spans="1:2" ht="37.5" x14ac:dyDescent="0.25">
      <c r="A13" s="26" t="s">
        <v>8</v>
      </c>
      <c r="B13" s="28" t="s">
        <v>37</v>
      </c>
    </row>
    <row r="14" spans="1:2" ht="18.75" x14ac:dyDescent="0.25">
      <c r="A14" s="25" t="s">
        <v>6</v>
      </c>
      <c r="B14" s="30" t="s">
        <v>26</v>
      </c>
    </row>
    <row r="15" spans="1:2" ht="31.5" x14ac:dyDescent="0.25">
      <c r="A15" s="24" t="s">
        <v>19</v>
      </c>
      <c r="B15" s="28" t="s">
        <v>35</v>
      </c>
    </row>
    <row r="16" spans="1:2" ht="31.5" x14ac:dyDescent="0.25">
      <c r="A16" s="23" t="s">
        <v>14</v>
      </c>
      <c r="B16" s="30" t="s">
        <v>36</v>
      </c>
    </row>
  </sheetData>
  <customSheetViews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5"/>
  <sheetViews>
    <sheetView workbookViewId="0">
      <pane xSplit="1" topLeftCell="AM1" activePane="topRight" state="frozen"/>
      <selection pane="topRight" activeCell="C1" sqref="C1:AX104857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0" x14ac:dyDescent="0.25">
      <c r="A1" s="14" t="s">
        <v>9</v>
      </c>
      <c r="B1" s="5"/>
      <c r="C1" s="19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2" t="s">
        <v>8</v>
      </c>
      <c r="B2" s="17">
        <v>1</v>
      </c>
      <c r="C2" s="11"/>
      <c r="G2" s="63"/>
      <c r="H2" s="33">
        <f t="shared" ref="H2:H3" si="0">SUM(C2:G2)</f>
        <v>0</v>
      </c>
      <c r="N2" s="33">
        <f t="shared" ref="N2:N3" si="1">SUM(I2:M2)</f>
        <v>0</v>
      </c>
      <c r="T2" s="33">
        <f t="shared" ref="T2:T3" si="2">SUM(O2:S2)</f>
        <v>0</v>
      </c>
      <c r="Z2" s="33">
        <f t="shared" ref="Z2:Z3" si="3">SUM(U2:Y2)</f>
        <v>0</v>
      </c>
      <c r="AF2" s="33">
        <f t="shared" ref="AF2:AF3" si="4">SUM(AA2:AE2)</f>
        <v>0</v>
      </c>
      <c r="AL2" s="33">
        <f t="shared" ref="AL2:AL3" si="5">SUM(AG2:AK2)</f>
        <v>0</v>
      </c>
      <c r="AR2" s="33">
        <f t="shared" ref="AR2:AR3" si="6">SUM(AM2:AQ2)</f>
        <v>0</v>
      </c>
      <c r="AX2" s="33">
        <f t="shared" ref="AX2:AX3" si="7">SUM(AS2:AW2)</f>
        <v>0</v>
      </c>
    </row>
    <row r="3" spans="1:50" x14ac:dyDescent="0.25">
      <c r="A3" s="3" t="s">
        <v>6</v>
      </c>
      <c r="B3" s="16">
        <v>2</v>
      </c>
      <c r="C3" s="12"/>
      <c r="D3" s="13"/>
      <c r="E3" s="13"/>
      <c r="F3" s="13"/>
      <c r="G3" s="64"/>
      <c r="H3" s="34">
        <f t="shared" si="0"/>
        <v>0</v>
      </c>
      <c r="I3" s="13"/>
      <c r="J3" s="13"/>
      <c r="K3" s="13"/>
      <c r="L3" s="13"/>
      <c r="M3" s="13"/>
      <c r="N3" s="34">
        <f t="shared" si="1"/>
        <v>0</v>
      </c>
      <c r="O3" s="13"/>
      <c r="P3" s="13"/>
      <c r="Q3" s="13"/>
      <c r="R3" s="13"/>
      <c r="S3" s="13"/>
      <c r="T3" s="34">
        <f t="shared" si="2"/>
        <v>0</v>
      </c>
      <c r="U3" s="13"/>
      <c r="V3" s="13"/>
      <c r="W3" s="13"/>
      <c r="X3" s="13"/>
      <c r="Y3" s="13"/>
      <c r="Z3" s="34">
        <f t="shared" si="3"/>
        <v>0</v>
      </c>
      <c r="AA3" s="13"/>
      <c r="AB3" s="13"/>
      <c r="AC3" s="13"/>
      <c r="AD3" s="13"/>
      <c r="AE3" s="13"/>
      <c r="AF3" s="34">
        <f t="shared" si="4"/>
        <v>0</v>
      </c>
      <c r="AG3" s="13"/>
      <c r="AH3" s="13"/>
      <c r="AI3" s="13"/>
      <c r="AJ3" s="13"/>
      <c r="AK3" s="13"/>
      <c r="AL3" s="34">
        <f t="shared" si="5"/>
        <v>0</v>
      </c>
      <c r="AM3" s="13"/>
      <c r="AN3" s="13"/>
      <c r="AO3" s="13"/>
      <c r="AP3" s="13"/>
      <c r="AQ3" s="13"/>
      <c r="AR3" s="34">
        <f t="shared" si="6"/>
        <v>0</v>
      </c>
      <c r="AS3" s="13"/>
      <c r="AT3" s="13"/>
      <c r="AU3" s="13"/>
      <c r="AV3" s="13"/>
      <c r="AW3" s="13"/>
      <c r="AX3" s="34">
        <f t="shared" si="7"/>
        <v>0</v>
      </c>
    </row>
    <row r="4" spans="1:50" x14ac:dyDescent="0.25">
      <c r="A4" s="1" t="s">
        <v>11</v>
      </c>
    </row>
    <row r="5" spans="1:50" x14ac:dyDescent="0.25">
      <c r="A5" s="1" t="s">
        <v>10</v>
      </c>
    </row>
  </sheetData>
  <customSheetViews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5" xr:uid="{422BB4BF-DCFE-4D4B-928C-BE6C0DB4F616}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M1" activePane="topRight" state="frozen"/>
      <selection pane="topRight" activeCell="C1" sqref="C1:AX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"/>
  <sheetViews>
    <sheetView topLeftCell="AD1" workbookViewId="0">
      <selection activeCell="AX4" sqref="AX4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0" x14ac:dyDescent="0.25">
      <c r="A1" s="14" t="s">
        <v>9</v>
      </c>
      <c r="B1" s="5"/>
      <c r="C1" s="19">
        <v>45662</v>
      </c>
      <c r="D1" s="32">
        <v>45663</v>
      </c>
      <c r="E1" s="32">
        <v>45664</v>
      </c>
      <c r="F1" s="32">
        <v>45665</v>
      </c>
      <c r="G1" s="32">
        <v>45666</v>
      </c>
      <c r="H1" s="66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66" t="s">
        <v>15</v>
      </c>
      <c r="O1" s="32">
        <v>45676</v>
      </c>
      <c r="P1" s="19">
        <v>45677</v>
      </c>
      <c r="Q1" s="19">
        <v>45678</v>
      </c>
      <c r="R1" s="19">
        <v>45679</v>
      </c>
      <c r="S1" s="19">
        <v>45680</v>
      </c>
      <c r="T1" s="66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66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66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66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66" t="s">
        <v>15</v>
      </c>
      <c r="AS1" s="32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66" t="s">
        <v>15</v>
      </c>
    </row>
    <row r="2" spans="1:50" x14ac:dyDescent="0.25">
      <c r="A2" s="2" t="s">
        <v>8</v>
      </c>
      <c r="B2" s="17">
        <v>1</v>
      </c>
      <c r="H2" s="67">
        <f>SUM(C2:G2)</f>
        <v>0</v>
      </c>
      <c r="N2" s="67">
        <f>SUM(I2:M2)</f>
        <v>0</v>
      </c>
      <c r="T2" s="67">
        <f>SUM(O2:S2)</f>
        <v>0</v>
      </c>
      <c r="Z2" s="67">
        <f>SUM(U2:Y2)</f>
        <v>0</v>
      </c>
      <c r="AF2" s="67">
        <f>SUM(AA2:AE2)</f>
        <v>0</v>
      </c>
      <c r="AL2" s="67">
        <f>SUM(AG2:AK2)</f>
        <v>0</v>
      </c>
      <c r="AR2" s="67">
        <f>SUM(AM2:AQ2)</f>
        <v>0</v>
      </c>
      <c r="AX2" s="67">
        <f>SUM(AS2:AW2)</f>
        <v>0</v>
      </c>
    </row>
    <row r="3" spans="1:50" x14ac:dyDescent="0.25">
      <c r="A3" s="3" t="s">
        <v>6</v>
      </c>
      <c r="B3" s="65">
        <v>2</v>
      </c>
      <c r="C3" s="13"/>
      <c r="D3" s="13"/>
      <c r="E3" s="13"/>
      <c r="F3" s="13"/>
      <c r="G3" s="13"/>
      <c r="H3" s="68">
        <f>SUM(C3:G3)</f>
        <v>0</v>
      </c>
      <c r="I3" s="13"/>
      <c r="J3" s="13"/>
      <c r="K3" s="13"/>
      <c r="L3" s="13"/>
      <c r="M3" s="13"/>
      <c r="N3" s="68">
        <f>SUM(I3:M3)</f>
        <v>0</v>
      </c>
      <c r="O3" s="13"/>
      <c r="P3" s="13"/>
      <c r="Q3" s="13"/>
      <c r="R3" s="13"/>
      <c r="S3" s="13"/>
      <c r="T3" s="68">
        <f>SUM(O3:S3)</f>
        <v>0</v>
      </c>
      <c r="U3" s="13"/>
      <c r="V3" s="13"/>
      <c r="W3" s="13"/>
      <c r="X3" s="13"/>
      <c r="Y3" s="13"/>
      <c r="Z3" s="68">
        <f>SUM(U3:Y3)</f>
        <v>0</v>
      </c>
      <c r="AA3" s="13"/>
      <c r="AB3" s="13"/>
      <c r="AC3" s="13"/>
      <c r="AD3" s="13"/>
      <c r="AE3" s="13"/>
      <c r="AF3" s="68">
        <f>SUM(AA3:AE3)</f>
        <v>0</v>
      </c>
      <c r="AG3" s="13"/>
      <c r="AH3" s="13"/>
      <c r="AI3" s="13"/>
      <c r="AJ3" s="13"/>
      <c r="AK3" s="13"/>
      <c r="AL3" s="68">
        <f>SUM(AG3:AK3)</f>
        <v>0</v>
      </c>
      <c r="AM3" s="13"/>
      <c r="AN3" s="13"/>
      <c r="AO3" s="13"/>
      <c r="AP3" s="13"/>
      <c r="AQ3" s="13"/>
      <c r="AR3" s="68">
        <f>SUM(AM3:AQ3)</f>
        <v>0</v>
      </c>
      <c r="AS3" s="13"/>
      <c r="AT3" s="13"/>
      <c r="AU3" s="13"/>
      <c r="AV3" s="13"/>
      <c r="AW3" s="13"/>
      <c r="AX3" s="68">
        <f>SUM(AS3:AW3)</f>
        <v>0</v>
      </c>
    </row>
    <row r="4" spans="1:50" x14ac:dyDescent="0.25">
      <c r="A4" s="1" t="s">
        <v>11</v>
      </c>
    </row>
    <row r="5" spans="1:50" x14ac:dyDescent="0.25">
      <c r="A5" s="1" t="s">
        <v>10</v>
      </c>
    </row>
  </sheetData>
  <customSheetViews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5" xr:uid="{48BBBDD6-FD03-473D-8BB3-9A485A3B2A48}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D1">
      <selection activeCell="AX4" sqref="AX4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zoomScaleNormal="110" workbookViewId="0">
      <selection activeCell="F8" sqref="F8"/>
    </sheetView>
  </sheetViews>
  <sheetFormatPr defaultRowHeight="15" x14ac:dyDescent="0.25"/>
  <cols>
    <col min="1" max="1" width="77.140625" customWidth="1"/>
    <col min="2" max="2" width="46.42578125" style="6" customWidth="1"/>
    <col min="3" max="3" width="9.5703125" customWidth="1"/>
    <col min="4" max="4" width="9.28515625" customWidth="1"/>
    <col min="5" max="5" width="11.7109375" customWidth="1"/>
    <col min="6" max="6" width="10.140625" customWidth="1"/>
    <col min="7" max="10" width="9.28515625" bestFit="1" customWidth="1"/>
  </cols>
  <sheetData>
    <row r="1" spans="1:10" ht="24" x14ac:dyDescent="0.25">
      <c r="A1" s="45" t="s">
        <v>9</v>
      </c>
      <c r="B1" s="46" t="s">
        <v>20</v>
      </c>
      <c r="C1" s="47" t="s">
        <v>41</v>
      </c>
      <c r="D1" s="47" t="s">
        <v>42</v>
      </c>
      <c r="E1" s="47" t="s">
        <v>43</v>
      </c>
      <c r="F1" s="47" t="s">
        <v>44</v>
      </c>
      <c r="G1" s="47" t="s">
        <v>45</v>
      </c>
      <c r="H1" s="47" t="s">
        <v>46</v>
      </c>
      <c r="I1" s="47" t="s">
        <v>47</v>
      </c>
      <c r="J1" s="47" t="s">
        <v>48</v>
      </c>
    </row>
    <row r="2" spans="1:10" ht="18.75" x14ac:dyDescent="0.25">
      <c r="A2" s="48" t="s">
        <v>18</v>
      </c>
      <c r="B2" s="49" t="s">
        <v>21</v>
      </c>
      <c r="C2" s="50">
        <f>Diego!H2+Aelton!H2+Leonam!H2+Danilo!H2+Marcos!H2+Alessandro!H2</f>
        <v>2</v>
      </c>
      <c r="D2" s="75">
        <v>1</v>
      </c>
      <c r="E2" s="50">
        <f>Diego!T2+Aelton!T2+Leonam!T2+Danilo!T2+Marcos!T2+Alessandro!T2</f>
        <v>1</v>
      </c>
      <c r="F2" s="50">
        <f>Diego!Z2+Aelton!Z2+Leonam!Z2+Danilo!Z2+Marcos!Z2+Alessandro!Z2</f>
        <v>9</v>
      </c>
      <c r="G2" s="50">
        <f>Diego!AF2+Aelton!AF2+Leonam!AF2+Danilo!AF2+Marcos!AF2+Alessandro!AF2</f>
        <v>0</v>
      </c>
      <c r="H2" s="50">
        <f>Diego!AL2+Aelton!AL2+Leonam!AL2+Danilo!AL2+Marcos!AL2+Alessandro!AL2</f>
        <v>12</v>
      </c>
      <c r="I2" s="50">
        <f>Diego!AR2+Aelton!AR2+Leonam!AR2+Danilo!AR2+Marcos!AR2+Alessandro!AR2</f>
        <v>2</v>
      </c>
      <c r="J2" s="50">
        <f>Diego!AX2+Aelton!AX2+Leonam!AX2+Danilo!AX2+Marcos!AX2+Alessandro!AX2</f>
        <v>0</v>
      </c>
    </row>
    <row r="3" spans="1:10" s="59" customFormat="1" ht="24" x14ac:dyDescent="0.25">
      <c r="A3" s="57" t="s">
        <v>0</v>
      </c>
      <c r="B3" s="58" t="s">
        <v>22</v>
      </c>
      <c r="C3" s="51">
        <f>Diego!H3+Aelton!H3+Leonam!H3+Danilo!H3+Marcos!H3+Alessandro!H3</f>
        <v>0</v>
      </c>
      <c r="D3" s="69">
        <v>55</v>
      </c>
      <c r="E3" s="51">
        <f>Diego!T3+Aelton!T3+Leonam!T3+Danilo!T3+Marcos!T3+Alessandro!T3</f>
        <v>0</v>
      </c>
      <c r="F3" s="51">
        <f>Diego!Z3+Aelton!Z3+Leonam!Z3+Danilo!Z3+Marcos!Z3+Alessandro!Z3</f>
        <v>8</v>
      </c>
      <c r="G3" s="51">
        <f>Diego!AF3+Aelton!AF3+Leonam!AF3+Danilo!AF3+Marcos!AF3+Alessandro!AF3</f>
        <v>4</v>
      </c>
      <c r="H3" s="51">
        <f>Diego!AL3+Aelton!AL3+Leonam!AL3+Danilo!AL3+Marcos!AL3+Alessandro!AL3</f>
        <v>0</v>
      </c>
      <c r="I3" s="51">
        <f>Diego!AR3+Aelton!AR3+Leonam!AR3+Danilo!AR3+Marcos!AR3+Alessandro!AR3</f>
        <v>4</v>
      </c>
      <c r="J3" s="51">
        <f>Diego!AX3+Aelton!AX3+Leonam!AX3+Danilo!AX3+Marcos!AX3+Alessandro!AX3</f>
        <v>0</v>
      </c>
    </row>
    <row r="4" spans="1:10" x14ac:dyDescent="0.25">
      <c r="A4" s="52" t="s">
        <v>17</v>
      </c>
      <c r="B4" s="53" t="s">
        <v>21</v>
      </c>
      <c r="C4" s="50">
        <f>Diego!H4+Aelton!H4+Leonam!H4+Danilo!H4+Marcos!H4+Alessandro!H4</f>
        <v>0</v>
      </c>
      <c r="D4" s="50">
        <f>Diego!N4+Aelton!N4+Leonam!N4+Danilo!N4+Marcos!N4+Alessandro!N4</f>
        <v>5</v>
      </c>
      <c r="E4" s="50">
        <f>Diego!T4+Aelton!T4+Leonam!T4+Danilo!T4+Marcos!T4+Alessandro!T4</f>
        <v>0</v>
      </c>
      <c r="F4" s="50">
        <f>Diego!Z4+Aelton!Z4+Leonam!Z4+Danilo!Z4+Marcos!Z4+Alessandro!Z4</f>
        <v>22</v>
      </c>
      <c r="G4" s="50">
        <f>Diego!AF4+Aelton!AF4+Leonam!AF4+Danilo!AF4+Marcos!AF4+Alessandro!AF4</f>
        <v>0</v>
      </c>
      <c r="H4" s="50">
        <f>Diego!AL4+Aelton!AL4+Leonam!AL4+Danilo!AL4+Marcos!AL4+Alessandro!AL4</f>
        <v>12</v>
      </c>
      <c r="I4" s="50">
        <f>Diego!AR4+Aelton!AR4+Leonam!AR4+Danilo!AR4+Marcos!AR4+Alessandro!AR4</f>
        <v>0</v>
      </c>
      <c r="J4" s="50">
        <f>Diego!AX4+Aelton!AX4+Leonam!AX4+Danilo!AX4+Marcos!AX4+Alessandro!AX4</f>
        <v>8</v>
      </c>
    </row>
    <row r="5" spans="1:10" s="59" customFormat="1" x14ac:dyDescent="0.25">
      <c r="A5" s="60" t="s">
        <v>16</v>
      </c>
      <c r="B5" s="58" t="s">
        <v>21</v>
      </c>
      <c r="C5" s="51">
        <f>Diego!H5+Aelton!H5+Leonam!H5+Danilo!H5+Marcos!H5+Alessandro!H5</f>
        <v>28</v>
      </c>
      <c r="D5" s="51">
        <f>Diego!N5+Aelton!N5+Leonam!N5+Danilo!N5+Marcos!N5+Alessandro!N5</f>
        <v>0</v>
      </c>
      <c r="E5" s="51">
        <f>Diego!T5+Aelton!T5+Leonam!T5+Danilo!T5+Marcos!T5+Alessandro!T5</f>
        <v>0</v>
      </c>
      <c r="F5" s="51">
        <f>Diego!Z5+Aelton!Z5+Leonam!Z5+Danilo!Z5+Marcos!Z5+Alessandro!Z5</f>
        <v>0</v>
      </c>
      <c r="G5" s="51">
        <f>Diego!AF5+Aelton!AF5+Leonam!AF5+Danilo!AF5+Marcos!AF5+Alessandro!AF5</f>
        <v>0</v>
      </c>
      <c r="H5" s="51">
        <f>Diego!AL5+Aelton!AL5+Leonam!AL5+Danilo!AL5+Marcos!AL5+Alessandro!AL5</f>
        <v>0</v>
      </c>
      <c r="I5" s="51">
        <f>Diego!AR5+Aelton!AR5+Leonam!AR5+Danilo!AR5+Marcos!AR5+Alessandro!AR5</f>
        <v>0</v>
      </c>
      <c r="J5" s="51">
        <f>Diego!AX5+Aelton!AX5+Leonam!AX5+Danilo!AX5+Marcos!AX5+Alessandro!AX5</f>
        <v>1</v>
      </c>
    </row>
    <row r="6" spans="1:10" ht="24" x14ac:dyDescent="0.25">
      <c r="A6" s="52" t="s">
        <v>1</v>
      </c>
      <c r="B6" s="54" t="s">
        <v>38</v>
      </c>
      <c r="C6" s="50">
        <f>Diego!H6+Aelton!H6+Leonam!H6+Danilo!H6+Marcos!H6+Alessandro!H6</f>
        <v>0</v>
      </c>
      <c r="D6" s="50">
        <f>Diego!N6+Aelton!N6+Leonam!N6+Danilo!N6+Marcos!N6+Alessandro!N6</f>
        <v>0</v>
      </c>
      <c r="E6" s="50">
        <f>Diego!T6+Aelton!T6+Leonam!T6+Danilo!T6+Marcos!T6+Alessandro!T6</f>
        <v>0</v>
      </c>
      <c r="F6" s="50">
        <f>Diego!Z6+Aelton!Z6+Leonam!Z6+Danilo!Z6+Marcos!Z6+Alessandro!Z6</f>
        <v>0</v>
      </c>
      <c r="G6" s="50">
        <f>Diego!AF6+Aelton!AF6+Leonam!AF6+Danilo!AF6+Marcos!AF6+Alessandro!AF6</f>
        <v>0</v>
      </c>
      <c r="H6" s="50">
        <f>Diego!AL6+Aelton!AL6+Leonam!AL6+Danilo!AL6+Marcos!AL6+Alessandro!AL6</f>
        <v>0</v>
      </c>
      <c r="I6" s="50">
        <f>Diego!AR6+Aelton!AR6+Leonam!AR6+Danilo!AR6+Marcos!AR6+Alessandro!AR6</f>
        <v>0</v>
      </c>
      <c r="J6" s="50">
        <f>Diego!AX6+Aelton!AX6+Leonam!AX6+Danilo!AX6+Marcos!AX6+Alessandro!AX6</f>
        <v>0</v>
      </c>
    </row>
    <row r="7" spans="1:10" s="59" customFormat="1" x14ac:dyDescent="0.25">
      <c r="A7" s="60" t="s">
        <v>2</v>
      </c>
      <c r="B7" s="58" t="s">
        <v>23</v>
      </c>
      <c r="C7" s="51">
        <f>Diego!H7+Aelton!H7+Leonam!H7+Danilo!H7+Marcos!H7+Alessandro!H7</f>
        <v>0</v>
      </c>
      <c r="D7" s="51">
        <f>Diego!N7+Aelton!N7+Leonam!N7+Danilo!N7+Marcos!N7+Alessandro!N7</f>
        <v>0</v>
      </c>
      <c r="E7" s="51">
        <f>Diego!T7+Aelton!T7+Leonam!T7+Danilo!T7+Marcos!T7+Alessandro!T7</f>
        <v>0</v>
      </c>
      <c r="F7" s="51">
        <f>Diego!Z7+Aelton!Z7+Leonam!Z7+Danilo!Z7+Marcos!Z7+Alessandro!Z7</f>
        <v>0</v>
      </c>
      <c r="G7" s="51">
        <f>Diego!AF7+Aelton!AF7+Leonam!AF7+Danilo!AF7+Marcos!AF7+Alessandro!AF7</f>
        <v>0</v>
      </c>
      <c r="H7" s="51">
        <f>Diego!AL7+Aelton!AL7+Leonam!AL7+Danilo!AL7+Marcos!AL7+Alessandro!AL7</f>
        <v>0</v>
      </c>
      <c r="I7" s="51">
        <f>Diego!AR7+Aelton!AR7+Leonam!AR7+Danilo!AR7+Marcos!AR7+Alessandro!AR7</f>
        <v>0</v>
      </c>
      <c r="J7" s="51">
        <f>Diego!AX7+Aelton!AX7+Leonam!AX7+Danilo!AX7+Marcos!AX7+Alessandro!AX7</f>
        <v>0</v>
      </c>
    </row>
    <row r="8" spans="1:10" ht="24" x14ac:dyDescent="0.25">
      <c r="A8" s="52" t="s">
        <v>3</v>
      </c>
      <c r="B8" s="54" t="s">
        <v>24</v>
      </c>
      <c r="C8" s="50">
        <f>Diego!H8+Aelton!H8+Leonam!H8+Danilo!H8+Marcos!H8+Alessandro!H8</f>
        <v>0</v>
      </c>
      <c r="D8" s="50">
        <f>Diego!N8+Aelton!N8+Leonam!N8+Danilo!N8+Marcos!N8+Alessandro!N8</f>
        <v>0</v>
      </c>
      <c r="E8" s="50">
        <f>Diego!T8+Aelton!T8+Leonam!T8+Danilo!T8+Marcos!T8+Alessandro!T8</f>
        <v>0</v>
      </c>
      <c r="F8" s="50">
        <f>Diego!Z8+Aelton!Z8+Leonam!Z8+Danilo!Z8+Marcos!Z8+Alessandro!Z8</f>
        <v>0</v>
      </c>
      <c r="G8" s="50">
        <f>Diego!AF8+Aelton!AF8+Leonam!AF8+Danilo!AF8+Marcos!AF8+Alessandro!AF8</f>
        <v>0</v>
      </c>
      <c r="H8" s="50">
        <f>Diego!AL8+Aelton!AL8+Leonam!AL8+Danilo!AL8+Marcos!AL8+Alessandro!AL8</f>
        <v>0</v>
      </c>
      <c r="I8" s="50">
        <f>Diego!AR8+Aelton!AR8+Leonam!AR8+Danilo!AR8+Marcos!AR8+Alessandro!AR8</f>
        <v>0</v>
      </c>
      <c r="J8" s="50">
        <f>Diego!AX8+Aelton!AX8+Leonam!AX8+Danilo!AX8+Marcos!AX8+Alessandro!AX8</f>
        <v>0</v>
      </c>
    </row>
    <row r="9" spans="1:10" s="59" customFormat="1" x14ac:dyDescent="0.25">
      <c r="A9" s="60" t="s">
        <v>25</v>
      </c>
      <c r="B9" s="58" t="s">
        <v>23</v>
      </c>
      <c r="C9" s="51">
        <f>Diego!H9+Aelton!H9+Leonam!H9+Danilo!H9+Marcos!H9+Alessandro!H9</f>
        <v>0</v>
      </c>
      <c r="D9" s="51">
        <f>Diego!N9+Aelton!N9+Leonam!N9+Danilo!N9+Marcos!N9+Alessandro!N9</f>
        <v>0</v>
      </c>
      <c r="E9" s="51">
        <f>Diego!T9+Aelton!T9+Leonam!T9+Danilo!T9+Marcos!T9+Alessandro!T9</f>
        <v>0</v>
      </c>
      <c r="F9" s="51">
        <f>Diego!Z9+Aelton!Z9+Leonam!Z9+Danilo!Z9+Marcos!Z9+Alessandro!Z9</f>
        <v>0</v>
      </c>
      <c r="G9" s="51">
        <f>Diego!AF9+Aelton!AF9+Leonam!AF9+Danilo!AF9+Marcos!AF9+Alessandro!AF9</f>
        <v>0</v>
      </c>
      <c r="H9" s="51">
        <f>Diego!AL9+Aelton!AL9+Leonam!AL9+Danilo!AL9+Marcos!AL9+Alessandro!AL9</f>
        <v>0</v>
      </c>
      <c r="I9" s="51">
        <f>Diego!AR9+Aelton!AR9+Leonam!AR9+Danilo!AR9+Marcos!AR9+Alessandro!AR9</f>
        <v>0</v>
      </c>
      <c r="J9" s="51">
        <f>Diego!AX9+Aelton!AX9+Leonam!AX9+Danilo!AX9+Marcos!AX9+Alessandro!AX9</f>
        <v>0</v>
      </c>
    </row>
    <row r="10" spans="1:10" x14ac:dyDescent="0.25">
      <c r="A10" s="52" t="s">
        <v>12</v>
      </c>
      <c r="B10" s="53" t="s">
        <v>23</v>
      </c>
      <c r="C10" s="50">
        <f>Diego!H10+Aelton!H10+Leonam!H10+Danilo!H10+Marcos!H10+Alessandro!H10</f>
        <v>0</v>
      </c>
      <c r="D10" s="50">
        <f>Diego!N10+Aelton!N10+Leonam!N10+Danilo!N10+Marcos!N10+Alessandro!N10</f>
        <v>0</v>
      </c>
      <c r="E10" s="50">
        <f>Diego!T10+Aelton!T10+Leonam!T10+Danilo!T10+Marcos!T10+Alessandro!T10</f>
        <v>0</v>
      </c>
      <c r="F10" s="50">
        <f>Diego!Z10+Aelton!Z10+Leonam!Z10+Danilo!Z10+Marcos!Z10+Alessandro!Z10</f>
        <v>0</v>
      </c>
      <c r="G10" s="50">
        <f>Diego!AF10+Aelton!AF10+Leonam!AF10+Danilo!AF10+Marcos!AF10+Alessandro!AF10</f>
        <v>0</v>
      </c>
      <c r="H10" s="50">
        <f>Diego!AL10+Aelton!AL10+Leonam!AL10+Danilo!AL10+Marcos!AL10+Alessandro!AL10</f>
        <v>0</v>
      </c>
      <c r="I10" s="50">
        <f>Diego!AR10+Aelton!AR10+Leonam!AR10+Danilo!AR10+Marcos!AR10+Alessandro!AR10</f>
        <v>0</v>
      </c>
      <c r="J10" s="50">
        <f>Diego!AX10+Aelton!AX10+Leonam!AX10+Danilo!AX10+Marcos!AX10+Alessandro!AX10</f>
        <v>0</v>
      </c>
    </row>
    <row r="11" spans="1:10" s="59" customFormat="1" x14ac:dyDescent="0.25">
      <c r="A11" s="60" t="s">
        <v>4</v>
      </c>
      <c r="B11" s="61" t="s">
        <v>23</v>
      </c>
      <c r="C11" s="51">
        <f>Diego!H11+Aelton!H11+Leonam!H11+Danilo!H11+Marcos!H11+Alessandro!H11</f>
        <v>0</v>
      </c>
      <c r="D11" s="51">
        <f>Diego!N11+Aelton!N11+Leonam!N11+Danilo!N11+Marcos!N11+Alessandro!N11</f>
        <v>0</v>
      </c>
      <c r="E11" s="51">
        <f>Diego!T11+Aelton!T11+Leonam!T11+Danilo!T11+Marcos!T11+Alessandro!T11</f>
        <v>0</v>
      </c>
      <c r="F11" s="51">
        <f>Diego!Z11+Aelton!Z11+Leonam!Z11+Danilo!Z11+Marcos!Z11+Alessandro!Z11</f>
        <v>0</v>
      </c>
      <c r="G11" s="51">
        <f>Diego!AF11+Aelton!AF11+Leonam!AF11+Danilo!AF11+Marcos!AF11+Alessandro!AF11</f>
        <v>0</v>
      </c>
      <c r="H11" s="51">
        <f>Diego!AL11+Aelton!AL11+Leonam!AL11+Danilo!AL11+Marcos!AL11+Alessandro!AL11</f>
        <v>0</v>
      </c>
      <c r="I11" s="51">
        <f>Diego!AR11+Aelton!AR11+Leonam!AR11+Danilo!AR11+Marcos!AR11+Alessandro!AR11</f>
        <v>0</v>
      </c>
      <c r="J11" s="51">
        <f>Diego!AX11+Aelton!AX11+Leonam!AX11+Danilo!AX11+Marcos!AX11+Alessandro!AX11</f>
        <v>0</v>
      </c>
    </row>
    <row r="12" spans="1:10" x14ac:dyDescent="0.25">
      <c r="A12" s="52" t="s">
        <v>5</v>
      </c>
      <c r="B12" s="54" t="s">
        <v>23</v>
      </c>
      <c r="C12" s="50">
        <f>Diego!H12+Aelton!H12+Leonam!H12+Danilo!H12+Marcos!H12+Alessandro!H12</f>
        <v>0</v>
      </c>
      <c r="D12" s="50">
        <f>Diego!N12+Aelton!N12+Leonam!N12+Danilo!N12+Marcos!N12+Alessandro!N12</f>
        <v>0</v>
      </c>
      <c r="E12" s="50">
        <f>Diego!T12+Aelton!T12+Leonam!T12+Danilo!T12+Marcos!T12+Alessandro!T12</f>
        <v>0</v>
      </c>
      <c r="F12" s="50">
        <f>Diego!Z12+Aelton!Z12+Leonam!Z12+Danilo!Z12+Marcos!Z12+Alessandro!Z12</f>
        <v>0</v>
      </c>
      <c r="G12" s="50">
        <f>Diego!AF12+Aelton!AF12+Leonam!AF12+Danilo!AF12+Marcos!AF12+Alessandro!AF12</f>
        <v>0</v>
      </c>
      <c r="H12" s="50">
        <f>Diego!AL12+Aelton!AL12+Leonam!AL12+Danilo!AL12+Marcos!AL12+Alessandro!AL12</f>
        <v>0</v>
      </c>
      <c r="I12" s="50">
        <f>Diego!AR12+Aelton!AR12+Leonam!AR12+Danilo!AR12+Marcos!AR12+Alessandro!AR12</f>
        <v>0</v>
      </c>
      <c r="J12" s="50">
        <f>Diego!AX12+Aelton!AX12+Leonam!AX12+Danilo!AX12+Marcos!AX12+Alessandro!AX12</f>
        <v>0</v>
      </c>
    </row>
    <row r="13" spans="1:10" s="59" customFormat="1" ht="30" x14ac:dyDescent="0.25">
      <c r="A13" s="60" t="s">
        <v>8</v>
      </c>
      <c r="B13" s="58" t="s">
        <v>21</v>
      </c>
      <c r="C13" s="51">
        <f>Diego!H13+Aelton!H13+Leonam!H13+Danilo!H13+Marcos!H13+Alessandro!H13+Patrícia!H2+Leonardo!H2</f>
        <v>4</v>
      </c>
      <c r="D13" s="51">
        <f>Diego!N13+Aelton!N13+Leonam!N13+Danilo!N13+Marcos!N13+Alessandro!N13+Patrícia!N2+Leonardo!N2</f>
        <v>7</v>
      </c>
      <c r="E13" s="51">
        <f>Diego!T13+Aelton!T13+Leonam!T13+Danilo!T13+Marcos!T13+Alessandro!T13+Patrícia!T2+Leonardo!T2</f>
        <v>2</v>
      </c>
      <c r="F13" s="51">
        <f>Diego!Z13+Aelton!Z13+Leonam!Z13+Danilo!Z13+Marcos!Z13+Alessandro!Z13+Patrícia!Z2+Leonardo!Z2</f>
        <v>11</v>
      </c>
      <c r="G13" s="51">
        <f>Diego!AF13+Aelton!AF13+Leonam!AF13+Danilo!AF13+Marcos!AF13+Alessandro!AF13+Patrícia!AF2+Leonardo!AF2</f>
        <v>6</v>
      </c>
      <c r="H13" s="51">
        <f>Diego!AL13+Aelton!AL13+Leonam!AL13+Danilo!AL13+Marcos!AL13+Alessandro!AL13+Patrícia!AL2+Leonardo!AL2</f>
        <v>10</v>
      </c>
      <c r="I13" s="51">
        <f>Diego!AR13+Aelton!AR13+Leonam!AR13+Danilo!AR13+Marcos!AR13+Alessandro!AR13+Patrícia!AR2+Leonardo!AR2</f>
        <v>1</v>
      </c>
      <c r="J13" s="51">
        <f>Diego!AX13+Aelton!AX13+Leonam!AX13+Danilo!AX13+Marcos!AX13+Alessandro!AX13+Patrícia!AX2+Leonardo!AX2</f>
        <v>6</v>
      </c>
    </row>
    <row r="14" spans="1:10" x14ac:dyDescent="0.25">
      <c r="A14" s="52" t="s">
        <v>6</v>
      </c>
      <c r="B14" s="54" t="s">
        <v>26</v>
      </c>
      <c r="C14" s="50">
        <f>Diego!H14+Aelton!H14+Leonam!H14+Danilo!H14+Marcos!H14+Alessandro!H14+Patrícia!H3+Leonardo!H3</f>
        <v>0</v>
      </c>
      <c r="D14" s="50">
        <f>Diego!N14+Aelton!N14+Leonam!N14+Danilo!N14+Marcos!N14+Alessandro!N14+Patrícia!N3+Leonardo!N3</f>
        <v>2</v>
      </c>
      <c r="E14" s="50">
        <f>Diego!T14+Aelton!T14+Leonam!T14+Danilo!T14+Marcos!T14+Alessandro!T14+Patrícia!T3+Leonardo!T3</f>
        <v>2</v>
      </c>
      <c r="F14" s="50">
        <f>Diego!Z14+Aelton!Z14+Leonam!Z14+Danilo!Z14+Marcos!Z14+Alessandro!Z14+Patrícia!Z3+Leonardo!Z3</f>
        <v>0</v>
      </c>
      <c r="G14" s="50">
        <f>Diego!AF14+Aelton!AF14+Leonam!AF14+Danilo!AF14+Marcos!AF14+Alessandro!AF14+Patrícia!AF3+Leonardo!AF3</f>
        <v>0</v>
      </c>
      <c r="H14" s="50">
        <f>Diego!AL14+Aelton!AL14+Leonam!AL14+Danilo!AL14+Marcos!AL14+Alessandro!AL14+Patrícia!AL3+Leonardo!AL3</f>
        <v>0</v>
      </c>
      <c r="I14" s="50">
        <f>Diego!AR14+Aelton!AR14+Leonam!AR14+Danilo!AR14+Marcos!AR14+Alessandro!AR14+Patrícia!AR3+Leonardo!AR3</f>
        <v>0</v>
      </c>
      <c r="J14" s="50">
        <f>Diego!AX14+Aelton!AX14+Leonam!AX14+Danilo!AX14+Marcos!AX14+Alessandro!AX14+Patrícia!AX3+Leonardo!AX3</f>
        <v>0</v>
      </c>
    </row>
    <row r="15" spans="1:10" s="59" customFormat="1" ht="24" x14ac:dyDescent="0.25">
      <c r="A15" s="57" t="s">
        <v>7</v>
      </c>
      <c r="B15" s="58" t="s">
        <v>27</v>
      </c>
      <c r="C15" s="51">
        <f>Diego!H15+Aelton!H15+Leonam!H15+Danilo!H15+Marcos!H15+Alessandro!H15</f>
        <v>447</v>
      </c>
      <c r="D15" s="69">
        <v>70</v>
      </c>
      <c r="E15" s="51">
        <f>Diego!T15+Aelton!T15+Leonam!T15+Danilo!T15+Marcos!T15+Alessandro!T15</f>
        <v>0</v>
      </c>
      <c r="F15" s="69">
        <f>Diego!Z15+Aelton!Z15+Leonam!Z15+Danilo!Z15+Marcos!Z15+Alessandro!Z15</f>
        <v>364</v>
      </c>
      <c r="G15" s="51">
        <f>Diego!AF15+Aelton!AF15+Leonam!AF15+Danilo!AF15+Marcos!AF15+Alessandro!AF15</f>
        <v>980</v>
      </c>
      <c r="H15" s="51">
        <f>Diego!AL15+Aelton!AL15+Leonam!AL15+Danilo!AL15+Marcos!AL15+Alessandro!AL15</f>
        <v>280</v>
      </c>
      <c r="I15" s="51">
        <f>Diego!AR15+Aelton!AR15+Leonam!AR15+Danilo!AR15+Marcos!AR15+Alessandro!AR15</f>
        <v>770</v>
      </c>
      <c r="J15" s="51">
        <f>Diego!AX15+Aelton!AX15+Leonam!AX15+Danilo!AX15+Marcos!AX15+Alessandro!AX15</f>
        <v>280</v>
      </c>
    </row>
    <row r="16" spans="1:10" ht="36" x14ac:dyDescent="0.25">
      <c r="A16" s="48" t="s">
        <v>14</v>
      </c>
      <c r="B16" s="54" t="s">
        <v>28</v>
      </c>
      <c r="C16" s="50">
        <f>Diego!H16+Aelton!H16+Leonam!H16+Danilo!H16+Marcos!H16+Alessandro!H16</f>
        <v>22</v>
      </c>
      <c r="D16" s="50">
        <f>Diego!N16+Aelton!N16+Leonam!N16+Danilo!N16+Marcos!N16+Alessandro!N16</f>
        <v>10</v>
      </c>
      <c r="E16" s="50">
        <f>Diego!T16+Aelton!T16+Leonam!T16+Danilo!T16+Marcos!T16+Alessandro!T16</f>
        <v>0</v>
      </c>
      <c r="F16" s="50">
        <f>Diego!Z16+Aelton!Z16+Leonam!Z16+Danilo!Z16+Marcos!Z16+Alessandro!Z16</f>
        <v>37</v>
      </c>
      <c r="G16" s="50">
        <f>Diego!AF16+Aelton!AF16+Leonam!AF16+Danilo!AF16+Marcos!AF16+Alessandro!AF16</f>
        <v>0</v>
      </c>
      <c r="H16" s="50">
        <f>Diego!AL16+Aelton!AL16+Leonam!AL16+Danilo!AL16+Marcos!AL16+Alessandro!AL16</f>
        <v>0</v>
      </c>
      <c r="I16" s="50">
        <f>Diego!AR16+Aelton!AR16+Leonam!AR16+Danilo!AR16+Marcos!AR16+Alessandro!AR16</f>
        <v>35</v>
      </c>
      <c r="J16" s="50">
        <f>Diego!AX16+Aelton!AX16+Leonam!AX16+Danilo!AX16+Marcos!AX16+Alessandro!AX16</f>
        <v>22</v>
      </c>
    </row>
    <row r="17" spans="1:10" s="59" customFormat="1" ht="18.75" x14ac:dyDescent="0.25">
      <c r="A17" s="57" t="s">
        <v>39</v>
      </c>
      <c r="B17" s="58" t="s">
        <v>40</v>
      </c>
      <c r="C17" s="51">
        <f>Diego!H17+Aelton!H17+Leonam!H17+Danilo!H17+Marcos!H17+Alessandro!H17</f>
        <v>170</v>
      </c>
      <c r="D17" s="51">
        <f>Diego!N17+Aelton!N17+Leonam!N17+Danilo!N17+Marcos!N17+Alessandro!N17</f>
        <v>176</v>
      </c>
      <c r="E17" s="51">
        <f>Diego!T17+Aelton!T17+Leonam!T17+Danilo!T17+Marcos!T17+Alessandro!T17</f>
        <v>240</v>
      </c>
      <c r="F17" s="69">
        <f>Diego!Z17+Aelton!Z17+Leonam!Z17+Danilo!Z17+Marcos!Z17+Alessandro!Z17</f>
        <v>293</v>
      </c>
      <c r="G17" s="51">
        <f>Diego!AF17+Aelton!AF17+Leonam!AF17+Danilo!AF17+Marcos!AF17+Alessandro!AF17</f>
        <v>30</v>
      </c>
      <c r="H17" s="51">
        <f>Diego!AL17+Aelton!AL17+Leonam!AL17+Danilo!AL17+Marcos!AL17+Alessandro!AL17</f>
        <v>28</v>
      </c>
      <c r="I17" s="51">
        <f>Diego!AR17+Aelton!AR17+Leonam!AR17+Danilo!AR17+Marcos!AR17+Alessandro!AR17</f>
        <v>0</v>
      </c>
      <c r="J17" s="51">
        <f>Diego!AX17+Aelton!AX17+Leonam!AX17+Danilo!AX17+Marcos!AX17+Alessandro!AX17</f>
        <v>46</v>
      </c>
    </row>
    <row r="18" spans="1:10" ht="408" customHeight="1" x14ac:dyDescent="0.25">
      <c r="A18" s="1" t="s">
        <v>11</v>
      </c>
      <c r="B18" s="1"/>
      <c r="C18" s="4"/>
      <c r="D18" s="4"/>
      <c r="E18" s="8"/>
      <c r="F18" s="4"/>
      <c r="G18" s="55"/>
      <c r="H18" s="4"/>
      <c r="I18" s="55"/>
      <c r="J18" s="55"/>
    </row>
    <row r="19" spans="1:10" x14ac:dyDescent="0.25">
      <c r="A19" s="1" t="s">
        <v>10</v>
      </c>
      <c r="B19" s="1"/>
    </row>
    <row r="21" spans="1:10" ht="38.25" customHeight="1" x14ac:dyDescent="0.25">
      <c r="A21" s="7"/>
    </row>
    <row r="23" spans="1:10" x14ac:dyDescent="0.25">
      <c r="A23" s="8"/>
    </row>
    <row r="24" spans="1:10" x14ac:dyDescent="0.25">
      <c r="A24" s="9"/>
    </row>
  </sheetData>
  <autoFilter ref="A1:J19" xr:uid="{00000000-0001-0000-0300-000000000000}"/>
  <customSheetViews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9" xr:uid="{BFC3633F-134E-41BE-AAA0-2D14D6BC8544}"/>
    </customSheetView>
    <customSheetView guid="{18A482E0-C8B6-4AA1-9E04-15FA7C9CD5E3}" scale="110">
      <pane xSplit="1" topLeftCell="H1" activePane="topRight" state="frozen"/>
      <selection pane="topRight" activeCell="Q13" sqref="Q13"/>
      <pageMargins left="0.511811024" right="0.511811024" top="0.78740157499999996" bottom="0.78740157499999996" header="0.31496062000000002" footer="0.31496062000000002"/>
    </customSheetView>
    <customSheetView guid="{3D987F8E-A6EA-454D-9537-6BFC5053CB00}" showAutoFilter="1">
      <selection activeCell="G15" sqref="G15"/>
      <pageMargins left="0.511811024" right="0.511811024" top="0.78740157499999996" bottom="0.78740157499999996" header="0.31496062000000002" footer="0.31496062000000002"/>
      <autoFilter ref="A1:J19" xr:uid="{17ADA96B-060C-4160-997B-168999C1B335}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20"/>
  <sheetViews>
    <sheetView tabSelected="1" zoomScale="90" zoomScaleNormal="70" workbookViewId="0">
      <pane xSplit="1" topLeftCell="AK1" activePane="topRight" state="frozen"/>
      <selection pane="topRight" activeCell="AQ2" sqref="AQ2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0.28515625" style="1" customWidth="1"/>
    <col min="8" max="8" width="14.28515625" style="1" bestFit="1" customWidth="1"/>
    <col min="9" max="9" width="10.5703125" style="1" customWidth="1"/>
    <col min="10" max="10" width="7.140625" style="1" bestFit="1" customWidth="1"/>
    <col min="11" max="11" width="14.5703125" style="1" customWidth="1"/>
    <col min="12" max="12" width="19.7109375" style="1" customWidth="1"/>
    <col min="13" max="13" width="33.140625" style="1" customWidth="1"/>
    <col min="14" max="14" width="14.28515625" style="1" bestFit="1" customWidth="1"/>
    <col min="15" max="17" width="13" style="1" customWidth="1"/>
    <col min="18" max="18" width="20.28515625" style="1" customWidth="1"/>
    <col min="19" max="19" width="16.85546875" style="1" customWidth="1"/>
    <col min="20" max="20" width="14.28515625" style="1" bestFit="1" customWidth="1"/>
    <col min="21" max="21" width="13.140625" style="1" customWidth="1"/>
    <col min="22" max="22" width="21.7109375" style="1" customWidth="1"/>
    <col min="23" max="23" width="19.5703125" style="1" customWidth="1"/>
    <col min="24" max="24" width="25.140625" style="1" customWidth="1"/>
    <col min="25" max="25" width="14.5703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3" width="23.140625" style="1" customWidth="1"/>
    <col min="34" max="34" width="19.42578125" style="1" customWidth="1"/>
    <col min="35" max="35" width="15.7109375" style="1" customWidth="1"/>
    <col min="36" max="36" width="13.42578125" style="1" customWidth="1"/>
    <col min="37" max="38" width="15.42578125" style="1" customWidth="1"/>
    <col min="39" max="39" width="10.85546875" style="1" customWidth="1"/>
    <col min="40" max="40" width="10.7109375" style="1" customWidth="1"/>
    <col min="41" max="41" width="14.28515625" style="1" customWidth="1"/>
    <col min="42" max="42" width="16.85546875" style="1" customWidth="1"/>
    <col min="43" max="43" width="14" style="1" customWidth="1"/>
    <col min="44" max="44" width="15.42578125" style="1" customWidth="1"/>
    <col min="45" max="45" width="13.42578125" style="1" customWidth="1"/>
    <col min="46" max="46" width="21" style="1" customWidth="1"/>
    <col min="47" max="47" width="13.85546875" style="1" customWidth="1"/>
    <col min="48" max="48" width="18.42578125" style="1" customWidth="1"/>
    <col min="49" max="49" width="14" style="1" customWidth="1"/>
    <col min="50" max="50" width="16.140625" style="1" customWidth="1"/>
    <col min="51" max="16384" width="9.140625" style="1"/>
  </cols>
  <sheetData>
    <row r="1" spans="1:50" x14ac:dyDescent="0.25">
      <c r="A1" s="14" t="s">
        <v>9</v>
      </c>
      <c r="B1" s="18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2" t="s">
        <v>18</v>
      </c>
      <c r="B2" s="16">
        <v>1</v>
      </c>
      <c r="C2" s="14"/>
      <c r="D2" s="18"/>
      <c r="E2" s="18"/>
      <c r="F2" s="18">
        <v>1</v>
      </c>
      <c r="G2" s="5"/>
      <c r="H2" s="33">
        <f>SUM(C2:G2)</f>
        <v>1</v>
      </c>
      <c r="N2" s="33">
        <f t="shared" ref="N2:N16" si="0">SUM(I2:M2)</f>
        <v>0</v>
      </c>
      <c r="O2" s="1">
        <v>1</v>
      </c>
      <c r="T2" s="33">
        <f t="shared" ref="T2:T17" si="1">SUM(O2:S2)</f>
        <v>1</v>
      </c>
      <c r="X2" s="1">
        <v>5</v>
      </c>
      <c r="Y2" s="1">
        <v>1</v>
      </c>
      <c r="Z2" s="33">
        <f>SUM(U2:Y2)</f>
        <v>6</v>
      </c>
      <c r="AF2" s="33">
        <f>SUM(AA2:AE2)</f>
        <v>0</v>
      </c>
      <c r="AK2" s="1">
        <v>4</v>
      </c>
      <c r="AL2" s="33">
        <f>SUM(AG2:AK2)</f>
        <v>4</v>
      </c>
      <c r="AM2" s="39" t="s">
        <v>107</v>
      </c>
      <c r="AN2" s="39" t="s">
        <v>108</v>
      </c>
      <c r="AR2" s="33">
        <f>SUM(AM2:AQ2)</f>
        <v>0</v>
      </c>
      <c r="AS2" s="56"/>
      <c r="AX2" s="33">
        <f>SUM(AS2:AW2)</f>
        <v>0</v>
      </c>
    </row>
    <row r="3" spans="1:50" x14ac:dyDescent="0.25">
      <c r="A3" s="2" t="s">
        <v>0</v>
      </c>
      <c r="B3" s="16">
        <v>2</v>
      </c>
      <c r="C3" s="11"/>
      <c r="G3" s="63"/>
      <c r="H3" s="33">
        <f t="shared" ref="H3:H16" si="2">SUM(C3:G3)</f>
        <v>0</v>
      </c>
      <c r="N3" s="33">
        <f t="shared" si="0"/>
        <v>0</v>
      </c>
      <c r="T3" s="33">
        <f t="shared" si="1"/>
        <v>0</v>
      </c>
      <c r="Y3" s="1">
        <v>3</v>
      </c>
      <c r="Z3" s="33">
        <f t="shared" ref="Z3:Z16" si="3">SUM(U3:Y3)</f>
        <v>3</v>
      </c>
      <c r="AF3" s="33">
        <f t="shared" ref="AF3:AF16" si="4">SUM(AA3:AE3)</f>
        <v>0</v>
      </c>
      <c r="AL3" s="33">
        <f t="shared" ref="AL3:AL16" si="5">SUM(AG3:AK3)</f>
        <v>0</v>
      </c>
      <c r="AM3" s="39" t="s">
        <v>107</v>
      </c>
      <c r="AN3" s="39" t="s">
        <v>108</v>
      </c>
      <c r="AP3" s="1">
        <v>2</v>
      </c>
      <c r="AR3" s="33">
        <f t="shared" ref="AR3:AR16" si="6">SUM(AM3:AQ3)</f>
        <v>2</v>
      </c>
      <c r="AX3" s="33">
        <f t="shared" ref="AX3:AX16" si="7">SUM(AS3:AW3)</f>
        <v>0</v>
      </c>
    </row>
    <row r="4" spans="1:50" x14ac:dyDescent="0.25">
      <c r="A4" s="3" t="s">
        <v>17</v>
      </c>
      <c r="B4" s="17">
        <v>3</v>
      </c>
      <c r="C4" s="11"/>
      <c r="G4" s="63"/>
      <c r="H4" s="33">
        <f t="shared" si="2"/>
        <v>0</v>
      </c>
      <c r="K4" s="1">
        <v>1</v>
      </c>
      <c r="N4" s="33">
        <f t="shared" si="0"/>
        <v>1</v>
      </c>
      <c r="T4" s="33">
        <f t="shared" si="1"/>
        <v>0</v>
      </c>
      <c r="U4" s="1">
        <v>1</v>
      </c>
      <c r="Z4" s="33">
        <f t="shared" si="3"/>
        <v>1</v>
      </c>
      <c r="AF4" s="33">
        <f t="shared" si="4"/>
        <v>0</v>
      </c>
      <c r="AL4" s="33">
        <f t="shared" si="5"/>
        <v>0</v>
      </c>
      <c r="AM4" s="39" t="s">
        <v>107</v>
      </c>
      <c r="AN4" s="39" t="s">
        <v>108</v>
      </c>
      <c r="AR4" s="33">
        <f t="shared" si="6"/>
        <v>0</v>
      </c>
      <c r="AX4" s="33">
        <f t="shared" si="7"/>
        <v>0</v>
      </c>
    </row>
    <row r="5" spans="1:50" x14ac:dyDescent="0.25">
      <c r="A5" s="3" t="s">
        <v>16</v>
      </c>
      <c r="B5" s="16">
        <v>4</v>
      </c>
      <c r="C5" s="11">
        <v>1</v>
      </c>
      <c r="G5" s="63">
        <v>1</v>
      </c>
      <c r="H5" s="33">
        <f t="shared" si="2"/>
        <v>2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R5" s="33">
        <f t="shared" si="6"/>
        <v>0</v>
      </c>
      <c r="AX5" s="33">
        <f t="shared" si="7"/>
        <v>0</v>
      </c>
    </row>
    <row r="6" spans="1:50" x14ac:dyDescent="0.25">
      <c r="A6" s="3" t="s">
        <v>1</v>
      </c>
      <c r="B6" s="16">
        <v>5</v>
      </c>
      <c r="C6" s="11"/>
      <c r="G6" s="63"/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R6" s="33">
        <f t="shared" si="6"/>
        <v>0</v>
      </c>
      <c r="AX6" s="33">
        <f t="shared" si="7"/>
        <v>0</v>
      </c>
    </row>
    <row r="7" spans="1:50" x14ac:dyDescent="0.25">
      <c r="A7" s="3" t="s">
        <v>2</v>
      </c>
      <c r="B7" s="17">
        <v>6</v>
      </c>
      <c r="C7" s="11"/>
      <c r="G7" s="63"/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R7" s="33">
        <f t="shared" si="6"/>
        <v>0</v>
      </c>
      <c r="AX7" s="33">
        <f t="shared" si="7"/>
        <v>0</v>
      </c>
    </row>
    <row r="8" spans="1:50" x14ac:dyDescent="0.25">
      <c r="A8" s="3" t="s">
        <v>3</v>
      </c>
      <c r="B8" s="16">
        <v>7</v>
      </c>
      <c r="C8" s="11"/>
      <c r="G8" s="63"/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R8" s="33">
        <f t="shared" si="6"/>
        <v>0</v>
      </c>
      <c r="AX8" s="33">
        <f t="shared" si="7"/>
        <v>0</v>
      </c>
    </row>
    <row r="9" spans="1:50" x14ac:dyDescent="0.25">
      <c r="A9" s="3" t="s">
        <v>13</v>
      </c>
      <c r="B9" s="16">
        <v>8</v>
      </c>
      <c r="C9" s="11"/>
      <c r="G9" s="63"/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R9" s="33">
        <f t="shared" si="6"/>
        <v>0</v>
      </c>
      <c r="AX9" s="33">
        <f t="shared" si="7"/>
        <v>0</v>
      </c>
    </row>
    <row r="10" spans="1:50" x14ac:dyDescent="0.25">
      <c r="A10" s="2" t="s">
        <v>12</v>
      </c>
      <c r="B10" s="17">
        <v>9</v>
      </c>
      <c r="C10" s="11"/>
      <c r="G10" s="63"/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R10" s="33">
        <f t="shared" si="6"/>
        <v>0</v>
      </c>
      <c r="AX10" s="33">
        <f t="shared" si="7"/>
        <v>0</v>
      </c>
    </row>
    <row r="11" spans="1:50" x14ac:dyDescent="0.25">
      <c r="A11" s="3" t="s">
        <v>4</v>
      </c>
      <c r="B11" s="16">
        <v>10</v>
      </c>
      <c r="C11" s="11"/>
      <c r="G11" s="63"/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R11" s="33">
        <f t="shared" si="6"/>
        <v>0</v>
      </c>
      <c r="AX11" s="33">
        <f t="shared" si="7"/>
        <v>0</v>
      </c>
    </row>
    <row r="12" spans="1:50" x14ac:dyDescent="0.25">
      <c r="A12" s="3" t="s">
        <v>5</v>
      </c>
      <c r="B12" s="16">
        <v>11</v>
      </c>
      <c r="C12" s="11"/>
      <c r="G12" s="63"/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R12" s="33">
        <f t="shared" si="6"/>
        <v>0</v>
      </c>
      <c r="AX12" s="33">
        <f t="shared" si="7"/>
        <v>0</v>
      </c>
    </row>
    <row r="13" spans="1:50" x14ac:dyDescent="0.25">
      <c r="A13" s="2" t="s">
        <v>8</v>
      </c>
      <c r="B13" s="17">
        <v>12</v>
      </c>
      <c r="C13" s="11"/>
      <c r="D13" s="1">
        <v>2</v>
      </c>
      <c r="G13" s="63"/>
      <c r="H13" s="33">
        <f t="shared" si="2"/>
        <v>2</v>
      </c>
      <c r="I13" s="1">
        <v>1</v>
      </c>
      <c r="K13" s="1">
        <v>1</v>
      </c>
      <c r="L13" s="1">
        <v>1</v>
      </c>
      <c r="N13" s="33">
        <f t="shared" si="0"/>
        <v>3</v>
      </c>
      <c r="O13" s="1">
        <v>1</v>
      </c>
      <c r="T13" s="33">
        <f t="shared" si="1"/>
        <v>1</v>
      </c>
      <c r="U13" s="1">
        <v>1</v>
      </c>
      <c r="Y13" s="1">
        <v>1</v>
      </c>
      <c r="Z13" s="33">
        <f t="shared" si="3"/>
        <v>2</v>
      </c>
      <c r="AF13" s="33">
        <f t="shared" si="4"/>
        <v>0</v>
      </c>
      <c r="AL13" s="33">
        <f t="shared" si="5"/>
        <v>0</v>
      </c>
      <c r="AM13" s="39" t="s">
        <v>107</v>
      </c>
      <c r="AN13" s="39" t="s">
        <v>108</v>
      </c>
      <c r="AR13" s="33">
        <f t="shared" si="6"/>
        <v>0</v>
      </c>
      <c r="AX13" s="33">
        <f t="shared" si="7"/>
        <v>0</v>
      </c>
    </row>
    <row r="14" spans="1:50" x14ac:dyDescent="0.25">
      <c r="A14" s="3" t="s">
        <v>6</v>
      </c>
      <c r="B14" s="16">
        <v>13</v>
      </c>
      <c r="C14" s="11"/>
      <c r="G14" s="63"/>
      <c r="H14" s="33">
        <f t="shared" si="2"/>
        <v>0</v>
      </c>
      <c r="I14" s="1">
        <v>1</v>
      </c>
      <c r="N14" s="33">
        <f t="shared" si="0"/>
        <v>1</v>
      </c>
      <c r="P14" s="1">
        <v>1</v>
      </c>
      <c r="T14" s="33">
        <f t="shared" si="1"/>
        <v>1</v>
      </c>
      <c r="Z14" s="33">
        <f t="shared" si="3"/>
        <v>0</v>
      </c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R14" s="33">
        <f t="shared" si="6"/>
        <v>0</v>
      </c>
      <c r="AX14" s="33">
        <f t="shared" si="7"/>
        <v>0</v>
      </c>
    </row>
    <row r="15" spans="1:50" x14ac:dyDescent="0.25">
      <c r="A15" s="2" t="s">
        <v>7</v>
      </c>
      <c r="B15" s="36">
        <v>14</v>
      </c>
      <c r="C15" s="11"/>
      <c r="F15" s="1">
        <v>149</v>
      </c>
      <c r="G15" s="63"/>
      <c r="H15" s="33">
        <f t="shared" si="2"/>
        <v>149</v>
      </c>
      <c r="L15" s="1">
        <v>70</v>
      </c>
      <c r="N15" s="33">
        <f t="shared" si="0"/>
        <v>70</v>
      </c>
      <c r="T15" s="33">
        <f t="shared" si="1"/>
        <v>0</v>
      </c>
      <c r="U15" s="1">
        <v>70</v>
      </c>
      <c r="Y15" s="1">
        <v>14</v>
      </c>
      <c r="Z15" s="33">
        <f t="shared" si="3"/>
        <v>84</v>
      </c>
      <c r="AB15" s="1">
        <v>70</v>
      </c>
      <c r="AC15" s="1">
        <v>70</v>
      </c>
      <c r="AF15" s="33">
        <f t="shared" si="4"/>
        <v>140</v>
      </c>
      <c r="AH15" s="1">
        <v>70</v>
      </c>
      <c r="AI15" s="1">
        <v>70</v>
      </c>
      <c r="AL15" s="33">
        <f t="shared" si="5"/>
        <v>140</v>
      </c>
      <c r="AM15" s="39" t="s">
        <v>107</v>
      </c>
      <c r="AN15" s="39" t="s">
        <v>108</v>
      </c>
      <c r="AP15" s="1">
        <v>140</v>
      </c>
      <c r="AR15" s="33">
        <f t="shared" si="6"/>
        <v>140</v>
      </c>
      <c r="AU15" s="1">
        <v>70</v>
      </c>
      <c r="AX15" s="33">
        <f t="shared" si="7"/>
        <v>70</v>
      </c>
    </row>
    <row r="16" spans="1:50" x14ac:dyDescent="0.25">
      <c r="A16" s="2" t="s">
        <v>14</v>
      </c>
      <c r="B16" s="37">
        <v>15</v>
      </c>
      <c r="C16" s="11">
        <v>2</v>
      </c>
      <c r="G16" s="63">
        <v>9</v>
      </c>
      <c r="H16" s="33">
        <f t="shared" si="2"/>
        <v>11</v>
      </c>
      <c r="N16" s="33">
        <f t="shared" si="0"/>
        <v>0</v>
      </c>
      <c r="T16" s="33">
        <f t="shared" si="1"/>
        <v>0</v>
      </c>
      <c r="W16" s="1">
        <v>10</v>
      </c>
      <c r="X16" s="1">
        <v>10</v>
      </c>
      <c r="Z16" s="33">
        <f t="shared" si="3"/>
        <v>20</v>
      </c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R16" s="33">
        <f t="shared" si="6"/>
        <v>0</v>
      </c>
      <c r="AX16" s="33">
        <f t="shared" si="7"/>
        <v>0</v>
      </c>
    </row>
    <row r="17" spans="1:50" x14ac:dyDescent="0.25">
      <c r="A17" s="2" t="s">
        <v>39</v>
      </c>
      <c r="B17" s="38">
        <v>16</v>
      </c>
      <c r="C17" s="12">
        <v>10</v>
      </c>
      <c r="D17" s="13">
        <v>10</v>
      </c>
      <c r="E17" s="13">
        <v>10</v>
      </c>
      <c r="F17" s="13"/>
      <c r="G17" s="64"/>
      <c r="H17" s="34">
        <f>SUM(C17:G17)</f>
        <v>30</v>
      </c>
      <c r="I17" s="13">
        <v>10</v>
      </c>
      <c r="J17" s="13">
        <v>10</v>
      </c>
      <c r="K17" s="13">
        <v>10</v>
      </c>
      <c r="L17" s="13"/>
      <c r="M17" s="13">
        <v>10</v>
      </c>
      <c r="N17" s="34">
        <f>SUM(I17:M17)</f>
        <v>40</v>
      </c>
      <c r="O17" s="13">
        <v>5</v>
      </c>
      <c r="P17" s="13">
        <v>6</v>
      </c>
      <c r="Q17" s="13">
        <v>10</v>
      </c>
      <c r="R17" s="13">
        <v>10</v>
      </c>
      <c r="S17" s="13">
        <v>8</v>
      </c>
      <c r="T17" s="34">
        <f t="shared" si="1"/>
        <v>39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71" t="s">
        <v>107</v>
      </c>
      <c r="AN17" s="71" t="s">
        <v>108</v>
      </c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</row>
    <row r="18" spans="1:50" ht="120" x14ac:dyDescent="0.25">
      <c r="A18" s="1" t="s">
        <v>11</v>
      </c>
      <c r="C18" s="4" t="s">
        <v>49</v>
      </c>
      <c r="D18" s="4" t="s">
        <v>62</v>
      </c>
      <c r="E18" s="4" t="s">
        <v>62</v>
      </c>
      <c r="F18" s="4" t="s">
        <v>51</v>
      </c>
      <c r="G18" s="4" t="s">
        <v>52</v>
      </c>
      <c r="I18" s="4" t="s">
        <v>62</v>
      </c>
      <c r="J18" s="4" t="s">
        <v>62</v>
      </c>
      <c r="K18" s="4" t="s">
        <v>62</v>
      </c>
      <c r="L18" s="4" t="s">
        <v>63</v>
      </c>
      <c r="M18" s="4" t="s">
        <v>62</v>
      </c>
      <c r="O18" s="4" t="s">
        <v>62</v>
      </c>
      <c r="P18" s="4" t="s">
        <v>62</v>
      </c>
      <c r="Q18" s="4" t="s">
        <v>62</v>
      </c>
      <c r="R18" s="4" t="s">
        <v>62</v>
      </c>
      <c r="S18" s="4" t="s">
        <v>62</v>
      </c>
      <c r="U18" s="4"/>
      <c r="V18" s="4" t="s">
        <v>74</v>
      </c>
      <c r="W18" s="4"/>
      <c r="X18" s="4"/>
      <c r="Y18" s="4"/>
      <c r="AA18" s="4" t="s">
        <v>93</v>
      </c>
      <c r="AB18" s="4" t="s">
        <v>74</v>
      </c>
      <c r="AC18" s="4" t="s">
        <v>98</v>
      </c>
      <c r="AD18" s="4" t="s">
        <v>100</v>
      </c>
      <c r="AE18" s="4" t="s">
        <v>100</v>
      </c>
      <c r="AG18" s="4" t="s">
        <v>101</v>
      </c>
      <c r="AH18" s="4" t="s">
        <v>115</v>
      </c>
      <c r="AI18" s="4" t="s">
        <v>115</v>
      </c>
      <c r="AJ18" s="4" t="s">
        <v>115</v>
      </c>
      <c r="AK18" s="1" t="s">
        <v>116</v>
      </c>
      <c r="AM18" s="4"/>
      <c r="AN18" s="4"/>
      <c r="AO18" s="4" t="s">
        <v>117</v>
      </c>
      <c r="AP18" s="4"/>
      <c r="AQ18" s="4" t="s">
        <v>123</v>
      </c>
      <c r="AS18" s="4" t="s">
        <v>123</v>
      </c>
      <c r="AT18" s="4" t="s">
        <v>123</v>
      </c>
      <c r="AU18" s="4" t="s">
        <v>125</v>
      </c>
      <c r="AV18" s="4"/>
      <c r="AW18" s="4"/>
      <c r="AX18" s="4"/>
    </row>
    <row r="19" spans="1:50" ht="105" x14ac:dyDescent="0.25">
      <c r="A19" s="1" t="s">
        <v>10</v>
      </c>
      <c r="C19" s="4" t="s">
        <v>65</v>
      </c>
      <c r="D19" s="4" t="s">
        <v>65</v>
      </c>
      <c r="E19" s="4" t="s">
        <v>65</v>
      </c>
      <c r="F19" s="4" t="s">
        <v>65</v>
      </c>
      <c r="G19" s="4" t="s">
        <v>65</v>
      </c>
      <c r="I19" s="4" t="s">
        <v>65</v>
      </c>
      <c r="J19" s="4" t="s">
        <v>65</v>
      </c>
      <c r="K19" s="4" t="s">
        <v>64</v>
      </c>
      <c r="L19" s="4" t="s">
        <v>65</v>
      </c>
      <c r="M19" s="4" t="s">
        <v>65</v>
      </c>
      <c r="O19" s="4"/>
      <c r="P19" s="4" t="s">
        <v>72</v>
      </c>
      <c r="Q19" s="4" t="s">
        <v>72</v>
      </c>
      <c r="R19" s="4" t="s">
        <v>72</v>
      </c>
      <c r="S19" s="4" t="s">
        <v>72</v>
      </c>
      <c r="T19" s="4"/>
      <c r="U19" s="4"/>
      <c r="V19" s="4" t="s">
        <v>75</v>
      </c>
      <c r="W19" s="4" t="s">
        <v>82</v>
      </c>
      <c r="X19" s="4" t="s">
        <v>82</v>
      </c>
      <c r="Y19" s="4"/>
      <c r="AA19" s="4" t="s">
        <v>94</v>
      </c>
      <c r="AB19" s="4"/>
      <c r="AC19" s="4" t="s">
        <v>99</v>
      </c>
      <c r="AD19" s="4" t="s">
        <v>100</v>
      </c>
      <c r="AE19" s="4" t="s">
        <v>100</v>
      </c>
      <c r="AH19" s="4"/>
      <c r="AI19" s="4"/>
      <c r="AJ19" s="4"/>
      <c r="AK19" s="4"/>
      <c r="AN19" s="4"/>
      <c r="AO19" s="4"/>
      <c r="AQ19" s="4"/>
      <c r="AS19" s="4"/>
      <c r="AT19" s="4"/>
      <c r="AU19" s="4"/>
      <c r="AV19" s="4"/>
    </row>
    <row r="20" spans="1:50" ht="45" x14ac:dyDescent="0.25">
      <c r="V20" s="4" t="s">
        <v>76</v>
      </c>
    </row>
  </sheetData>
  <customSheetViews>
    <customSheetView guid="{E3841903-5B68-44FD-8F09-58E03D1025C5}" scale="70" topLeftCell="AB1">
      <selection activeCell="AO3" sqref="AO3:AP18"/>
      <pageMargins left="0.511811024" right="0.511811024" top="0.78740157499999996" bottom="0.78740157499999996" header="0.31496062000000002" footer="0.31496062000000002"/>
    </customSheetView>
    <customSheetView guid="{B3CDE377-BA5D-4E06-91D9-3A48E1959BA5}" scale="90">
      <pane xSplit="1" topLeftCell="B1" activePane="topRight" state="frozen"/>
      <selection pane="topRight" activeCell="AJ18" sqref="AJ18"/>
      <pageMargins left="0.511811024" right="0.511811024" top="0.78740157499999996" bottom="0.78740157499999996" header="0.31496062000000002" footer="0.31496062000000002"/>
    </customSheetView>
    <customSheetView guid="{20CB6D8F-C24D-4D4B-A424-AF380F620455}" scale="90" showPageBreaks="1">
      <pane xSplit="1" topLeftCell="AN1" activePane="topRight" state="frozen"/>
      <selection pane="topRight" activeCell="AU15" sqref="AU15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pane xSplit="1" topLeftCell="Z1" activePane="topRight" state="frozen"/>
      <selection pane="topRight" activeCell="AG2" sqref="AG2:AK18"/>
      <pageMargins left="0.511811024" right="0.511811024" top="0.78740157499999996" bottom="0.78740157499999996" header="0.31496062000000002" footer="0.31496062000000002"/>
      <autoFilter ref="A1:A20" xr:uid="{DB227A03-823E-4763-A585-BB7B204749C2}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G1" sqref="CG1"/>
      <pageMargins left="0.511811024" right="0.511811024" top="0.78740157499999996" bottom="0.78740157499999996" header="0.31496062000000002" footer="0.31496062000000002"/>
    </customSheetView>
    <customSheetView guid="{3D987F8E-A6EA-454D-9537-6BFC5053CB00}" scale="90">
      <pane xSplit="1" topLeftCell="AO1" activePane="topRight" state="frozen"/>
      <selection pane="topRight" activeCell="AS18" sqref="AS18"/>
      <pageMargins left="0.511811024" right="0.511811024" top="0.78740157499999996" bottom="0.78740157499999996" header="0.31496062000000002" footer="0.31496062000000002"/>
    </customSheetView>
    <customSheetView guid="{86039CF8-B158-4D70-9A6F-A10C29CBD68A}" scale="90" topLeftCell="B1">
      <selection activeCell="M17" sqref="M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9"/>
  <sheetViews>
    <sheetView topLeftCell="A7" zoomScaleNormal="85" workbookViewId="0">
      <pane xSplit="1" topLeftCell="AU1" activePane="topRight" state="frozen"/>
      <selection activeCell="A7" sqref="A7"/>
      <selection pane="topRight" activeCell="BE18" sqref="BE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4.140625" style="1" customWidth="1"/>
    <col min="4" max="7" width="10.28515625" style="1" customWidth="1"/>
    <col min="8" max="8" width="14.28515625" style="1" bestFit="1" customWidth="1"/>
    <col min="9" max="9" width="17.28515625" style="1" customWidth="1"/>
    <col min="10" max="10" width="18.42578125" style="1" customWidth="1"/>
    <col min="11" max="11" width="14.5703125" style="1" customWidth="1"/>
    <col min="12" max="12" width="16" style="1" customWidth="1"/>
    <col min="13" max="13" width="17.7109375" style="1" customWidth="1"/>
    <col min="14" max="14" width="14.28515625" style="1" bestFit="1" customWidth="1"/>
    <col min="15" max="15" width="11" style="1" customWidth="1"/>
    <col min="16" max="16" width="11.85546875" style="1" customWidth="1"/>
    <col min="17" max="17" width="13" style="1" customWidth="1"/>
    <col min="18" max="18" width="10.42578125" style="1" customWidth="1"/>
    <col min="19" max="19" width="11.85546875" style="1" customWidth="1"/>
    <col min="20" max="20" width="14.28515625" style="1" bestFit="1" customWidth="1"/>
    <col min="21" max="21" width="13.140625" style="1" customWidth="1"/>
    <col min="22" max="23" width="9.140625" style="1"/>
    <col min="24" max="24" width="11.85546875" style="1" customWidth="1"/>
    <col min="25" max="25" width="14.5703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7" width="23.140625" style="1" customWidth="1"/>
    <col min="38" max="38" width="15.42578125" style="1" customWidth="1"/>
    <col min="39" max="41" width="20.28515625" style="1" customWidth="1"/>
    <col min="42" max="42" width="16.85546875" style="1" customWidth="1"/>
    <col min="43" max="43" width="14" style="1" customWidth="1"/>
    <col min="44" max="44" width="15.42578125" style="1" customWidth="1"/>
    <col min="45" max="49" width="20.28515625" style="1" customWidth="1"/>
    <col min="50" max="50" width="16.140625" style="1" customWidth="1"/>
    <col min="51" max="16384" width="9.140625" style="1"/>
  </cols>
  <sheetData>
    <row r="1" spans="1:50" x14ac:dyDescent="0.25">
      <c r="A1" s="14" t="s">
        <v>9</v>
      </c>
      <c r="B1" s="42"/>
      <c r="C1" s="19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19">
        <v>45690</v>
      </c>
      <c r="AB1" s="32">
        <v>45691</v>
      </c>
      <c r="AC1" s="32">
        <v>45692</v>
      </c>
      <c r="AD1" s="32">
        <v>45693</v>
      </c>
      <c r="AE1" s="70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C2" s="11"/>
      <c r="F2" s="1">
        <v>1</v>
      </c>
      <c r="H2" s="33">
        <f>SUM(C2:G2)</f>
        <v>1</v>
      </c>
      <c r="K2" s="1">
        <v>1</v>
      </c>
      <c r="N2" s="33">
        <f t="shared" ref="N2:N16" si="0">SUM(I2:M2)</f>
        <v>1</v>
      </c>
      <c r="O2" s="14"/>
      <c r="P2" s="18"/>
      <c r="Q2" s="18"/>
      <c r="R2" s="18"/>
      <c r="S2" s="5"/>
      <c r="T2" s="33">
        <f t="shared" ref="T2:T17" si="1">SUM(O2:S2)</f>
        <v>0</v>
      </c>
      <c r="V2" s="1">
        <v>2</v>
      </c>
      <c r="Z2" s="33">
        <f>SUM(U2:Y2)</f>
        <v>2</v>
      </c>
      <c r="AA2" s="11"/>
      <c r="AE2" s="63"/>
      <c r="AF2" s="33">
        <f>SUM(AA2:AE2)</f>
        <v>0</v>
      </c>
      <c r="AG2" s="1">
        <v>1</v>
      </c>
      <c r="AJ2" s="1">
        <v>6</v>
      </c>
      <c r="AL2" s="33">
        <f>SUM(AG2:AK2)</f>
        <v>7</v>
      </c>
      <c r="AM2" s="72"/>
      <c r="AN2" s="72"/>
      <c r="AO2" s="1">
        <v>1</v>
      </c>
      <c r="AP2" s="1">
        <v>1</v>
      </c>
      <c r="AR2" s="33">
        <f>SUM(AM2:AQ2)</f>
        <v>2</v>
      </c>
      <c r="AX2" s="33">
        <f>SUM(AS2:AW2)</f>
        <v>0</v>
      </c>
    </row>
    <row r="3" spans="1:50" x14ac:dyDescent="0.25">
      <c r="A3" s="40" t="s">
        <v>0</v>
      </c>
      <c r="B3" s="43">
        <v>2</v>
      </c>
      <c r="C3" s="11"/>
      <c r="H3" s="33">
        <f t="shared" ref="H3:H16" si="2">SUM(C3:G3)</f>
        <v>0</v>
      </c>
      <c r="N3" s="33">
        <f t="shared" si="0"/>
        <v>0</v>
      </c>
      <c r="O3" s="11"/>
      <c r="S3" s="63"/>
      <c r="T3" s="33">
        <f t="shared" si="1"/>
        <v>0</v>
      </c>
      <c r="Z3" s="33">
        <f t="shared" ref="Z3:Z16" si="3">SUM(U3:Y3)</f>
        <v>0</v>
      </c>
      <c r="AA3" s="11"/>
      <c r="AE3" s="63"/>
      <c r="AF3" s="33">
        <f t="shared" ref="AF3:AF16" si="4">SUM(AA3:AE3)</f>
        <v>0</v>
      </c>
      <c r="AL3" s="33">
        <f t="shared" ref="AL3:AL16" si="5">SUM(AG3:AK3)</f>
        <v>0</v>
      </c>
      <c r="AM3" s="72"/>
      <c r="AN3" s="72"/>
      <c r="AR3" s="33">
        <f t="shared" ref="AR3:AR16" si="6">SUM(AM3:AQ3)</f>
        <v>0</v>
      </c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C4" s="11"/>
      <c r="H4" s="33">
        <f t="shared" si="2"/>
        <v>0</v>
      </c>
      <c r="I4" s="1">
        <v>1</v>
      </c>
      <c r="L4" s="1">
        <v>1</v>
      </c>
      <c r="M4" s="1">
        <v>2</v>
      </c>
      <c r="N4" s="33">
        <f t="shared" si="0"/>
        <v>4</v>
      </c>
      <c r="O4" s="11"/>
      <c r="S4" s="63"/>
      <c r="T4" s="33">
        <f t="shared" si="1"/>
        <v>0</v>
      </c>
      <c r="Z4" s="33">
        <f t="shared" si="3"/>
        <v>0</v>
      </c>
      <c r="AA4" s="11"/>
      <c r="AE4" s="63"/>
      <c r="AF4" s="33">
        <f t="shared" si="4"/>
        <v>0</v>
      </c>
      <c r="AH4" s="1">
        <v>4</v>
      </c>
      <c r="AI4" s="1">
        <v>4</v>
      </c>
      <c r="AL4" s="33">
        <f t="shared" si="5"/>
        <v>8</v>
      </c>
      <c r="AM4" s="72"/>
      <c r="AN4" s="72"/>
      <c r="AR4" s="33">
        <f t="shared" si="6"/>
        <v>0</v>
      </c>
      <c r="AU4" s="1">
        <v>1</v>
      </c>
      <c r="AV4" s="1">
        <v>5</v>
      </c>
      <c r="AX4" s="33">
        <f t="shared" si="7"/>
        <v>6</v>
      </c>
    </row>
    <row r="5" spans="1:50" x14ac:dyDescent="0.25">
      <c r="A5" s="41" t="s">
        <v>16</v>
      </c>
      <c r="B5" s="43">
        <v>4</v>
      </c>
      <c r="C5" s="11">
        <v>1</v>
      </c>
      <c r="G5" s="1">
        <v>1</v>
      </c>
      <c r="H5" s="33">
        <f t="shared" si="2"/>
        <v>2</v>
      </c>
      <c r="L5" s="39"/>
      <c r="N5" s="33">
        <f t="shared" si="0"/>
        <v>0</v>
      </c>
      <c r="O5" s="11"/>
      <c r="S5" s="63"/>
      <c r="T5" s="33">
        <f t="shared" si="1"/>
        <v>0</v>
      </c>
      <c r="Z5" s="33">
        <f t="shared" si="3"/>
        <v>0</v>
      </c>
      <c r="AA5" s="11"/>
      <c r="AE5" s="63"/>
      <c r="AF5" s="33">
        <f t="shared" si="4"/>
        <v>0</v>
      </c>
      <c r="AL5" s="33">
        <f t="shared" si="5"/>
        <v>0</v>
      </c>
      <c r="AM5" s="72"/>
      <c r="AN5" s="72"/>
      <c r="AR5" s="33">
        <f t="shared" si="6"/>
        <v>0</v>
      </c>
      <c r="AX5" s="33">
        <f t="shared" si="7"/>
        <v>0</v>
      </c>
    </row>
    <row r="6" spans="1:50" x14ac:dyDescent="0.25">
      <c r="A6" s="41" t="s">
        <v>1</v>
      </c>
      <c r="B6" s="43">
        <v>5</v>
      </c>
      <c r="C6" s="11"/>
      <c r="H6" s="33">
        <f t="shared" si="2"/>
        <v>0</v>
      </c>
      <c r="L6" s="39"/>
      <c r="N6" s="33">
        <f t="shared" si="0"/>
        <v>0</v>
      </c>
      <c r="O6" s="11"/>
      <c r="S6" s="63"/>
      <c r="T6" s="33">
        <f t="shared" si="1"/>
        <v>0</v>
      </c>
      <c r="Z6" s="33">
        <f t="shared" si="3"/>
        <v>0</v>
      </c>
      <c r="AA6" s="11"/>
      <c r="AE6" s="63"/>
      <c r="AF6" s="33">
        <f t="shared" si="4"/>
        <v>0</v>
      </c>
      <c r="AL6" s="33">
        <f t="shared" si="5"/>
        <v>0</v>
      </c>
      <c r="AM6" s="72"/>
      <c r="AN6" s="72"/>
      <c r="AR6" s="33">
        <f t="shared" si="6"/>
        <v>0</v>
      </c>
      <c r="AX6" s="33">
        <f t="shared" si="7"/>
        <v>0</v>
      </c>
    </row>
    <row r="7" spans="1:50" x14ac:dyDescent="0.25">
      <c r="A7" s="41" t="s">
        <v>2</v>
      </c>
      <c r="B7" s="44">
        <v>6</v>
      </c>
      <c r="C7" s="11"/>
      <c r="H7" s="33">
        <f t="shared" si="2"/>
        <v>0</v>
      </c>
      <c r="N7" s="33">
        <f t="shared" si="0"/>
        <v>0</v>
      </c>
      <c r="O7" s="11"/>
      <c r="S7" s="63"/>
      <c r="T7" s="33">
        <f t="shared" si="1"/>
        <v>0</v>
      </c>
      <c r="Z7" s="33">
        <f t="shared" si="3"/>
        <v>0</v>
      </c>
      <c r="AA7" s="11"/>
      <c r="AE7" s="63"/>
      <c r="AF7" s="33">
        <f t="shared" si="4"/>
        <v>0</v>
      </c>
      <c r="AL7" s="33">
        <f t="shared" si="5"/>
        <v>0</v>
      </c>
      <c r="AM7" s="72"/>
      <c r="AN7" s="72"/>
      <c r="AR7" s="33">
        <f t="shared" si="6"/>
        <v>0</v>
      </c>
      <c r="AX7" s="33">
        <f t="shared" si="7"/>
        <v>0</v>
      </c>
    </row>
    <row r="8" spans="1:50" x14ac:dyDescent="0.25">
      <c r="A8" s="41" t="s">
        <v>3</v>
      </c>
      <c r="B8" s="43">
        <v>7</v>
      </c>
      <c r="C8" s="11"/>
      <c r="H8" s="33">
        <f t="shared" si="2"/>
        <v>0</v>
      </c>
      <c r="N8" s="33">
        <f t="shared" si="0"/>
        <v>0</v>
      </c>
      <c r="O8" s="11"/>
      <c r="S8" s="63"/>
      <c r="T8" s="33">
        <f t="shared" si="1"/>
        <v>0</v>
      </c>
      <c r="Z8" s="33">
        <f t="shared" si="3"/>
        <v>0</v>
      </c>
      <c r="AA8" s="11"/>
      <c r="AE8" s="63"/>
      <c r="AF8" s="33">
        <f t="shared" si="4"/>
        <v>0</v>
      </c>
      <c r="AL8" s="33">
        <f t="shared" si="5"/>
        <v>0</v>
      </c>
      <c r="AM8" s="72"/>
      <c r="AN8" s="72"/>
      <c r="AR8" s="33">
        <f t="shared" si="6"/>
        <v>0</v>
      </c>
      <c r="AX8" s="33">
        <f t="shared" si="7"/>
        <v>0</v>
      </c>
    </row>
    <row r="9" spans="1:50" x14ac:dyDescent="0.25">
      <c r="A9" s="41" t="s">
        <v>13</v>
      </c>
      <c r="B9" s="43">
        <v>8</v>
      </c>
      <c r="C9" s="11"/>
      <c r="H9" s="33">
        <f t="shared" si="2"/>
        <v>0</v>
      </c>
      <c r="N9" s="33">
        <f t="shared" si="0"/>
        <v>0</v>
      </c>
      <c r="O9" s="11"/>
      <c r="S9" s="63"/>
      <c r="T9" s="33">
        <f t="shared" si="1"/>
        <v>0</v>
      </c>
      <c r="Z9" s="33">
        <f t="shared" si="3"/>
        <v>0</v>
      </c>
      <c r="AA9" s="11"/>
      <c r="AE9" s="63"/>
      <c r="AF9" s="33">
        <f t="shared" si="4"/>
        <v>0</v>
      </c>
      <c r="AL9" s="33">
        <f t="shared" si="5"/>
        <v>0</v>
      </c>
      <c r="AM9" s="72"/>
      <c r="AN9" s="72"/>
      <c r="AR9" s="33">
        <f t="shared" si="6"/>
        <v>0</v>
      </c>
      <c r="AX9" s="33">
        <f t="shared" si="7"/>
        <v>0</v>
      </c>
    </row>
    <row r="10" spans="1:50" x14ac:dyDescent="0.25">
      <c r="A10" s="40" t="s">
        <v>12</v>
      </c>
      <c r="B10" s="44">
        <v>9</v>
      </c>
      <c r="C10" s="11"/>
      <c r="H10" s="33">
        <f t="shared" si="2"/>
        <v>0</v>
      </c>
      <c r="N10" s="33">
        <f t="shared" si="0"/>
        <v>0</v>
      </c>
      <c r="O10" s="11"/>
      <c r="S10" s="63"/>
      <c r="T10" s="33">
        <f t="shared" si="1"/>
        <v>0</v>
      </c>
      <c r="Z10" s="33">
        <f t="shared" si="3"/>
        <v>0</v>
      </c>
      <c r="AA10" s="11"/>
      <c r="AE10" s="63"/>
      <c r="AF10" s="33">
        <f t="shared" si="4"/>
        <v>0</v>
      </c>
      <c r="AL10" s="33">
        <f t="shared" si="5"/>
        <v>0</v>
      </c>
      <c r="AM10" s="72"/>
      <c r="AN10" s="72"/>
      <c r="AR10" s="33">
        <f t="shared" si="6"/>
        <v>0</v>
      </c>
      <c r="AX10" s="33">
        <f t="shared" si="7"/>
        <v>0</v>
      </c>
    </row>
    <row r="11" spans="1:50" x14ac:dyDescent="0.25">
      <c r="A11" s="41" t="s">
        <v>4</v>
      </c>
      <c r="B11" s="43">
        <v>10</v>
      </c>
      <c r="C11" s="11"/>
      <c r="H11" s="33">
        <f t="shared" si="2"/>
        <v>0</v>
      </c>
      <c r="N11" s="33">
        <f t="shared" si="0"/>
        <v>0</v>
      </c>
      <c r="O11" s="11"/>
      <c r="S11" s="63"/>
      <c r="T11" s="33">
        <f t="shared" si="1"/>
        <v>0</v>
      </c>
      <c r="Z11" s="33">
        <f t="shared" si="3"/>
        <v>0</v>
      </c>
      <c r="AA11" s="11"/>
      <c r="AE11" s="63"/>
      <c r="AF11" s="33">
        <f t="shared" si="4"/>
        <v>0</v>
      </c>
      <c r="AL11" s="33">
        <f t="shared" si="5"/>
        <v>0</v>
      </c>
      <c r="AM11" s="72"/>
      <c r="AN11" s="72"/>
      <c r="AR11" s="33">
        <f t="shared" si="6"/>
        <v>0</v>
      </c>
      <c r="AX11" s="33">
        <f t="shared" si="7"/>
        <v>0</v>
      </c>
    </row>
    <row r="12" spans="1:50" x14ac:dyDescent="0.25">
      <c r="A12" s="41" t="s">
        <v>5</v>
      </c>
      <c r="B12" s="43">
        <v>11</v>
      </c>
      <c r="C12" s="11"/>
      <c r="H12" s="33">
        <f t="shared" si="2"/>
        <v>0</v>
      </c>
      <c r="N12" s="33">
        <f t="shared" si="0"/>
        <v>0</v>
      </c>
      <c r="O12" s="11"/>
      <c r="S12" s="63"/>
      <c r="T12" s="33">
        <f t="shared" si="1"/>
        <v>0</v>
      </c>
      <c r="Z12" s="33">
        <f t="shared" si="3"/>
        <v>0</v>
      </c>
      <c r="AA12" s="11"/>
      <c r="AE12" s="63"/>
      <c r="AF12" s="33">
        <f t="shared" si="4"/>
        <v>0</v>
      </c>
      <c r="AL12" s="33">
        <f t="shared" si="5"/>
        <v>0</v>
      </c>
      <c r="AM12" s="72"/>
      <c r="AN12" s="72"/>
      <c r="AR12" s="33">
        <f t="shared" si="6"/>
        <v>0</v>
      </c>
      <c r="AX12" s="33">
        <f t="shared" si="7"/>
        <v>0</v>
      </c>
    </row>
    <row r="13" spans="1:50" x14ac:dyDescent="0.25">
      <c r="A13" s="40" t="s">
        <v>8</v>
      </c>
      <c r="B13" s="44">
        <v>12</v>
      </c>
      <c r="C13" s="11"/>
      <c r="D13" s="1">
        <v>2</v>
      </c>
      <c r="H13" s="33">
        <f t="shared" si="2"/>
        <v>2</v>
      </c>
      <c r="J13" s="1">
        <v>2</v>
      </c>
      <c r="K13" s="1">
        <v>1</v>
      </c>
      <c r="L13" s="1">
        <v>1</v>
      </c>
      <c r="N13" s="33">
        <f t="shared" si="0"/>
        <v>4</v>
      </c>
      <c r="O13" s="11">
        <v>1</v>
      </c>
      <c r="S13" s="63"/>
      <c r="T13" s="33">
        <f t="shared" si="1"/>
        <v>1</v>
      </c>
      <c r="U13" s="1">
        <v>2</v>
      </c>
      <c r="X13" s="1">
        <v>2</v>
      </c>
      <c r="Y13" s="1">
        <v>2</v>
      </c>
      <c r="Z13" s="33">
        <f t="shared" si="3"/>
        <v>6</v>
      </c>
      <c r="AA13" s="11"/>
      <c r="AB13" s="1">
        <v>1</v>
      </c>
      <c r="AD13" s="1">
        <v>2</v>
      </c>
      <c r="AE13" s="63"/>
      <c r="AF13" s="33">
        <f t="shared" si="4"/>
        <v>3</v>
      </c>
      <c r="AG13" s="1">
        <v>1</v>
      </c>
      <c r="AH13" s="1">
        <v>1</v>
      </c>
      <c r="AI13" s="1">
        <v>2</v>
      </c>
      <c r="AJ13" s="1">
        <v>1</v>
      </c>
      <c r="AK13" s="1">
        <v>1</v>
      </c>
      <c r="AL13" s="33">
        <f t="shared" si="5"/>
        <v>6</v>
      </c>
      <c r="AM13" s="72"/>
      <c r="AN13" s="72"/>
      <c r="AO13" s="1">
        <v>1</v>
      </c>
      <c r="AR13" s="33">
        <f t="shared" si="6"/>
        <v>1</v>
      </c>
      <c r="AS13" s="1">
        <v>1</v>
      </c>
      <c r="AU13" s="1">
        <v>2</v>
      </c>
      <c r="AV13" s="1">
        <v>3</v>
      </c>
      <c r="AX13" s="33">
        <f t="shared" si="7"/>
        <v>6</v>
      </c>
    </row>
    <row r="14" spans="1:50" x14ac:dyDescent="0.25">
      <c r="A14" s="41" t="s">
        <v>6</v>
      </c>
      <c r="B14" s="43">
        <v>13</v>
      </c>
      <c r="C14" s="11"/>
      <c r="H14" s="33">
        <f t="shared" si="2"/>
        <v>0</v>
      </c>
      <c r="M14" s="1">
        <v>1</v>
      </c>
      <c r="N14" s="33">
        <f t="shared" si="0"/>
        <v>1</v>
      </c>
      <c r="O14" s="11">
        <v>1</v>
      </c>
      <c r="S14" s="63"/>
      <c r="T14" s="33">
        <f t="shared" si="1"/>
        <v>1</v>
      </c>
      <c r="Z14" s="33">
        <f t="shared" si="3"/>
        <v>0</v>
      </c>
      <c r="AA14" s="11"/>
      <c r="AE14" s="63"/>
      <c r="AF14" s="33">
        <f t="shared" si="4"/>
        <v>0</v>
      </c>
      <c r="AL14" s="33">
        <f t="shared" si="5"/>
        <v>0</v>
      </c>
      <c r="AM14" s="72"/>
      <c r="AN14" s="72"/>
      <c r="AR14" s="33">
        <f t="shared" si="6"/>
        <v>0</v>
      </c>
      <c r="AX14" s="33">
        <f t="shared" si="7"/>
        <v>0</v>
      </c>
    </row>
    <row r="15" spans="1:50" x14ac:dyDescent="0.25">
      <c r="A15" s="40" t="s">
        <v>7</v>
      </c>
      <c r="B15" s="43">
        <v>14</v>
      </c>
      <c r="C15" s="11"/>
      <c r="F15" s="1">
        <v>149</v>
      </c>
      <c r="H15" s="33">
        <f t="shared" si="2"/>
        <v>149</v>
      </c>
      <c r="L15" s="1">
        <v>70</v>
      </c>
      <c r="N15" s="33">
        <f t="shared" si="0"/>
        <v>70</v>
      </c>
      <c r="O15" s="11"/>
      <c r="S15" s="63"/>
      <c r="T15" s="33">
        <f t="shared" si="1"/>
        <v>0</v>
      </c>
      <c r="U15" s="1">
        <v>70</v>
      </c>
      <c r="V15" s="1">
        <v>140</v>
      </c>
      <c r="Z15" s="33">
        <f t="shared" si="3"/>
        <v>210</v>
      </c>
      <c r="AA15" s="11">
        <v>70</v>
      </c>
      <c r="AC15" s="1">
        <v>140</v>
      </c>
      <c r="AE15" s="63"/>
      <c r="AF15" s="33">
        <f t="shared" si="4"/>
        <v>210</v>
      </c>
      <c r="AL15" s="33">
        <f t="shared" si="5"/>
        <v>0</v>
      </c>
      <c r="AM15" s="72"/>
      <c r="AN15" s="72"/>
      <c r="AP15" s="1">
        <v>140</v>
      </c>
      <c r="AR15" s="33">
        <f t="shared" si="6"/>
        <v>140</v>
      </c>
      <c r="AU15" s="1">
        <v>70</v>
      </c>
      <c r="AX15" s="33">
        <f t="shared" si="7"/>
        <v>70</v>
      </c>
    </row>
    <row r="16" spans="1:50" x14ac:dyDescent="0.25">
      <c r="A16" s="40" t="s">
        <v>14</v>
      </c>
      <c r="B16" s="37">
        <v>15</v>
      </c>
      <c r="C16" s="11">
        <v>2</v>
      </c>
      <c r="G16" s="1">
        <v>9</v>
      </c>
      <c r="H16" s="33">
        <f t="shared" si="2"/>
        <v>11</v>
      </c>
      <c r="J16" s="1">
        <v>10</v>
      </c>
      <c r="N16" s="33">
        <f t="shared" si="0"/>
        <v>10</v>
      </c>
      <c r="O16" s="11"/>
      <c r="S16" s="63"/>
      <c r="T16" s="33">
        <f t="shared" si="1"/>
        <v>0</v>
      </c>
      <c r="W16" s="1">
        <v>10</v>
      </c>
      <c r="X16" s="1">
        <v>5</v>
      </c>
      <c r="Y16" s="1">
        <v>2</v>
      </c>
      <c r="Z16" s="33">
        <f t="shared" si="3"/>
        <v>17</v>
      </c>
      <c r="AA16" s="11"/>
      <c r="AE16" s="63"/>
      <c r="AF16" s="33">
        <f t="shared" si="4"/>
        <v>0</v>
      </c>
      <c r="AL16" s="33">
        <f t="shared" si="5"/>
        <v>0</v>
      </c>
      <c r="AM16" s="72"/>
      <c r="AN16" s="72"/>
      <c r="AQ16" s="1">
        <v>6</v>
      </c>
      <c r="AR16" s="33">
        <f t="shared" si="6"/>
        <v>6</v>
      </c>
      <c r="AS16" s="1">
        <v>5</v>
      </c>
      <c r="AX16" s="33">
        <f t="shared" si="7"/>
        <v>5</v>
      </c>
    </row>
    <row r="17" spans="1:50" x14ac:dyDescent="0.25">
      <c r="A17" s="15" t="s">
        <v>39</v>
      </c>
      <c r="B17" s="38">
        <v>16</v>
      </c>
      <c r="C17" s="12">
        <v>5</v>
      </c>
      <c r="D17" s="13">
        <v>10</v>
      </c>
      <c r="E17" s="13">
        <v>10</v>
      </c>
      <c r="F17" s="13"/>
      <c r="G17" s="13"/>
      <c r="H17" s="34">
        <f>SUM(C17:G17)</f>
        <v>25</v>
      </c>
      <c r="I17" s="13"/>
      <c r="J17" s="13"/>
      <c r="K17" s="13"/>
      <c r="L17" s="13"/>
      <c r="M17" s="13"/>
      <c r="N17" s="34">
        <f>SUM(I17:M17)</f>
        <v>0</v>
      </c>
      <c r="O17" s="12">
        <v>10</v>
      </c>
      <c r="P17" s="13">
        <v>10</v>
      </c>
      <c r="Q17" s="13">
        <v>10</v>
      </c>
      <c r="R17" s="13">
        <v>10</v>
      </c>
      <c r="S17" s="64">
        <v>10</v>
      </c>
      <c r="T17" s="34">
        <f t="shared" si="1"/>
        <v>50</v>
      </c>
      <c r="U17" s="13"/>
      <c r="V17" s="13"/>
      <c r="W17" s="13"/>
      <c r="X17" s="13"/>
      <c r="Y17" s="13"/>
      <c r="Z17" s="34">
        <f>SUM(U17:Y17)</f>
        <v>0</v>
      </c>
      <c r="AA17" s="12"/>
      <c r="AB17" s="13">
        <v>10</v>
      </c>
      <c r="AC17" s="13"/>
      <c r="AD17" s="13"/>
      <c r="AE17" s="64"/>
      <c r="AF17" s="34">
        <f>SUM(AA17:AE17)</f>
        <v>10</v>
      </c>
      <c r="AK17" s="1">
        <v>7</v>
      </c>
      <c r="AL17" s="34">
        <f>SUM(AG17:AK17)</f>
        <v>7</v>
      </c>
      <c r="AM17" s="72"/>
      <c r="AN17" s="72"/>
      <c r="AR17" s="34">
        <f>SUM(AM17:AQ17)</f>
        <v>0</v>
      </c>
      <c r="AT17" s="1">
        <v>5</v>
      </c>
      <c r="AX17" s="34">
        <f>SUM(AS17:AW17)</f>
        <v>5</v>
      </c>
    </row>
    <row r="18" spans="1:50" ht="255" x14ac:dyDescent="0.25">
      <c r="A18" s="1" t="s">
        <v>11</v>
      </c>
      <c r="B18" s="35"/>
      <c r="C18" s="4" t="s">
        <v>49</v>
      </c>
      <c r="D18" s="4" t="s">
        <v>50</v>
      </c>
      <c r="E18" s="4"/>
      <c r="F18" s="4" t="s">
        <v>51</v>
      </c>
      <c r="G18" s="4" t="s">
        <v>52</v>
      </c>
      <c r="I18" s="4" t="s">
        <v>66</v>
      </c>
      <c r="J18" s="4" t="s">
        <v>67</v>
      </c>
      <c r="K18" s="4" t="s">
        <v>68</v>
      </c>
      <c r="L18" s="4" t="s">
        <v>69</v>
      </c>
      <c r="M18" s="4" t="s">
        <v>70</v>
      </c>
      <c r="O18" s="4" t="s">
        <v>73</v>
      </c>
      <c r="P18" s="4" t="s">
        <v>73</v>
      </c>
      <c r="Q18" s="4" t="s">
        <v>73</v>
      </c>
      <c r="R18" s="4" t="s">
        <v>73</v>
      </c>
      <c r="S18" s="4" t="s">
        <v>73</v>
      </c>
      <c r="U18" s="4" t="s">
        <v>88</v>
      </c>
      <c r="V18" s="4" t="s">
        <v>89</v>
      </c>
      <c r="W18" s="4" t="s">
        <v>90</v>
      </c>
      <c r="X18" s="4" t="s">
        <v>91</v>
      </c>
      <c r="Y18" s="4" t="s">
        <v>92</v>
      </c>
      <c r="AA18" s="4" t="s">
        <v>97</v>
      </c>
      <c r="AC18" s="4" t="s">
        <v>95</v>
      </c>
      <c r="AD18" s="4" t="s">
        <v>96</v>
      </c>
      <c r="AE18" s="4" t="s">
        <v>96</v>
      </c>
      <c r="AG18" s="4" t="s">
        <v>110</v>
      </c>
      <c r="AH18" s="4" t="s">
        <v>111</v>
      </c>
      <c r="AI18" s="4" t="s">
        <v>112</v>
      </c>
      <c r="AJ18" s="4"/>
      <c r="AK18" s="4"/>
      <c r="AM18" s="73" t="s">
        <v>113</v>
      </c>
      <c r="AN18" s="73" t="s">
        <v>114</v>
      </c>
      <c r="AO18" s="4" t="s">
        <v>119</v>
      </c>
      <c r="AP18" s="4" t="s">
        <v>120</v>
      </c>
      <c r="AQ18" s="4" t="s">
        <v>121</v>
      </c>
      <c r="AS18" s="4" t="s">
        <v>128</v>
      </c>
      <c r="AT18" s="4" t="s">
        <v>129</v>
      </c>
      <c r="AU18" s="4" t="s">
        <v>130</v>
      </c>
      <c r="AV18" s="4" t="s">
        <v>131</v>
      </c>
      <c r="AW18" s="4" t="s">
        <v>132</v>
      </c>
      <c r="AX18" s="4"/>
    </row>
    <row r="19" spans="1:50" x14ac:dyDescent="0.25">
      <c r="A19" s="1" t="s">
        <v>10</v>
      </c>
      <c r="B19" s="35"/>
      <c r="D19" s="4"/>
      <c r="E19" s="4"/>
      <c r="F19" s="4"/>
      <c r="I19" s="4"/>
      <c r="K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AA19" s="4"/>
      <c r="AB19" s="4"/>
      <c r="AD19" s="4"/>
      <c r="AE19" s="4"/>
      <c r="AN19" s="4"/>
      <c r="AO19" s="4"/>
      <c r="AQ19" s="4"/>
      <c r="AS19" s="4"/>
      <c r="AT19" s="4"/>
      <c r="AU19" s="4"/>
      <c r="AV19" s="4"/>
      <c r="AW19" s="4"/>
    </row>
  </sheetData>
  <customSheetViews>
    <customSheetView guid="{E3841903-5B68-44FD-8F09-58E03D1025C5}" topLeftCell="AB1">
      <selection activeCell="AA2" sqref="AA2:AE1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AE18" sqref="AE18"/>
      <pageMargins left="0.511811024" right="0.511811024" top="0.78740157499999996" bottom="0.78740157499999996" header="0.31496062000000002" footer="0.31496062000000002"/>
    </customSheetView>
    <customSheetView guid="{20CB6D8F-C24D-4D4B-A424-AF380F620455}" scale="90" showPageBreaks="1">
      <selection activeCell="BK2" sqref="BK2:BO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cale="90" showAutoFilter="1">
      <pane xSplit="1" topLeftCell="R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9" xr:uid="{B4AED711-A242-43AC-B79E-EDEC354EA9CA}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7">
      <pane xSplit="1" topLeftCell="AU1" activePane="topRight" state="frozen"/>
      <selection pane="topRight" activeCell="BE18" sqref="BE18"/>
      <pageMargins left="0.511811024" right="0.511811024" top="0.78740157499999996" bottom="0.78740157499999996" header="0.31496062000000002" footer="0.31496062000000002"/>
    </customSheetView>
    <customSheetView guid="{86039CF8-B158-4D70-9A6F-A10C29CBD68A}" scale="90">
      <pane xSplit="1" topLeftCell="AS1" activePane="topRight" state="frozen"/>
      <selection pane="topRight" activeCell="AT1" sqref="AT1:AW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9"/>
  <sheetViews>
    <sheetView zoomScaleNormal="85" workbookViewId="0">
      <pane xSplit="1" topLeftCell="AM1" activePane="topRight" state="frozen"/>
      <selection pane="topRight" activeCell="AY12" sqref="AY12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5.28515625" style="1" customWidth="1"/>
    <col min="15" max="19" width="9.140625" style="1"/>
    <col min="20" max="20" width="15.7109375" style="1" customWidth="1"/>
    <col min="21" max="25" width="9.140625" style="1"/>
    <col min="26" max="26" width="16.140625" style="1" customWidth="1"/>
    <col min="27" max="31" width="9.140625" style="1"/>
    <col min="32" max="32" width="15" style="1" customWidth="1"/>
    <col min="33" max="37" width="9.140625" style="1"/>
    <col min="38" max="38" width="15.5703125" style="1" customWidth="1"/>
    <col min="39" max="39" width="9.7109375" style="1" customWidth="1"/>
    <col min="40" max="40" width="11" style="1" customWidth="1"/>
    <col min="41" max="43" width="9.140625" style="1"/>
    <col min="44" max="44" width="15" style="1" customWidth="1"/>
    <col min="45" max="49" width="9.140625" style="1"/>
    <col min="50" max="50" width="16.28515625" style="1" customWidth="1"/>
    <col min="51" max="16384" width="9.140625" style="1"/>
  </cols>
  <sheetData>
    <row r="1" spans="1:50" x14ac:dyDescent="0.25">
      <c r="A1" s="14" t="s">
        <v>9</v>
      </c>
      <c r="B1" s="42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19">
        <v>45690</v>
      </c>
      <c r="AB1" s="32">
        <v>45691</v>
      </c>
      <c r="AC1" s="32">
        <v>45692</v>
      </c>
      <c r="AD1" s="32">
        <v>45693</v>
      </c>
      <c r="AE1" s="70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H2" s="33">
        <f>SUM(C2:G2)</f>
        <v>0</v>
      </c>
      <c r="K2" s="1">
        <v>1</v>
      </c>
      <c r="N2" s="33">
        <f t="shared" ref="N2:N16" si="0">SUM(I2:M2)</f>
        <v>1</v>
      </c>
      <c r="T2" s="33">
        <f t="shared" ref="T2:T17" si="1">SUM(O2:S2)</f>
        <v>0</v>
      </c>
      <c r="Z2" s="33">
        <f>SUM(U2:Y2)</f>
        <v>0</v>
      </c>
      <c r="AA2" s="11"/>
      <c r="AE2" s="63"/>
      <c r="AF2" s="33">
        <f>SUM(AA2:AE2)</f>
        <v>0</v>
      </c>
      <c r="AG2" s="1">
        <v>1</v>
      </c>
      <c r="AL2" s="33">
        <f>SUM(AG2:AK2)</f>
        <v>1</v>
      </c>
      <c r="AM2" s="39" t="s">
        <v>107</v>
      </c>
      <c r="AN2" s="39" t="s">
        <v>108</v>
      </c>
      <c r="AR2" s="33">
        <f>SUM(AM2:AQ2)</f>
        <v>0</v>
      </c>
      <c r="AS2" s="56"/>
      <c r="AX2" s="33">
        <f>SUM(AS2:AW2)</f>
        <v>0</v>
      </c>
    </row>
    <row r="3" spans="1:50" x14ac:dyDescent="0.25">
      <c r="A3" s="40" t="s">
        <v>0</v>
      </c>
      <c r="B3" s="43">
        <v>2</v>
      </c>
      <c r="H3" s="33">
        <f t="shared" ref="H3:H16" si="2">SUM(C3:G3)</f>
        <v>0</v>
      </c>
      <c r="K3" s="1">
        <v>55</v>
      </c>
      <c r="N3" s="33">
        <f t="shared" si="0"/>
        <v>55</v>
      </c>
      <c r="T3" s="33">
        <f t="shared" si="1"/>
        <v>0</v>
      </c>
      <c r="Z3" s="33">
        <f t="shared" ref="Z3:Z16" si="3">SUM(U3:Y3)</f>
        <v>0</v>
      </c>
      <c r="AA3" s="11"/>
      <c r="AE3" s="63"/>
      <c r="AF3" s="33">
        <f t="shared" ref="AF3:AF16" si="4">SUM(AA3:AE3)</f>
        <v>0</v>
      </c>
      <c r="AL3" s="33">
        <f t="shared" ref="AL3:AL16" si="5">SUM(AG3:AK3)</f>
        <v>0</v>
      </c>
      <c r="AM3" s="39" t="s">
        <v>107</v>
      </c>
      <c r="AN3" s="39" t="s">
        <v>108</v>
      </c>
      <c r="AR3" s="33">
        <f t="shared" ref="AR3:AR16" si="6">SUM(AM3:AQ3)</f>
        <v>0</v>
      </c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H4" s="33">
        <f t="shared" si="2"/>
        <v>0</v>
      </c>
      <c r="N4" s="33">
        <f t="shared" si="0"/>
        <v>0</v>
      </c>
      <c r="T4" s="33">
        <f t="shared" si="1"/>
        <v>0</v>
      </c>
      <c r="Z4" s="33">
        <f t="shared" si="3"/>
        <v>0</v>
      </c>
      <c r="AA4" s="11"/>
      <c r="AE4" s="63"/>
      <c r="AF4" s="33">
        <f t="shared" si="4"/>
        <v>0</v>
      </c>
      <c r="AH4" s="1">
        <v>2</v>
      </c>
      <c r="AI4" s="1">
        <v>2</v>
      </c>
      <c r="AL4" s="33">
        <f t="shared" si="5"/>
        <v>4</v>
      </c>
      <c r="AM4" s="39" t="s">
        <v>107</v>
      </c>
      <c r="AN4" s="39" t="s">
        <v>108</v>
      </c>
      <c r="AR4" s="33">
        <f t="shared" si="6"/>
        <v>0</v>
      </c>
      <c r="AX4" s="33">
        <f t="shared" si="7"/>
        <v>0</v>
      </c>
    </row>
    <row r="5" spans="1:50" x14ac:dyDescent="0.25">
      <c r="A5" s="41" t="s">
        <v>16</v>
      </c>
      <c r="B5" s="43">
        <v>4</v>
      </c>
      <c r="G5" s="1">
        <v>12</v>
      </c>
      <c r="H5" s="33">
        <f t="shared" si="2"/>
        <v>12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A5" s="11"/>
      <c r="AE5" s="63"/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R5" s="33">
        <f t="shared" si="6"/>
        <v>0</v>
      </c>
      <c r="AX5" s="33">
        <f t="shared" si="7"/>
        <v>0</v>
      </c>
    </row>
    <row r="6" spans="1:50" x14ac:dyDescent="0.25">
      <c r="A6" s="41" t="s">
        <v>1</v>
      </c>
      <c r="B6" s="43">
        <v>5</v>
      </c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A6" s="11"/>
      <c r="AE6" s="63"/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R6" s="33">
        <f t="shared" si="6"/>
        <v>0</v>
      </c>
      <c r="AX6" s="33">
        <f t="shared" si="7"/>
        <v>0</v>
      </c>
    </row>
    <row r="7" spans="1:50" x14ac:dyDescent="0.25">
      <c r="A7" s="41" t="s">
        <v>2</v>
      </c>
      <c r="B7" s="44">
        <v>6</v>
      </c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A7" s="11"/>
      <c r="AE7" s="63"/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R7" s="33">
        <f t="shared" si="6"/>
        <v>0</v>
      </c>
      <c r="AX7" s="33">
        <f t="shared" si="7"/>
        <v>0</v>
      </c>
    </row>
    <row r="8" spans="1:50" x14ac:dyDescent="0.25">
      <c r="A8" s="41" t="s">
        <v>3</v>
      </c>
      <c r="B8" s="43">
        <v>7</v>
      </c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A8" s="11"/>
      <c r="AE8" s="63"/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R8" s="33">
        <f t="shared" si="6"/>
        <v>0</v>
      </c>
      <c r="AX8" s="33">
        <f t="shared" si="7"/>
        <v>0</v>
      </c>
    </row>
    <row r="9" spans="1:50" x14ac:dyDescent="0.25">
      <c r="A9" s="41" t="s">
        <v>13</v>
      </c>
      <c r="B9" s="43">
        <v>8</v>
      </c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A9" s="11"/>
      <c r="AE9" s="63"/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R9" s="33">
        <f t="shared" si="6"/>
        <v>0</v>
      </c>
      <c r="AX9" s="33">
        <f t="shared" si="7"/>
        <v>0</v>
      </c>
    </row>
    <row r="10" spans="1:50" x14ac:dyDescent="0.25">
      <c r="A10" s="40" t="s">
        <v>12</v>
      </c>
      <c r="B10" s="44">
        <v>9</v>
      </c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A10" s="11"/>
      <c r="AE10" s="63"/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R10" s="33">
        <f t="shared" si="6"/>
        <v>0</v>
      </c>
      <c r="AX10" s="33">
        <f t="shared" si="7"/>
        <v>0</v>
      </c>
    </row>
    <row r="11" spans="1:50" x14ac:dyDescent="0.25">
      <c r="A11" s="41" t="s">
        <v>4</v>
      </c>
      <c r="B11" s="43">
        <v>10</v>
      </c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A11" s="11"/>
      <c r="AE11" s="63"/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R11" s="33">
        <f t="shared" si="6"/>
        <v>0</v>
      </c>
      <c r="AX11" s="33">
        <f t="shared" si="7"/>
        <v>0</v>
      </c>
    </row>
    <row r="12" spans="1:50" x14ac:dyDescent="0.25">
      <c r="A12" s="41" t="s">
        <v>5</v>
      </c>
      <c r="B12" s="43">
        <v>11</v>
      </c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A12" s="11"/>
      <c r="AE12" s="63"/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R12" s="33">
        <f t="shared" si="6"/>
        <v>0</v>
      </c>
      <c r="AX12" s="33">
        <f t="shared" si="7"/>
        <v>0</v>
      </c>
    </row>
    <row r="13" spans="1:50" x14ac:dyDescent="0.25">
      <c r="A13" s="40" t="s">
        <v>8</v>
      </c>
      <c r="B13" s="44">
        <v>12</v>
      </c>
      <c r="H13" s="33">
        <f t="shared" si="2"/>
        <v>0</v>
      </c>
      <c r="N13" s="33">
        <f t="shared" si="0"/>
        <v>0</v>
      </c>
      <c r="T13" s="33">
        <f t="shared" si="1"/>
        <v>0</v>
      </c>
      <c r="Z13" s="33">
        <f t="shared" si="3"/>
        <v>0</v>
      </c>
      <c r="AA13" s="11"/>
      <c r="AB13" s="1">
        <v>1</v>
      </c>
      <c r="AD13" s="1">
        <v>2</v>
      </c>
      <c r="AE13" s="63"/>
      <c r="AF13" s="33">
        <f t="shared" si="4"/>
        <v>3</v>
      </c>
      <c r="AL13" s="33">
        <f t="shared" si="5"/>
        <v>0</v>
      </c>
      <c r="AM13" s="39" t="s">
        <v>107</v>
      </c>
      <c r="AN13" s="39" t="s">
        <v>108</v>
      </c>
      <c r="AR13" s="33">
        <f t="shared" si="6"/>
        <v>0</v>
      </c>
      <c r="AX13" s="33">
        <f t="shared" si="7"/>
        <v>0</v>
      </c>
    </row>
    <row r="14" spans="1:50" x14ac:dyDescent="0.25">
      <c r="A14" s="41" t="s">
        <v>6</v>
      </c>
      <c r="B14" s="43">
        <v>13</v>
      </c>
      <c r="H14" s="33">
        <f t="shared" si="2"/>
        <v>0</v>
      </c>
      <c r="N14" s="33">
        <f t="shared" si="0"/>
        <v>0</v>
      </c>
      <c r="T14" s="33">
        <f t="shared" si="1"/>
        <v>0</v>
      </c>
      <c r="Z14" s="33">
        <f t="shared" si="3"/>
        <v>0</v>
      </c>
      <c r="AA14" s="11"/>
      <c r="AE14" s="63"/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R14" s="33">
        <f t="shared" si="6"/>
        <v>0</v>
      </c>
      <c r="AX14" s="33">
        <f t="shared" si="7"/>
        <v>0</v>
      </c>
    </row>
    <row r="15" spans="1:50" x14ac:dyDescent="0.25">
      <c r="A15" s="40" t="s">
        <v>7</v>
      </c>
      <c r="B15" s="43">
        <v>14</v>
      </c>
      <c r="H15" s="33">
        <f t="shared" si="2"/>
        <v>0</v>
      </c>
      <c r="N15" s="33">
        <f t="shared" si="0"/>
        <v>0</v>
      </c>
      <c r="T15" s="33">
        <f t="shared" si="1"/>
        <v>0</v>
      </c>
      <c r="V15" s="1">
        <v>70</v>
      </c>
      <c r="Z15" s="33">
        <f t="shared" si="3"/>
        <v>70</v>
      </c>
      <c r="AA15" s="11">
        <v>70</v>
      </c>
      <c r="AC15" s="1">
        <v>140</v>
      </c>
      <c r="AE15" s="63"/>
      <c r="AF15" s="33">
        <f t="shared" si="4"/>
        <v>210</v>
      </c>
      <c r="AL15" s="33">
        <f t="shared" si="5"/>
        <v>0</v>
      </c>
      <c r="AM15" s="39" t="s">
        <v>107</v>
      </c>
      <c r="AN15" s="39" t="s">
        <v>108</v>
      </c>
      <c r="AP15" s="1">
        <v>140</v>
      </c>
      <c r="AR15" s="33">
        <f t="shared" si="6"/>
        <v>140</v>
      </c>
      <c r="AX15" s="33">
        <f t="shared" si="7"/>
        <v>0</v>
      </c>
    </row>
    <row r="16" spans="1:50" x14ac:dyDescent="0.25">
      <c r="A16" s="40" t="s">
        <v>14</v>
      </c>
      <c r="B16" s="37">
        <v>15</v>
      </c>
      <c r="H16" s="33">
        <f t="shared" si="2"/>
        <v>0</v>
      </c>
      <c r="N16" s="33">
        <f t="shared" si="0"/>
        <v>0</v>
      </c>
      <c r="T16" s="33">
        <f t="shared" si="1"/>
        <v>0</v>
      </c>
      <c r="Z16" s="33">
        <f t="shared" si="3"/>
        <v>0</v>
      </c>
      <c r="AA16" s="11"/>
      <c r="AE16" s="63"/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Q16" s="1">
        <v>8</v>
      </c>
      <c r="AR16" s="33">
        <f t="shared" si="6"/>
        <v>8</v>
      </c>
      <c r="AX16" s="33">
        <f t="shared" si="7"/>
        <v>0</v>
      </c>
    </row>
    <row r="17" spans="1:50" x14ac:dyDescent="0.25">
      <c r="A17" s="15" t="s">
        <v>39</v>
      </c>
      <c r="B17" s="38">
        <v>16</v>
      </c>
      <c r="C17" s="13">
        <v>10</v>
      </c>
      <c r="D17" s="13">
        <v>10</v>
      </c>
      <c r="E17" s="13">
        <v>10</v>
      </c>
      <c r="F17" s="13">
        <v>5</v>
      </c>
      <c r="G17" s="13"/>
      <c r="H17" s="34">
        <f>SUM(C17:G17)</f>
        <v>35</v>
      </c>
      <c r="I17" s="13">
        <v>10</v>
      </c>
      <c r="J17" s="13">
        <v>10</v>
      </c>
      <c r="K17" s="13">
        <v>6</v>
      </c>
      <c r="L17" s="13"/>
      <c r="M17" s="13">
        <v>10</v>
      </c>
      <c r="N17" s="34">
        <f>SUM(I17:M17)</f>
        <v>36</v>
      </c>
      <c r="O17" s="13">
        <v>10</v>
      </c>
      <c r="P17" s="13">
        <v>10</v>
      </c>
      <c r="Q17" s="13">
        <v>10</v>
      </c>
      <c r="R17" s="13">
        <v>10</v>
      </c>
      <c r="S17" s="13">
        <v>10</v>
      </c>
      <c r="T17" s="34">
        <f t="shared" si="1"/>
        <v>50</v>
      </c>
      <c r="U17" s="13"/>
      <c r="V17" s="13"/>
      <c r="W17" s="13"/>
      <c r="X17" s="13"/>
      <c r="Y17" s="13"/>
      <c r="Z17" s="34">
        <f>SUM(U17:Y17)</f>
        <v>0</v>
      </c>
      <c r="AA17" s="12"/>
      <c r="AB17" s="13">
        <v>10</v>
      </c>
      <c r="AC17" s="13"/>
      <c r="AD17" s="13"/>
      <c r="AE17" s="64"/>
      <c r="AF17" s="34">
        <f>SUM(AA17:AE17)</f>
        <v>10</v>
      </c>
      <c r="AG17" s="13"/>
      <c r="AH17" s="13"/>
      <c r="AI17" s="13"/>
      <c r="AJ17" s="13"/>
      <c r="AK17" s="13"/>
      <c r="AL17" s="34">
        <f>SUM(AG17:AK17)</f>
        <v>0</v>
      </c>
      <c r="AM17" s="71" t="s">
        <v>107</v>
      </c>
      <c r="AN17" s="71" t="s">
        <v>108</v>
      </c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</row>
    <row r="18" spans="1:50" ht="390" x14ac:dyDescent="0.25">
      <c r="A18" s="1" t="s">
        <v>11</v>
      </c>
      <c r="C18" s="4" t="s">
        <v>53</v>
      </c>
      <c r="D18" s="4" t="s">
        <v>53</v>
      </c>
      <c r="E18" s="4" t="s">
        <v>53</v>
      </c>
      <c r="F18" s="4" t="s">
        <v>55</v>
      </c>
      <c r="G18" s="4" t="s">
        <v>57</v>
      </c>
      <c r="I18" s="4" t="s">
        <v>53</v>
      </c>
      <c r="J18" s="4" t="s">
        <v>53</v>
      </c>
      <c r="K18" s="4" t="s">
        <v>53</v>
      </c>
      <c r="L18" s="4" t="s">
        <v>58</v>
      </c>
      <c r="M18" s="4" t="s">
        <v>53</v>
      </c>
      <c r="O18" s="4" t="s">
        <v>53</v>
      </c>
      <c r="P18" s="4" t="s">
        <v>53</v>
      </c>
      <c r="Q18" s="4" t="s">
        <v>53</v>
      </c>
      <c r="R18" s="4" t="s">
        <v>53</v>
      </c>
      <c r="S18" s="4" t="s">
        <v>53</v>
      </c>
      <c r="U18" s="4" t="s">
        <v>62</v>
      </c>
      <c r="V18" s="4" t="s">
        <v>81</v>
      </c>
      <c r="W18" s="4" t="s">
        <v>78</v>
      </c>
      <c r="X18" s="4" t="s">
        <v>78</v>
      </c>
      <c r="Y18" s="4" t="s">
        <v>60</v>
      </c>
      <c r="AA18" s="4" t="s">
        <v>93</v>
      </c>
      <c r="AC18" s="4" t="s">
        <v>95</v>
      </c>
      <c r="AD18" s="4" t="s">
        <v>96</v>
      </c>
      <c r="AE18" s="4" t="s">
        <v>96</v>
      </c>
      <c r="AG18" s="4" t="s">
        <v>103</v>
      </c>
      <c r="AH18" s="4" t="s">
        <v>104</v>
      </c>
      <c r="AI18" s="4" t="s">
        <v>104</v>
      </c>
      <c r="AJ18" s="4" t="s">
        <v>53</v>
      </c>
      <c r="AK18" s="4" t="s">
        <v>53</v>
      </c>
      <c r="AO18" s="4" t="s">
        <v>126</v>
      </c>
      <c r="AP18" s="4" t="s">
        <v>122</v>
      </c>
      <c r="AQ18" s="4" t="s">
        <v>123</v>
      </c>
    </row>
    <row r="19" spans="1:50" ht="180" x14ac:dyDescent="0.25">
      <c r="A19" s="1" t="s">
        <v>10</v>
      </c>
      <c r="F19" s="4" t="s">
        <v>56</v>
      </c>
      <c r="K19" s="4" t="s">
        <v>61</v>
      </c>
      <c r="L19" s="4" t="s">
        <v>59</v>
      </c>
      <c r="V19" s="4" t="s">
        <v>76</v>
      </c>
      <c r="Y19" s="4" t="s">
        <v>80</v>
      </c>
      <c r="AA19" s="4" t="s">
        <v>94</v>
      </c>
    </row>
  </sheetData>
  <customSheetViews>
    <customSheetView guid="{E3841903-5B68-44FD-8F09-58E03D1025C5}" topLeftCell="Z1">
      <selection activeCell="AA2" sqref="AA2:AE1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K1" activePane="topRight" state="frozen"/>
      <selection pane="topRight" activeCell="AU18" sqref="AU18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Z7">
      <selection activeCell="AI18" sqref="AI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pane xSplit="1" topLeftCell="Z1" activePane="topRight" state="frozen"/>
      <selection pane="topRight" activeCell="AH18" sqref="AH18"/>
      <pageMargins left="0.511811024" right="0.511811024" top="0.78740157499999996" bottom="0.78740157499999996" header="0.31496062000000002" footer="0.31496062000000002"/>
      <pageSetup paperSize="9" orientation="portrait" horizontalDpi="200" verticalDpi="200" r:id="rId2"/>
      <autoFilter ref="A1:B19" xr:uid="{A89B0C59-1173-4C09-B03D-43683FBB364D}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M1" activePane="topRight" state="frozen"/>
      <selection pane="topRight" activeCell="AY12" sqref="AY12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AF17" sqref="AF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19"/>
  <sheetViews>
    <sheetView zoomScaleNormal="85" workbookViewId="0">
      <pane xSplit="1" topLeftCell="AJ1" activePane="topRight" state="frozen"/>
      <selection pane="topRight" activeCell="AV15" sqref="AV15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3.28515625" style="1" customWidth="1"/>
    <col min="4" max="4" width="12.28515625" style="1" customWidth="1"/>
    <col min="5" max="7" width="9.140625" style="1"/>
    <col min="8" max="8" width="15.5703125" style="1" customWidth="1"/>
    <col min="9" max="13" width="9.140625" style="1"/>
    <col min="14" max="14" width="14.7109375" style="1" customWidth="1"/>
    <col min="15" max="19" width="9.140625" style="1"/>
    <col min="20" max="20" width="15.5703125" style="1" customWidth="1"/>
    <col min="21" max="25" width="9.140625" style="1"/>
    <col min="26" max="26" width="14.85546875" style="1" customWidth="1"/>
    <col min="27" max="31" width="9.140625" style="1"/>
    <col min="32" max="32" width="15.140625" style="1" customWidth="1"/>
    <col min="33" max="37" width="9.140625" style="1"/>
    <col min="38" max="38" width="16" style="1" customWidth="1"/>
    <col min="39" max="39" width="9.85546875" style="1" customWidth="1"/>
    <col min="40" max="40" width="10.28515625" style="1" customWidth="1"/>
    <col min="41" max="43" width="9.140625" style="1"/>
    <col min="44" max="44" width="15.28515625" style="1" customWidth="1"/>
    <col min="45" max="49" width="9.140625" style="1"/>
    <col min="50" max="50" width="15.85546875" style="1" customWidth="1"/>
    <col min="51" max="16384" width="9.140625" style="1"/>
  </cols>
  <sheetData>
    <row r="1" spans="1:50" x14ac:dyDescent="0.25">
      <c r="A1" s="14" t="s">
        <v>9</v>
      </c>
      <c r="B1" s="42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H2" s="33">
        <f>SUM(C2:G2)</f>
        <v>0</v>
      </c>
      <c r="K2" s="1">
        <v>1</v>
      </c>
      <c r="N2" s="33">
        <f t="shared" ref="N2:N16" si="0">SUM(I2:M2)</f>
        <v>1</v>
      </c>
      <c r="T2" s="33">
        <f t="shared" ref="T2:T17" si="1">SUM(O2:S2)</f>
        <v>0</v>
      </c>
      <c r="W2" s="1">
        <v>1</v>
      </c>
      <c r="Z2" s="33">
        <f>SUM(U2:Y2)</f>
        <v>1</v>
      </c>
      <c r="AA2" s="14"/>
      <c r="AB2" s="18"/>
      <c r="AC2" s="18"/>
      <c r="AD2" s="18"/>
      <c r="AE2" s="5"/>
      <c r="AF2" s="33">
        <f>SUM(AA2:AE2)</f>
        <v>0</v>
      </c>
      <c r="AL2" s="33">
        <f>SUM(AG2:AK2)</f>
        <v>0</v>
      </c>
      <c r="AM2" s="39" t="s">
        <v>107</v>
      </c>
      <c r="AN2" s="39" t="s">
        <v>108</v>
      </c>
      <c r="AR2" s="33">
        <f>SUM(AM2:AQ2)</f>
        <v>0</v>
      </c>
      <c r="AS2" s="74"/>
      <c r="AT2" s="18"/>
      <c r="AU2" s="18"/>
      <c r="AV2" s="18"/>
      <c r="AW2" s="5"/>
      <c r="AX2" s="33">
        <f>SUM(AS2:AW2)</f>
        <v>0</v>
      </c>
    </row>
    <row r="3" spans="1:50" x14ac:dyDescent="0.25">
      <c r="A3" s="40" t="s">
        <v>0</v>
      </c>
      <c r="B3" s="43">
        <v>2</v>
      </c>
      <c r="H3" s="33">
        <f t="shared" ref="H3:H16" si="2">SUM(C3:G3)</f>
        <v>0</v>
      </c>
      <c r="K3" s="1">
        <v>55</v>
      </c>
      <c r="N3" s="33">
        <f t="shared" si="0"/>
        <v>55</v>
      </c>
      <c r="T3" s="33">
        <f t="shared" si="1"/>
        <v>0</v>
      </c>
      <c r="U3" s="1">
        <v>5</v>
      </c>
      <c r="Z3" s="33">
        <f t="shared" ref="Z3:Z16" si="3">SUM(U3:Y3)</f>
        <v>5</v>
      </c>
      <c r="AA3" s="11"/>
      <c r="AD3" s="1">
        <v>4</v>
      </c>
      <c r="AE3" s="63"/>
      <c r="AF3" s="33">
        <f t="shared" ref="AF3:AF16" si="4">SUM(AA3:AE3)</f>
        <v>4</v>
      </c>
      <c r="AL3" s="33">
        <f t="shared" ref="AL3:AL16" si="5">SUM(AG3:AK3)</f>
        <v>0</v>
      </c>
      <c r="AM3" s="39" t="s">
        <v>107</v>
      </c>
      <c r="AN3" s="39" t="s">
        <v>108</v>
      </c>
      <c r="AR3" s="33">
        <f t="shared" ref="AR3:AR16" si="6">SUM(AM3:AQ3)</f>
        <v>0</v>
      </c>
      <c r="AS3" s="11"/>
      <c r="AW3" s="63"/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H4" s="33">
        <f t="shared" si="2"/>
        <v>0</v>
      </c>
      <c r="N4" s="33">
        <f t="shared" si="0"/>
        <v>0</v>
      </c>
      <c r="T4" s="33">
        <f t="shared" si="1"/>
        <v>0</v>
      </c>
      <c r="V4" s="1">
        <v>1</v>
      </c>
      <c r="X4" s="1">
        <v>8</v>
      </c>
      <c r="Y4" s="1">
        <v>12</v>
      </c>
      <c r="Z4" s="33">
        <f t="shared" si="3"/>
        <v>21</v>
      </c>
      <c r="AA4" s="11"/>
      <c r="AE4" s="63"/>
      <c r="AF4" s="33">
        <f t="shared" si="4"/>
        <v>0</v>
      </c>
      <c r="AL4" s="33">
        <f t="shared" si="5"/>
        <v>0</v>
      </c>
      <c r="AM4" s="39" t="s">
        <v>107</v>
      </c>
      <c r="AN4" s="39" t="s">
        <v>108</v>
      </c>
      <c r="AR4" s="33">
        <f t="shared" si="6"/>
        <v>0</v>
      </c>
      <c r="AS4" s="11"/>
      <c r="AV4" s="1">
        <v>2</v>
      </c>
      <c r="AW4" s="63"/>
      <c r="AX4" s="33">
        <f t="shared" si="7"/>
        <v>2</v>
      </c>
    </row>
    <row r="5" spans="1:50" x14ac:dyDescent="0.25">
      <c r="A5" s="41" t="s">
        <v>16</v>
      </c>
      <c r="B5" s="43">
        <v>4</v>
      </c>
      <c r="G5" s="1">
        <v>12</v>
      </c>
      <c r="H5" s="33">
        <f t="shared" si="2"/>
        <v>12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A5" s="11"/>
      <c r="AE5" s="63"/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R5" s="33">
        <f t="shared" si="6"/>
        <v>0</v>
      </c>
      <c r="AS5" s="11"/>
      <c r="AV5" s="1">
        <v>1</v>
      </c>
      <c r="AW5" s="63"/>
      <c r="AX5" s="33">
        <f t="shared" si="7"/>
        <v>1</v>
      </c>
    </row>
    <row r="6" spans="1:50" x14ac:dyDescent="0.25">
      <c r="A6" s="41" t="s">
        <v>1</v>
      </c>
      <c r="B6" s="43">
        <v>5</v>
      </c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A6" s="11"/>
      <c r="AE6" s="63"/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R6" s="33">
        <f t="shared" si="6"/>
        <v>0</v>
      </c>
      <c r="AS6" s="11"/>
      <c r="AW6" s="63"/>
      <c r="AX6" s="33">
        <f t="shared" si="7"/>
        <v>0</v>
      </c>
    </row>
    <row r="7" spans="1:50" x14ac:dyDescent="0.25">
      <c r="A7" s="41" t="s">
        <v>2</v>
      </c>
      <c r="B7" s="44">
        <v>6</v>
      </c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A7" s="11"/>
      <c r="AE7" s="63"/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R7" s="33">
        <f t="shared" si="6"/>
        <v>0</v>
      </c>
      <c r="AS7" s="11"/>
      <c r="AW7" s="63"/>
      <c r="AX7" s="33">
        <f t="shared" si="7"/>
        <v>0</v>
      </c>
    </row>
    <row r="8" spans="1:50" x14ac:dyDescent="0.25">
      <c r="A8" s="41" t="s">
        <v>3</v>
      </c>
      <c r="B8" s="43">
        <v>7</v>
      </c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A8" s="11"/>
      <c r="AE8" s="63"/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R8" s="33">
        <f t="shared" si="6"/>
        <v>0</v>
      </c>
      <c r="AS8" s="11"/>
      <c r="AW8" s="63"/>
      <c r="AX8" s="33">
        <f t="shared" si="7"/>
        <v>0</v>
      </c>
    </row>
    <row r="9" spans="1:50" x14ac:dyDescent="0.25">
      <c r="A9" s="41" t="s">
        <v>13</v>
      </c>
      <c r="B9" s="43">
        <v>8</v>
      </c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A9" s="11"/>
      <c r="AE9" s="63"/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R9" s="33">
        <f t="shared" si="6"/>
        <v>0</v>
      </c>
      <c r="AS9" s="11"/>
      <c r="AW9" s="63"/>
      <c r="AX9" s="33">
        <f t="shared" si="7"/>
        <v>0</v>
      </c>
    </row>
    <row r="10" spans="1:50" x14ac:dyDescent="0.25">
      <c r="A10" s="40" t="s">
        <v>12</v>
      </c>
      <c r="B10" s="44">
        <v>9</v>
      </c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A10" s="11"/>
      <c r="AE10" s="63"/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R10" s="33">
        <f t="shared" si="6"/>
        <v>0</v>
      </c>
      <c r="AS10" s="11"/>
      <c r="AW10" s="63"/>
      <c r="AX10" s="33">
        <f t="shared" si="7"/>
        <v>0</v>
      </c>
    </row>
    <row r="11" spans="1:50" x14ac:dyDescent="0.25">
      <c r="A11" s="41" t="s">
        <v>4</v>
      </c>
      <c r="B11" s="43">
        <v>10</v>
      </c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A11" s="11"/>
      <c r="AE11" s="63"/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R11" s="33">
        <f t="shared" si="6"/>
        <v>0</v>
      </c>
      <c r="AS11" s="11"/>
      <c r="AW11" s="63"/>
      <c r="AX11" s="33">
        <f t="shared" si="7"/>
        <v>0</v>
      </c>
    </row>
    <row r="12" spans="1:50" x14ac:dyDescent="0.25">
      <c r="A12" s="41" t="s">
        <v>5</v>
      </c>
      <c r="B12" s="43">
        <v>11</v>
      </c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A12" s="11"/>
      <c r="AE12" s="63"/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R12" s="33">
        <f t="shared" si="6"/>
        <v>0</v>
      </c>
      <c r="AS12" s="11"/>
      <c r="AW12" s="63"/>
      <c r="AX12" s="33">
        <f t="shared" si="7"/>
        <v>0</v>
      </c>
    </row>
    <row r="13" spans="1:50" x14ac:dyDescent="0.25">
      <c r="A13" s="40" t="s">
        <v>8</v>
      </c>
      <c r="B13" s="44">
        <v>12</v>
      </c>
      <c r="H13" s="33">
        <f t="shared" si="2"/>
        <v>0</v>
      </c>
      <c r="N13" s="33">
        <f t="shared" si="0"/>
        <v>0</v>
      </c>
      <c r="T13" s="33">
        <f t="shared" si="1"/>
        <v>0</v>
      </c>
      <c r="W13" s="1">
        <v>3</v>
      </c>
      <c r="Z13" s="33">
        <f t="shared" si="3"/>
        <v>3</v>
      </c>
      <c r="AA13" s="11"/>
      <c r="AE13" s="63"/>
      <c r="AF13" s="33">
        <f t="shared" si="4"/>
        <v>0</v>
      </c>
      <c r="AG13" s="1">
        <v>2</v>
      </c>
      <c r="AH13" s="1">
        <v>2</v>
      </c>
      <c r="AL13" s="33">
        <f t="shared" si="5"/>
        <v>4</v>
      </c>
      <c r="AM13" s="39" t="s">
        <v>107</v>
      </c>
      <c r="AN13" s="39" t="s">
        <v>108</v>
      </c>
      <c r="AR13" s="33">
        <f t="shared" si="6"/>
        <v>0</v>
      </c>
      <c r="AS13" s="11"/>
      <c r="AW13" s="63"/>
      <c r="AX13" s="33">
        <f t="shared" si="7"/>
        <v>0</v>
      </c>
    </row>
    <row r="14" spans="1:50" x14ac:dyDescent="0.25">
      <c r="A14" s="41" t="s">
        <v>6</v>
      </c>
      <c r="B14" s="43">
        <v>13</v>
      </c>
      <c r="H14" s="33">
        <f t="shared" si="2"/>
        <v>0</v>
      </c>
      <c r="N14" s="33">
        <f t="shared" si="0"/>
        <v>0</v>
      </c>
      <c r="T14" s="33">
        <f t="shared" si="1"/>
        <v>0</v>
      </c>
      <c r="Z14" s="33">
        <f t="shared" si="3"/>
        <v>0</v>
      </c>
      <c r="AA14" s="11"/>
      <c r="AE14" s="63"/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R14" s="33">
        <f t="shared" si="6"/>
        <v>0</v>
      </c>
      <c r="AS14" s="11"/>
      <c r="AW14" s="63"/>
      <c r="AX14" s="33">
        <f t="shared" si="7"/>
        <v>0</v>
      </c>
    </row>
    <row r="15" spans="1:50" x14ac:dyDescent="0.25">
      <c r="A15" s="40" t="s">
        <v>7</v>
      </c>
      <c r="B15" s="43">
        <v>14</v>
      </c>
      <c r="H15" s="33">
        <f t="shared" si="2"/>
        <v>0</v>
      </c>
      <c r="N15" s="33">
        <f t="shared" si="0"/>
        <v>0</v>
      </c>
      <c r="T15" s="33">
        <f t="shared" si="1"/>
        <v>0</v>
      </c>
      <c r="Z15" s="33">
        <f t="shared" si="3"/>
        <v>0</v>
      </c>
      <c r="AA15" s="11">
        <v>70</v>
      </c>
      <c r="AC15" s="1">
        <v>140</v>
      </c>
      <c r="AE15" s="63"/>
      <c r="AF15" s="33">
        <f t="shared" si="4"/>
        <v>210</v>
      </c>
      <c r="AL15" s="33">
        <f t="shared" si="5"/>
        <v>0</v>
      </c>
      <c r="AM15" s="39" t="s">
        <v>107</v>
      </c>
      <c r="AN15" s="39" t="s">
        <v>108</v>
      </c>
      <c r="AP15" s="1">
        <v>140</v>
      </c>
      <c r="AR15" s="33">
        <f t="shared" si="6"/>
        <v>140</v>
      </c>
      <c r="AS15" s="11"/>
      <c r="AU15" s="1">
        <v>70</v>
      </c>
      <c r="AW15" s="63"/>
      <c r="AX15" s="33">
        <f t="shared" si="7"/>
        <v>70</v>
      </c>
    </row>
    <row r="16" spans="1:50" x14ac:dyDescent="0.25">
      <c r="A16" s="40" t="s">
        <v>14</v>
      </c>
      <c r="B16" s="37">
        <v>15</v>
      </c>
      <c r="H16" s="33">
        <f t="shared" si="2"/>
        <v>0</v>
      </c>
      <c r="N16" s="33">
        <f t="shared" si="0"/>
        <v>0</v>
      </c>
      <c r="T16" s="33">
        <f t="shared" si="1"/>
        <v>0</v>
      </c>
      <c r="Z16" s="33">
        <f t="shared" si="3"/>
        <v>0</v>
      </c>
      <c r="AA16" s="11"/>
      <c r="AE16" s="63"/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Q16" s="1">
        <v>8</v>
      </c>
      <c r="AR16" s="33">
        <f t="shared" si="6"/>
        <v>8</v>
      </c>
      <c r="AS16" s="11">
        <v>5</v>
      </c>
      <c r="AW16" s="63"/>
      <c r="AX16" s="33">
        <f t="shared" si="7"/>
        <v>5</v>
      </c>
    </row>
    <row r="17" spans="1:50" x14ac:dyDescent="0.25">
      <c r="A17" s="15" t="s">
        <v>39</v>
      </c>
      <c r="B17" s="38">
        <v>16</v>
      </c>
      <c r="C17" s="13"/>
      <c r="D17" s="13"/>
      <c r="E17" s="13">
        <v>10</v>
      </c>
      <c r="F17" s="13">
        <v>10</v>
      </c>
      <c r="G17" s="13"/>
      <c r="H17" s="34">
        <f>SUM(C17:G17)</f>
        <v>20</v>
      </c>
      <c r="I17" s="13">
        <v>12</v>
      </c>
      <c r="J17" s="13">
        <v>10</v>
      </c>
      <c r="K17" s="13">
        <v>10</v>
      </c>
      <c r="L17" s="13"/>
      <c r="M17" s="13">
        <v>12</v>
      </c>
      <c r="N17" s="34">
        <f>SUM(I17:M17)</f>
        <v>44</v>
      </c>
      <c r="O17" s="13">
        <v>5</v>
      </c>
      <c r="P17" s="13">
        <v>5</v>
      </c>
      <c r="Q17" s="13">
        <v>5</v>
      </c>
      <c r="R17" s="13">
        <v>5</v>
      </c>
      <c r="S17" s="13">
        <v>5</v>
      </c>
      <c r="T17" s="34">
        <f t="shared" si="1"/>
        <v>25</v>
      </c>
      <c r="U17" s="13"/>
      <c r="V17" s="13"/>
      <c r="W17" s="13"/>
      <c r="X17" s="13"/>
      <c r="Y17" s="13"/>
      <c r="Z17" s="34">
        <f>SUM(U17:Y17)</f>
        <v>0</v>
      </c>
      <c r="AA17" s="12"/>
      <c r="AB17" s="13">
        <v>10</v>
      </c>
      <c r="AC17" s="13"/>
      <c r="AD17" s="13"/>
      <c r="AE17" s="64"/>
      <c r="AF17" s="34">
        <f>SUM(AA17:AE17)</f>
        <v>10</v>
      </c>
      <c r="AG17" s="13"/>
      <c r="AH17" s="13"/>
      <c r="AI17" s="13">
        <v>7</v>
      </c>
      <c r="AJ17" s="13">
        <v>7</v>
      </c>
      <c r="AK17" s="13">
        <v>7</v>
      </c>
      <c r="AL17" s="34">
        <f>SUM(AG17:AK17)</f>
        <v>21</v>
      </c>
      <c r="AM17" s="71" t="s">
        <v>107</v>
      </c>
      <c r="AN17" s="71" t="s">
        <v>108</v>
      </c>
      <c r="AO17" s="13"/>
      <c r="AP17" s="13"/>
      <c r="AQ17" s="13"/>
      <c r="AR17" s="34">
        <f>SUM(AM17:AQ17)</f>
        <v>0</v>
      </c>
      <c r="AS17" s="12"/>
      <c r="AT17" s="13">
        <v>5</v>
      </c>
      <c r="AU17" s="13"/>
      <c r="AV17" s="13">
        <v>3</v>
      </c>
      <c r="AW17" s="64">
        <v>7</v>
      </c>
      <c r="AX17" s="34">
        <f>SUM(AS17:AW17)</f>
        <v>15</v>
      </c>
    </row>
    <row r="18" spans="1:50" ht="390" x14ac:dyDescent="0.25">
      <c r="A18" s="1" t="s">
        <v>11</v>
      </c>
      <c r="C18" s="4" t="s">
        <v>54</v>
      </c>
      <c r="D18" s="4" t="s">
        <v>54</v>
      </c>
      <c r="E18" s="4" t="s">
        <v>55</v>
      </c>
      <c r="F18" s="4" t="s">
        <v>55</v>
      </c>
      <c r="G18" s="4" t="s">
        <v>57</v>
      </c>
      <c r="I18" s="4" t="s">
        <v>55</v>
      </c>
      <c r="J18" s="4" t="s">
        <v>55</v>
      </c>
      <c r="K18" s="4" t="s">
        <v>55</v>
      </c>
      <c r="L18" s="4" t="s">
        <v>60</v>
      </c>
      <c r="M18" s="4" t="s">
        <v>55</v>
      </c>
      <c r="O18" s="4" t="s">
        <v>55</v>
      </c>
      <c r="P18" s="4" t="s">
        <v>55</v>
      </c>
      <c r="Q18" s="4" t="s">
        <v>55</v>
      </c>
      <c r="R18" s="4" t="s">
        <v>55</v>
      </c>
      <c r="S18" s="4" t="s">
        <v>55</v>
      </c>
      <c r="U18" s="4" t="s">
        <v>84</v>
      </c>
      <c r="V18" s="4" t="s">
        <v>85</v>
      </c>
      <c r="W18" s="4"/>
      <c r="X18" s="4" t="s">
        <v>87</v>
      </c>
      <c r="Y18" s="4" t="s">
        <v>86</v>
      </c>
      <c r="AA18" s="4" t="s">
        <v>93</v>
      </c>
      <c r="AC18" s="4" t="s">
        <v>95</v>
      </c>
      <c r="AD18" s="4" t="s">
        <v>96</v>
      </c>
      <c r="AE18" s="4" t="s">
        <v>96</v>
      </c>
      <c r="AH18" s="4" t="s">
        <v>104</v>
      </c>
      <c r="AI18" s="4" t="s">
        <v>118</v>
      </c>
      <c r="AJ18" s="4" t="s">
        <v>53</v>
      </c>
      <c r="AK18" s="4" t="s">
        <v>53</v>
      </c>
      <c r="AO18" s="4" t="s">
        <v>117</v>
      </c>
      <c r="AP18" s="4" t="s">
        <v>122</v>
      </c>
      <c r="AQ18" s="4" t="s">
        <v>123</v>
      </c>
      <c r="AS18" s="4" t="s">
        <v>133</v>
      </c>
      <c r="AT18" s="4" t="s">
        <v>134</v>
      </c>
      <c r="AU18" s="4" t="s">
        <v>130</v>
      </c>
      <c r="AV18" s="4" t="s">
        <v>135</v>
      </c>
      <c r="AW18" s="4" t="s">
        <v>136</v>
      </c>
    </row>
    <row r="19" spans="1:50" ht="180" x14ac:dyDescent="0.25">
      <c r="A19" s="1" t="s">
        <v>10</v>
      </c>
      <c r="F19" s="4" t="s">
        <v>56</v>
      </c>
      <c r="K19" s="4" t="s">
        <v>61</v>
      </c>
      <c r="L19" s="4" t="s">
        <v>59</v>
      </c>
    </row>
  </sheetData>
  <customSheetViews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I1" activePane="topRight" state="frozen"/>
      <selection pane="topRight" activeCell="AP14" sqref="AP14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L18" sqref="L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pane xSplit="1" topLeftCell="V1" activePane="topRight" state="frozen"/>
      <selection pane="topRight" activeCell="L18" sqref="L18"/>
      <pageMargins left="0.511811024" right="0.511811024" top="0.78740157499999996" bottom="0.78740157499999996" header="0.31496062000000002" footer="0.31496062000000002"/>
      <autoFilter ref="A1:A19" xr:uid="{25980894-E600-48A6-8D13-345F8F7C5BD4}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J1" activePane="topRight" state="frozen"/>
      <selection pane="topRight" activeCell="AV15" sqref="AV15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20"/>
  <sheetViews>
    <sheetView zoomScaleNormal="85" workbookViewId="0">
      <pane xSplit="1" topLeftCell="AA1" activePane="topRight" state="frozen"/>
      <selection pane="topRight" activeCell="AA17" sqref="AA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6" style="1" customWidth="1"/>
    <col min="9" max="13" width="9.140625" style="1"/>
    <col min="14" max="14" width="14.140625" style="1" customWidth="1"/>
    <col min="15" max="19" width="9.140625" style="1"/>
    <col min="20" max="20" width="15" style="1" customWidth="1"/>
    <col min="21" max="25" width="9.140625" style="1"/>
    <col min="26" max="26" width="15.5703125" style="1" customWidth="1"/>
    <col min="27" max="31" width="9.140625" style="1"/>
    <col min="32" max="32" width="16" style="1" customWidth="1"/>
    <col min="33" max="37" width="9.140625" style="1"/>
    <col min="38" max="38" width="16" style="1" customWidth="1"/>
    <col min="39" max="39" width="10.85546875" style="1" customWidth="1"/>
    <col min="40" max="40" width="11.28515625" style="1" customWidth="1"/>
    <col min="41" max="43" width="9.140625" style="1"/>
    <col min="44" max="44" width="15.5703125" style="1" customWidth="1"/>
    <col min="45" max="49" width="9.140625" style="1"/>
    <col min="50" max="50" width="15.28515625" style="1" customWidth="1"/>
    <col min="51" max="16384" width="9.140625" style="1"/>
  </cols>
  <sheetData>
    <row r="1" spans="1:50" x14ac:dyDescent="0.25">
      <c r="A1" s="14" t="s">
        <v>9</v>
      </c>
      <c r="B1" s="42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M2" s="39" t="s">
        <v>107</v>
      </c>
      <c r="AN2" s="39" t="s">
        <v>108</v>
      </c>
      <c r="AR2" s="33">
        <f>SUM(AM2:AQ2)</f>
        <v>0</v>
      </c>
      <c r="AS2" s="56"/>
      <c r="AX2" s="33">
        <f>SUM(AS2:AW2)</f>
        <v>0</v>
      </c>
    </row>
    <row r="3" spans="1:50" x14ac:dyDescent="0.25">
      <c r="A3" s="40" t="s">
        <v>0</v>
      </c>
      <c r="B3" s="43">
        <v>2</v>
      </c>
      <c r="H3" s="33">
        <f t="shared" ref="H3:H16" si="2">SUM(C3:G3)</f>
        <v>0</v>
      </c>
      <c r="N3" s="33">
        <f t="shared" si="0"/>
        <v>0</v>
      </c>
      <c r="T3" s="33">
        <f t="shared" si="1"/>
        <v>0</v>
      </c>
      <c r="Z3" s="33">
        <f t="shared" ref="Z3:Z16" si="3">SUM(U3:Y3)</f>
        <v>0</v>
      </c>
      <c r="AF3" s="33">
        <f t="shared" ref="AF3:AF16" si="4">SUM(AA3:AE3)</f>
        <v>0</v>
      </c>
      <c r="AL3" s="33">
        <f t="shared" ref="AL3:AL16" si="5">SUM(AG3:AK3)</f>
        <v>0</v>
      </c>
      <c r="AM3" s="39" t="s">
        <v>107</v>
      </c>
      <c r="AN3" s="39" t="s">
        <v>108</v>
      </c>
      <c r="AP3" s="1">
        <v>2</v>
      </c>
      <c r="AR3" s="33">
        <f t="shared" ref="AR3:AR16" si="6">SUM(AM3:AQ3)</f>
        <v>2</v>
      </c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H4" s="33">
        <f t="shared" si="2"/>
        <v>0</v>
      </c>
      <c r="N4" s="33">
        <f t="shared" si="0"/>
        <v>0</v>
      </c>
      <c r="T4" s="33">
        <f t="shared" si="1"/>
        <v>0</v>
      </c>
      <c r="Z4" s="33">
        <f t="shared" si="3"/>
        <v>0</v>
      </c>
      <c r="AF4" s="33">
        <f t="shared" si="4"/>
        <v>0</v>
      </c>
      <c r="AL4" s="33">
        <f t="shared" si="5"/>
        <v>0</v>
      </c>
      <c r="AM4" s="39" t="s">
        <v>107</v>
      </c>
      <c r="AN4" s="39" t="s">
        <v>108</v>
      </c>
      <c r="AR4" s="33">
        <f t="shared" si="6"/>
        <v>0</v>
      </c>
      <c r="AX4" s="33">
        <f t="shared" si="7"/>
        <v>0</v>
      </c>
    </row>
    <row r="5" spans="1:50" x14ac:dyDescent="0.25">
      <c r="A5" s="41" t="s">
        <v>16</v>
      </c>
      <c r="B5" s="43">
        <v>4</v>
      </c>
      <c r="H5" s="33">
        <f t="shared" si="2"/>
        <v>0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R5" s="33">
        <f t="shared" si="6"/>
        <v>0</v>
      </c>
      <c r="AX5" s="33">
        <f t="shared" si="7"/>
        <v>0</v>
      </c>
    </row>
    <row r="6" spans="1:50" x14ac:dyDescent="0.25">
      <c r="A6" s="41" t="s">
        <v>1</v>
      </c>
      <c r="B6" s="43">
        <v>5</v>
      </c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R6" s="33">
        <f t="shared" si="6"/>
        <v>0</v>
      </c>
      <c r="AX6" s="33">
        <f t="shared" si="7"/>
        <v>0</v>
      </c>
    </row>
    <row r="7" spans="1:50" x14ac:dyDescent="0.25">
      <c r="A7" s="41" t="s">
        <v>2</v>
      </c>
      <c r="B7" s="44">
        <v>6</v>
      </c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R7" s="33">
        <f t="shared" si="6"/>
        <v>0</v>
      </c>
      <c r="AX7" s="33">
        <f t="shared" si="7"/>
        <v>0</v>
      </c>
    </row>
    <row r="8" spans="1:50" x14ac:dyDescent="0.25">
      <c r="A8" s="41" t="s">
        <v>3</v>
      </c>
      <c r="B8" s="43">
        <v>7</v>
      </c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R8" s="33">
        <f t="shared" si="6"/>
        <v>0</v>
      </c>
      <c r="AX8" s="33">
        <f t="shared" si="7"/>
        <v>0</v>
      </c>
    </row>
    <row r="9" spans="1:50" x14ac:dyDescent="0.25">
      <c r="A9" s="41" t="s">
        <v>13</v>
      </c>
      <c r="B9" s="43">
        <v>8</v>
      </c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R9" s="33">
        <f t="shared" si="6"/>
        <v>0</v>
      </c>
      <c r="AX9" s="33">
        <f t="shared" si="7"/>
        <v>0</v>
      </c>
    </row>
    <row r="10" spans="1:50" x14ac:dyDescent="0.25">
      <c r="A10" s="40" t="s">
        <v>12</v>
      </c>
      <c r="B10" s="44">
        <v>9</v>
      </c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R10" s="33">
        <f t="shared" si="6"/>
        <v>0</v>
      </c>
      <c r="AX10" s="33">
        <f t="shared" si="7"/>
        <v>0</v>
      </c>
    </row>
    <row r="11" spans="1:50" x14ac:dyDescent="0.25">
      <c r="A11" s="41" t="s">
        <v>4</v>
      </c>
      <c r="B11" s="43">
        <v>10</v>
      </c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R11" s="33">
        <f t="shared" si="6"/>
        <v>0</v>
      </c>
      <c r="AX11" s="33">
        <f t="shared" si="7"/>
        <v>0</v>
      </c>
    </row>
    <row r="12" spans="1:50" x14ac:dyDescent="0.25">
      <c r="A12" s="41" t="s">
        <v>5</v>
      </c>
      <c r="B12" s="43">
        <v>11</v>
      </c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R12" s="33">
        <f t="shared" si="6"/>
        <v>0</v>
      </c>
      <c r="AX12" s="33">
        <f t="shared" si="7"/>
        <v>0</v>
      </c>
    </row>
    <row r="13" spans="1:50" x14ac:dyDescent="0.25">
      <c r="A13" s="40" t="s">
        <v>8</v>
      </c>
      <c r="B13" s="44">
        <v>12</v>
      </c>
      <c r="H13" s="33">
        <f t="shared" si="2"/>
        <v>0</v>
      </c>
      <c r="N13" s="33">
        <f t="shared" si="0"/>
        <v>0</v>
      </c>
      <c r="T13" s="33">
        <f t="shared" si="1"/>
        <v>0</v>
      </c>
      <c r="Z13" s="33">
        <f t="shared" si="3"/>
        <v>0</v>
      </c>
      <c r="AF13" s="33">
        <f t="shared" si="4"/>
        <v>0</v>
      </c>
      <c r="AL13" s="33">
        <f t="shared" si="5"/>
        <v>0</v>
      </c>
      <c r="AM13" s="39" t="s">
        <v>107</v>
      </c>
      <c r="AN13" s="39" t="s">
        <v>108</v>
      </c>
      <c r="AR13" s="33">
        <f t="shared" si="6"/>
        <v>0</v>
      </c>
      <c r="AX13" s="33">
        <f t="shared" si="7"/>
        <v>0</v>
      </c>
    </row>
    <row r="14" spans="1:50" x14ac:dyDescent="0.25">
      <c r="A14" s="41" t="s">
        <v>6</v>
      </c>
      <c r="B14" s="43">
        <v>13</v>
      </c>
      <c r="H14" s="33">
        <f t="shared" si="2"/>
        <v>0</v>
      </c>
      <c r="N14" s="33">
        <f t="shared" si="0"/>
        <v>0</v>
      </c>
      <c r="T14" s="33">
        <f t="shared" si="1"/>
        <v>0</v>
      </c>
      <c r="Z14" s="33">
        <f t="shared" si="3"/>
        <v>0</v>
      </c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R14" s="33">
        <f t="shared" si="6"/>
        <v>0</v>
      </c>
      <c r="AX14" s="33">
        <f t="shared" si="7"/>
        <v>0</v>
      </c>
    </row>
    <row r="15" spans="1:50" x14ac:dyDescent="0.25">
      <c r="A15" s="40" t="s">
        <v>7</v>
      </c>
      <c r="B15" s="43">
        <v>14</v>
      </c>
      <c r="F15" s="1">
        <v>149</v>
      </c>
      <c r="H15" s="33">
        <f t="shared" si="2"/>
        <v>149</v>
      </c>
      <c r="L15" s="1">
        <v>70</v>
      </c>
      <c r="N15" s="33">
        <f t="shared" si="0"/>
        <v>70</v>
      </c>
      <c r="T15" s="33">
        <f t="shared" si="1"/>
        <v>0</v>
      </c>
      <c r="Z15" s="33">
        <f t="shared" si="3"/>
        <v>0</v>
      </c>
      <c r="AB15" s="1">
        <v>70</v>
      </c>
      <c r="AC15" s="1">
        <v>70</v>
      </c>
      <c r="AF15" s="33">
        <f t="shared" si="4"/>
        <v>140</v>
      </c>
      <c r="AH15" s="1">
        <v>70</v>
      </c>
      <c r="AI15" s="1">
        <v>70</v>
      </c>
      <c r="AL15" s="33">
        <f t="shared" si="5"/>
        <v>140</v>
      </c>
      <c r="AM15" s="39" t="s">
        <v>107</v>
      </c>
      <c r="AN15" s="39" t="s">
        <v>108</v>
      </c>
      <c r="AP15" s="1">
        <v>140</v>
      </c>
      <c r="AR15" s="33">
        <f t="shared" si="6"/>
        <v>140</v>
      </c>
      <c r="AT15" s="1">
        <v>70</v>
      </c>
      <c r="AX15" s="33">
        <f t="shared" si="7"/>
        <v>70</v>
      </c>
    </row>
    <row r="16" spans="1:50" x14ac:dyDescent="0.25">
      <c r="A16" s="2" t="s">
        <v>14</v>
      </c>
      <c r="B16" s="37">
        <v>15</v>
      </c>
      <c r="H16" s="33">
        <f t="shared" si="2"/>
        <v>0</v>
      </c>
      <c r="N16" s="33">
        <f t="shared" si="0"/>
        <v>0</v>
      </c>
      <c r="T16" s="33">
        <f t="shared" si="1"/>
        <v>0</v>
      </c>
      <c r="Z16" s="33">
        <f t="shared" si="3"/>
        <v>0</v>
      </c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Q16" s="1">
        <v>8</v>
      </c>
      <c r="AR16" s="33">
        <f t="shared" si="6"/>
        <v>8</v>
      </c>
      <c r="AS16" s="1">
        <v>7</v>
      </c>
      <c r="AX16" s="33">
        <f t="shared" si="7"/>
        <v>7</v>
      </c>
    </row>
    <row r="17" spans="1:50" x14ac:dyDescent="0.25">
      <c r="A17" s="15" t="s">
        <v>39</v>
      </c>
      <c r="B17" s="38">
        <v>16</v>
      </c>
      <c r="C17" s="13">
        <v>15</v>
      </c>
      <c r="D17" s="13">
        <v>14</v>
      </c>
      <c r="E17" s="13">
        <v>17</v>
      </c>
      <c r="F17" s="13"/>
      <c r="G17" s="13">
        <v>14</v>
      </c>
      <c r="H17" s="34">
        <f>SUM(C17:G17)</f>
        <v>60</v>
      </c>
      <c r="I17" s="13">
        <v>15</v>
      </c>
      <c r="J17" s="13">
        <v>12</v>
      </c>
      <c r="K17" s="13">
        <v>14</v>
      </c>
      <c r="L17" s="13"/>
      <c r="M17" s="13">
        <v>15</v>
      </c>
      <c r="N17" s="34">
        <f>SUM(I17:M17)</f>
        <v>56</v>
      </c>
      <c r="O17" s="13">
        <v>17</v>
      </c>
      <c r="P17" s="13">
        <v>14</v>
      </c>
      <c r="Q17" s="13">
        <v>14</v>
      </c>
      <c r="R17" s="13">
        <v>15</v>
      </c>
      <c r="S17" s="13">
        <v>16</v>
      </c>
      <c r="T17" s="34">
        <f t="shared" si="1"/>
        <v>76</v>
      </c>
      <c r="U17" s="13">
        <v>15</v>
      </c>
      <c r="V17" s="13">
        <v>244</v>
      </c>
      <c r="W17" s="13">
        <v>10</v>
      </c>
      <c r="X17" s="13"/>
      <c r="Y17" s="13">
        <v>9</v>
      </c>
      <c r="Z17" s="34">
        <f>SUM(U17:Y17)</f>
        <v>278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71" t="s">
        <v>107</v>
      </c>
      <c r="AN17" s="71" t="s">
        <v>108</v>
      </c>
      <c r="AO17" s="13"/>
      <c r="AP17" s="13"/>
      <c r="AQ17" s="13"/>
      <c r="AR17" s="34">
        <f>SUM(AM17:AQ17)</f>
        <v>0</v>
      </c>
      <c r="AS17" s="13"/>
      <c r="AT17" s="13"/>
      <c r="AU17" s="13">
        <v>8</v>
      </c>
      <c r="AV17" s="13">
        <v>10</v>
      </c>
      <c r="AW17" s="13">
        <v>8</v>
      </c>
      <c r="AX17" s="34">
        <f>SUM(AS17:AW17)</f>
        <v>26</v>
      </c>
    </row>
    <row r="18" spans="1:50" ht="105" customHeight="1" x14ac:dyDescent="0.25">
      <c r="A18" s="1" t="s">
        <v>11</v>
      </c>
      <c r="C18" s="4" t="s">
        <v>62</v>
      </c>
      <c r="D18" s="4" t="s">
        <v>62</v>
      </c>
      <c r="E18" s="4" t="s">
        <v>62</v>
      </c>
      <c r="F18" s="4" t="s">
        <v>51</v>
      </c>
      <c r="G18" s="4" t="s">
        <v>62</v>
      </c>
      <c r="I18" s="4" t="s">
        <v>62</v>
      </c>
      <c r="J18" s="4" t="s">
        <v>62</v>
      </c>
      <c r="K18" s="4" t="s">
        <v>62</v>
      </c>
      <c r="L18" s="4" t="s">
        <v>63</v>
      </c>
      <c r="M18" s="4" t="s">
        <v>62</v>
      </c>
      <c r="O18" s="4" t="s">
        <v>62</v>
      </c>
      <c r="P18" s="4" t="s">
        <v>62</v>
      </c>
      <c r="Q18" s="4" t="s">
        <v>62</v>
      </c>
      <c r="R18" s="4" t="s">
        <v>62</v>
      </c>
      <c r="S18" s="4" t="s">
        <v>62</v>
      </c>
      <c r="U18" s="4" t="s">
        <v>62</v>
      </c>
      <c r="V18" s="4" t="s">
        <v>74</v>
      </c>
      <c r="W18" s="4" t="s">
        <v>78</v>
      </c>
      <c r="X18" s="4" t="s">
        <v>78</v>
      </c>
      <c r="Y18" s="4" t="s">
        <v>62</v>
      </c>
      <c r="AA18" s="4" t="s">
        <v>93</v>
      </c>
      <c r="AB18" s="4" t="s">
        <v>74</v>
      </c>
      <c r="AC18" s="4" t="s">
        <v>98</v>
      </c>
      <c r="AD18" s="4" t="s">
        <v>100</v>
      </c>
      <c r="AE18" s="4" t="s">
        <v>100</v>
      </c>
      <c r="AG18" s="4" t="s">
        <v>101</v>
      </c>
      <c r="AH18" s="4" t="s">
        <v>115</v>
      </c>
      <c r="AI18" s="4" t="s">
        <v>115</v>
      </c>
      <c r="AJ18" s="4" t="s">
        <v>115</v>
      </c>
      <c r="AK18" s="4" t="s">
        <v>116</v>
      </c>
      <c r="AO18" s="4" t="s">
        <v>117</v>
      </c>
      <c r="AP18" s="4" t="s">
        <v>122</v>
      </c>
      <c r="AQ18" s="4" t="s">
        <v>123</v>
      </c>
      <c r="AS18" s="4" t="s">
        <v>123</v>
      </c>
      <c r="AT18" s="4" t="s">
        <v>124</v>
      </c>
      <c r="AU18" s="4" t="s">
        <v>127</v>
      </c>
      <c r="AV18" s="4" t="s">
        <v>127</v>
      </c>
      <c r="AW18" s="4" t="s">
        <v>127</v>
      </c>
    </row>
    <row r="19" spans="1:50" ht="75" x14ac:dyDescent="0.25">
      <c r="A19" s="1" t="s">
        <v>10</v>
      </c>
      <c r="V19" s="4" t="s">
        <v>75</v>
      </c>
      <c r="AA19" s="4" t="s">
        <v>94</v>
      </c>
      <c r="AB19" s="4"/>
      <c r="AC19" s="4" t="s">
        <v>99</v>
      </c>
      <c r="AD19" s="4" t="s">
        <v>100</v>
      </c>
      <c r="AE19" s="4" t="s">
        <v>100</v>
      </c>
    </row>
    <row r="20" spans="1:50" ht="75" x14ac:dyDescent="0.25">
      <c r="V20" s="4" t="s">
        <v>76</v>
      </c>
    </row>
  </sheetData>
  <customSheetViews>
    <customSheetView guid="{E3841903-5B68-44FD-8F09-58E03D1025C5}">
      <pane xSplit="1" topLeftCell="AL1" activePane="topRight" state="frozen"/>
      <selection pane="topRight" activeCell="AW17" sqref="AW17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2">
      <pane xSplit="1" topLeftCell="AH1" activePane="topRight" state="frozen"/>
      <selection pane="topRight" activeCell="AO15" sqref="AO15:AQ18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E1">
      <selection activeCell="AQ18" sqref="AQ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pane xSplit="1" topLeftCell="W1" activePane="topRight" state="frozen"/>
      <selection pane="topRight" activeCell="W18" sqref="W18"/>
      <pageMargins left="0.511811024" right="0.511811024" top="0.78740157499999996" bottom="0.78740157499999996" header="0.31496062000000002" footer="0.31496062000000002"/>
      <pageSetup paperSize="9" orientation="portrait" r:id="rId2"/>
      <autoFilter ref="A1:A20" xr:uid="{E72D4868-6765-4D2A-893C-FE390FD43557}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A1" activePane="topRight" state="frozen"/>
      <selection pane="topRight" activeCell="AA17" sqref="AA17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9"/>
  <sheetViews>
    <sheetView topLeftCell="A5" zoomScaleNormal="85" workbookViewId="0">
      <pane xSplit="1" topLeftCell="AN1" activePane="topRight" state="frozen"/>
      <selection activeCell="A5" sqref="A5"/>
      <selection pane="topRight" activeCell="AW18" sqref="AW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6" width="9.140625" style="1"/>
    <col min="7" max="7" width="9.140625" style="1" customWidth="1"/>
    <col min="8" max="8" width="14.85546875" style="1" customWidth="1"/>
    <col min="9" max="9" width="13" style="1" customWidth="1"/>
    <col min="10" max="10" width="11.7109375" style="1" customWidth="1"/>
    <col min="11" max="11" width="12.42578125" style="1" customWidth="1"/>
    <col min="12" max="12" width="12.28515625" style="1" customWidth="1"/>
    <col min="13" max="13" width="13.28515625" style="1" customWidth="1"/>
    <col min="14" max="14" width="14.7109375" style="1" customWidth="1"/>
    <col min="15" max="15" width="13.140625" style="1" customWidth="1"/>
    <col min="16" max="16" width="12.140625" style="1" customWidth="1"/>
    <col min="17" max="17" width="11.28515625" style="1" customWidth="1"/>
    <col min="18" max="18" width="13.28515625" style="1" customWidth="1"/>
    <col min="19" max="19" width="10.85546875" style="1" customWidth="1"/>
    <col min="20" max="20" width="14.28515625" style="1" customWidth="1"/>
    <col min="21" max="21" width="11.85546875" style="1" customWidth="1"/>
    <col min="22" max="22" width="12.5703125" style="1" customWidth="1"/>
    <col min="23" max="23" width="16" style="1" customWidth="1"/>
    <col min="24" max="24" width="13" style="1" customWidth="1"/>
    <col min="25" max="25" width="14.42578125" style="1" customWidth="1"/>
    <col min="26" max="26" width="16.5703125" style="1" customWidth="1"/>
    <col min="27" max="27" width="12.5703125" style="1" customWidth="1"/>
    <col min="28" max="28" width="12.28515625" style="1" customWidth="1"/>
    <col min="29" max="31" width="9.140625" style="1"/>
    <col min="32" max="32" width="13.85546875" style="1" customWidth="1"/>
    <col min="33" max="33" width="13.42578125" style="1" customWidth="1"/>
    <col min="34" max="34" width="14.85546875" style="1" customWidth="1"/>
    <col min="35" max="36" width="17" style="1" customWidth="1"/>
    <col min="37" max="37" width="16.85546875" style="1" customWidth="1"/>
    <col min="38" max="38" width="15.85546875" style="1" customWidth="1"/>
    <col min="39" max="39" width="10.5703125" style="1" customWidth="1"/>
    <col min="40" max="40" width="12" style="1" customWidth="1"/>
    <col min="41" max="42" width="9.140625" style="1"/>
    <col min="43" max="43" width="13.28515625" style="1" customWidth="1"/>
    <col min="44" max="44" width="16.85546875" style="1" customWidth="1"/>
    <col min="45" max="45" width="9.140625" style="1"/>
    <col min="46" max="46" width="13.140625" style="1" bestFit="1" customWidth="1"/>
    <col min="47" max="47" width="10.5703125" style="1" customWidth="1"/>
    <col min="48" max="48" width="10.85546875" style="1" customWidth="1"/>
    <col min="49" max="49" width="11.28515625" style="1" customWidth="1"/>
    <col min="50" max="50" width="15.28515625" style="1" customWidth="1"/>
    <col min="51" max="16384" width="9.140625" style="1"/>
  </cols>
  <sheetData>
    <row r="1" spans="1:50" x14ac:dyDescent="0.25">
      <c r="A1" s="14" t="s">
        <v>9</v>
      </c>
      <c r="B1" s="42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M2" s="39" t="s">
        <v>107</v>
      </c>
      <c r="AN2" s="39" t="s">
        <v>108</v>
      </c>
      <c r="AO2" s="18"/>
      <c r="AP2" s="18"/>
      <c r="AQ2" s="5"/>
      <c r="AR2" s="33">
        <f>SUM(AM2:AQ2)</f>
        <v>0</v>
      </c>
      <c r="AS2" s="56"/>
      <c r="AX2" s="33">
        <f>SUM(AS2:AW2)</f>
        <v>0</v>
      </c>
    </row>
    <row r="3" spans="1:50" x14ac:dyDescent="0.25">
      <c r="A3" s="40" t="s">
        <v>0</v>
      </c>
      <c r="B3" s="43">
        <v>2</v>
      </c>
      <c r="H3" s="33">
        <f t="shared" ref="H3:H16" si="2">SUM(C3:G3)</f>
        <v>0</v>
      </c>
      <c r="N3" s="33">
        <f t="shared" si="0"/>
        <v>0</v>
      </c>
      <c r="T3" s="33">
        <f t="shared" si="1"/>
        <v>0</v>
      </c>
      <c r="Z3" s="33">
        <f t="shared" ref="Z3:Z16" si="3">SUM(U3:Y3)</f>
        <v>0</v>
      </c>
      <c r="AF3" s="33">
        <f t="shared" ref="AF3:AF16" si="4">SUM(AA3:AE3)</f>
        <v>0</v>
      </c>
      <c r="AL3" s="33">
        <f t="shared" ref="AL3:AL16" si="5">SUM(AG3:AK3)</f>
        <v>0</v>
      </c>
      <c r="AM3" s="39" t="s">
        <v>107</v>
      </c>
      <c r="AN3" s="39" t="s">
        <v>108</v>
      </c>
      <c r="AQ3" s="63"/>
      <c r="AR3" s="33">
        <f t="shared" ref="AR3:AR16" si="6">SUM(AM3:AQ3)</f>
        <v>0</v>
      </c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H4" s="33">
        <f t="shared" si="2"/>
        <v>0</v>
      </c>
      <c r="N4" s="33">
        <f t="shared" si="0"/>
        <v>0</v>
      </c>
      <c r="T4" s="33">
        <f t="shared" si="1"/>
        <v>0</v>
      </c>
      <c r="Z4" s="33">
        <f t="shared" si="3"/>
        <v>0</v>
      </c>
      <c r="AF4" s="33">
        <f t="shared" si="4"/>
        <v>0</v>
      </c>
      <c r="AL4" s="33">
        <f t="shared" si="5"/>
        <v>0</v>
      </c>
      <c r="AM4" s="39" t="s">
        <v>107</v>
      </c>
      <c r="AN4" s="39" t="s">
        <v>108</v>
      </c>
      <c r="AQ4" s="63"/>
      <c r="AR4" s="33">
        <f t="shared" si="6"/>
        <v>0</v>
      </c>
      <c r="AX4" s="33">
        <f t="shared" si="7"/>
        <v>0</v>
      </c>
    </row>
    <row r="5" spans="1:50" x14ac:dyDescent="0.25">
      <c r="A5" s="41" t="s">
        <v>16</v>
      </c>
      <c r="B5" s="43">
        <v>4</v>
      </c>
      <c r="H5" s="33">
        <f t="shared" si="2"/>
        <v>0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Q5" s="63"/>
      <c r="AR5" s="33">
        <f t="shared" si="6"/>
        <v>0</v>
      </c>
      <c r="AX5" s="33">
        <f t="shared" si="7"/>
        <v>0</v>
      </c>
    </row>
    <row r="6" spans="1:50" x14ac:dyDescent="0.25">
      <c r="A6" s="41" t="s">
        <v>1</v>
      </c>
      <c r="B6" s="43">
        <v>5</v>
      </c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Q6" s="63"/>
      <c r="AR6" s="33">
        <f t="shared" si="6"/>
        <v>0</v>
      </c>
      <c r="AX6" s="33">
        <f t="shared" si="7"/>
        <v>0</v>
      </c>
    </row>
    <row r="7" spans="1:50" x14ac:dyDescent="0.25">
      <c r="A7" s="41" t="s">
        <v>2</v>
      </c>
      <c r="B7" s="44">
        <v>6</v>
      </c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Q7" s="63"/>
      <c r="AR7" s="33">
        <f t="shared" si="6"/>
        <v>0</v>
      </c>
      <c r="AX7" s="33">
        <f t="shared" si="7"/>
        <v>0</v>
      </c>
    </row>
    <row r="8" spans="1:50" x14ac:dyDescent="0.25">
      <c r="A8" s="41" t="s">
        <v>3</v>
      </c>
      <c r="B8" s="43">
        <v>7</v>
      </c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Q8" s="63"/>
      <c r="AR8" s="33">
        <f t="shared" si="6"/>
        <v>0</v>
      </c>
      <c r="AX8" s="33">
        <f t="shared" si="7"/>
        <v>0</v>
      </c>
    </row>
    <row r="9" spans="1:50" x14ac:dyDescent="0.25">
      <c r="A9" s="41" t="s">
        <v>13</v>
      </c>
      <c r="B9" s="43">
        <v>8</v>
      </c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Q9" s="63"/>
      <c r="AR9" s="33">
        <f t="shared" si="6"/>
        <v>0</v>
      </c>
      <c r="AX9" s="33">
        <f t="shared" si="7"/>
        <v>0</v>
      </c>
    </row>
    <row r="10" spans="1:50" x14ac:dyDescent="0.25">
      <c r="A10" s="40" t="s">
        <v>12</v>
      </c>
      <c r="B10" s="44">
        <v>9</v>
      </c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Q10" s="63"/>
      <c r="AR10" s="33">
        <f t="shared" si="6"/>
        <v>0</v>
      </c>
      <c r="AX10" s="33">
        <f t="shared" si="7"/>
        <v>0</v>
      </c>
    </row>
    <row r="11" spans="1:50" x14ac:dyDescent="0.25">
      <c r="A11" s="41" t="s">
        <v>4</v>
      </c>
      <c r="B11" s="43">
        <v>10</v>
      </c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Q11" s="63"/>
      <c r="AR11" s="33">
        <f t="shared" si="6"/>
        <v>0</v>
      </c>
      <c r="AX11" s="33">
        <f t="shared" si="7"/>
        <v>0</v>
      </c>
    </row>
    <row r="12" spans="1:50" x14ac:dyDescent="0.25">
      <c r="A12" s="41" t="s">
        <v>5</v>
      </c>
      <c r="B12" s="43">
        <v>11</v>
      </c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Q12" s="63"/>
      <c r="AR12" s="33">
        <f t="shared" si="6"/>
        <v>0</v>
      </c>
      <c r="AX12" s="33">
        <f t="shared" si="7"/>
        <v>0</v>
      </c>
    </row>
    <row r="13" spans="1:50" x14ac:dyDescent="0.25">
      <c r="A13" s="40" t="s">
        <v>8</v>
      </c>
      <c r="B13" s="44">
        <v>12</v>
      </c>
      <c r="H13" s="33">
        <f t="shared" si="2"/>
        <v>0</v>
      </c>
      <c r="N13" s="33">
        <f t="shared" si="0"/>
        <v>0</v>
      </c>
      <c r="T13" s="33">
        <f t="shared" si="1"/>
        <v>0</v>
      </c>
      <c r="Z13" s="33">
        <f t="shared" si="3"/>
        <v>0</v>
      </c>
      <c r="AF13" s="33">
        <f t="shared" si="4"/>
        <v>0</v>
      </c>
      <c r="AL13" s="33">
        <f t="shared" si="5"/>
        <v>0</v>
      </c>
      <c r="AM13" s="39" t="s">
        <v>107</v>
      </c>
      <c r="AN13" s="39" t="s">
        <v>108</v>
      </c>
      <c r="AQ13" s="63"/>
      <c r="AR13" s="33">
        <f t="shared" si="6"/>
        <v>0</v>
      </c>
      <c r="AX13" s="33">
        <f t="shared" si="7"/>
        <v>0</v>
      </c>
    </row>
    <row r="14" spans="1:50" x14ac:dyDescent="0.25">
      <c r="A14" s="41" t="s">
        <v>6</v>
      </c>
      <c r="B14" s="43">
        <v>13</v>
      </c>
      <c r="H14" s="33">
        <f t="shared" si="2"/>
        <v>0</v>
      </c>
      <c r="N14" s="33">
        <f t="shared" si="0"/>
        <v>0</v>
      </c>
      <c r="T14" s="33">
        <f t="shared" si="1"/>
        <v>0</v>
      </c>
      <c r="Z14" s="33">
        <f t="shared" si="3"/>
        <v>0</v>
      </c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Q14" s="63"/>
      <c r="AR14" s="33">
        <f t="shared" si="6"/>
        <v>0</v>
      </c>
      <c r="AX14" s="33">
        <f t="shared" si="7"/>
        <v>0</v>
      </c>
    </row>
    <row r="15" spans="1:50" x14ac:dyDescent="0.25">
      <c r="A15" s="40" t="s">
        <v>7</v>
      </c>
      <c r="B15" s="43">
        <v>14</v>
      </c>
      <c r="H15" s="33">
        <f t="shared" si="2"/>
        <v>0</v>
      </c>
      <c r="N15" s="33">
        <f t="shared" si="0"/>
        <v>0</v>
      </c>
      <c r="T15" s="33">
        <f t="shared" si="1"/>
        <v>0</v>
      </c>
      <c r="Z15" s="33">
        <f t="shared" si="3"/>
        <v>0</v>
      </c>
      <c r="AC15" s="1">
        <v>70</v>
      </c>
      <c r="AF15" s="33">
        <f t="shared" si="4"/>
        <v>70</v>
      </c>
      <c r="AL15" s="33">
        <f t="shared" si="5"/>
        <v>0</v>
      </c>
      <c r="AM15" s="39" t="s">
        <v>107</v>
      </c>
      <c r="AN15" s="39" t="s">
        <v>108</v>
      </c>
      <c r="AP15" s="1">
        <v>70</v>
      </c>
      <c r="AQ15" s="63"/>
      <c r="AR15" s="33">
        <f t="shared" si="6"/>
        <v>70</v>
      </c>
      <c r="AX15" s="33">
        <f t="shared" si="7"/>
        <v>0</v>
      </c>
    </row>
    <row r="16" spans="1:50" x14ac:dyDescent="0.25">
      <c r="A16" s="2" t="s">
        <v>14</v>
      </c>
      <c r="B16" s="37">
        <v>15</v>
      </c>
      <c r="H16" s="33">
        <f t="shared" si="2"/>
        <v>0</v>
      </c>
      <c r="N16" s="33">
        <f t="shared" si="0"/>
        <v>0</v>
      </c>
      <c r="T16" s="33">
        <f t="shared" si="1"/>
        <v>0</v>
      </c>
      <c r="Z16" s="33">
        <f t="shared" si="3"/>
        <v>0</v>
      </c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Q16" s="63">
        <v>5</v>
      </c>
      <c r="AR16" s="33">
        <f t="shared" si="6"/>
        <v>5</v>
      </c>
      <c r="AS16" s="1">
        <v>5</v>
      </c>
      <c r="AX16" s="33">
        <f t="shared" si="7"/>
        <v>5</v>
      </c>
    </row>
    <row r="17" spans="1:50" x14ac:dyDescent="0.25">
      <c r="A17" s="15" t="s">
        <v>39</v>
      </c>
      <c r="B17" s="38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>
        <v>10</v>
      </c>
      <c r="Y17" s="13">
        <v>5</v>
      </c>
      <c r="Z17" s="34">
        <f>SUM(U17:Y17)</f>
        <v>15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71" t="s">
        <v>107</v>
      </c>
      <c r="AN17" s="71" t="s">
        <v>108</v>
      </c>
      <c r="AO17" s="13"/>
      <c r="AP17" s="13"/>
      <c r="AQ17" s="64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</row>
    <row r="18" spans="1:50" ht="227.25" customHeight="1" x14ac:dyDescent="0.25">
      <c r="A18" s="1" t="s">
        <v>11</v>
      </c>
      <c r="C18" s="62" t="s">
        <v>71</v>
      </c>
      <c r="D18" s="62" t="s">
        <v>71</v>
      </c>
      <c r="E18" s="62" t="s">
        <v>71</v>
      </c>
      <c r="F18" s="62" t="s">
        <v>71</v>
      </c>
      <c r="G18" s="62" t="s">
        <v>71</v>
      </c>
      <c r="I18" s="62" t="s">
        <v>71</v>
      </c>
      <c r="J18" s="62" t="s">
        <v>71</v>
      </c>
      <c r="K18" s="62" t="s">
        <v>71</v>
      </c>
      <c r="L18" s="62" t="s">
        <v>71</v>
      </c>
      <c r="M18" s="62" t="s">
        <v>71</v>
      </c>
      <c r="O18" s="62" t="s">
        <v>71</v>
      </c>
      <c r="P18" s="62" t="s">
        <v>71</v>
      </c>
      <c r="Q18" s="62" t="s">
        <v>71</v>
      </c>
      <c r="R18" s="62" t="s">
        <v>71</v>
      </c>
      <c r="S18" s="62" t="s">
        <v>71</v>
      </c>
      <c r="U18" s="62" t="s">
        <v>71</v>
      </c>
      <c r="V18" s="62" t="s">
        <v>77</v>
      </c>
      <c r="W18" s="62" t="s">
        <v>79</v>
      </c>
      <c r="X18" s="62" t="s">
        <v>83</v>
      </c>
      <c r="Y18" s="62" t="s">
        <v>83</v>
      </c>
      <c r="AA18" s="62" t="s">
        <v>77</v>
      </c>
      <c r="AB18" s="62" t="s">
        <v>77</v>
      </c>
      <c r="AC18" s="62" t="s">
        <v>102</v>
      </c>
      <c r="AD18" s="62" t="s">
        <v>83</v>
      </c>
      <c r="AE18" s="62" t="s">
        <v>83</v>
      </c>
      <c r="AG18" s="62" t="s">
        <v>77</v>
      </c>
      <c r="AH18" s="62" t="s">
        <v>105</v>
      </c>
      <c r="AI18" s="62" t="s">
        <v>106</v>
      </c>
      <c r="AJ18" s="62" t="s">
        <v>106</v>
      </c>
      <c r="AK18" s="62" t="s">
        <v>109</v>
      </c>
      <c r="AL18" s="62"/>
      <c r="AQ18" s="62" t="s">
        <v>77</v>
      </c>
      <c r="AT18" s="62" t="s">
        <v>77</v>
      </c>
      <c r="AU18" s="62" t="s">
        <v>109</v>
      </c>
      <c r="AV18" s="62" t="s">
        <v>109</v>
      </c>
      <c r="AW18" s="62" t="s">
        <v>109</v>
      </c>
    </row>
    <row r="19" spans="1:50" x14ac:dyDescent="0.25">
      <c r="A19" s="1" t="s">
        <v>10</v>
      </c>
    </row>
  </sheetData>
  <customSheetViews>
    <customSheetView guid="{E3841903-5B68-44FD-8F09-58E03D1025C5}" scale="85">
      <selection activeCell="M17" sqref="M17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M1">
      <selection activeCell="E17" sqref="E17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C17" sqref="C17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1"/>
      <autoFilter ref="A1:A19" xr:uid="{41ABD27A-D7B1-4925-8587-56E06F9E19AD}"/>
    </customSheetView>
    <customSheetView guid="{18A482E0-C8B6-4AA1-9E04-15FA7C9CD5E3}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5">
      <pane xSplit="1" topLeftCell="AN1" activePane="topRight" state="frozen"/>
      <selection pane="topRight" activeCell="AW18" sqref="AW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19"/>
  <sheetViews>
    <sheetView zoomScale="85" zoomScaleNormal="85" workbookViewId="0">
      <pane xSplit="1" topLeftCell="B1" activePane="topRight" state="frozen"/>
      <selection pane="topRight" activeCell="A15" sqref="A15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4.140625" style="1" customWidth="1"/>
    <col min="15" max="19" width="9.140625" style="1"/>
    <col min="20" max="20" width="13.7109375" style="1" customWidth="1"/>
    <col min="21" max="25" width="9.140625" style="1"/>
    <col min="26" max="26" width="14.28515625" style="1" customWidth="1"/>
    <col min="27" max="31" width="9.140625" style="1"/>
    <col min="32" max="32" width="15.42578125" style="1" customWidth="1"/>
    <col min="33" max="37" width="9.140625" style="1"/>
    <col min="38" max="38" width="16" style="1" customWidth="1"/>
    <col min="39" max="39" width="10.28515625" style="1" customWidth="1"/>
    <col min="40" max="40" width="10.140625" style="1" customWidth="1"/>
    <col min="41" max="43" width="9.140625" style="1"/>
    <col min="44" max="44" width="14.28515625" style="1" customWidth="1"/>
    <col min="45" max="49" width="9.140625" style="1"/>
    <col min="50" max="50" width="13.85546875" style="1" customWidth="1"/>
    <col min="51" max="16384" width="9.140625" style="1"/>
  </cols>
  <sheetData>
    <row r="1" spans="1:50" x14ac:dyDescent="0.25">
      <c r="A1" s="14" t="s">
        <v>9</v>
      </c>
      <c r="B1" s="42"/>
      <c r="C1" s="32">
        <v>45662</v>
      </c>
      <c r="D1" s="32">
        <v>45663</v>
      </c>
      <c r="E1" s="32">
        <v>45664</v>
      </c>
      <c r="F1" s="32">
        <v>45665</v>
      </c>
      <c r="G1" s="32">
        <v>45666</v>
      </c>
      <c r="H1" s="10" t="s">
        <v>15</v>
      </c>
      <c r="I1" s="32">
        <v>45669</v>
      </c>
      <c r="J1" s="32">
        <v>45670</v>
      </c>
      <c r="K1" s="32">
        <v>45671</v>
      </c>
      <c r="L1" s="32">
        <v>45672</v>
      </c>
      <c r="M1" s="32">
        <v>45673</v>
      </c>
      <c r="N1" s="10" t="s">
        <v>15</v>
      </c>
      <c r="O1" s="19">
        <v>45676</v>
      </c>
      <c r="P1" s="19">
        <v>45677</v>
      </c>
      <c r="Q1" s="19">
        <v>45678</v>
      </c>
      <c r="R1" s="19">
        <v>45679</v>
      </c>
      <c r="S1" s="19">
        <v>45680</v>
      </c>
      <c r="T1" s="10" t="s">
        <v>15</v>
      </c>
      <c r="U1" s="32">
        <v>45683</v>
      </c>
      <c r="V1" s="32">
        <v>45684</v>
      </c>
      <c r="W1" s="32">
        <v>45685</v>
      </c>
      <c r="X1" s="32">
        <v>45686</v>
      </c>
      <c r="Y1" s="32">
        <v>45687</v>
      </c>
      <c r="Z1" s="10" t="s">
        <v>15</v>
      </c>
      <c r="AA1" s="32">
        <v>45690</v>
      </c>
      <c r="AB1" s="32">
        <v>45691</v>
      </c>
      <c r="AC1" s="32">
        <v>45692</v>
      </c>
      <c r="AD1" s="32">
        <v>45693</v>
      </c>
      <c r="AE1" s="32">
        <v>45694</v>
      </c>
      <c r="AF1" s="10" t="s">
        <v>15</v>
      </c>
      <c r="AG1" s="32">
        <v>45697</v>
      </c>
      <c r="AH1" s="32">
        <v>45698</v>
      </c>
      <c r="AI1" s="32">
        <v>45699</v>
      </c>
      <c r="AJ1" s="32">
        <v>45700</v>
      </c>
      <c r="AK1" s="32">
        <v>45701</v>
      </c>
      <c r="AL1" s="10" t="s">
        <v>15</v>
      </c>
      <c r="AM1" s="32">
        <v>45704</v>
      </c>
      <c r="AN1" s="32">
        <v>45705</v>
      </c>
      <c r="AO1" s="32">
        <v>45706</v>
      </c>
      <c r="AP1" s="32">
        <v>45707</v>
      </c>
      <c r="AQ1" s="32">
        <v>45708</v>
      </c>
      <c r="AR1" s="10" t="s">
        <v>15</v>
      </c>
      <c r="AS1" s="19">
        <v>45711</v>
      </c>
      <c r="AT1" s="19">
        <v>45712</v>
      </c>
      <c r="AU1" s="19">
        <v>45713</v>
      </c>
      <c r="AV1" s="19">
        <v>45714</v>
      </c>
      <c r="AW1" s="19">
        <v>45715</v>
      </c>
      <c r="AX1" s="10" t="s">
        <v>15</v>
      </c>
    </row>
    <row r="2" spans="1:50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M2" s="39" t="s">
        <v>107</v>
      </c>
      <c r="AN2" s="39" t="s">
        <v>108</v>
      </c>
      <c r="AR2" s="33">
        <f>SUM(AM2:AQ2)</f>
        <v>0</v>
      </c>
      <c r="AS2" s="56"/>
      <c r="AX2" s="33">
        <f>SUM(AS2:AW2)</f>
        <v>0</v>
      </c>
    </row>
    <row r="3" spans="1:50" x14ac:dyDescent="0.25">
      <c r="A3" s="40" t="s">
        <v>0</v>
      </c>
      <c r="B3" s="43">
        <v>2</v>
      </c>
      <c r="H3" s="33">
        <f t="shared" ref="H3:H16" si="2">SUM(C3:G3)</f>
        <v>0</v>
      </c>
      <c r="N3" s="33">
        <f t="shared" si="0"/>
        <v>0</v>
      </c>
      <c r="T3" s="33">
        <f t="shared" si="1"/>
        <v>0</v>
      </c>
      <c r="Z3" s="33">
        <f t="shared" ref="Z3:Z16" si="3">SUM(U3:Y3)</f>
        <v>0</v>
      </c>
      <c r="AF3" s="33">
        <f t="shared" ref="AF3:AF16" si="4">SUM(AA3:AE3)</f>
        <v>0</v>
      </c>
      <c r="AL3" s="33">
        <f t="shared" ref="AL3:AL16" si="5">SUM(AG3:AK3)</f>
        <v>0</v>
      </c>
      <c r="AM3" s="39" t="s">
        <v>107</v>
      </c>
      <c r="AN3" s="39" t="s">
        <v>108</v>
      </c>
      <c r="AR3" s="33">
        <f t="shared" ref="AR3:AR16" si="6">SUM(AM3:AQ3)</f>
        <v>0</v>
      </c>
      <c r="AX3" s="33">
        <f t="shared" ref="AX3:AX16" si="7">SUM(AS3:AW3)</f>
        <v>0</v>
      </c>
    </row>
    <row r="4" spans="1:50" x14ac:dyDescent="0.25">
      <c r="A4" s="41" t="s">
        <v>17</v>
      </c>
      <c r="B4" s="44">
        <v>3</v>
      </c>
      <c r="H4" s="33">
        <f t="shared" si="2"/>
        <v>0</v>
      </c>
      <c r="N4" s="33">
        <f t="shared" si="0"/>
        <v>0</v>
      </c>
      <c r="T4" s="33">
        <f t="shared" si="1"/>
        <v>0</v>
      </c>
      <c r="Z4" s="33">
        <f t="shared" si="3"/>
        <v>0</v>
      </c>
      <c r="AF4" s="33">
        <f t="shared" si="4"/>
        <v>0</v>
      </c>
      <c r="AL4" s="33">
        <f t="shared" si="5"/>
        <v>0</v>
      </c>
      <c r="AM4" s="39" t="s">
        <v>107</v>
      </c>
      <c r="AN4" s="39" t="s">
        <v>108</v>
      </c>
      <c r="AR4" s="33">
        <f t="shared" si="6"/>
        <v>0</v>
      </c>
      <c r="AX4" s="33">
        <f t="shared" si="7"/>
        <v>0</v>
      </c>
    </row>
    <row r="5" spans="1:50" x14ac:dyDescent="0.25">
      <c r="A5" s="41" t="s">
        <v>16</v>
      </c>
      <c r="B5" s="43">
        <v>4</v>
      </c>
      <c r="H5" s="33">
        <f t="shared" si="2"/>
        <v>0</v>
      </c>
      <c r="L5" s="39"/>
      <c r="N5" s="33">
        <f t="shared" si="0"/>
        <v>0</v>
      </c>
      <c r="T5" s="33">
        <f t="shared" si="1"/>
        <v>0</v>
      </c>
      <c r="Z5" s="33">
        <f t="shared" si="3"/>
        <v>0</v>
      </c>
      <c r="AF5" s="33">
        <f t="shared" si="4"/>
        <v>0</v>
      </c>
      <c r="AL5" s="33">
        <f t="shared" si="5"/>
        <v>0</v>
      </c>
      <c r="AM5" s="39" t="s">
        <v>107</v>
      </c>
      <c r="AN5" s="39" t="s">
        <v>108</v>
      </c>
      <c r="AR5" s="33">
        <f t="shared" si="6"/>
        <v>0</v>
      </c>
      <c r="AX5" s="33">
        <f t="shared" si="7"/>
        <v>0</v>
      </c>
    </row>
    <row r="6" spans="1:50" x14ac:dyDescent="0.25">
      <c r="A6" s="41" t="s">
        <v>1</v>
      </c>
      <c r="B6" s="43">
        <v>5</v>
      </c>
      <c r="H6" s="33">
        <f t="shared" si="2"/>
        <v>0</v>
      </c>
      <c r="L6" s="39"/>
      <c r="N6" s="33">
        <f t="shared" si="0"/>
        <v>0</v>
      </c>
      <c r="T6" s="33">
        <f t="shared" si="1"/>
        <v>0</v>
      </c>
      <c r="Z6" s="33">
        <f t="shared" si="3"/>
        <v>0</v>
      </c>
      <c r="AF6" s="33">
        <f t="shared" si="4"/>
        <v>0</v>
      </c>
      <c r="AL6" s="33">
        <f t="shared" si="5"/>
        <v>0</v>
      </c>
      <c r="AM6" s="39" t="s">
        <v>107</v>
      </c>
      <c r="AN6" s="39" t="s">
        <v>108</v>
      </c>
      <c r="AR6" s="33">
        <f t="shared" si="6"/>
        <v>0</v>
      </c>
      <c r="AX6" s="33">
        <f t="shared" si="7"/>
        <v>0</v>
      </c>
    </row>
    <row r="7" spans="1:50" x14ac:dyDescent="0.25">
      <c r="A7" s="41" t="s">
        <v>2</v>
      </c>
      <c r="B7" s="44">
        <v>6</v>
      </c>
      <c r="H7" s="33">
        <f t="shared" si="2"/>
        <v>0</v>
      </c>
      <c r="N7" s="33">
        <f t="shared" si="0"/>
        <v>0</v>
      </c>
      <c r="T7" s="33">
        <f t="shared" si="1"/>
        <v>0</v>
      </c>
      <c r="Z7" s="33">
        <f t="shared" si="3"/>
        <v>0</v>
      </c>
      <c r="AF7" s="33">
        <f t="shared" si="4"/>
        <v>0</v>
      </c>
      <c r="AL7" s="33">
        <f t="shared" si="5"/>
        <v>0</v>
      </c>
      <c r="AM7" s="39" t="s">
        <v>107</v>
      </c>
      <c r="AN7" s="39" t="s">
        <v>108</v>
      </c>
      <c r="AR7" s="33">
        <f t="shared" si="6"/>
        <v>0</v>
      </c>
      <c r="AX7" s="33">
        <f t="shared" si="7"/>
        <v>0</v>
      </c>
    </row>
    <row r="8" spans="1:50" x14ac:dyDescent="0.25">
      <c r="A8" s="41" t="s">
        <v>3</v>
      </c>
      <c r="B8" s="43">
        <v>7</v>
      </c>
      <c r="H8" s="33">
        <f t="shared" si="2"/>
        <v>0</v>
      </c>
      <c r="N8" s="33">
        <f t="shared" si="0"/>
        <v>0</v>
      </c>
      <c r="T8" s="33">
        <f t="shared" si="1"/>
        <v>0</v>
      </c>
      <c r="Z8" s="33">
        <f t="shared" si="3"/>
        <v>0</v>
      </c>
      <c r="AF8" s="33">
        <f t="shared" si="4"/>
        <v>0</v>
      </c>
      <c r="AL8" s="33">
        <f t="shared" si="5"/>
        <v>0</v>
      </c>
      <c r="AM8" s="39" t="s">
        <v>107</v>
      </c>
      <c r="AN8" s="39" t="s">
        <v>108</v>
      </c>
      <c r="AR8" s="33">
        <f t="shared" si="6"/>
        <v>0</v>
      </c>
      <c r="AX8" s="33">
        <f t="shared" si="7"/>
        <v>0</v>
      </c>
    </row>
    <row r="9" spans="1:50" x14ac:dyDescent="0.25">
      <c r="A9" s="41" t="s">
        <v>13</v>
      </c>
      <c r="B9" s="43">
        <v>8</v>
      </c>
      <c r="H9" s="33">
        <f t="shared" si="2"/>
        <v>0</v>
      </c>
      <c r="N9" s="33">
        <f t="shared" si="0"/>
        <v>0</v>
      </c>
      <c r="T9" s="33">
        <f t="shared" si="1"/>
        <v>0</v>
      </c>
      <c r="Z9" s="33">
        <f t="shared" si="3"/>
        <v>0</v>
      </c>
      <c r="AF9" s="33">
        <f t="shared" si="4"/>
        <v>0</v>
      </c>
      <c r="AL9" s="33">
        <f t="shared" si="5"/>
        <v>0</v>
      </c>
      <c r="AM9" s="39" t="s">
        <v>107</v>
      </c>
      <c r="AN9" s="39" t="s">
        <v>108</v>
      </c>
      <c r="AR9" s="33">
        <f t="shared" si="6"/>
        <v>0</v>
      </c>
      <c r="AX9" s="33">
        <f t="shared" si="7"/>
        <v>0</v>
      </c>
    </row>
    <row r="10" spans="1:50" x14ac:dyDescent="0.25">
      <c r="A10" s="40" t="s">
        <v>12</v>
      </c>
      <c r="B10" s="44">
        <v>9</v>
      </c>
      <c r="H10" s="33">
        <f t="shared" si="2"/>
        <v>0</v>
      </c>
      <c r="N10" s="33">
        <f t="shared" si="0"/>
        <v>0</v>
      </c>
      <c r="T10" s="33">
        <f t="shared" si="1"/>
        <v>0</v>
      </c>
      <c r="Z10" s="33">
        <f t="shared" si="3"/>
        <v>0</v>
      </c>
      <c r="AF10" s="33">
        <f t="shared" si="4"/>
        <v>0</v>
      </c>
      <c r="AL10" s="33">
        <f t="shared" si="5"/>
        <v>0</v>
      </c>
      <c r="AM10" s="39" t="s">
        <v>107</v>
      </c>
      <c r="AN10" s="39" t="s">
        <v>108</v>
      </c>
      <c r="AR10" s="33">
        <f t="shared" si="6"/>
        <v>0</v>
      </c>
      <c r="AX10" s="33">
        <f t="shared" si="7"/>
        <v>0</v>
      </c>
    </row>
    <row r="11" spans="1:50" x14ac:dyDescent="0.25">
      <c r="A11" s="41" t="s">
        <v>4</v>
      </c>
      <c r="B11" s="43">
        <v>10</v>
      </c>
      <c r="H11" s="33">
        <f t="shared" si="2"/>
        <v>0</v>
      </c>
      <c r="N11" s="33">
        <f t="shared" si="0"/>
        <v>0</v>
      </c>
      <c r="T11" s="33">
        <f t="shared" si="1"/>
        <v>0</v>
      </c>
      <c r="Z11" s="33">
        <f t="shared" si="3"/>
        <v>0</v>
      </c>
      <c r="AF11" s="33">
        <f t="shared" si="4"/>
        <v>0</v>
      </c>
      <c r="AL11" s="33">
        <f t="shared" si="5"/>
        <v>0</v>
      </c>
      <c r="AM11" s="39" t="s">
        <v>107</v>
      </c>
      <c r="AN11" s="39" t="s">
        <v>108</v>
      </c>
      <c r="AR11" s="33">
        <f t="shared" si="6"/>
        <v>0</v>
      </c>
      <c r="AX11" s="33">
        <f t="shared" si="7"/>
        <v>0</v>
      </c>
    </row>
    <row r="12" spans="1:50" x14ac:dyDescent="0.25">
      <c r="A12" s="41" t="s">
        <v>5</v>
      </c>
      <c r="B12" s="43">
        <v>11</v>
      </c>
      <c r="H12" s="33">
        <f t="shared" si="2"/>
        <v>0</v>
      </c>
      <c r="N12" s="33">
        <f t="shared" si="0"/>
        <v>0</v>
      </c>
      <c r="T12" s="33">
        <f t="shared" si="1"/>
        <v>0</v>
      </c>
      <c r="Z12" s="33">
        <f t="shared" si="3"/>
        <v>0</v>
      </c>
      <c r="AF12" s="33">
        <f t="shared" si="4"/>
        <v>0</v>
      </c>
      <c r="AL12" s="33">
        <f t="shared" si="5"/>
        <v>0</v>
      </c>
      <c r="AM12" s="39" t="s">
        <v>107</v>
      </c>
      <c r="AN12" s="39" t="s">
        <v>108</v>
      </c>
      <c r="AR12" s="33">
        <f t="shared" si="6"/>
        <v>0</v>
      </c>
      <c r="AX12" s="33">
        <f t="shared" si="7"/>
        <v>0</v>
      </c>
    </row>
    <row r="13" spans="1:50" ht="18.75" customHeight="1" x14ac:dyDescent="0.25">
      <c r="A13" s="40" t="s">
        <v>8</v>
      </c>
      <c r="B13" s="44">
        <v>12</v>
      </c>
      <c r="H13" s="33">
        <f t="shared" si="2"/>
        <v>0</v>
      </c>
      <c r="N13" s="33">
        <f t="shared" si="0"/>
        <v>0</v>
      </c>
      <c r="T13" s="33">
        <f t="shared" si="1"/>
        <v>0</v>
      </c>
      <c r="Z13" s="33">
        <f t="shared" si="3"/>
        <v>0</v>
      </c>
      <c r="AF13" s="33">
        <f t="shared" si="4"/>
        <v>0</v>
      </c>
      <c r="AL13" s="33">
        <f t="shared" si="5"/>
        <v>0</v>
      </c>
      <c r="AM13" s="39" t="s">
        <v>107</v>
      </c>
      <c r="AN13" s="39" t="s">
        <v>108</v>
      </c>
      <c r="AR13" s="33">
        <f t="shared" si="6"/>
        <v>0</v>
      </c>
      <c r="AX13" s="33">
        <f t="shared" si="7"/>
        <v>0</v>
      </c>
    </row>
    <row r="14" spans="1:50" x14ac:dyDescent="0.25">
      <c r="A14" s="41" t="s">
        <v>6</v>
      </c>
      <c r="B14" s="43">
        <v>13</v>
      </c>
      <c r="H14" s="33">
        <f t="shared" si="2"/>
        <v>0</v>
      </c>
      <c r="N14" s="33">
        <f t="shared" si="0"/>
        <v>0</v>
      </c>
      <c r="T14" s="33">
        <f t="shared" si="1"/>
        <v>0</v>
      </c>
      <c r="Z14" s="33">
        <f t="shared" si="3"/>
        <v>0</v>
      </c>
      <c r="AF14" s="33">
        <f t="shared" si="4"/>
        <v>0</v>
      </c>
      <c r="AL14" s="33">
        <f t="shared" si="5"/>
        <v>0</v>
      </c>
      <c r="AM14" s="39" t="s">
        <v>107</v>
      </c>
      <c r="AN14" s="39" t="s">
        <v>108</v>
      </c>
      <c r="AR14" s="33">
        <f t="shared" si="6"/>
        <v>0</v>
      </c>
      <c r="AX14" s="33">
        <f t="shared" si="7"/>
        <v>0</v>
      </c>
    </row>
    <row r="15" spans="1:50" x14ac:dyDescent="0.25">
      <c r="A15" s="40" t="s">
        <v>7</v>
      </c>
      <c r="B15" s="43">
        <v>14</v>
      </c>
      <c r="H15" s="33">
        <f t="shared" si="2"/>
        <v>0</v>
      </c>
      <c r="N15" s="33">
        <f t="shared" si="0"/>
        <v>0</v>
      </c>
      <c r="T15" s="33">
        <f t="shared" si="1"/>
        <v>0</v>
      </c>
      <c r="Z15" s="33">
        <f t="shared" si="3"/>
        <v>0</v>
      </c>
      <c r="AF15" s="33">
        <f t="shared" si="4"/>
        <v>0</v>
      </c>
      <c r="AL15" s="33">
        <f t="shared" si="5"/>
        <v>0</v>
      </c>
      <c r="AM15" s="39" t="s">
        <v>107</v>
      </c>
      <c r="AN15" s="39" t="s">
        <v>108</v>
      </c>
      <c r="AR15" s="33">
        <f t="shared" si="6"/>
        <v>0</v>
      </c>
      <c r="AX15" s="33">
        <f t="shared" si="7"/>
        <v>0</v>
      </c>
    </row>
    <row r="16" spans="1:50" x14ac:dyDescent="0.25">
      <c r="A16" s="40" t="s">
        <v>14</v>
      </c>
      <c r="B16" s="37">
        <v>15</v>
      </c>
      <c r="H16" s="33">
        <f t="shared" si="2"/>
        <v>0</v>
      </c>
      <c r="N16" s="33">
        <f t="shared" si="0"/>
        <v>0</v>
      </c>
      <c r="T16" s="33">
        <f t="shared" si="1"/>
        <v>0</v>
      </c>
      <c r="Z16" s="33">
        <f t="shared" si="3"/>
        <v>0</v>
      </c>
      <c r="AF16" s="33">
        <f t="shared" si="4"/>
        <v>0</v>
      </c>
      <c r="AL16" s="33">
        <f t="shared" si="5"/>
        <v>0</v>
      </c>
      <c r="AM16" s="39" t="s">
        <v>107</v>
      </c>
      <c r="AN16" s="39" t="s">
        <v>108</v>
      </c>
      <c r="AR16" s="33">
        <f t="shared" si="6"/>
        <v>0</v>
      </c>
      <c r="AX16" s="33">
        <f t="shared" si="7"/>
        <v>0</v>
      </c>
    </row>
    <row r="17" spans="1:50" x14ac:dyDescent="0.25">
      <c r="A17" s="15" t="s">
        <v>39</v>
      </c>
      <c r="B17" s="38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71" t="s">
        <v>107</v>
      </c>
      <c r="AN17" s="71" t="s">
        <v>108</v>
      </c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</row>
    <row r="18" spans="1:50" x14ac:dyDescent="0.25">
      <c r="A18" s="1" t="s">
        <v>11</v>
      </c>
    </row>
    <row r="19" spans="1:50" x14ac:dyDescent="0.25">
      <c r="A19" s="1" t="s">
        <v>10</v>
      </c>
    </row>
  </sheetData>
  <customSheetViews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9" xr:uid="{6C0603E1-405B-47D3-831F-8A3632C57292}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1" sqref="B1"/>
      <pageMargins left="0.511811024" right="0.511811024" top="0.78740157499999996" bottom="0.78740157499999996" header="0.31496062000000002" footer="0.31496062000000002"/>
    </customSheetView>
    <customSheetView guid="{3D987F8E-A6EA-454D-9537-6BFC5053CB00}" scale="85">
      <pane xSplit="1" topLeftCell="B1" activePane="topRight" state="frozen"/>
      <selection pane="topRight" activeCell="A15" sqref="A15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AK1">
      <selection activeCell="C1" sqref="C1:AZ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20"/>
    </row>
    <row r="2" spans="12:12" x14ac:dyDescent="0.25">
      <c r="L2" s="20"/>
    </row>
    <row r="3" spans="12:12" x14ac:dyDescent="0.25">
      <c r="L3" s="20"/>
    </row>
    <row r="4" spans="12:12" x14ac:dyDescent="0.25">
      <c r="L4" s="20"/>
    </row>
    <row r="5" spans="12:12" x14ac:dyDescent="0.25">
      <c r="L5" s="20"/>
    </row>
    <row r="6" spans="12:12" x14ac:dyDescent="0.25">
      <c r="L6" s="20"/>
    </row>
    <row r="7" spans="12:12" x14ac:dyDescent="0.25">
      <c r="L7" s="20"/>
    </row>
    <row r="8" spans="12:12" x14ac:dyDescent="0.25">
      <c r="L8" s="20"/>
    </row>
    <row r="9" spans="12:12" x14ac:dyDescent="0.25">
      <c r="L9" s="20"/>
    </row>
    <row r="10" spans="12:12" x14ac:dyDescent="0.25">
      <c r="L10" s="20"/>
    </row>
    <row r="11" spans="12:12" x14ac:dyDescent="0.25">
      <c r="L11" s="20"/>
    </row>
    <row r="12" spans="12:12" x14ac:dyDescent="0.25">
      <c r="L12" s="20"/>
    </row>
    <row r="13" spans="12:12" x14ac:dyDescent="0.25">
      <c r="L13" s="20"/>
    </row>
    <row r="14" spans="12:12" x14ac:dyDescent="0.25">
      <c r="L14" s="20"/>
    </row>
    <row r="15" spans="12:12" x14ac:dyDescent="0.25">
      <c r="L15" s="20"/>
    </row>
  </sheetData>
  <customSheetViews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D4" sqref="D4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Leonardo</vt:lpstr>
      <vt:lpstr>TOTAL</vt:lpstr>
      <vt:lpstr>Diego</vt:lpstr>
      <vt:lpstr>Aelton</vt:lpstr>
      <vt:lpstr>Leonam</vt:lpstr>
      <vt:lpstr>Danilo</vt:lpstr>
      <vt:lpstr>Marcos</vt:lpstr>
      <vt:lpstr>Alessandro</vt:lpstr>
      <vt:lpstr>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Alessandro Borges de Araújo</cp:lastModifiedBy>
  <dcterms:created xsi:type="dcterms:W3CDTF">2025-02-20T15:04:38Z</dcterms:created>
  <dcterms:modified xsi:type="dcterms:W3CDTF">2026-03-12T13:33:37Z</dcterms:modified>
</cp:coreProperties>
</file>
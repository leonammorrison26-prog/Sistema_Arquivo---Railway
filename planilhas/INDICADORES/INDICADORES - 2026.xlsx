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9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14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103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Atividade Semanal - Equipe\z INDICADORES - POR DIA\"/>
    </mc:Choice>
  </mc:AlternateContent>
  <xr:revisionPtr revIDLastSave="0" documentId="13_ncr:81_{186FA818-0F33-458B-8116-F0B54A3DED90}" xr6:coauthVersionLast="47" xr6:coauthVersionMax="47" xr10:uidLastSave="{00000000-0000-0000-0000-000000000000}"/>
  <bookViews>
    <workbookView xWindow="28680" yWindow="-120" windowWidth="24240" windowHeight="13140" firstSheet="1" activeTab="8" xr2:uid="{00000000-000D-0000-FFFF-FFFF00000000}"/>
  </bookViews>
  <sheets>
    <sheet name="GLOSSÁRIO" sheetId="12" r:id="rId1"/>
    <sheet name="Patrícia" sheetId="1" r:id="rId2"/>
    <sheet name="Leonardo" sheetId="2" r:id="rId3"/>
    <sheet name="TOTAL" sheetId="3" r:id="rId4"/>
    <sheet name="Diego" sheetId="4" r:id="rId5"/>
    <sheet name="Aelton" sheetId="5" r:id="rId6"/>
    <sheet name="Leonam" sheetId="6" r:id="rId7"/>
    <sheet name="Danilo" sheetId="7" r:id="rId8"/>
    <sheet name="Alessandro" sheetId="10" r:id="rId9"/>
    <sheet name="Marcos" sheetId="8" r:id="rId10"/>
    <sheet name="Carlos" sheetId="9" r:id="rId11"/>
    <sheet name="Planilha1" sheetId="11" state="hidden" r:id="rId12"/>
  </sheets>
  <definedNames>
    <definedName name="_xlnm._FilterDatabase" localSheetId="5" hidden="1">Aelton!$A$1:$A$19</definedName>
    <definedName name="_xlnm._FilterDatabase" localSheetId="8" hidden="1">Alessandro!$A$1:$A$19</definedName>
    <definedName name="_xlnm._FilterDatabase" localSheetId="10" hidden="1">Carlos!$A$1:$A$19</definedName>
    <definedName name="_xlnm._FilterDatabase" localSheetId="7" hidden="1">Danilo!$A$1:$A$19</definedName>
    <definedName name="_xlnm._FilterDatabase" localSheetId="4" hidden="1">Diego!$A$1:$A$20</definedName>
    <definedName name="_xlnm._FilterDatabase" localSheetId="6" hidden="1">Leonam!$A$1:$B$19</definedName>
    <definedName name="_xlnm._FilterDatabase" localSheetId="2" hidden="1">Leonardo!$A$1:$A$5</definedName>
    <definedName name="_xlnm._FilterDatabase" localSheetId="9" hidden="1">Marcos!$A$1:$A$20</definedName>
    <definedName name="_xlnm._FilterDatabase" localSheetId="1" hidden="1">Patrícia!$A$1:$A$5</definedName>
    <definedName name="_xlnm._FilterDatabase" localSheetId="3" hidden="1">TOTAL!$A$1:$J$19</definedName>
    <definedName name="_xleta.N" hidden="1">#NAME?</definedName>
    <definedName name="Z_06B9359A_7F39_4D4B_8367_C837FD7A454D_.wvu.FilterData" localSheetId="7" hidden="1">Danilo!$A$1:$A$19</definedName>
    <definedName name="Z_06B9359A_7F39_4D4B_8367_C837FD7A454D_.wvu.FilterData" localSheetId="4" hidden="1">Diego!$A$1:$A$20</definedName>
    <definedName name="Z_06B9359A_7F39_4D4B_8367_C837FD7A454D_.wvu.FilterData" localSheetId="6" hidden="1">Leonam!$A$1:$B$19</definedName>
    <definedName name="Z_0B55FC46_3C4C_40FA_8D19_F188F3837C28_.wvu.FilterData" localSheetId="9" hidden="1">Marcos!$A$1:$A$19</definedName>
    <definedName name="Z_1510BE18_73CC_483F_9E2C_433AE8548BC0_.wvu.FilterData" localSheetId="10" hidden="1">Carlos!$A$1:$A$19</definedName>
    <definedName name="Z_1510BE18_73CC_483F_9E2C_433AE8548BC0_.wvu.FilterData" localSheetId="4" hidden="1">Diego!$A$1:$A$19</definedName>
    <definedName name="Z_1510BE18_73CC_483F_9E2C_433AE8548BC0_.wvu.FilterData" localSheetId="6" hidden="1">Leonam!$A$1:$B$19</definedName>
    <definedName name="Z_1510BE18_73CC_483F_9E2C_433AE8548BC0_.wvu.FilterData" localSheetId="9" hidden="1">Marcos!$A$1:$A$19</definedName>
    <definedName name="Z_18A482E0_C8B6_4AA1_9E04_15FA7C9CD5E3_.wvu.FilterData" localSheetId="5" hidden="1">Aelton!$A$1:$A$19</definedName>
    <definedName name="Z_18A482E0_C8B6_4AA1_9E04_15FA7C9CD5E3_.wvu.FilterData" localSheetId="8" hidden="1">Alessandro!$A$1:$A$19</definedName>
    <definedName name="Z_18A482E0_C8B6_4AA1_9E04_15FA7C9CD5E3_.wvu.FilterData" localSheetId="10" hidden="1">Carlos!$A$1:$A$19</definedName>
    <definedName name="Z_18A482E0_C8B6_4AA1_9E04_15FA7C9CD5E3_.wvu.FilterData" localSheetId="7" hidden="1">Danilo!$A$1:$A$19</definedName>
    <definedName name="Z_18A482E0_C8B6_4AA1_9E04_15FA7C9CD5E3_.wvu.FilterData" localSheetId="4" hidden="1">Diego!$A$1:$A$19</definedName>
    <definedName name="Z_18A482E0_C8B6_4AA1_9E04_15FA7C9CD5E3_.wvu.FilterData" localSheetId="6" hidden="1">Leonam!$A$1:$B$19</definedName>
    <definedName name="Z_18A482E0_C8B6_4AA1_9E04_15FA7C9CD5E3_.wvu.FilterData" localSheetId="2" hidden="1">Leonardo!$A$1:$A$5</definedName>
    <definedName name="Z_18A482E0_C8B6_4AA1_9E04_15FA7C9CD5E3_.wvu.FilterData" localSheetId="9" hidden="1">Marcos!$A$1:$A$19</definedName>
    <definedName name="Z_18A482E0_C8B6_4AA1_9E04_15FA7C9CD5E3_.wvu.FilterData" localSheetId="1" hidden="1">Patrícia!$A$1:$A$3</definedName>
    <definedName name="Z_18A482E0_C8B6_4AA1_9E04_15FA7C9CD5E3_.wvu.FilterData" localSheetId="3" hidden="1">TOTAL!$A$1:$A$19</definedName>
    <definedName name="Z_1B7E66BC_FAD9_49CD_A44C_EC1BA1D78012_.wvu.FilterData" localSheetId="4" hidden="1">Diego!$A$1:$A$21</definedName>
    <definedName name="Z_1B7E66BC_FAD9_49CD_A44C_EC1BA1D78012_.wvu.FilterData" localSheetId="9" hidden="1">Marcos!$A$1:$A$19</definedName>
    <definedName name="Z_1BDA250B_2920_4BD7_A433_977E2DD900C8_.wvu.FilterData" localSheetId="7" hidden="1">Danilo!$A$1:$A$33</definedName>
    <definedName name="Z_1BDA250B_2920_4BD7_A433_977E2DD900C8_.wvu.FilterData" localSheetId="9" hidden="1">Marcos!$A$1:$A$19</definedName>
    <definedName name="Z_20CB6D8F_C24D_4D4B_A424_AF380F620455_.wvu.FilterData" localSheetId="5" hidden="1">Aelton!$A$1:$A$19</definedName>
    <definedName name="Z_20CB6D8F_C24D_4D4B_A424_AF380F620455_.wvu.FilterData" localSheetId="8" hidden="1">Alessandro!$A$1:$A$19</definedName>
    <definedName name="Z_20CB6D8F_C24D_4D4B_A424_AF380F620455_.wvu.FilterData" localSheetId="10" hidden="1">Carlos!$A$1:$A$19</definedName>
    <definedName name="Z_20CB6D8F_C24D_4D4B_A424_AF380F620455_.wvu.FilterData" localSheetId="7" hidden="1">Danilo!$A$1:$A$19</definedName>
    <definedName name="Z_20CB6D8F_C24D_4D4B_A424_AF380F620455_.wvu.FilterData" localSheetId="4" hidden="1">Diego!$A$1:$A$20</definedName>
    <definedName name="Z_20CB6D8F_C24D_4D4B_A424_AF380F620455_.wvu.FilterData" localSheetId="6" hidden="1">Leonam!$A$1:$B$19</definedName>
    <definedName name="Z_20CB6D8F_C24D_4D4B_A424_AF380F620455_.wvu.FilterData" localSheetId="2" hidden="1">Leonardo!$A$1:$A$5</definedName>
    <definedName name="Z_20CB6D8F_C24D_4D4B_A424_AF380F620455_.wvu.FilterData" localSheetId="9" hidden="1">Marcos!$A$1:$A$20</definedName>
    <definedName name="Z_20CB6D8F_C24D_4D4B_A424_AF380F620455_.wvu.FilterData" localSheetId="1" hidden="1">Patrícia!$A$1:$A$5</definedName>
    <definedName name="Z_20CB6D8F_C24D_4D4B_A424_AF380F620455_.wvu.FilterData" localSheetId="3" hidden="1">TOTAL!$A$1:$J$19</definedName>
    <definedName name="Z_221CAD7F_6BBD_49EC_A8C4_68165B9A6C25_.wvu.FilterData" localSheetId="7" hidden="1">Danilo!$A$1:$A$19</definedName>
    <definedName name="Z_26904941_D7A6_4400_A4D4_FC1C61AD552D_.wvu.FilterData" localSheetId="6" hidden="1">Leonam!$A$1:$B$19</definedName>
    <definedName name="Z_27007976_1F87_4541_B62B_D53BDFC0590C_.wvu.FilterData" localSheetId="9" hidden="1">Marcos!$A$1:$A$20</definedName>
    <definedName name="Z_27D1146D_2AA0_4FD6_A294_24C99A5284B4_.wvu.FilterData" localSheetId="8" hidden="1">Alessandro!$A$1:$A$19</definedName>
    <definedName name="Z_292194A3_4172_400D_B49A_B6ABE831DBEB_.wvu.FilterData" localSheetId="5" hidden="1">Aelton!$A$1:$A$19</definedName>
    <definedName name="Z_292194A3_4172_400D_B49A_B6ABE831DBEB_.wvu.FilterData" localSheetId="4" hidden="1">Diego!$A$1:$A$21</definedName>
    <definedName name="Z_292194A3_4172_400D_B49A_B6ABE831DBEB_.wvu.FilterData" localSheetId="6" hidden="1">Leonam!$A$1:$B$19</definedName>
    <definedName name="Z_292194A3_4172_400D_B49A_B6ABE831DBEB_.wvu.FilterData" localSheetId="9" hidden="1">Marcos!$A$1:$A$19</definedName>
    <definedName name="Z_29ECD1DE_9036_4576_AB88_5BDD65D2BD2E_.wvu.FilterData" localSheetId="6" hidden="1">Leonam!$A$1:$B$19</definedName>
    <definedName name="Z_2B7F7555_67DD_4264_B712_BD247418238E_.wvu.FilterData" localSheetId="9" hidden="1">Marcos!$A$1:$A$19</definedName>
    <definedName name="Z_2E1B29BD_778A_42E8_BF4C_CF2FDC53F7A4_.wvu.FilterData" localSheetId="9" hidden="1">Marcos!$A$1:$A$20</definedName>
    <definedName name="Z_303FA4A8_3B77_41B3_90B1_0B6BBA338E37_.wvu.FilterData" localSheetId="5" hidden="1">Aelton!$A$1:$A$19</definedName>
    <definedName name="Z_328B0BBE_775A_4EF2_B09F_2C1FE785DB17_.wvu.FilterData" localSheetId="9" hidden="1">Marcos!$A$1:$A$20</definedName>
    <definedName name="Z_354EDC66_16C1_436F_9179_3BF7E6157895_.wvu.FilterData" localSheetId="9" hidden="1">Marcos!$A$1:$A$20</definedName>
    <definedName name="Z_35CCAC03_A758_4A73_906E_20BF31DABC91_.wvu.FilterData" localSheetId="7" hidden="1">Danilo!$A$1:$A$19</definedName>
    <definedName name="Z_35CCAC03_A758_4A73_906E_20BF31DABC91_.wvu.FilterData" localSheetId="6" hidden="1">Leonam!$A$1:$B$19</definedName>
    <definedName name="Z_39121804_BD9A_4507_AAD5_1867EAE4CB15_.wvu.FilterData" localSheetId="8" hidden="1">Alessandro!$A$1:$A$19</definedName>
    <definedName name="Z_39489D99_D6F8_43D7_9535_2A51B72147B5_.wvu.FilterData" localSheetId="7" hidden="1">Danilo!$A$1:$A$19</definedName>
    <definedName name="Z_39E2970F_D65E_43EC_9342_CEF876D070BB_.wvu.FilterData" localSheetId="5" hidden="1">Aelton!$A$1:$A$19</definedName>
    <definedName name="Z_3BD1B20E_2C15_4B33_A6DA_9CEF5990D929_.wvu.FilterData" localSheetId="4" hidden="1">Diego!$A$1:$A$20</definedName>
    <definedName name="Z_3CC06121_2B9B_48D6_95F1_5B29B3ACEAC3_.wvu.FilterData" localSheetId="6" hidden="1">Leonam!$A$1:$B$19</definedName>
    <definedName name="Z_3D987F8E_A6EA_454D_9537_6BFC5053CB00_.wvu.FilterData" localSheetId="5" hidden="1">Aelton!$A$1:$A$19</definedName>
    <definedName name="Z_3D987F8E_A6EA_454D_9537_6BFC5053CB00_.wvu.FilterData" localSheetId="8" hidden="1">Alessandro!$A$1:$A$19</definedName>
    <definedName name="Z_3D987F8E_A6EA_454D_9537_6BFC5053CB00_.wvu.FilterData" localSheetId="10" hidden="1">Carlos!$A$1:$A$19</definedName>
    <definedName name="Z_3D987F8E_A6EA_454D_9537_6BFC5053CB00_.wvu.FilterData" localSheetId="7" hidden="1">Danilo!$A$1:$A$19</definedName>
    <definedName name="Z_3D987F8E_A6EA_454D_9537_6BFC5053CB00_.wvu.FilterData" localSheetId="4" hidden="1">Diego!$A$1:$A$20</definedName>
    <definedName name="Z_3D987F8E_A6EA_454D_9537_6BFC5053CB00_.wvu.FilterData" localSheetId="6" hidden="1">Leonam!$A$1:$B$19</definedName>
    <definedName name="Z_3D987F8E_A6EA_454D_9537_6BFC5053CB00_.wvu.FilterData" localSheetId="2" hidden="1">Leonardo!$A$1:$A$5</definedName>
    <definedName name="Z_3D987F8E_A6EA_454D_9537_6BFC5053CB00_.wvu.FilterData" localSheetId="9" hidden="1">Marcos!$A$1:$A$20</definedName>
    <definedName name="Z_3D987F8E_A6EA_454D_9537_6BFC5053CB00_.wvu.FilterData" localSheetId="1" hidden="1">Patrícia!$A$1:$A$5</definedName>
    <definedName name="Z_3D987F8E_A6EA_454D_9537_6BFC5053CB00_.wvu.FilterData" localSheetId="3" hidden="1">TOTAL!$A$1:$J$19</definedName>
    <definedName name="Z_4079B0E0_0C38_4415_85D0_9ADAAD8545C0_.wvu.FilterData" localSheetId="7" hidden="1">Danilo!$A$1:$A$33</definedName>
    <definedName name="Z_4079B0E0_0C38_4415_85D0_9ADAAD8545C0_.wvu.FilterData" localSheetId="4" hidden="1">Diego!$A$1:$A$19</definedName>
    <definedName name="Z_4079B0E0_0C38_4415_85D0_9ADAAD8545C0_.wvu.FilterData" localSheetId="3" hidden="1">TOTAL!$A$1:$A$19</definedName>
    <definedName name="Z_45F463EA_C067_4F95_B79F_720A856DD6F7_.wvu.FilterData" localSheetId="4" hidden="1">Diego!$A$1:$A$19</definedName>
    <definedName name="Z_4C2581D1_FB98_41CF_B2FE_518BD27D9442_.wvu.FilterData" localSheetId="5" hidden="1">Aelton!$A$1:$A$19</definedName>
    <definedName name="Z_4C2581D1_FB98_41CF_B2FE_518BD27D9442_.wvu.FilterData" localSheetId="6" hidden="1">Leonam!$A$1:$B$19</definedName>
    <definedName name="Z_4C2581D1_FB98_41CF_B2FE_518BD27D9442_.wvu.FilterData" localSheetId="9" hidden="1">Marcos!$A$1:$A$19</definedName>
    <definedName name="Z_4E060732_83F8_4DF4_BA69_E86233C09DEB_.wvu.FilterData" localSheetId="4" hidden="1">Diego!$A$1:$A$19</definedName>
    <definedName name="Z_4E43814E_6236_47E0_82E3_89BC3CF4ADCB_.wvu.FilterData" localSheetId="7" hidden="1">Danilo!$A$1:$A$19</definedName>
    <definedName name="Z_527DBFB3_F830_471C_A755_D892B2B1A236_.wvu.FilterData" localSheetId="9" hidden="1">Marcos!$A$1:$A$19</definedName>
    <definedName name="Z_56F183AD_E220_4EEB_88D6_493ECECA6BE8_.wvu.FilterData" localSheetId="9" hidden="1">Marcos!$A$1:$A$20</definedName>
    <definedName name="Z_5D13117B_1A22_428E_846B_EF3C77E3CE3F_.wvu.FilterData" localSheetId="5" hidden="1">Aelton!$A$1:$A$19</definedName>
    <definedName name="Z_5D13117B_1A22_428E_846B_EF3C77E3CE3F_.wvu.FilterData" localSheetId="6" hidden="1">Leonam!$A$1:$B$19</definedName>
    <definedName name="Z_5E3B61B2_15D5_4C7E_BCEC_255A7B84287A_.wvu.FilterData" localSheetId="5" hidden="1">Aelton!$A$1:$A$19</definedName>
    <definedName name="Z_5E3B61B2_15D5_4C7E_BCEC_255A7B84287A_.wvu.FilterData" localSheetId="8" hidden="1">Alessandro!$A$1:$A$19</definedName>
    <definedName name="Z_5E3B61B2_15D5_4C7E_BCEC_255A7B84287A_.wvu.FilterData" localSheetId="10" hidden="1">Carlos!$A$1:$A$19</definedName>
    <definedName name="Z_5E3B61B2_15D5_4C7E_BCEC_255A7B84287A_.wvu.FilterData" localSheetId="7" hidden="1">Danilo!$A$1:$A$19</definedName>
    <definedName name="Z_5E3B61B2_15D5_4C7E_BCEC_255A7B84287A_.wvu.FilterData" localSheetId="4" hidden="1">Diego!$A$1:$A$20</definedName>
    <definedName name="Z_5E3B61B2_15D5_4C7E_BCEC_255A7B84287A_.wvu.FilterData" localSheetId="6" hidden="1">Leonam!$A$1:$B$19</definedName>
    <definedName name="Z_5E3B61B2_15D5_4C7E_BCEC_255A7B84287A_.wvu.FilterData" localSheetId="2" hidden="1">Leonardo!$A$1:$A$5</definedName>
    <definedName name="Z_5E3B61B2_15D5_4C7E_BCEC_255A7B84287A_.wvu.FilterData" localSheetId="9" hidden="1">Marcos!$A$1:$A$20</definedName>
    <definedName name="Z_5E3B61B2_15D5_4C7E_BCEC_255A7B84287A_.wvu.FilterData" localSheetId="1" hidden="1">Patrícia!$A$1:$A$5</definedName>
    <definedName name="Z_5E3B61B2_15D5_4C7E_BCEC_255A7B84287A_.wvu.FilterData" localSheetId="3" hidden="1">TOTAL!$A$1:$J$19</definedName>
    <definedName name="Z_6192735B_895E_467E_8A7A_A96CA401E8FC_.wvu.FilterData" localSheetId="5" hidden="1">Aelton!$A$1:$A$19</definedName>
    <definedName name="Z_6192735B_895E_467E_8A7A_A96CA401E8FC_.wvu.FilterData" localSheetId="4" hidden="1">Diego!$A$1:$A$19</definedName>
    <definedName name="Z_6192735B_895E_467E_8A7A_A96CA401E8FC_.wvu.FilterData" localSheetId="9" hidden="1">Marcos!$A$1:$A$19</definedName>
    <definedName name="Z_61D1DCE3_0F76_42AD_BA8D_EA23AEA54BEF_.wvu.FilterData" localSheetId="9" hidden="1">Marcos!$A$1:$A$19</definedName>
    <definedName name="Z_63529BB9_7B0C_4CFB_832A_9827D1497A2D_.wvu.FilterData" localSheetId="8" hidden="1">Alessandro!$A$1:$A$19</definedName>
    <definedName name="Z_63529BB9_7B0C_4CFB_832A_9827D1497A2D_.wvu.FilterData" localSheetId="7" hidden="1">Danilo!$A$1:$A$33</definedName>
    <definedName name="Z_65286E0B_C86F_4A74_94F2_F3C1887F39C3_.wvu.FilterData" localSheetId="8" hidden="1">Alessandro!$A$1:$A$19</definedName>
    <definedName name="Z_65286E0B_C86F_4A74_94F2_F3C1887F39C3_.wvu.FilterData" localSheetId="7" hidden="1">Danilo!$A$1:$A$19</definedName>
    <definedName name="Z_65286E0B_C86F_4A74_94F2_F3C1887F39C3_.wvu.FilterData" localSheetId="4" hidden="1">Diego!$A$1:$A$20</definedName>
    <definedName name="Z_65286E0B_C86F_4A74_94F2_F3C1887F39C3_.wvu.FilterData" localSheetId="6" hidden="1">Leonam!$A$1:$B$19</definedName>
    <definedName name="Z_65C2FB55_1D25_4E58_BA73_A7FADBD630D1_.wvu.FilterData" localSheetId="5" hidden="1">Aelton!$A$1:$A$19</definedName>
    <definedName name="Z_65C2FB55_1D25_4E58_BA73_A7FADBD630D1_.wvu.FilterData" localSheetId="7" hidden="1">Danilo!$A$1:$A$19</definedName>
    <definedName name="Z_65C2FB55_1D25_4E58_BA73_A7FADBD630D1_.wvu.FilterData" localSheetId="6" hidden="1">Leonam!$A$1:$B$19</definedName>
    <definedName name="Z_6B6B262E_F738_43C3_94B9_04FDA955C398_.wvu.FilterData" localSheetId="5" hidden="1">Aelton!$A$1:$A$19</definedName>
    <definedName name="Z_6E26ADA7_350E_4245_8C42_D9718EBA06AE_.wvu.FilterData" localSheetId="7" hidden="1">Danilo!$A$1:$A$19</definedName>
    <definedName name="Z_7127A2CF_8838_43D3_998B_5F5427E8950C_.wvu.FilterData" localSheetId="4" hidden="1">Diego!$A$1:$A$19</definedName>
    <definedName name="Z_738B9F68_9A21_4046_A982_E676530BDBAD_.wvu.FilterData" localSheetId="6" hidden="1">Leonam!$A$1:$B$19</definedName>
    <definedName name="Z_746A910F_57F7_4BB6_BAEE_91398E13A270_.wvu.FilterData" localSheetId="4" hidden="1">Diego!$A$1:$A$19</definedName>
    <definedName name="Z_82015759_A7A4_4B45_A07B_67FCECB10C26_.wvu.FilterData" localSheetId="7" hidden="1">Danilo!$A$1:$A$33</definedName>
    <definedName name="Z_82015759_A7A4_4B45_A07B_67FCECB10C26_.wvu.FilterData" localSheetId="9" hidden="1">Marcos!$A$1:$A$19</definedName>
    <definedName name="Z_86039CF8_B158_4D70_9A6F_A10C29CBD68A_.wvu.FilterData" localSheetId="5" hidden="1">Aelton!$A$1:$A$19</definedName>
    <definedName name="Z_86039CF8_B158_4D70_9A6F_A10C29CBD68A_.wvu.FilterData" localSheetId="8" hidden="1">Alessandro!$A$1:$A$19</definedName>
    <definedName name="Z_86039CF8_B158_4D70_9A6F_A10C29CBD68A_.wvu.FilterData" localSheetId="10" hidden="1">Carlos!$A$1:$A$19</definedName>
    <definedName name="Z_86039CF8_B158_4D70_9A6F_A10C29CBD68A_.wvu.FilterData" localSheetId="7" hidden="1">Danilo!$A$1:$A$19</definedName>
    <definedName name="Z_86039CF8_B158_4D70_9A6F_A10C29CBD68A_.wvu.FilterData" localSheetId="4" hidden="1">Diego!$A$1:$A$20</definedName>
    <definedName name="Z_86039CF8_B158_4D70_9A6F_A10C29CBD68A_.wvu.FilterData" localSheetId="6" hidden="1">Leonam!$A$1:$B$19</definedName>
    <definedName name="Z_86039CF8_B158_4D70_9A6F_A10C29CBD68A_.wvu.FilterData" localSheetId="2" hidden="1">Leonardo!$A$1:$A$5</definedName>
    <definedName name="Z_86039CF8_B158_4D70_9A6F_A10C29CBD68A_.wvu.FilterData" localSheetId="9" hidden="1">Marcos!$A$1:$A$20</definedName>
    <definedName name="Z_86039CF8_B158_4D70_9A6F_A10C29CBD68A_.wvu.FilterData" localSheetId="1" hidden="1">Patrícia!$A$1:$A$5</definedName>
    <definedName name="Z_86039CF8_B158_4D70_9A6F_A10C29CBD68A_.wvu.FilterData" localSheetId="3" hidden="1">TOTAL!$A$1:$J$19</definedName>
    <definedName name="Z_8704C1C6_C976_4A60_9DC0_0C1731FA65DF_.wvu.FilterData" localSheetId="7" hidden="1">Danilo!$A$1:$A$19</definedName>
    <definedName name="Z_8704C1C6_C976_4A60_9DC0_0C1731FA65DF_.wvu.FilterData" localSheetId="9" hidden="1">Marcos!$A$1:$A$20</definedName>
    <definedName name="Z_8AAB51A6_A0E3_4A5A_83CE_A375636D0BFE_.wvu.FilterData" localSheetId="5" hidden="1">Aelton!$A$1:$A$19</definedName>
    <definedName name="Z_8B8567AE_2A03_4707_8762_CDE0AA44BA28_.wvu.FilterData" localSheetId="5" hidden="1">Aelton!$A$1:$A$19</definedName>
    <definedName name="Z_8B8567AE_2A03_4707_8762_CDE0AA44BA28_.wvu.FilterData" localSheetId="4" hidden="1">Diego!$A$1:$A$19</definedName>
    <definedName name="Z_8B8567AE_2A03_4707_8762_CDE0AA44BA28_.wvu.FilterData" localSheetId="9" hidden="1">Marcos!$A$1:$A$19</definedName>
    <definedName name="Z_9068F0A4_0C1F_4C4E_91F4_31F0C9C66660_.wvu.FilterData" localSheetId="7" hidden="1">Danilo!$A$1:$A$19</definedName>
    <definedName name="Z_9068F0A4_0C1F_4C4E_91F4_31F0C9C66660_.wvu.FilterData" localSheetId="6" hidden="1">Leonam!$A$1:$B$19</definedName>
    <definedName name="Z_931E1DCD_AE31_4DFC_AEE0_716590C2FB18_.wvu.FilterData" localSheetId="3" hidden="1">TOTAL!$A$1:$A$19</definedName>
    <definedName name="Z_983ADA86_E669_487C_9992_26F9F57FF6A8_.wvu.FilterData" localSheetId="4" hidden="1">Diego!$A$1:$A$19</definedName>
    <definedName name="Z_99535A48_02C6_4675_AEF4_0A1912F5F9DA_.wvu.FilterData" localSheetId="9" hidden="1">Marcos!$A$1:$A$19</definedName>
    <definedName name="Z_9B623083_AA7B_440B_95EA_C33E1AB3D963_.wvu.FilterData" localSheetId="5" hidden="1">Aelton!$A$1:$A$19</definedName>
    <definedName name="Z_9B623083_AA7B_440B_95EA_C33E1AB3D963_.wvu.FilterData" localSheetId="8" hidden="1">Alessandro!$A$1:$A$19</definedName>
    <definedName name="Z_9B623083_AA7B_440B_95EA_C33E1AB3D963_.wvu.FilterData" localSheetId="10" hidden="1">Carlos!$A$1:$A$19</definedName>
    <definedName name="Z_9B623083_AA7B_440B_95EA_C33E1AB3D963_.wvu.FilterData" localSheetId="7" hidden="1">Danilo!$A$1:$A$19</definedName>
    <definedName name="Z_9B623083_AA7B_440B_95EA_C33E1AB3D963_.wvu.FilterData" localSheetId="4" hidden="1">Diego!$A$1:$A$20</definedName>
    <definedName name="Z_9B623083_AA7B_440B_95EA_C33E1AB3D963_.wvu.FilterData" localSheetId="6" hidden="1">Leonam!$A$1:$B$19</definedName>
    <definedName name="Z_9B623083_AA7B_440B_95EA_C33E1AB3D963_.wvu.FilterData" localSheetId="2" hidden="1">Leonardo!$A$1:$A$5</definedName>
    <definedName name="Z_9B623083_AA7B_440B_95EA_C33E1AB3D963_.wvu.FilterData" localSheetId="9" hidden="1">Marcos!$A$1:$A$20</definedName>
    <definedName name="Z_9B623083_AA7B_440B_95EA_C33E1AB3D963_.wvu.FilterData" localSheetId="1" hidden="1">Patrícia!$A$1:$A$5</definedName>
    <definedName name="Z_9B623083_AA7B_440B_95EA_C33E1AB3D963_.wvu.FilterData" localSheetId="3" hidden="1">TOTAL!$A$1:$A$19</definedName>
    <definedName name="Z_9E46E882_42F6_431B_8932_C984FE3CE2F7_.wvu.FilterData" localSheetId="5" hidden="1">Aelton!$A$1:$A$19</definedName>
    <definedName name="Z_9FB24CC8_6AED_4B47_A357_E4CCF7F8A2F3_.wvu.FilterData" localSheetId="9" hidden="1">Marcos!$A$1:$A$19</definedName>
    <definedName name="Z_A08F465F_9EA2_438B_A731_7E6E4488C169_.wvu.FilterData" localSheetId="5" hidden="1">Aelton!$A$1:$A$19</definedName>
    <definedName name="Z_A0DFB63E_D368_43EE_B23A_31A2B6AEBC2E_.wvu.FilterData" localSheetId="9" hidden="1">Marcos!$A$1:$A$20</definedName>
    <definedName name="Z_B3CDE377_BA5D_4E06_91D9_3A48E1959BA5_.wvu.FilterData" localSheetId="5" hidden="1">Aelton!$A$1:$A$19</definedName>
    <definedName name="Z_B3CDE377_BA5D_4E06_91D9_3A48E1959BA5_.wvu.FilterData" localSheetId="8" hidden="1">Alessandro!$A$1:$A$19</definedName>
    <definedName name="Z_B3CDE377_BA5D_4E06_91D9_3A48E1959BA5_.wvu.FilterData" localSheetId="10" hidden="1">Carlos!$A$1:$A$19</definedName>
    <definedName name="Z_B3CDE377_BA5D_4E06_91D9_3A48E1959BA5_.wvu.FilterData" localSheetId="7" hidden="1">Danilo!$A$1:$A$19</definedName>
    <definedName name="Z_B3CDE377_BA5D_4E06_91D9_3A48E1959BA5_.wvu.FilterData" localSheetId="4" hidden="1">Diego!$A$1:$A$20</definedName>
    <definedName name="Z_B3CDE377_BA5D_4E06_91D9_3A48E1959BA5_.wvu.FilterData" localSheetId="6" hidden="1">Leonam!$A$1:$B$19</definedName>
    <definedName name="Z_B3CDE377_BA5D_4E06_91D9_3A48E1959BA5_.wvu.FilterData" localSheetId="2" hidden="1">Leonardo!$A$1:$A$5</definedName>
    <definedName name="Z_B3CDE377_BA5D_4E06_91D9_3A48E1959BA5_.wvu.FilterData" localSheetId="9" hidden="1">Marcos!$A$1:$A$20</definedName>
    <definedName name="Z_B3CDE377_BA5D_4E06_91D9_3A48E1959BA5_.wvu.FilterData" localSheetId="1" hidden="1">Patrícia!$A$1:$A$5</definedName>
    <definedName name="Z_B3CDE377_BA5D_4E06_91D9_3A48E1959BA5_.wvu.FilterData" localSheetId="3" hidden="1">TOTAL!$A$1:$J$19</definedName>
    <definedName name="Z_C1ADD972_3048_4C11_83EA_7D7DA864B713_.wvu.FilterData" localSheetId="5" hidden="1">Aelton!$A$1:$A$19</definedName>
    <definedName name="Z_C1ADD972_3048_4C11_83EA_7D7DA864B713_.wvu.FilterData" localSheetId="4" hidden="1">Diego!$A$1:$A$19</definedName>
    <definedName name="Z_C1ADD972_3048_4C11_83EA_7D7DA864B713_.wvu.FilterData" localSheetId="6" hidden="1">Leonam!$A$1:$B$19</definedName>
    <definedName name="Z_C1ADD972_3048_4C11_83EA_7D7DA864B713_.wvu.FilterData" localSheetId="9" hidden="1">Marcos!$A$1:$A$19</definedName>
    <definedName name="Z_C9005B68_77F0_401C_8512_BE258B93D9F2_.wvu.FilterData" localSheetId="4" hidden="1">Diego!$A$1:$A$19</definedName>
    <definedName name="Z_CD25BA1F_7EDD_4E29_8C83_4BA410D40FAB_.wvu.FilterData" localSheetId="6" hidden="1">Leonam!$A$1:$B$19</definedName>
    <definedName name="Z_CE4DE222_11C2_412F_9CD7_EACF481F4CE0_.wvu.FilterData" localSheetId="9" hidden="1">Marcos!$A$1:$A$19</definedName>
    <definedName name="Z_D04F37C0_316A_467C_A08A_F70CA9ABAACF_.wvu.FilterData" localSheetId="5" hidden="1">Aelton!$A$1:$A$19</definedName>
    <definedName name="Z_D053F25B_24B7_4DEA_9B1C_24248F2011C5_.wvu.FilterData" localSheetId="5" hidden="1">Aelton!$A$1:$A$19</definedName>
    <definedName name="Z_D52625D1_E6F2_417B_8A99_DF0FDA1E26C0_.wvu.FilterData" localSheetId="5" hidden="1">Aelton!$A$1:$A$19</definedName>
    <definedName name="Z_D52625D1_E6F2_417B_8A99_DF0FDA1E26C0_.wvu.FilterData" localSheetId="6" hidden="1">Leonam!$A$1:$B$19</definedName>
    <definedName name="Z_D52625D1_E6F2_417B_8A99_DF0FDA1E26C0_.wvu.FilterData" localSheetId="3" hidden="1">TOTAL!$A$1:$A$19</definedName>
    <definedName name="Z_DC414A74_72F4_4549_81B1_CAD9C736E1BE_.wvu.FilterData" localSheetId="8" hidden="1">Alessandro!$A$1:$A$19</definedName>
    <definedName name="Z_DC414A74_72F4_4549_81B1_CAD9C736E1BE_.wvu.FilterData" localSheetId="4" hidden="1">Diego!$A$1:$A$19</definedName>
    <definedName name="Z_DC414A74_72F4_4549_81B1_CAD9C736E1BE_.wvu.FilterData" localSheetId="6" hidden="1">Leonam!$A$1:$B$19</definedName>
    <definedName name="Z_DCD72475_1C1F_4880_804D_5C91B696BA46_.wvu.FilterData" localSheetId="4" hidden="1">Diego!$A$1:$A$21</definedName>
    <definedName name="Z_E0978B37_608F_4A77_B1C8_D080ABC76CC9_.wvu.FilterData" localSheetId="5" hidden="1">Aelton!$A$1:$A$19</definedName>
    <definedName name="Z_E0978B37_608F_4A77_B1C8_D080ABC76CC9_.wvu.FilterData" localSheetId="7" hidden="1">Danilo!$A$1:$A$33</definedName>
    <definedName name="Z_E0978B37_608F_4A77_B1C8_D080ABC76CC9_.wvu.FilterData" localSheetId="4" hidden="1">Diego!$A$1:$A$19</definedName>
    <definedName name="Z_E0978B37_608F_4A77_B1C8_D080ABC76CC9_.wvu.FilterData" localSheetId="6" hidden="1">Leonam!$A$1:$B$19</definedName>
    <definedName name="Z_E2C6012C_29C5_476E_8662_2FBB90014003_.wvu.FilterData" localSheetId="10" hidden="1">Carlos!$A$1:$A$19</definedName>
    <definedName name="Z_E2C6012C_29C5_476E_8662_2FBB90014003_.wvu.FilterData" localSheetId="7" hidden="1">Danilo!$A$1:$A$33</definedName>
    <definedName name="Z_E2C6012C_29C5_476E_8662_2FBB90014003_.wvu.FilterData" localSheetId="6" hidden="1">Leonam!$A$1:$B$19</definedName>
    <definedName name="Z_E2C6012C_29C5_476E_8662_2FBB90014003_.wvu.FilterData" localSheetId="9" hidden="1">Marcos!$A$1:$A$19</definedName>
    <definedName name="Z_E3841903_5B68_44FD_8F09_58E03D1025C5_.wvu.FilterData" localSheetId="5" hidden="1">Aelton!$A$1:$A$19</definedName>
    <definedName name="Z_E3841903_5B68_44FD_8F09_58E03D1025C5_.wvu.FilterData" localSheetId="8" hidden="1">Alessandro!$A$1:$A$19</definedName>
    <definedName name="Z_E3841903_5B68_44FD_8F09_58E03D1025C5_.wvu.FilterData" localSheetId="10" hidden="1">Carlos!$A$1:$A$19</definedName>
    <definedName name="Z_E3841903_5B68_44FD_8F09_58E03D1025C5_.wvu.FilterData" localSheetId="7" hidden="1">Danilo!$A$1:$A$19</definedName>
    <definedName name="Z_E3841903_5B68_44FD_8F09_58E03D1025C5_.wvu.FilterData" localSheetId="4" hidden="1">Diego!$A$1:$A$20</definedName>
    <definedName name="Z_E3841903_5B68_44FD_8F09_58E03D1025C5_.wvu.FilterData" localSheetId="6" hidden="1">Leonam!$A$1:$B$19</definedName>
    <definedName name="Z_E3841903_5B68_44FD_8F09_58E03D1025C5_.wvu.FilterData" localSheetId="2" hidden="1">Leonardo!$A$1:$A$5</definedName>
    <definedName name="Z_E3841903_5B68_44FD_8F09_58E03D1025C5_.wvu.FilterData" localSheetId="9" hidden="1">Marcos!$A$1:$A$20</definedName>
    <definedName name="Z_E3841903_5B68_44FD_8F09_58E03D1025C5_.wvu.FilterData" localSheetId="1" hidden="1">Patrícia!$A$1:$A$5</definedName>
    <definedName name="Z_E3841903_5B68_44FD_8F09_58E03D1025C5_.wvu.FilterData" localSheetId="3" hidden="1">TOTAL!$A$1:$J$19</definedName>
    <definedName name="Z_E3BDEF0F_8CAB_47D6_8677_524136F6334A_.wvu.FilterData" localSheetId="5" hidden="1">Aelton!$A$1:$A$19</definedName>
    <definedName name="Z_E3BDEF0F_8CAB_47D6_8677_524136F6334A_.wvu.FilterData" localSheetId="9" hidden="1">Marcos!$A$1:$A$19</definedName>
    <definedName name="Z_E6127A77_B885_468A_92FC_C823B559D5F2_.wvu.FilterData" localSheetId="7" hidden="1">Danilo!$A$1:$A$19</definedName>
    <definedName name="Z_E6127A77_B885_468A_92FC_C823B559D5F2_.wvu.FilterData" localSheetId="4" hidden="1">Diego!$A$1:$A$21</definedName>
    <definedName name="Z_E6127A77_B885_468A_92FC_C823B559D5F2_.wvu.FilterData" localSheetId="6" hidden="1">Leonam!$A$1:$B$19</definedName>
    <definedName name="Z_E6127A77_B885_468A_92FC_C823B559D5F2_.wvu.FilterData" localSheetId="9" hidden="1">Marcos!$A$1:$A$19</definedName>
    <definedName name="Z_F2A60CAD_26A4_43CF_98C9_FD13812AEF8A_.wvu.FilterData" localSheetId="9" hidden="1">Marcos!$A$1:$A$20</definedName>
    <definedName name="Z_F2A70F1D_FC6F_4CDB_909A_694615A9BAA7_.wvu.FilterData" localSheetId="6" hidden="1">Leonam!$A$1:$B$19</definedName>
    <definedName name="Z_F746DF90_E320_4742_9A38_81866CC9E10D_.wvu.FilterData" localSheetId="4" hidden="1">Diego!$A$1:$A$19</definedName>
    <definedName name="Z_FBD30D8A_96B0_4C9D_A760_10CDB4E7B4A2_.wvu.FilterData" localSheetId="7" hidden="1">Danilo!$A$1:$A$19</definedName>
    <definedName name="Z_FBD30D8A_96B0_4C9D_A760_10CDB4E7B4A2_.wvu.FilterData" localSheetId="4" hidden="1">Diego!$A$1:$A$20</definedName>
    <definedName name="Z_FBD30D8A_96B0_4C9D_A760_10CDB4E7B4A2_.wvu.FilterData" localSheetId="6" hidden="1">Leonam!$A$1:$B$19</definedName>
    <definedName name="Z_FBD30D8A_96B0_4C9D_A760_10CDB4E7B4A2_.wvu.FilterData" localSheetId="9" hidden="1">Marcos!$A$1:$A$20</definedName>
    <definedName name="Z_FD0B9DF2_6B06_4ED5_B232_75A8039A17B0_.wvu.FilterData" localSheetId="4" hidden="1">Diego!$A$1:$A$20</definedName>
  </definedNames>
  <calcPr calcId="191029" calcMode="autoNoTable"/>
  <customWorkbookViews>
    <customWorkbookView name="Danilo Rafael Basilio da Silva - Modo de exibição pessoal" guid="{B3CDE377-BA5D-4E06-91D9-3A48E1959BA5}" mergeInterval="0" personalView="1" maximized="1" xWindow="-8" yWindow="-8" windowWidth="1616" windowHeight="876" activeSheetId="7"/>
    <customWorkbookView name="Alessandro Borges de Araújo - Modo de exibição pessoal" guid="{3D987F8E-A6EA-454D-9537-6BFC5053CB00}" mergeInterval="0" personalView="1" maximized="1" xWindow="1912" yWindow="-8" windowWidth="1616" windowHeight="876" activeSheetId="3"/>
    <customWorkbookView name="Marcelo Lucio Saboia Fonseca - Modo de exibição pessoal" guid="{18A482E0-C8B6-4AA1-9E04-15FA7C9CD5E3}" mergeInterval="0" personalView="1" maximized="1" xWindow="1672" yWindow="-8" windowWidth="1696" windowHeight="1018" activeSheetId="9"/>
    <customWorkbookView name="Carlos da Silva Dias - Modo de exibição pessoal" guid="{C69767F5-CD39-44C1-AD4B-CE19DC8285A6}" mergeInterval="0" personalView="1" maximized="1" xWindow="-8" yWindow="-8" windowWidth="1616" windowHeight="876" activeSheetId="9"/>
    <customWorkbookView name="Patrícia Ferreira Costa Alves - Modo de exibição pessoal" guid="{552DFCCD-1786-4D75-8B10-27DD730384DD}" mergeInterval="0" personalView="1" xWindow="2175" yWindow="114" windowWidth="1440" windowHeight="759" activeSheetId="1"/>
    <customWorkbookView name="Leonam Morrison Monteiro de Oliveira - Modo de exibição pessoal" guid="{9B623083-AA7B-440B-95EA-C33E1AB3D963}" autoUpdate="1" mergeInterval="15" personalView="1" maximized="1" xWindow="-8" yWindow="-8" windowWidth="1616" windowHeight="868" activeSheetId="6"/>
    <customWorkbookView name="Diego Santos de Abreu - Modo de exibição pessoal" guid="{20CB6D8F-C24D-4D4B-A424-AF380F620455}" mergeInterval="0" personalView="1" maximized="1" xWindow="-8" yWindow="-8" windowWidth="1616" windowHeight="876" tabRatio="667" activeSheetId="4"/>
    <customWorkbookView name="Aelton de Jesus Nunes - Modo de exibição pessoal" guid="{86039CF8-B158-4D70-9A6F-A10C29CBD68A}" mergeInterval="0" personalView="1" maximized="1" xWindow="-8" yWindow="-8" windowWidth="1616" windowHeight="876" activeSheetId="5"/>
    <customWorkbookView name="Marcos Neves de Almeida - Modo de exibição pessoal" guid="{E3841903-5B68-44FD-8F09-58E03D1025C5}" mergeInterval="0" personalView="1" maximized="1" xWindow="-8" yWindow="-8" windowWidth="1616" windowHeight="876" activeSheetId="8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E11" i="3"/>
  <c r="F11" i="3"/>
  <c r="G11" i="3"/>
  <c r="I11" i="3"/>
  <c r="J11" i="3"/>
  <c r="BA17" i="9" l="1"/>
  <c r="AX17" i="9"/>
  <c r="AR17" i="9"/>
  <c r="AL17" i="9"/>
  <c r="AF17" i="9"/>
  <c r="Z17" i="9"/>
  <c r="T17" i="9"/>
  <c r="N17" i="9"/>
  <c r="H17" i="9"/>
  <c r="BA16" i="9"/>
  <c r="AX16" i="9"/>
  <c r="AR16" i="9"/>
  <c r="AL16" i="9"/>
  <c r="AF16" i="9"/>
  <c r="Z16" i="9"/>
  <c r="T16" i="9"/>
  <c r="N16" i="9"/>
  <c r="H16" i="9"/>
  <c r="BA15" i="9"/>
  <c r="AX15" i="9"/>
  <c r="AR15" i="9"/>
  <c r="AL15" i="9"/>
  <c r="AF15" i="9"/>
  <c r="Z15" i="9"/>
  <c r="T15" i="9"/>
  <c r="N15" i="9"/>
  <c r="H15" i="9"/>
  <c r="BA14" i="9"/>
  <c r="AX14" i="9"/>
  <c r="AR14" i="9"/>
  <c r="AL14" i="9"/>
  <c r="AF14" i="9"/>
  <c r="Z14" i="9"/>
  <c r="T14" i="9"/>
  <c r="N14" i="9"/>
  <c r="H14" i="9"/>
  <c r="BA13" i="9"/>
  <c r="AX13" i="9"/>
  <c r="AR13" i="9"/>
  <c r="AL13" i="9"/>
  <c r="AF13" i="9"/>
  <c r="Z13" i="9"/>
  <c r="T13" i="9"/>
  <c r="N13" i="9"/>
  <c r="H13" i="9"/>
  <c r="BA12" i="9"/>
  <c r="AX12" i="9"/>
  <c r="AR12" i="9"/>
  <c r="AL12" i="9"/>
  <c r="AF12" i="9"/>
  <c r="Z12" i="9"/>
  <c r="T12" i="9"/>
  <c r="N12" i="9"/>
  <c r="H12" i="9"/>
  <c r="BA11" i="9"/>
  <c r="AX11" i="9"/>
  <c r="AR11" i="9"/>
  <c r="AL11" i="9"/>
  <c r="AF11" i="9"/>
  <c r="Z11" i="9"/>
  <c r="T11" i="9"/>
  <c r="N11" i="9"/>
  <c r="H11" i="9"/>
  <c r="BA10" i="9"/>
  <c r="AX10" i="9"/>
  <c r="AR10" i="9"/>
  <c r="AL10" i="9"/>
  <c r="AF10" i="9"/>
  <c r="Z10" i="9"/>
  <c r="T10" i="9"/>
  <c r="N10" i="9"/>
  <c r="H10" i="9"/>
  <c r="BA9" i="9"/>
  <c r="AX9" i="9"/>
  <c r="AR9" i="9"/>
  <c r="AL9" i="9"/>
  <c r="AF9" i="9"/>
  <c r="Z9" i="9"/>
  <c r="T9" i="9"/>
  <c r="N9" i="9"/>
  <c r="H9" i="9"/>
  <c r="BA8" i="9"/>
  <c r="AX8" i="9"/>
  <c r="AR8" i="9"/>
  <c r="AL8" i="9"/>
  <c r="AF8" i="9"/>
  <c r="Z8" i="9"/>
  <c r="T8" i="9"/>
  <c r="N8" i="9"/>
  <c r="H8" i="9"/>
  <c r="BA7" i="9"/>
  <c r="AX7" i="9"/>
  <c r="AR7" i="9"/>
  <c r="AL7" i="9"/>
  <c r="AF7" i="9"/>
  <c r="Z7" i="9"/>
  <c r="T7" i="9"/>
  <c r="N7" i="9"/>
  <c r="H7" i="9"/>
  <c r="BA6" i="9"/>
  <c r="AX6" i="9"/>
  <c r="AR6" i="9"/>
  <c r="AL6" i="9"/>
  <c r="AF6" i="9"/>
  <c r="Z6" i="9"/>
  <c r="T6" i="9"/>
  <c r="N6" i="9"/>
  <c r="H6" i="9"/>
  <c r="BA5" i="9"/>
  <c r="AX5" i="9"/>
  <c r="AR5" i="9"/>
  <c r="AL5" i="9"/>
  <c r="AF5" i="9"/>
  <c r="Z5" i="9"/>
  <c r="T5" i="9"/>
  <c r="N5" i="9"/>
  <c r="H5" i="9"/>
  <c r="BA4" i="9"/>
  <c r="AX4" i="9"/>
  <c r="AR4" i="9"/>
  <c r="AL4" i="9"/>
  <c r="AF4" i="9"/>
  <c r="Z4" i="9"/>
  <c r="T4" i="9"/>
  <c r="N4" i="9"/>
  <c r="H4" i="9"/>
  <c r="BA3" i="9"/>
  <c r="AX3" i="9"/>
  <c r="AR3" i="9"/>
  <c r="AL3" i="9"/>
  <c r="AF3" i="9"/>
  <c r="Z3" i="9"/>
  <c r="T3" i="9"/>
  <c r="N3" i="9"/>
  <c r="H3" i="9"/>
  <c r="BA2" i="9"/>
  <c r="AX2" i="9"/>
  <c r="AR2" i="9"/>
  <c r="AL2" i="9"/>
  <c r="AF2" i="9"/>
  <c r="Z2" i="9"/>
  <c r="T2" i="9"/>
  <c r="N2" i="9"/>
  <c r="H2" i="9"/>
  <c r="BA17" i="10"/>
  <c r="AX17" i="10"/>
  <c r="AR17" i="10"/>
  <c r="AL17" i="10"/>
  <c r="AF17" i="10"/>
  <c r="Z17" i="10"/>
  <c r="T17" i="10"/>
  <c r="N17" i="10"/>
  <c r="H17" i="10"/>
  <c r="BA16" i="10"/>
  <c r="AX16" i="10"/>
  <c r="AR16" i="10"/>
  <c r="AL16" i="10"/>
  <c r="AF16" i="10"/>
  <c r="Z16" i="10"/>
  <c r="T16" i="10"/>
  <c r="N16" i="10"/>
  <c r="H16" i="10"/>
  <c r="BA15" i="10"/>
  <c r="AX15" i="10"/>
  <c r="AR15" i="10"/>
  <c r="AL15" i="10"/>
  <c r="AF15" i="10"/>
  <c r="Z15" i="10"/>
  <c r="T15" i="10"/>
  <c r="N15" i="10"/>
  <c r="H15" i="10"/>
  <c r="BA14" i="10"/>
  <c r="AX14" i="10"/>
  <c r="AR14" i="10"/>
  <c r="AL14" i="10"/>
  <c r="AF14" i="10"/>
  <c r="Z14" i="10"/>
  <c r="T14" i="10"/>
  <c r="N14" i="10"/>
  <c r="H14" i="10"/>
  <c r="BA13" i="10"/>
  <c r="AX13" i="10"/>
  <c r="AR13" i="10"/>
  <c r="AL13" i="10"/>
  <c r="AF13" i="10"/>
  <c r="Z13" i="10"/>
  <c r="T13" i="10"/>
  <c r="N13" i="10"/>
  <c r="H13" i="10"/>
  <c r="BA12" i="10"/>
  <c r="AX12" i="10"/>
  <c r="AR12" i="10"/>
  <c r="AL12" i="10"/>
  <c r="AF12" i="10"/>
  <c r="Z12" i="10"/>
  <c r="T12" i="10"/>
  <c r="N12" i="10"/>
  <c r="H12" i="10"/>
  <c r="BA11" i="10"/>
  <c r="AX11" i="10"/>
  <c r="AR11" i="10"/>
  <c r="AL11" i="10"/>
  <c r="AF11" i="10"/>
  <c r="Z11" i="10"/>
  <c r="T11" i="10"/>
  <c r="N11" i="10"/>
  <c r="H11" i="10"/>
  <c r="BA10" i="10"/>
  <c r="AX10" i="10"/>
  <c r="AR10" i="10"/>
  <c r="AL10" i="10"/>
  <c r="AF10" i="10"/>
  <c r="Z10" i="10"/>
  <c r="T10" i="10"/>
  <c r="N10" i="10"/>
  <c r="H10" i="10"/>
  <c r="BA9" i="10"/>
  <c r="AX9" i="10"/>
  <c r="AR9" i="10"/>
  <c r="AL9" i="10"/>
  <c r="AF9" i="10"/>
  <c r="Z9" i="10"/>
  <c r="T9" i="10"/>
  <c r="N9" i="10"/>
  <c r="H9" i="10"/>
  <c r="BA8" i="10"/>
  <c r="AX8" i="10"/>
  <c r="AR8" i="10"/>
  <c r="AL8" i="10"/>
  <c r="AF8" i="10"/>
  <c r="Z8" i="10"/>
  <c r="T8" i="10"/>
  <c r="N8" i="10"/>
  <c r="H8" i="10"/>
  <c r="BA7" i="10"/>
  <c r="AX7" i="10"/>
  <c r="AR7" i="10"/>
  <c r="AL7" i="10"/>
  <c r="AF7" i="10"/>
  <c r="Z7" i="10"/>
  <c r="T7" i="10"/>
  <c r="N7" i="10"/>
  <c r="H7" i="10"/>
  <c r="BA6" i="10"/>
  <c r="AX6" i="10"/>
  <c r="AR6" i="10"/>
  <c r="AL6" i="10"/>
  <c r="AF6" i="10"/>
  <c r="Z6" i="10"/>
  <c r="T6" i="10"/>
  <c r="N6" i="10"/>
  <c r="H6" i="10"/>
  <c r="BA5" i="10"/>
  <c r="AX5" i="10"/>
  <c r="AR5" i="10"/>
  <c r="AL5" i="10"/>
  <c r="AF5" i="10"/>
  <c r="Z5" i="10"/>
  <c r="T5" i="10"/>
  <c r="N5" i="10"/>
  <c r="H5" i="10"/>
  <c r="BA4" i="10"/>
  <c r="AX4" i="10"/>
  <c r="AR4" i="10"/>
  <c r="AL4" i="10"/>
  <c r="AF4" i="10"/>
  <c r="Z4" i="10"/>
  <c r="T4" i="10"/>
  <c r="N4" i="10"/>
  <c r="H4" i="10"/>
  <c r="BA3" i="10"/>
  <c r="AX3" i="10"/>
  <c r="AR3" i="10"/>
  <c r="AL3" i="10"/>
  <c r="AF3" i="10"/>
  <c r="Z3" i="10"/>
  <c r="T3" i="10"/>
  <c r="N3" i="10"/>
  <c r="H3" i="10"/>
  <c r="BA2" i="10"/>
  <c r="AX2" i="10"/>
  <c r="AR2" i="10"/>
  <c r="AL2" i="10"/>
  <c r="AF2" i="10"/>
  <c r="Z2" i="10"/>
  <c r="T2" i="10"/>
  <c r="N2" i="10"/>
  <c r="H2" i="10"/>
  <c r="BA17" i="8"/>
  <c r="AX17" i="8"/>
  <c r="AR17" i="8"/>
  <c r="AL17" i="8"/>
  <c r="AF17" i="8"/>
  <c r="Z17" i="8"/>
  <c r="T17" i="8"/>
  <c r="N17" i="8"/>
  <c r="H17" i="8"/>
  <c r="BA16" i="8"/>
  <c r="AX16" i="8"/>
  <c r="AR16" i="8"/>
  <c r="AL16" i="8"/>
  <c r="AF16" i="8"/>
  <c r="Z16" i="8"/>
  <c r="T16" i="8"/>
  <c r="N16" i="8"/>
  <c r="H16" i="8"/>
  <c r="BA15" i="8"/>
  <c r="AX15" i="8"/>
  <c r="AR15" i="8"/>
  <c r="AL15" i="8"/>
  <c r="AF15" i="8"/>
  <c r="Z15" i="8"/>
  <c r="T15" i="8"/>
  <c r="N15" i="8"/>
  <c r="H15" i="8"/>
  <c r="BA14" i="8"/>
  <c r="AX14" i="8"/>
  <c r="AR14" i="8"/>
  <c r="AL14" i="8"/>
  <c r="AF14" i="8"/>
  <c r="Z14" i="8"/>
  <c r="T14" i="8"/>
  <c r="N14" i="8"/>
  <c r="H14" i="8"/>
  <c r="BA13" i="8"/>
  <c r="AX13" i="8"/>
  <c r="AR13" i="8"/>
  <c r="AL13" i="8"/>
  <c r="AF13" i="8"/>
  <c r="Z13" i="8"/>
  <c r="T13" i="8"/>
  <c r="N13" i="8"/>
  <c r="H13" i="8"/>
  <c r="BA12" i="8"/>
  <c r="AX12" i="8"/>
  <c r="AR12" i="8"/>
  <c r="AL12" i="8"/>
  <c r="AF12" i="8"/>
  <c r="Z12" i="8"/>
  <c r="T12" i="8"/>
  <c r="N12" i="8"/>
  <c r="H12" i="8"/>
  <c r="BA11" i="8"/>
  <c r="AX11" i="8"/>
  <c r="AR11" i="8"/>
  <c r="AL11" i="8"/>
  <c r="AF11" i="8"/>
  <c r="Z11" i="8"/>
  <c r="T11" i="8"/>
  <c r="N11" i="8"/>
  <c r="H11" i="8"/>
  <c r="BA10" i="8"/>
  <c r="AX10" i="8"/>
  <c r="AR10" i="8"/>
  <c r="AL10" i="8"/>
  <c r="AF10" i="8"/>
  <c r="Z10" i="8"/>
  <c r="T10" i="8"/>
  <c r="N10" i="8"/>
  <c r="H10" i="8"/>
  <c r="BA9" i="8"/>
  <c r="AX9" i="8"/>
  <c r="AR9" i="8"/>
  <c r="AL9" i="8"/>
  <c r="AF9" i="8"/>
  <c r="Z9" i="8"/>
  <c r="T9" i="8"/>
  <c r="N9" i="8"/>
  <c r="H9" i="8"/>
  <c r="BA8" i="8"/>
  <c r="AX8" i="8"/>
  <c r="AR8" i="8"/>
  <c r="AL8" i="8"/>
  <c r="AF8" i="8"/>
  <c r="Z8" i="8"/>
  <c r="T8" i="8"/>
  <c r="N8" i="8"/>
  <c r="H8" i="8"/>
  <c r="BA7" i="8"/>
  <c r="AX7" i="8"/>
  <c r="AR7" i="8"/>
  <c r="AL7" i="8"/>
  <c r="AF7" i="8"/>
  <c r="Z7" i="8"/>
  <c r="T7" i="8"/>
  <c r="N7" i="8"/>
  <c r="H7" i="8"/>
  <c r="BA6" i="8"/>
  <c r="AX6" i="8"/>
  <c r="AR6" i="8"/>
  <c r="AL6" i="8"/>
  <c r="AF6" i="8"/>
  <c r="Z6" i="8"/>
  <c r="T6" i="8"/>
  <c r="N6" i="8"/>
  <c r="H6" i="8"/>
  <c r="BA5" i="8"/>
  <c r="AX5" i="8"/>
  <c r="AR5" i="8"/>
  <c r="AL5" i="8"/>
  <c r="AF5" i="8"/>
  <c r="Z5" i="8"/>
  <c r="T5" i="8"/>
  <c r="N5" i="8"/>
  <c r="H5" i="8"/>
  <c r="BA4" i="8"/>
  <c r="AX4" i="8"/>
  <c r="AR4" i="8"/>
  <c r="AL4" i="8"/>
  <c r="AF4" i="8"/>
  <c r="Z4" i="8"/>
  <c r="T4" i="8"/>
  <c r="N4" i="8"/>
  <c r="H4" i="8"/>
  <c r="BA3" i="8"/>
  <c r="AX3" i="8"/>
  <c r="AR3" i="8"/>
  <c r="AL3" i="8"/>
  <c r="AF3" i="8"/>
  <c r="Z3" i="8"/>
  <c r="T3" i="8"/>
  <c r="N3" i="8"/>
  <c r="H3" i="8"/>
  <c r="BA2" i="8"/>
  <c r="AX2" i="8"/>
  <c r="AR2" i="8"/>
  <c r="AL2" i="8"/>
  <c r="AF2" i="8"/>
  <c r="Z2" i="8"/>
  <c r="T2" i="8"/>
  <c r="N2" i="8"/>
  <c r="H2" i="8"/>
  <c r="BA17" i="7"/>
  <c r="AX17" i="7"/>
  <c r="AR17" i="7"/>
  <c r="AL17" i="7"/>
  <c r="AF17" i="7"/>
  <c r="Z17" i="7"/>
  <c r="T17" i="7"/>
  <c r="N17" i="7"/>
  <c r="H17" i="7"/>
  <c r="BA16" i="7"/>
  <c r="AX16" i="7"/>
  <c r="AR16" i="7"/>
  <c r="AL16" i="7"/>
  <c r="AF16" i="7"/>
  <c r="Z16" i="7"/>
  <c r="T16" i="7"/>
  <c r="N16" i="7"/>
  <c r="H16" i="7"/>
  <c r="BA15" i="7"/>
  <c r="AX15" i="7"/>
  <c r="AR15" i="7"/>
  <c r="AL15" i="7"/>
  <c r="AF15" i="7"/>
  <c r="Z15" i="7"/>
  <c r="T15" i="7"/>
  <c r="N15" i="7"/>
  <c r="H15" i="7"/>
  <c r="BA14" i="7"/>
  <c r="AX14" i="7"/>
  <c r="AR14" i="7"/>
  <c r="AL14" i="7"/>
  <c r="AF14" i="7"/>
  <c r="Z14" i="7"/>
  <c r="T14" i="7"/>
  <c r="N14" i="7"/>
  <c r="H14" i="7"/>
  <c r="BA13" i="7"/>
  <c r="AX13" i="7"/>
  <c r="AR13" i="7"/>
  <c r="AL13" i="7"/>
  <c r="AF13" i="7"/>
  <c r="Z13" i="7"/>
  <c r="T13" i="7"/>
  <c r="N13" i="7"/>
  <c r="H13" i="7"/>
  <c r="BA12" i="7"/>
  <c r="AX12" i="7"/>
  <c r="AR12" i="7"/>
  <c r="AL12" i="7"/>
  <c r="AF12" i="7"/>
  <c r="Z12" i="7"/>
  <c r="T12" i="7"/>
  <c r="N12" i="7"/>
  <c r="H12" i="7"/>
  <c r="BA11" i="7"/>
  <c r="AX11" i="7"/>
  <c r="AR11" i="7"/>
  <c r="AL11" i="7"/>
  <c r="AF11" i="7"/>
  <c r="Z11" i="7"/>
  <c r="T11" i="7"/>
  <c r="N11" i="7"/>
  <c r="H11" i="7"/>
  <c r="BA10" i="7"/>
  <c r="AX10" i="7"/>
  <c r="AR10" i="7"/>
  <c r="AL10" i="7"/>
  <c r="AF10" i="7"/>
  <c r="Z10" i="7"/>
  <c r="T10" i="7"/>
  <c r="N10" i="7"/>
  <c r="H10" i="7"/>
  <c r="BA9" i="7"/>
  <c r="AX9" i="7"/>
  <c r="AR9" i="7"/>
  <c r="AL9" i="7"/>
  <c r="AF9" i="7"/>
  <c r="Z9" i="7"/>
  <c r="T9" i="7"/>
  <c r="N9" i="7"/>
  <c r="H9" i="7"/>
  <c r="BA8" i="7"/>
  <c r="AX8" i="7"/>
  <c r="AR8" i="7"/>
  <c r="AL8" i="7"/>
  <c r="AF8" i="7"/>
  <c r="Z8" i="7"/>
  <c r="T8" i="7"/>
  <c r="N8" i="7"/>
  <c r="H8" i="7"/>
  <c r="BA7" i="7"/>
  <c r="AX7" i="7"/>
  <c r="AR7" i="7"/>
  <c r="AL7" i="7"/>
  <c r="AF7" i="7"/>
  <c r="Z7" i="7"/>
  <c r="T7" i="7"/>
  <c r="N7" i="7"/>
  <c r="H7" i="7"/>
  <c r="BA6" i="7"/>
  <c r="AX6" i="7"/>
  <c r="AR6" i="7"/>
  <c r="AL6" i="7"/>
  <c r="AF6" i="7"/>
  <c r="Z6" i="7"/>
  <c r="T6" i="7"/>
  <c r="N6" i="7"/>
  <c r="H6" i="7"/>
  <c r="BA5" i="7"/>
  <c r="AX5" i="7"/>
  <c r="AR5" i="7"/>
  <c r="AL5" i="7"/>
  <c r="AF5" i="7"/>
  <c r="Z5" i="7"/>
  <c r="T5" i="7"/>
  <c r="N5" i="7"/>
  <c r="H5" i="7"/>
  <c r="BA4" i="7"/>
  <c r="AX4" i="7"/>
  <c r="AR4" i="7"/>
  <c r="AL4" i="7"/>
  <c r="AF4" i="7"/>
  <c r="Z4" i="7"/>
  <c r="T4" i="7"/>
  <c r="N4" i="7"/>
  <c r="H4" i="7"/>
  <c r="BA3" i="7"/>
  <c r="AX3" i="7"/>
  <c r="AR3" i="7"/>
  <c r="AL3" i="7"/>
  <c r="AF3" i="7"/>
  <c r="Z3" i="7"/>
  <c r="T3" i="7"/>
  <c r="N3" i="7"/>
  <c r="H3" i="7"/>
  <c r="BA2" i="7"/>
  <c r="AX2" i="7"/>
  <c r="AR2" i="7"/>
  <c r="AL2" i="7"/>
  <c r="AF2" i="7"/>
  <c r="Z2" i="7"/>
  <c r="T2" i="7"/>
  <c r="N2" i="7"/>
  <c r="H2" i="7"/>
  <c r="BA17" i="6"/>
  <c r="AX17" i="6"/>
  <c r="AR17" i="6"/>
  <c r="AL17" i="6"/>
  <c r="AF17" i="6"/>
  <c r="Z17" i="6"/>
  <c r="T17" i="6"/>
  <c r="N17" i="6"/>
  <c r="H17" i="6"/>
  <c r="BA16" i="6"/>
  <c r="AX16" i="6"/>
  <c r="AR16" i="6"/>
  <c r="AL16" i="6"/>
  <c r="AF16" i="6"/>
  <c r="Z16" i="6"/>
  <c r="T16" i="6"/>
  <c r="N16" i="6"/>
  <c r="H16" i="6"/>
  <c r="BA15" i="6"/>
  <c r="AX15" i="6"/>
  <c r="AR15" i="6"/>
  <c r="AL15" i="6"/>
  <c r="AF15" i="6"/>
  <c r="Z15" i="6"/>
  <c r="T15" i="6"/>
  <c r="N15" i="6"/>
  <c r="H15" i="6"/>
  <c r="BA14" i="6"/>
  <c r="AX14" i="6"/>
  <c r="AR14" i="6"/>
  <c r="AL14" i="6"/>
  <c r="AF14" i="6"/>
  <c r="Z14" i="6"/>
  <c r="T14" i="6"/>
  <c r="N14" i="6"/>
  <c r="H14" i="6"/>
  <c r="BA13" i="6"/>
  <c r="AX13" i="6"/>
  <c r="AR13" i="6"/>
  <c r="AL13" i="6"/>
  <c r="AF13" i="6"/>
  <c r="Z13" i="6"/>
  <c r="T13" i="6"/>
  <c r="N13" i="6"/>
  <c r="H13" i="6"/>
  <c r="BA12" i="6"/>
  <c r="AX12" i="6"/>
  <c r="AR12" i="6"/>
  <c r="AL12" i="6"/>
  <c r="AF12" i="6"/>
  <c r="Z12" i="6"/>
  <c r="T12" i="6"/>
  <c r="N12" i="6"/>
  <c r="H12" i="6"/>
  <c r="BA11" i="6"/>
  <c r="AX11" i="6"/>
  <c r="AR11" i="6"/>
  <c r="AL11" i="6"/>
  <c r="AF11" i="6"/>
  <c r="Z11" i="6"/>
  <c r="T11" i="6"/>
  <c r="N11" i="6"/>
  <c r="H11" i="6"/>
  <c r="BA10" i="6"/>
  <c r="AX10" i="6"/>
  <c r="AR10" i="6"/>
  <c r="AL10" i="6"/>
  <c r="AF10" i="6"/>
  <c r="Z10" i="6"/>
  <c r="T10" i="6"/>
  <c r="N10" i="6"/>
  <c r="H10" i="6"/>
  <c r="BA9" i="6"/>
  <c r="AX9" i="6"/>
  <c r="AR9" i="6"/>
  <c r="AL9" i="6"/>
  <c r="AF9" i="6"/>
  <c r="Z9" i="6"/>
  <c r="T9" i="6"/>
  <c r="N9" i="6"/>
  <c r="H9" i="6"/>
  <c r="BA8" i="6"/>
  <c r="AX8" i="6"/>
  <c r="AR8" i="6"/>
  <c r="AL8" i="6"/>
  <c r="AF8" i="6"/>
  <c r="Z8" i="6"/>
  <c r="T8" i="6"/>
  <c r="N8" i="6"/>
  <c r="H8" i="6"/>
  <c r="BA7" i="6"/>
  <c r="AX7" i="6"/>
  <c r="AR7" i="6"/>
  <c r="AL7" i="6"/>
  <c r="AF7" i="6"/>
  <c r="Z7" i="6"/>
  <c r="T7" i="6"/>
  <c r="N7" i="6"/>
  <c r="H7" i="6"/>
  <c r="BA6" i="6"/>
  <c r="AX6" i="6"/>
  <c r="AR6" i="6"/>
  <c r="AL6" i="6"/>
  <c r="AF6" i="6"/>
  <c r="Z6" i="6"/>
  <c r="T6" i="6"/>
  <c r="N6" i="6"/>
  <c r="H6" i="6"/>
  <c r="BA5" i="6"/>
  <c r="AX5" i="6"/>
  <c r="AR5" i="6"/>
  <c r="AL5" i="6"/>
  <c r="AF5" i="6"/>
  <c r="Z5" i="6"/>
  <c r="T5" i="6"/>
  <c r="N5" i="6"/>
  <c r="H5" i="6"/>
  <c r="BA4" i="6"/>
  <c r="AX4" i="6"/>
  <c r="AR4" i="6"/>
  <c r="AL4" i="6"/>
  <c r="AF4" i="6"/>
  <c r="Z4" i="6"/>
  <c r="T4" i="6"/>
  <c r="N4" i="6"/>
  <c r="H4" i="6"/>
  <c r="BA3" i="6"/>
  <c r="AX3" i="6"/>
  <c r="AR3" i="6"/>
  <c r="AL3" i="6"/>
  <c r="AF3" i="6"/>
  <c r="Z3" i="6"/>
  <c r="T3" i="6"/>
  <c r="N3" i="6"/>
  <c r="H3" i="6"/>
  <c r="BA2" i="6"/>
  <c r="AX2" i="6"/>
  <c r="AR2" i="6"/>
  <c r="AL2" i="6"/>
  <c r="AF2" i="6"/>
  <c r="Z2" i="6"/>
  <c r="T2" i="6"/>
  <c r="N2" i="6"/>
  <c r="H2" i="6"/>
  <c r="BA17" i="5"/>
  <c r="AX17" i="5"/>
  <c r="AR17" i="5"/>
  <c r="AL17" i="5"/>
  <c r="AF17" i="5"/>
  <c r="Z17" i="5"/>
  <c r="T17" i="5"/>
  <c r="N17" i="5"/>
  <c r="H17" i="5"/>
  <c r="BA16" i="5"/>
  <c r="AX16" i="5"/>
  <c r="AR16" i="5"/>
  <c r="AL16" i="5"/>
  <c r="AF16" i="5"/>
  <c r="Z16" i="5"/>
  <c r="T16" i="5"/>
  <c r="N16" i="5"/>
  <c r="H16" i="5"/>
  <c r="BA15" i="5"/>
  <c r="AX15" i="5"/>
  <c r="AR15" i="5"/>
  <c r="AL15" i="5"/>
  <c r="AF15" i="5"/>
  <c r="Z15" i="5"/>
  <c r="T15" i="5"/>
  <c r="N15" i="5"/>
  <c r="H15" i="5"/>
  <c r="BA14" i="5"/>
  <c r="AX14" i="5"/>
  <c r="AR14" i="5"/>
  <c r="AL14" i="5"/>
  <c r="AF14" i="5"/>
  <c r="Z14" i="5"/>
  <c r="T14" i="5"/>
  <c r="N14" i="5"/>
  <c r="H14" i="5"/>
  <c r="BA13" i="5"/>
  <c r="AX13" i="5"/>
  <c r="AR13" i="5"/>
  <c r="AL13" i="5"/>
  <c r="AF13" i="5"/>
  <c r="Z13" i="5"/>
  <c r="T13" i="5"/>
  <c r="N13" i="5"/>
  <c r="H13" i="5"/>
  <c r="BA12" i="5"/>
  <c r="AX12" i="5"/>
  <c r="AR12" i="5"/>
  <c r="AL12" i="5"/>
  <c r="AF12" i="5"/>
  <c r="Z12" i="5"/>
  <c r="T12" i="5"/>
  <c r="N12" i="5"/>
  <c r="H12" i="5"/>
  <c r="BA11" i="5"/>
  <c r="AX11" i="5"/>
  <c r="AR11" i="5"/>
  <c r="AL11" i="5"/>
  <c r="AF11" i="5"/>
  <c r="Z11" i="5"/>
  <c r="T11" i="5"/>
  <c r="N11" i="5"/>
  <c r="H11" i="5"/>
  <c r="BA10" i="5"/>
  <c r="AX10" i="5"/>
  <c r="AR10" i="5"/>
  <c r="AL10" i="5"/>
  <c r="AF10" i="5"/>
  <c r="Z10" i="5"/>
  <c r="T10" i="5"/>
  <c r="N10" i="5"/>
  <c r="H10" i="5"/>
  <c r="BA9" i="5"/>
  <c r="AX9" i="5"/>
  <c r="AR9" i="5"/>
  <c r="AL9" i="5"/>
  <c r="AF9" i="5"/>
  <c r="Z9" i="5"/>
  <c r="T9" i="5"/>
  <c r="N9" i="5"/>
  <c r="H9" i="5"/>
  <c r="BA8" i="5"/>
  <c r="AX8" i="5"/>
  <c r="AR8" i="5"/>
  <c r="AL8" i="5"/>
  <c r="AF8" i="5"/>
  <c r="Z8" i="5"/>
  <c r="T8" i="5"/>
  <c r="N8" i="5"/>
  <c r="H8" i="5"/>
  <c r="BA7" i="5"/>
  <c r="AX7" i="5"/>
  <c r="AR7" i="5"/>
  <c r="AL7" i="5"/>
  <c r="AF7" i="5"/>
  <c r="Z7" i="5"/>
  <c r="T7" i="5"/>
  <c r="N7" i="5"/>
  <c r="H7" i="5"/>
  <c r="BA6" i="5"/>
  <c r="AX6" i="5"/>
  <c r="AR6" i="5"/>
  <c r="AL6" i="5"/>
  <c r="AF6" i="5"/>
  <c r="Z6" i="5"/>
  <c r="T6" i="5"/>
  <c r="N6" i="5"/>
  <c r="H6" i="5"/>
  <c r="BA5" i="5"/>
  <c r="AX5" i="5"/>
  <c r="AR5" i="5"/>
  <c r="AL5" i="5"/>
  <c r="AF5" i="5"/>
  <c r="Z5" i="5"/>
  <c r="T5" i="5"/>
  <c r="N5" i="5"/>
  <c r="H5" i="5"/>
  <c r="BA4" i="5"/>
  <c r="AX4" i="5"/>
  <c r="AR4" i="5"/>
  <c r="AL4" i="5"/>
  <c r="AF4" i="5"/>
  <c r="Z4" i="5"/>
  <c r="T4" i="5"/>
  <c r="N4" i="5"/>
  <c r="H4" i="5"/>
  <c r="BA3" i="5"/>
  <c r="AX3" i="5"/>
  <c r="AR3" i="5"/>
  <c r="AL3" i="5"/>
  <c r="AF3" i="5"/>
  <c r="Z3" i="5"/>
  <c r="T3" i="5"/>
  <c r="N3" i="5"/>
  <c r="H3" i="5"/>
  <c r="BA2" i="5"/>
  <c r="AX2" i="5"/>
  <c r="AR2" i="5"/>
  <c r="AL2" i="5"/>
  <c r="AF2" i="5"/>
  <c r="Z2" i="5"/>
  <c r="T2" i="5"/>
  <c r="N2" i="5"/>
  <c r="H2" i="5"/>
  <c r="BA17" i="4"/>
  <c r="K17" i="3" s="1"/>
  <c r="AX17" i="4"/>
  <c r="AR17" i="4"/>
  <c r="AL17" i="4"/>
  <c r="AF17" i="4"/>
  <c r="Z17" i="4"/>
  <c r="T17" i="4"/>
  <c r="N17" i="4"/>
  <c r="H17" i="4"/>
  <c r="BA16" i="4"/>
  <c r="K16" i="3" s="1"/>
  <c r="AX16" i="4"/>
  <c r="AR16" i="4"/>
  <c r="AL16" i="4"/>
  <c r="AF16" i="4"/>
  <c r="Z16" i="4"/>
  <c r="T16" i="4"/>
  <c r="N16" i="4"/>
  <c r="H16" i="4"/>
  <c r="BA15" i="4"/>
  <c r="K15" i="3" s="1"/>
  <c r="AX15" i="4"/>
  <c r="AR15" i="4"/>
  <c r="AL15" i="4"/>
  <c r="AF15" i="4"/>
  <c r="Z15" i="4"/>
  <c r="T15" i="4"/>
  <c r="N15" i="4"/>
  <c r="H15" i="4"/>
  <c r="BA14" i="4"/>
  <c r="K14" i="3" s="1"/>
  <c r="AX14" i="4"/>
  <c r="AR14" i="4"/>
  <c r="AL14" i="4"/>
  <c r="AF14" i="4"/>
  <c r="Z14" i="4"/>
  <c r="T14" i="4"/>
  <c r="N14" i="4"/>
  <c r="H14" i="4"/>
  <c r="BA13" i="4"/>
  <c r="K13" i="3" s="1"/>
  <c r="AX13" i="4"/>
  <c r="AR13" i="4"/>
  <c r="AL13" i="4"/>
  <c r="AF13" i="4"/>
  <c r="Z13" i="4"/>
  <c r="T13" i="4"/>
  <c r="N13" i="4"/>
  <c r="H13" i="4"/>
  <c r="C13" i="3" s="1"/>
  <c r="BA12" i="4"/>
  <c r="K12" i="3" s="1"/>
  <c r="AX12" i="4"/>
  <c r="AR12" i="4"/>
  <c r="AL12" i="4"/>
  <c r="AF12" i="4"/>
  <c r="Z12" i="4"/>
  <c r="T12" i="4"/>
  <c r="N12" i="4"/>
  <c r="H12" i="4"/>
  <c r="BA11" i="4"/>
  <c r="K11" i="3" s="1"/>
  <c r="AX11" i="4"/>
  <c r="H11" i="3" s="1"/>
  <c r="AR11" i="4"/>
  <c r="AL11" i="4"/>
  <c r="AF11" i="4"/>
  <c r="Z11" i="4"/>
  <c r="T11" i="4"/>
  <c r="N11" i="4"/>
  <c r="H11" i="4"/>
  <c r="BA10" i="4"/>
  <c r="K10" i="3" s="1"/>
  <c r="AX10" i="4"/>
  <c r="AR10" i="4"/>
  <c r="AL10" i="4"/>
  <c r="AF10" i="4"/>
  <c r="Z10" i="4"/>
  <c r="T10" i="4"/>
  <c r="N10" i="4"/>
  <c r="D10" i="3" s="1"/>
  <c r="H10" i="4"/>
  <c r="BA9" i="4"/>
  <c r="K9" i="3" s="1"/>
  <c r="AX9" i="4"/>
  <c r="AR9" i="4"/>
  <c r="AL9" i="4"/>
  <c r="AF9" i="4"/>
  <c r="Z9" i="4"/>
  <c r="T9" i="4"/>
  <c r="N9" i="4"/>
  <c r="H9" i="4"/>
  <c r="BA8" i="4"/>
  <c r="K8" i="3" s="1"/>
  <c r="AX8" i="4"/>
  <c r="AR8" i="4"/>
  <c r="AL8" i="4"/>
  <c r="AF8" i="4"/>
  <c r="Z8" i="4"/>
  <c r="T8" i="4"/>
  <c r="N8" i="4"/>
  <c r="H8" i="4"/>
  <c r="BA7" i="4"/>
  <c r="K7" i="3" s="1"/>
  <c r="AX7" i="4"/>
  <c r="AR7" i="4"/>
  <c r="AL7" i="4"/>
  <c r="AF7" i="4"/>
  <c r="Z7" i="4"/>
  <c r="T7" i="4"/>
  <c r="N7" i="4"/>
  <c r="H7" i="4"/>
  <c r="BA6" i="4"/>
  <c r="K6" i="3" s="1"/>
  <c r="AX6" i="4"/>
  <c r="AR6" i="4"/>
  <c r="AL6" i="4"/>
  <c r="AF6" i="4"/>
  <c r="Z6" i="4"/>
  <c r="T6" i="4"/>
  <c r="N6" i="4"/>
  <c r="H6" i="4"/>
  <c r="BA5" i="4"/>
  <c r="K5" i="3" s="1"/>
  <c r="AX5" i="4"/>
  <c r="AR5" i="4"/>
  <c r="AL5" i="4"/>
  <c r="AF5" i="4"/>
  <c r="Z5" i="4"/>
  <c r="T5" i="4"/>
  <c r="N5" i="4"/>
  <c r="H5" i="4"/>
  <c r="BA4" i="4"/>
  <c r="AX4" i="4"/>
  <c r="AR4" i="4"/>
  <c r="AL4" i="4"/>
  <c r="AF4" i="4"/>
  <c r="Z4" i="4"/>
  <c r="T4" i="4"/>
  <c r="N4" i="4"/>
  <c r="H4" i="4"/>
  <c r="BA3" i="4"/>
  <c r="K3" i="3" s="1"/>
  <c r="AX3" i="4"/>
  <c r="AR3" i="4"/>
  <c r="AL3" i="4"/>
  <c r="AF3" i="4"/>
  <c r="Z3" i="4"/>
  <c r="T3" i="4"/>
  <c r="N3" i="4"/>
  <c r="H3" i="4"/>
  <c r="BA2" i="4"/>
  <c r="K2" i="3" s="1"/>
  <c r="AX2" i="4"/>
  <c r="AR2" i="4"/>
  <c r="AL2" i="4"/>
  <c r="AF2" i="4"/>
  <c r="Z2" i="4"/>
  <c r="T2" i="4"/>
  <c r="N2" i="4"/>
  <c r="H2" i="4"/>
  <c r="C12" i="3" l="1"/>
  <c r="C11" i="3"/>
  <c r="K4" i="3"/>
  <c r="BD3" i="2" l="1"/>
  <c r="BD2" i="2"/>
  <c r="BD3" i="1"/>
  <c r="BD2" i="1"/>
  <c r="AX3" i="2"/>
  <c r="AX2" i="2"/>
  <c r="AR3" i="2"/>
  <c r="AR2" i="2"/>
  <c r="AL3" i="2"/>
  <c r="AL2" i="2"/>
  <c r="AF3" i="2"/>
  <c r="AF2" i="2"/>
  <c r="Z3" i="2"/>
  <c r="Z2" i="2"/>
  <c r="T3" i="2"/>
  <c r="T2" i="2"/>
  <c r="N2" i="2"/>
  <c r="N3" i="2"/>
  <c r="H3" i="2"/>
  <c r="H2" i="2"/>
  <c r="AX3" i="1"/>
  <c r="AR3" i="1"/>
  <c r="AL3" i="1"/>
  <c r="AF3" i="1"/>
  <c r="Z3" i="1"/>
  <c r="T3" i="1"/>
  <c r="N3" i="1"/>
  <c r="H3" i="1"/>
  <c r="AX2" i="1"/>
  <c r="AR2" i="1"/>
  <c r="AL2" i="1"/>
  <c r="AF2" i="1"/>
  <c r="Z2" i="1"/>
  <c r="T2" i="1"/>
  <c r="N2" i="1"/>
  <c r="H2" i="1"/>
  <c r="G12" i="3"/>
  <c r="H12" i="3"/>
  <c r="I12" i="3" l="1"/>
  <c r="J12" i="3"/>
  <c r="E15" i="3"/>
  <c r="C2" i="3"/>
  <c r="F6" i="3"/>
  <c r="D15" i="3"/>
  <c r="D3" i="3"/>
  <c r="D2" i="3"/>
  <c r="I14" i="3"/>
  <c r="I13" i="3"/>
  <c r="F15" i="3"/>
  <c r="H13" i="3"/>
  <c r="J14" i="3"/>
  <c r="H14" i="3"/>
  <c r="F14" i="3"/>
  <c r="D13" i="3"/>
  <c r="D14" i="3"/>
  <c r="G14" i="3"/>
  <c r="C14" i="3"/>
  <c r="G13" i="3"/>
  <c r="J13" i="3"/>
  <c r="F13" i="3"/>
  <c r="E14" i="3"/>
  <c r="E13" i="3"/>
  <c r="F3" i="3"/>
  <c r="E17" i="3"/>
  <c r="E12" i="3"/>
  <c r="E10" i="3"/>
  <c r="E9" i="3"/>
  <c r="E7" i="3"/>
  <c r="E6" i="3"/>
  <c r="E4" i="3"/>
  <c r="E3" i="3"/>
  <c r="H16" i="3"/>
  <c r="H15" i="3"/>
  <c r="H10" i="3"/>
  <c r="H8" i="3"/>
  <c r="H7" i="3"/>
  <c r="H6" i="3"/>
  <c r="H5" i="3"/>
  <c r="H3" i="3"/>
  <c r="H2" i="3"/>
  <c r="G17" i="3"/>
  <c r="C17" i="3"/>
  <c r="C16" i="3"/>
  <c r="C15" i="3"/>
  <c r="C6" i="3"/>
  <c r="E5" i="3"/>
  <c r="E8" i="3"/>
  <c r="E16" i="3"/>
  <c r="E2" i="3"/>
  <c r="H4" i="3"/>
  <c r="H9" i="3"/>
  <c r="H17" i="3"/>
  <c r="D17" i="3"/>
  <c r="D16" i="3"/>
  <c r="I4" i="3"/>
  <c r="I8" i="3"/>
  <c r="I16" i="3"/>
  <c r="J3" i="3"/>
  <c r="J6" i="3"/>
  <c r="F16" i="3"/>
  <c r="F12" i="3"/>
  <c r="F10" i="3"/>
  <c r="F9" i="3"/>
  <c r="F8" i="3"/>
  <c r="F7" i="3"/>
  <c r="F5" i="3"/>
  <c r="F4" i="3"/>
  <c r="F2" i="3"/>
  <c r="C10" i="3"/>
  <c r="C9" i="3"/>
  <c r="C8" i="3"/>
  <c r="C7" i="3"/>
  <c r="C5" i="3"/>
  <c r="C4" i="3"/>
  <c r="J17" i="3"/>
  <c r="J16" i="3"/>
  <c r="J15" i="3"/>
  <c r="J10" i="3"/>
  <c r="J9" i="3"/>
  <c r="J8" i="3"/>
  <c r="J7" i="3"/>
  <c r="J5" i="3"/>
  <c r="J4" i="3"/>
  <c r="I17" i="3"/>
  <c r="I9" i="3"/>
  <c r="I7" i="3"/>
  <c r="I6" i="3"/>
  <c r="I3" i="3"/>
  <c r="I2" i="3"/>
  <c r="D12" i="3"/>
  <c r="D9" i="3"/>
  <c r="D8" i="3"/>
  <c r="D7" i="3"/>
  <c r="D6" i="3"/>
  <c r="D5" i="3"/>
  <c r="D4" i="3"/>
  <c r="I5" i="3"/>
  <c r="I10" i="3"/>
  <c r="I15" i="3"/>
  <c r="G16" i="3"/>
  <c r="G15" i="3"/>
  <c r="G10" i="3"/>
  <c r="G9" i="3"/>
  <c r="G8" i="3"/>
  <c r="G7" i="3"/>
  <c r="G6" i="3"/>
  <c r="G5" i="3"/>
  <c r="G4" i="3"/>
  <c r="G3" i="3"/>
  <c r="G2" i="3"/>
  <c r="F17" i="3"/>
  <c r="C3" i="3"/>
  <c r="J2" i="3"/>
</calcChain>
</file>

<file path=xl/sharedStrings.xml><?xml version="1.0" encoding="utf-8"?>
<sst xmlns="http://schemas.openxmlformats.org/spreadsheetml/2006/main" count="405" uniqueCount="66">
  <si>
    <t>Caixas consultadas em pesquisa de desarquivamento</t>
  </si>
  <si>
    <t>Caixas separadas para classificação</t>
  </si>
  <si>
    <t>Processos/Documentos classificados</t>
  </si>
  <si>
    <t>Caixas separadas para eliminação</t>
  </si>
  <si>
    <t>Caixas inventariadas</t>
  </si>
  <si>
    <t>Processos/documentos inventariados</t>
  </si>
  <si>
    <t>Orientação técnica / atendimentos realizados</t>
  </si>
  <si>
    <t>Caixas remanejadas</t>
  </si>
  <si>
    <t>Documentos administrativos produzidos (Despacho, Nota Técnica, minutas diversas)</t>
  </si>
  <si>
    <t>INDICADORES</t>
  </si>
  <si>
    <t>OBSERVAÇÃO</t>
  </si>
  <si>
    <t xml:space="preserve">OUTRA ATIVIDADE. QUAL? </t>
  </si>
  <si>
    <t>Processos/Documentos listados para eliminação</t>
  </si>
  <si>
    <t>Caixas listadas para eliminação</t>
  </si>
  <si>
    <t>Caixas conferidas</t>
  </si>
  <si>
    <t>TOTAL SEMANA</t>
  </si>
  <si>
    <t>Recebimento de Documentos - Guia de Transferência</t>
  </si>
  <si>
    <t>Retorno de Processos/Documentos Desarquivados</t>
  </si>
  <si>
    <t>Desarquivamento de Processos/Documentos - Saída de Guia Fora</t>
  </si>
  <si>
    <t>Caixas remanejada</t>
  </si>
  <si>
    <t>Fonte</t>
  </si>
  <si>
    <t>SEI</t>
  </si>
  <si>
    <t>CONTAGEM INDIVIDUAL (das caixas abertas para verificação de conteúdo em contexto de pesquisa para desarquivamento)</t>
  </si>
  <si>
    <t>PLANILHA</t>
  </si>
  <si>
    <t>CONTAGEM INDIVIDUAL (das caixas "puxadas" nas estantes como uma pré-seleção para eliminação)</t>
  </si>
  <si>
    <t xml:space="preserve">Caixas listadas para eliminação </t>
  </si>
  <si>
    <t>SEI, E-MAIL, TELEFONE</t>
  </si>
  <si>
    <t>CONTAGEM INDIVIDUAL (de caixas deslocadas visando reorganização temporária ou permanente)</t>
  </si>
  <si>
    <t>CONTAGEM INDIVIDUAL (de caixas para simples conferência de quantitativo ou do conteúdo do espelho em atividades diversas)</t>
  </si>
  <si>
    <t>FONTE</t>
  </si>
  <si>
    <t>SEI (Depachos ou Ofícios assinados na unidade Diarq)</t>
  </si>
  <si>
    <t>CONTAGEM INDIVIDUAL (Caixas abertas para verificação de conteúdo em contexto de pesquisa para desarquivamento)</t>
  </si>
  <si>
    <t>SEI  (Depachos ou Ofícios assinados na unidade Diarq)</t>
  </si>
  <si>
    <t>CONTAGEM INDIVIDUAL (Caixas  "puxadas" nas estantes como uma pré-seleção para classificação)</t>
  </si>
  <si>
    <t>CONTAGEM INDIVIDUAL (Caixas "puxadas" nas estantes como uma pré-seleção para eliminação)</t>
  </si>
  <si>
    <t>CONTAGEM INDIVIDUAL (Caixas deslocadas/movimentadas visando reorganização temporária ou permanente)</t>
  </si>
  <si>
    <t>CONTAGEM INDIVIDUAL (Caixas consultadas para simples 'conferência de quantitativo' ou do 'conteúdo do espelho' em atividades diversas)</t>
  </si>
  <si>
    <t>SEI (Depachos, Ofícios ou outros documentos assinados na unidade Diarq)</t>
  </si>
  <si>
    <t>CONTAGEM INDIVIDUAL (das caixas "puxadas" nas estantes como uma pré-seleção para classificação)</t>
  </si>
  <si>
    <t>Caixas substituídas(trocadas)</t>
  </si>
  <si>
    <t>Substituição de caixas degradadas por novas</t>
  </si>
  <si>
    <t>04/05 a 08/05/2026</t>
  </si>
  <si>
    <t>11/05 a 15/05/2026</t>
  </si>
  <si>
    <t>18/05 a 22/05/2026</t>
  </si>
  <si>
    <t>25/05 a 29/05/2026</t>
  </si>
  <si>
    <t>01/06 a 05/06/2026</t>
  </si>
  <si>
    <t>08/06 a 12/06/2026</t>
  </si>
  <si>
    <t>15/06 a 19/06/2026</t>
  </si>
  <si>
    <t>22/06 a 26/06/2026</t>
  </si>
  <si>
    <t>29/06 a 30/06/2026</t>
  </si>
  <si>
    <t>ACOMPANHAMENTO DA LIMPEZA DAS ESTANTES E CAIXAS DO BLOCO A E CONFERÊNCIA DE 06 CAIXAS SNAS/DNIT</t>
  </si>
  <si>
    <t>ACOMPANHAMENTO DA LIMPEZA DAS ESTANTES E CAIXAS DO BLOCO A E CONFERÊNCIA DE 05 CAIXAS SNAS/DNIT</t>
  </si>
  <si>
    <t xml:space="preserve">ORGANIZAÇÃO DE 50 CAIXAS PARA CONFERENCIA </t>
  </si>
  <si>
    <t>ORGANIZAÃO DE 50 CAIXA PARA O LOCAL DE ORIGEM, APÓS RETORNO DE DESARQUIVAMENTO</t>
  </si>
  <si>
    <t>ACOMPANHAMENTO DA LIMPESA DAS ESTANTES E CAIXAS DO BLOCO A E RECEBIMENTO DE 50 CAIXAS E ENVIO DE 50 CAIXAS DO FNAS/CGCPC E TROCA DE 28 CAIXAS NO BLOCO A</t>
  </si>
  <si>
    <t>ACOMPANHAMENTO DA LIMPESA DAS ESTANTES E CAIXAS DO BLOCO A E TROCA DE 28 CAIXAS BLOCO A</t>
  </si>
  <si>
    <t>ACOMPANHAMENTO DA LIMPESA DAS ESTANTES E CAIXAS DO BLOCO A</t>
  </si>
  <si>
    <t>Pesquisa e busca
processo 23132.000438/95-22, convênio nº 214/95, SIAFI nº 138116, Fundação de Desporto e
 Lazer de Mato Grosso</t>
  </si>
  <si>
    <t>Atestado</t>
  </si>
  <si>
    <t>CONFERÊNCIA DE 10 CAIXAS SNAS/DNIT E ACOMPANHAMENTO LIMPESA SALA 3.11 NO DNIT</t>
  </si>
  <si>
    <t>CONFERÊNCIA DE 15 CAIXAS SNAS/DNIT E ACOMPANHAMENTO LIMPESA ARQUIVO 3.61 NO DNIT</t>
  </si>
  <si>
    <t>CONFERÊNCIA DE 11 CAIXAS SNAS/DNIT E ACOMPANHAMENTO LIMPESA ARQUIVO 4.47 NO DNIT</t>
  </si>
  <si>
    <t>50 CAIXAS REMANEJADAS PARA FNAS E ACOMPANHAMENTO DA LIMPESA SALA 3.25</t>
  </si>
  <si>
    <t>CONFERÊNCIA DE 14 CAIXAS SNAS/DNIT E ACOMPANHAMENTO LIMPESA ARQUIVO 3.71 NO DNIT</t>
  </si>
  <si>
    <r>
      <rPr>
        <b/>
        <sz val="11"/>
        <color theme="1"/>
        <rFont val="Aptos Narrow"/>
        <family val="2"/>
        <scheme val="minor"/>
      </rPr>
      <t xml:space="preserve">Alimentação de planilha de controle de atividades (Gustavo)/ </t>
    </r>
    <r>
      <rPr>
        <sz val="11"/>
        <color theme="1"/>
        <rFont val="Aptos Narrow"/>
        <family val="2"/>
        <scheme val="minor"/>
      </rPr>
      <t>Pesquisa de contatos de empresas de manutenção de deslizantes e confirmação de e-mails enviados</t>
    </r>
  </si>
  <si>
    <t>Alimentação de planilha de controle de atividades (Gustavo)/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</si>
</sst>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b/>
      <sz val="16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9"/>
      <name val="Calibri"/>
      <family val="2"/>
    </font>
    <font>
      <b/>
      <sz val="18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F2F2F2"/>
        <bgColor rgb="FFDDDDD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DDDD"/>
      </patternFill>
    </fill>
    <fill>
      <patternFill patternType="solid">
        <fgColor rgb="FFFFFF00"/>
        <bgColor rgb="FFEDEDED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rgb="FFDDDDDD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7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horizontal="right" vertical="center" wrapText="1"/>
    </xf>
    <xf numFmtId="0" fontId="1" fillId="3" borderId="6" xfId="0" applyFont="1" applyFill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center" textRotation="255" wrapText="1" readingOrder="2"/>
    </xf>
    <xf numFmtId="0" fontId="2" fillId="8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7" borderId="4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6" borderId="4" xfId="0" applyFont="1" applyFill="1" applyBorder="1" applyAlignment="1">
      <alignment horizontal="right" vertical="center" wrapText="1"/>
    </xf>
    <xf numFmtId="0" fontId="10" fillId="3" borderId="4" xfId="0" applyFont="1" applyFill="1" applyBorder="1" applyAlignment="1">
      <alignment horizontal="right" vertical="center" wrapText="1"/>
    </xf>
    <xf numFmtId="0" fontId="8" fillId="5" borderId="4" xfId="0" applyFont="1" applyFill="1" applyBorder="1" applyAlignment="1">
      <alignment horizontal="left" vertical="center"/>
    </xf>
    <xf numFmtId="0" fontId="9" fillId="3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6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16" fontId="0" fillId="0" borderId="12" xfId="0" applyNumberForma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1" fillId="2" borderId="15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11" xfId="0" applyFont="1" applyFill="1" applyBorder="1" applyAlignment="1">
      <alignment horizontal="right" vertical="center" wrapText="1"/>
    </xf>
    <xf numFmtId="0" fontId="1" fillId="3" borderId="11" xfId="0" applyFont="1" applyFill="1" applyBorder="1" applyAlignment="1">
      <alignment horizontal="right" vertical="center" wrapText="1"/>
    </xf>
    <xf numFmtId="0" fontId="0" fillId="0" borderId="15" xfId="0" applyBorder="1" applyAlignment="1">
      <alignment horizontal="center" vertical="center"/>
    </xf>
    <xf numFmtId="0" fontId="1" fillId="2" borderId="13" xfId="0" applyFont="1" applyFill="1" applyBorder="1" applyAlignment="1">
      <alignment horizontal="right" vertical="center" wrapText="1"/>
    </xf>
    <xf numFmtId="0" fontId="1" fillId="3" borderId="13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9" borderId="1" xfId="0" applyNumberForma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" fontId="0" fillId="0" borderId="0" xfId="0" applyNumberFormat="1" applyAlignment="1">
      <alignment horizontal="center" vertical="center"/>
    </xf>
    <xf numFmtId="0" fontId="1" fillId="10" borderId="1" xfId="0" applyFont="1" applyFill="1" applyBorder="1" applyAlignment="1">
      <alignment horizontal="righ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0" fillId="9" borderId="0" xfId="0" applyFill="1"/>
    <xf numFmtId="0" fontId="1" fillId="11" borderId="1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 wrapText="1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1" fillId="2" borderId="5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usernames" Target="revisions/userNam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671" Type="http://schemas.openxmlformats.org/officeDocument/2006/relationships/revisionLog" Target="revisionLog114.xml"/><Relationship Id="rId692" Type="http://schemas.openxmlformats.org/officeDocument/2006/relationships/revisionLog" Target="revisionLog16.xml"/><Relationship Id="rId701" Type="http://schemas.openxmlformats.org/officeDocument/2006/relationships/revisionLog" Target="revisionLog25.xml"/><Relationship Id="rId666" Type="http://schemas.openxmlformats.org/officeDocument/2006/relationships/revisionLog" Target="revisionLog109.xml"/><Relationship Id="rId679" Type="http://schemas.openxmlformats.org/officeDocument/2006/relationships/revisionLog" Target="revisionLog3.xml"/><Relationship Id="rId687" Type="http://schemas.openxmlformats.org/officeDocument/2006/relationships/revisionLog" Target="revisionLog11.xml"/><Relationship Id="rId658" Type="http://schemas.openxmlformats.org/officeDocument/2006/relationships/revisionLog" Target="revisionLog101.xml"/><Relationship Id="rId695" Type="http://schemas.openxmlformats.org/officeDocument/2006/relationships/revisionLog" Target="revisionLog19.xml"/><Relationship Id="rId661" Type="http://schemas.openxmlformats.org/officeDocument/2006/relationships/revisionLog" Target="revisionLog104.xml"/><Relationship Id="rId674" Type="http://schemas.openxmlformats.org/officeDocument/2006/relationships/revisionLog" Target="revisionLog117.xml"/><Relationship Id="rId682" Type="http://schemas.openxmlformats.org/officeDocument/2006/relationships/revisionLog" Target="revisionLog6.xml"/><Relationship Id="rId690" Type="http://schemas.openxmlformats.org/officeDocument/2006/relationships/revisionLog" Target="revisionLog14.xml"/><Relationship Id="rId704" Type="http://schemas.openxmlformats.org/officeDocument/2006/relationships/revisionLog" Target="revisionLog28.xml"/><Relationship Id="rId677" Type="http://schemas.openxmlformats.org/officeDocument/2006/relationships/revisionLog" Target="revisionLog1.xml"/><Relationship Id="rId669" Type="http://schemas.openxmlformats.org/officeDocument/2006/relationships/revisionLog" Target="revisionLog112.xml"/><Relationship Id="rId656" Type="http://schemas.openxmlformats.org/officeDocument/2006/relationships/revisionLog" Target="revisionLog99.xml"/><Relationship Id="rId681" Type="http://schemas.openxmlformats.org/officeDocument/2006/relationships/revisionLog" Target="revisionLog5.xml"/><Relationship Id="rId703" Type="http://schemas.openxmlformats.org/officeDocument/2006/relationships/revisionLog" Target="revisionLog27.xml"/><Relationship Id="rId685" Type="http://schemas.openxmlformats.org/officeDocument/2006/relationships/revisionLog" Target="revisionLog9.xml"/><Relationship Id="rId698" Type="http://schemas.openxmlformats.org/officeDocument/2006/relationships/revisionLog" Target="revisionLog22.xml"/><Relationship Id="rId672" Type="http://schemas.openxmlformats.org/officeDocument/2006/relationships/revisionLog" Target="revisionLog115.xml"/><Relationship Id="rId664" Type="http://schemas.openxmlformats.org/officeDocument/2006/relationships/revisionLog" Target="revisionLog107.xml"/><Relationship Id="rId680" Type="http://schemas.openxmlformats.org/officeDocument/2006/relationships/revisionLog" Target="revisionLog4.xml"/><Relationship Id="rId693" Type="http://schemas.openxmlformats.org/officeDocument/2006/relationships/revisionLog" Target="revisionLog17.xml"/><Relationship Id="rId702" Type="http://schemas.openxmlformats.org/officeDocument/2006/relationships/revisionLog" Target="revisionLog26.xml"/><Relationship Id="rId676" Type="http://schemas.openxmlformats.org/officeDocument/2006/relationships/revisionLog" Target="revisionLog119.xml"/><Relationship Id="rId668" Type="http://schemas.openxmlformats.org/officeDocument/2006/relationships/revisionLog" Target="revisionLog111.xml"/><Relationship Id="rId663" Type="http://schemas.openxmlformats.org/officeDocument/2006/relationships/revisionLog" Target="revisionLog106.xml"/><Relationship Id="rId689" Type="http://schemas.openxmlformats.org/officeDocument/2006/relationships/revisionLog" Target="revisionLog13.xml"/><Relationship Id="rId697" Type="http://schemas.openxmlformats.org/officeDocument/2006/relationships/revisionLog" Target="revisionLog21.xml"/><Relationship Id="rId684" Type="http://schemas.openxmlformats.org/officeDocument/2006/relationships/revisionLog" Target="revisionLog8.xml"/><Relationship Id="rId655" Type="http://schemas.openxmlformats.org/officeDocument/2006/relationships/revisionLog" Target="revisionLog98.xml"/><Relationship Id="rId659" Type="http://schemas.openxmlformats.org/officeDocument/2006/relationships/revisionLog" Target="revisionLog102.xml"/><Relationship Id="rId675" Type="http://schemas.openxmlformats.org/officeDocument/2006/relationships/revisionLog" Target="revisionLog118.xml"/><Relationship Id="rId696" Type="http://schemas.openxmlformats.org/officeDocument/2006/relationships/revisionLog" Target="revisionLog20.xml"/><Relationship Id="rId662" Type="http://schemas.openxmlformats.org/officeDocument/2006/relationships/revisionLog" Target="revisionLog105.xml"/><Relationship Id="rId667" Type="http://schemas.openxmlformats.org/officeDocument/2006/relationships/revisionLog" Target="revisionLog110.xml"/><Relationship Id="rId688" Type="http://schemas.openxmlformats.org/officeDocument/2006/relationships/revisionLog" Target="revisionLog12.xml"/><Relationship Id="rId670" Type="http://schemas.openxmlformats.org/officeDocument/2006/relationships/revisionLog" Target="revisionLog113.xml"/><Relationship Id="rId683" Type="http://schemas.openxmlformats.org/officeDocument/2006/relationships/revisionLog" Target="revisionLog7.xml"/><Relationship Id="rId705" Type="http://schemas.openxmlformats.org/officeDocument/2006/relationships/revisionLog" Target="revisionLog29.xml"/><Relationship Id="rId691" Type="http://schemas.openxmlformats.org/officeDocument/2006/relationships/revisionLog" Target="revisionLog15.xml"/><Relationship Id="rId700" Type="http://schemas.openxmlformats.org/officeDocument/2006/relationships/revisionLog" Target="revisionLog24.xml"/><Relationship Id="rId665" Type="http://schemas.openxmlformats.org/officeDocument/2006/relationships/revisionLog" Target="revisionLog108.xml"/><Relationship Id="rId686" Type="http://schemas.openxmlformats.org/officeDocument/2006/relationships/revisionLog" Target="revisionLog10.xml"/><Relationship Id="rId694" Type="http://schemas.openxmlformats.org/officeDocument/2006/relationships/revisionLog" Target="revisionLog18.xml"/><Relationship Id="rId657" Type="http://schemas.openxmlformats.org/officeDocument/2006/relationships/revisionLog" Target="revisionLog100.xml"/><Relationship Id="rId673" Type="http://schemas.openxmlformats.org/officeDocument/2006/relationships/revisionLog" Target="revisionLog116.xml"/><Relationship Id="rId678" Type="http://schemas.openxmlformats.org/officeDocument/2006/relationships/revisionLog" Target="revisionLog2.xml"/><Relationship Id="rId699" Type="http://schemas.openxmlformats.org/officeDocument/2006/relationships/revisionLog" Target="revisionLog23.xml"/><Relationship Id="rId660" Type="http://schemas.openxmlformats.org/officeDocument/2006/relationships/revisionLog" Target="revisionLog103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E8DE4FA-9870-4B5C-A725-55C1F72D8563}" diskRevisions="1" revisionId="19591" version="30">
  <header guid="{2379BE59-7FC2-4141-AE06-B81DE92EF1C2}" dateTime="2026-04-16T15:05:10" maxSheetId="13" userName="Marcos Neves de Almeida" r:id="rId655" minRId="17234" maxRId="1723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26BF465-FB1D-44FF-AF8B-6787EB644293}" dateTime="2026-04-22T07:11:49" maxSheetId="13" userName="Marcos Neves de Almeida" r:id="rId656" minRId="1723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09F1DA3-9E7E-479D-AA10-987AB43442B6}" dateTime="2026-04-22T09:07:18" maxSheetId="13" userName="Aelton de Jesus Nunes" r:id="rId657" minRId="17248" maxRId="1727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CAAF743-ECBE-402E-9B58-EF61C33553F7}" dateTime="2026-04-22T09:07:41" maxSheetId="13" userName="Aelton de Jesus Nunes" r:id="rId65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8883CA1-C72A-4E86-AC7D-CE7178AB0FF5}" dateTime="2026-04-22T09:18:02" maxSheetId="13" userName="Diego Santos de Abreu" r:id="rId659" minRId="17292" maxRId="1729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0BB4CC1-3837-40A5-984F-EF4CA128A05F}" dateTime="2026-04-22T09:18:20" maxSheetId="13" userName="Diego Santos de Abreu" r:id="rId660" minRId="1730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E0AA9A6-06C2-4732-BE82-7A62F5839A34}" dateTime="2026-04-22T09:19:27" maxSheetId="13" userName="Aelton de Jesus Nunes" r:id="rId66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FC37C20-2FC1-4DE5-AD7A-A16A2340FB21}" dateTime="2026-04-22T10:35:28" maxSheetId="13" userName="Alessandro Borges de Araújo" r:id="rId662" minRId="17316" maxRId="1735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C2E81DB0-5FD4-4414-BE1F-29685ED421BB}" dateTime="2026-04-22T10:58:34" maxSheetId="13" userName="Danilo Rafael Basilio da Silva" r:id="rId663" minRId="17352" maxRId="1736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42047EB-BF80-4C97-9225-271CE51B3CE5}" dateTime="2026-04-22T11:02:07" maxSheetId="13" userName="Danilo Rafael Basilio da Silva" r:id="rId664" minRId="1736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62F61BD2-FA52-4AEE-ADA2-FDCD89372F63}" dateTime="2026-04-22T15:53:59" maxSheetId="13" userName="Alessandro Borges de Araújo" r:id="rId665" minRId="17363" maxRId="1739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F3D25B0D-5606-4BE8-9F45-51C3AFBF4622}" dateTime="2026-04-22T16:08:15" maxSheetId="13" userName="Danilo Rafael Basilio da Silva" r:id="rId666" minRId="17405" maxRId="1740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4A39C9A3-F192-4043-BB4A-63ABF24AC9F7}" dateTime="2026-04-22T16:11:56" maxSheetId="13" userName="Danilo Rafael Basilio da Silva" r:id="rId667" minRId="17419" maxRId="1742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7B7C7A8-BD28-49A8-9BE5-7908D5883412}" dateTime="2026-04-22T16:24:53" maxSheetId="13" userName="Alessandro Borges de Araújo" r:id="rId668" minRId="1742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925A7C8-C05E-47A9-93EE-D78BBE874CB4}" dateTime="2026-04-22T16:35:03" maxSheetId="13" userName="Alessandro Borges de Araújo" r:id="rId669" minRId="17424" maxRId="1743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BA4FCDF-660C-44D4-9A2D-7F9F7BDBE612}" dateTime="2026-04-23T07:24:18" maxSheetId="13" userName="Marcos Neves de Almeida" r:id="rId670" minRId="17442" maxRId="1744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88781634-C65D-4A05-8DD7-DD65AEE95003}" dateTime="2026-04-23T07:25:32" maxSheetId="13" userName="Marcos Neves de Almeida" r:id="rId671" minRId="1745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DE14FE5-180D-4B3C-AC23-51AC0D5C5FB6}" dateTime="2026-04-23T08:05:33" maxSheetId="13" userName="Marcos Neves de Almeida" r:id="rId672" minRId="17456" maxRId="17457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3A50867E-BBD9-4F2F-89EF-F45D359EA3BF}" dateTime="2026-04-23T09:06:30" maxSheetId="13" userName="Marcos Neves de Almeida" r:id="rId673" minRId="1745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0B450011-252C-4E5C-838F-4E967A6697E9}" dateTime="2026-04-23T14:31:57" maxSheetId="13" userName="Marcos Neves de Almeida" r:id="rId674" minRId="17459" maxRId="1746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2381507-A67B-469B-B8A5-5D3ECB72DE2B}" dateTime="2026-04-24T14:29:02" maxSheetId="13" userName="Marcos Neves de Almeida" r:id="rId675" minRId="17462" maxRId="1746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E9727AAD-01CF-49F0-80CD-2DCE22475072}" dateTime="2026-04-27T09:28:58" maxSheetId="13" userName="Aelton de Jesus Nunes" r:id="rId676" minRId="17465" maxRId="1746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1EF2E54-E6AE-4A41-B953-359BC10DF7CF}" dateTime="2026-04-27T10:10:22" maxSheetId="13" userName="Alessandro Borges de Araújo" r:id="rId677" minRId="17480" maxRId="18945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49B4838-40F2-4C27-A68D-46418468C8B9}" dateTime="2026-04-27T10:10:54" maxSheetId="13" userName="Alessandro Borges de Araújo" r:id="rId678" minRId="18956" maxRId="1909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0E4C7A3-5C6D-4B70-A0C6-313AC7BE3096}" dateTime="2026-04-27T10:14:46" maxSheetId="13" userName="Alessandro Borges de Araújo" r:id="rId679" minRId="19100" maxRId="19110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DCA741B-809A-451F-94A1-6AFD02CB3137}" dateTime="2026-04-27T10:19:11" maxSheetId="13" userName="Alessandro Borges de Araújo" r:id="rId680" minRId="19121" maxRId="1930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7E45569D-2A6B-4A6C-A262-D39E3925994B}" dateTime="2026-04-27T10:25:29" maxSheetId="13" userName="Alessandro Borges de Araújo" r:id="rId681" minRId="19307" maxRId="19323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90B1EF91-B3EB-41F0-85AE-FEE945504B36}" dateTime="2026-05-04T12:26:39" maxSheetId="13" userName="Marcos Neves de Almeida" r:id="rId682" minRId="19324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5E534A5-6FE3-4BE5-B1EC-E2970EDE8C1D}" dateTime="2026-05-04T15:01:54" maxSheetId="13" userName="Marcos Neves de Almeida" r:id="rId683" minRId="19335" maxRId="1933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8854E4A-EC07-4228-9C1C-54F9E5A5CDA5}" dateTime="2026-05-04T15:02:47" maxSheetId="13" userName="Marcos Neves de Almeida" r:id="rId684" minRId="19337" maxRId="1933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1FC2113-357A-4EE0-9317-C75428B4B7DD}" dateTime="2026-05-05T10:53:29" maxSheetId="13" userName="Marcos Neves de Almeida" r:id="rId685" minRId="19339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A7B1C118-C274-4FAE-9E8E-58B078EDE4D7}" dateTime="2026-05-05T14:29:53" maxSheetId="13" userName="Marcos Neves de Almeida" r:id="rId686" minRId="19340" maxRId="19341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186C43E-720C-47CD-ABF2-251FE179DB81}" dateTime="2026-05-06T12:57:58" maxSheetId="13" userName="Marcos Neves de Almeida" r:id="rId687" minRId="19342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58627E16-A856-4DE8-8324-E1B33027B53F}" dateTime="2026-05-06T17:14:23" maxSheetId="13" userName="Alessandro Borges de Araújo" r:id="rId688" minRId="19343" maxRId="19346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17730945-4D35-47D1-99C2-80283519CD23}" dateTime="2026-05-07T08:27:26" maxSheetId="13" userName="Marcos Neves de Almeida" r:id="rId689" minRId="19347" maxRId="19348">
    <sheetIdMap count="12">
      <sheetId val="12"/>
      <sheetId val="1"/>
      <sheetId val="2"/>
      <sheetId val="3"/>
      <sheetId val="4"/>
      <sheetId val="5"/>
      <sheetId val="6"/>
      <sheetId val="7"/>
      <sheetId val="8"/>
      <sheetId val="10"/>
      <sheetId val="9"/>
      <sheetId val="11"/>
    </sheetIdMap>
  </header>
  <header guid="{DCAB6E59-85C7-4355-933F-32942785C049}" dateTime="2026-05-07T11:16:27" maxSheetId="13" userName="Danilo Rafael Basilio da Silva" r:id="rId690" minRId="19359" maxRId="19364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3E592311-7AC3-4E3E-9EA3-F52E4322DA46}" dateTime="2026-05-07T11:44:08" maxSheetId="13" userName="Marcos Neves de Almeida" r:id="rId691" minRId="19375" maxRId="19376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D64A5C27-2ABE-46F1-BB65-5D4D6BFADC61}" dateTime="2026-05-07T11:46:42" maxSheetId="13" userName="Marcos Neves de Almeida" r:id="rId692" minRId="19387" maxRId="19389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18BF9C65-DB57-41FF-BA82-AECD700A1CC4}" dateTime="2026-05-08T11:08:03" maxSheetId="13" userName="Marcos Neves de Almeida" r:id="rId693" minRId="19390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8FD21D8E-FDA8-41EB-8F7C-C7F36B866ACE}" dateTime="2026-05-11T09:35:53" maxSheetId="13" userName="Aelton de Jesus Nunes" r:id="rId694" minRId="19391" maxRId="19400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AE01E277-304A-403E-9192-48D0F056045F}" dateTime="2026-05-11T09:36:04" maxSheetId="13" userName="Aelton de Jesus Nunes" r:id="rId695" minRId="19411" maxRId="19420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DDDB1B1D-FE85-4E78-AA5E-6E860934E87A}" dateTime="2026-05-11T09:36:17" maxSheetId="13" userName="Aelton de Jesus Nunes" r:id="rId696" minRId="19421" maxRId="19425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C064C0E8-316A-4E47-9A35-C1E81B8766BC}" dateTime="2026-05-11T13:51:40" maxSheetId="13" userName="Marcos Neves de Almeida" r:id="rId697" minRId="19426" maxRId="19427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B74D2427-03F4-4E5D-B0A1-BE7D341E6C83}" dateTime="2026-05-11T15:49:18" maxSheetId="13" userName="Alessandro Borges de Araújo" r:id="rId698" minRId="19438" maxRId="19546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681723AA-4A02-4B32-BE3C-1F6262464AF5}" dateTime="2026-05-12T10:06:40" maxSheetId="13" userName="Danilo Rafael Basilio da Silva" r:id="rId699" minRId="19547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4587FBA2-5DB9-46D3-87BC-7E37FE454353}" dateTime="2026-05-12T12:08:31" maxSheetId="13" userName="Marcos Neves de Almeida" r:id="rId700" minRId="19558" maxRId="19560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9A60002B-E0A6-4FAB-AF73-312AA64A97BA}" dateTime="2026-05-14T07:05:06" maxSheetId="13" userName="Marcos Neves de Almeida" r:id="rId701" minRId="19571" maxRId="19572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8C0ADFDD-42E1-48CE-90C7-941F3ED75272}" dateTime="2026-05-15T09:45:55" maxSheetId="13" userName="Marcos Neves de Almeida" r:id="rId702" minRId="19573" maxRId="19576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B37AD1A3-67F2-4B00-8D04-2F7D4C00EAFC}" dateTime="2026-05-15T09:46:50" maxSheetId="13" userName="Marcos Neves de Almeida" r:id="rId703" minRId="19577" maxRId="19578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F4E3ABE2-2555-4D36-81BF-9FAD7125DEA4}" dateTime="2026-05-15T10:42:22" maxSheetId="13" userName="Alessandro Borges de Araújo" r:id="rId704" minRId="19579" maxRId="19589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  <header guid="{7E8DE4FA-9870-4B5C-A725-55C1F72D8563}" dateTime="2026-05-15T10:43:52" maxSheetId="13" userName="Alessandro Borges de Araújo" r:id="rId705" minRId="19590" maxRId="19591">
    <sheetIdMap count="12">
      <sheetId val="12"/>
      <sheetId val="1"/>
      <sheetId val="2"/>
      <sheetId val="3"/>
      <sheetId val="4"/>
      <sheetId val="5"/>
      <sheetId val="6"/>
      <sheetId val="7"/>
      <sheetId val="10"/>
      <sheetId val="8"/>
      <sheetId val="9"/>
      <sheetId val="11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80" sId="4">
    <oc r="C18" t="inlineStr">
      <is>
        <t xml:space="preserve">trocando as caixas </t>
      </is>
    </oc>
    <nc r="C18"/>
  </rcc>
  <rcc rId="17481" sId="4">
    <oc r="D18" t="inlineStr">
      <is>
        <t xml:space="preserve">trocando as caixas </t>
      </is>
    </oc>
    <nc r="D18"/>
  </rcc>
  <rcc rId="17482" sId="4">
    <oc r="E18" t="inlineStr">
      <is>
        <t xml:space="preserve">trocando as caixas </t>
      </is>
    </oc>
    <nc r="E18"/>
  </rcc>
  <rcc rId="17483" sId="4">
    <oc r="F18" t="inlineStr">
      <is>
        <t xml:space="preserve">trocando as caixas </t>
      </is>
    </oc>
    <nc r="F18"/>
  </rcc>
  <rcc rId="17484" sId="4">
    <oc r="G18" t="inlineStr">
      <is>
        <t xml:space="preserve">trocando as caixas </t>
      </is>
    </oc>
    <nc r="G18"/>
  </rcc>
  <rcc rId="17485" sId="4">
    <oc r="I18" t="inlineStr">
      <is>
        <t xml:space="preserve">Reunião com pedro </t>
      </is>
    </oc>
    <nc r="I18"/>
  </rcc>
  <rcc rId="17486" sId="4">
    <oc r="J18" t="inlineStr">
      <is>
        <t xml:space="preserve">Orientação do serviço pela parte da manha </t>
      </is>
    </oc>
    <nc r="J18"/>
  </rcc>
  <rcc rId="17487" sId="4">
    <oc r="K18" t="inlineStr">
      <is>
        <t xml:space="preserve">trocando as caixas </t>
      </is>
    </oc>
    <nc r="K18"/>
  </rcc>
  <rcc rId="17488" sId="4">
    <oc r="L18" t="inlineStr">
      <is>
        <t xml:space="preserve">trocando as caixas </t>
      </is>
    </oc>
    <nc r="L18"/>
  </rcc>
  <rcc rId="17489" sId="4">
    <oc r="M18" t="inlineStr">
      <is>
        <t xml:space="preserve">trocando as caixas </t>
      </is>
    </oc>
    <nc r="M18"/>
  </rcc>
  <rcc rId="17490" sId="4">
    <oc r="Q18" t="inlineStr">
      <is>
        <t xml:space="preserve">arquivamento de processos </t>
      </is>
    </oc>
    <nc r="Q18"/>
  </rcc>
  <rcc rId="17491" sId="4">
    <oc r="S18" t="inlineStr">
      <is>
        <t>Pesquisa e busca
Documentos referente ao Plano de Saúde de servidores.</t>
      </is>
    </oc>
    <nc r="S18"/>
  </rcc>
  <rcc rId="17492" sId="4">
    <oc r="U18" t="inlineStr">
      <is>
        <t>Pesquisa e busca
Documentos referente ao Plano de Saúde de servidores.</t>
      </is>
    </oc>
    <nc r="U18"/>
  </rcc>
  <rcc rId="17493" sId="4">
    <oc r="V18" t="inlineStr">
      <is>
        <t>Pesquisa e busca
Documentos referente ao Plano de Saúde de servidores.</t>
      </is>
    </oc>
    <nc r="V18"/>
  </rcc>
  <rcc rId="17494" sId="4">
    <oc r="W18" t="inlineStr">
      <is>
        <t>Pesquisa e busca
Documentos referente ao Plano de Saúde de servidores.</t>
      </is>
    </oc>
    <nc r="W18"/>
  </rcc>
  <rcc rId="17495" sId="4">
    <oc r="X18" t="inlineStr">
      <is>
        <t>ATESTADO</t>
      </is>
    </oc>
    <nc r="X18"/>
  </rcc>
  <rcc rId="17496" sId="4">
    <oc r="Y18" t="inlineStr">
      <is>
        <t>ATESTADO</t>
      </is>
    </oc>
    <nc r="Y18"/>
  </rcc>
  <rcc rId="17497" sId="4">
    <oc r="AA18" t="inlineStr">
      <is>
        <t>PEGANDO AS PASTAS FUNCIONAIS</t>
      </is>
    </oc>
    <nc r="AA18"/>
  </rcc>
  <rcc rId="17498" sId="4">
    <oc r="AB18" t="inlineStr">
      <is>
        <t>PEGANDO AS PASTAS FUNCIONAIS</t>
      </is>
    </oc>
    <nc r="AB18"/>
  </rcc>
  <rcc rId="17499" sId="4">
    <oc r="AC18" t="inlineStr">
      <is>
        <t>PEGANDO AS PASTAS FUNCIONAIS</t>
      </is>
    </oc>
    <nc r="AC18"/>
  </rcc>
  <rcc rId="17500" sId="4">
    <oc r="AD18" t="inlineStr">
      <is>
        <t>Desarquivadas 23 pastas funcionais.</t>
      </is>
    </oc>
    <nc r="AD18"/>
  </rcc>
  <rcc rId="17501" sId="4">
    <oc r="AE18" t="inlineStr">
      <is>
        <t>Inventário de caixas da
 CGCEB</t>
      </is>
    </oc>
    <nc r="AE18"/>
  </rcc>
  <rcc rId="17502" sId="4">
    <oc r="AG18" t="inlineStr">
      <is>
        <t>Inventário de caixas da
 CGCEB</t>
      </is>
    </oc>
    <nc r="AG18"/>
  </rcc>
  <rcc rId="17503" sId="4">
    <oc r="AH18" t="inlineStr">
      <is>
        <t>Inventário de caixas da
 CGCEB</t>
      </is>
    </oc>
    <nc r="AH18"/>
  </rcc>
  <rcc rId="17504" sId="4">
    <oc r="AI18" t="inlineStr">
      <is>
        <t>Inventário de caixas da
 CGCEB</t>
      </is>
    </oc>
    <nc r="AI18"/>
  </rcc>
  <rcc rId="17505" sId="4">
    <oc r="AJ18" t="inlineStr">
      <is>
        <t>Inventário de caixas da
 CGCEB</t>
      </is>
    </oc>
    <nc r="AJ18"/>
  </rcc>
  <rcc rId="17506" sId="4">
    <oc r="AK18" t="inlineStr">
      <is>
        <t>Inventário de caixas da
 CGCEB</t>
      </is>
    </oc>
    <nc r="AK18"/>
  </rcc>
  <rcc rId="17507" sId="4">
    <oc r="AM18" t="inlineStr">
      <is>
        <t>PROCURANDO CAIXAS DA CGCEB</t>
      </is>
    </oc>
    <nc r="AM18"/>
  </rcc>
  <rcc rId="17508" sId="4">
    <oc r="AN18" t="inlineStr">
      <is>
        <t>GUARDADANDO PROCESSOS CGRH</t>
      </is>
    </oc>
    <nc r="AN18"/>
  </rcc>
  <rcc rId="17509" sId="4">
    <oc r="AO18" t="inlineStr">
      <is>
        <t>Pesquisa e busca
processo 23132.000438/95-22, convênio nº 214/95, SIAFI nº 138116, Fundação de Desporto e
 Lazer de Mato Grosso</t>
      </is>
    </oc>
    <nc r="AO18"/>
  </rcc>
  <rcc rId="17510" sId="4">
    <oc r="AP18" t="inlineStr">
      <is>
        <t>Pesquisa e busca
processo 23132.000438/95-22, convênio nº 214/95, SIAFI nº 138116, Fundação de Desporto e
 Lazer de Mato Grosso</t>
      </is>
    </oc>
    <nc r="AP18"/>
  </rcc>
  <rcc rId="17511" sId="4">
    <oc r="AQ18" t="inlineStr">
      <is>
        <t>Pesquisa e busca
processo 23132.000438/95-22, convênio nº 214/95, SIAFI nº 138116, Fundação de Desporto e
 Lazer de Mato Grosso</t>
      </is>
    </oc>
    <nc r="AQ18"/>
  </rcc>
  <rcc rId="17512" sId="9" numFmtId="21">
    <oc r="C1">
      <v>46083</v>
    </oc>
    <nc r="C1">
      <v>46146</v>
    </nc>
  </rcc>
  <rcc rId="17513" sId="9" numFmtId="21">
    <oc r="D1">
      <v>46084</v>
    </oc>
    <nc r="D1">
      <v>46147</v>
    </nc>
  </rcc>
  <rcc rId="17514" sId="9" numFmtId="21">
    <oc r="E1">
      <v>46085</v>
    </oc>
    <nc r="E1">
      <v>46148</v>
    </nc>
  </rcc>
  <rcc rId="17515" sId="9" numFmtId="21">
    <oc r="F1">
      <v>46086</v>
    </oc>
    <nc r="F1">
      <v>46149</v>
    </nc>
  </rcc>
  <rcc rId="17516" sId="9" numFmtId="21">
    <oc r="G1">
      <v>46087</v>
    </oc>
    <nc r="G1">
      <v>46150</v>
    </nc>
  </rcc>
  <rcc rId="17517" sId="9" numFmtId="21">
    <oc r="I1">
      <v>46090</v>
    </oc>
    <nc r="I1">
      <v>46153</v>
    </nc>
  </rcc>
  <rcc rId="17518" sId="9" numFmtId="21">
    <oc r="J1">
      <v>46091</v>
    </oc>
    <nc r="J1">
      <v>46154</v>
    </nc>
  </rcc>
  <rcc rId="17519" sId="9" numFmtId="21">
    <oc r="K1">
      <v>46092</v>
    </oc>
    <nc r="K1">
      <v>46155</v>
    </nc>
  </rcc>
  <rcc rId="17520" sId="9" numFmtId="21">
    <oc r="L1">
      <v>46093</v>
    </oc>
    <nc r="L1">
      <v>46156</v>
    </nc>
  </rcc>
  <rcc rId="17521" sId="9" numFmtId="21">
    <oc r="M1">
      <v>46094</v>
    </oc>
    <nc r="M1">
      <v>46157</v>
    </nc>
  </rcc>
  <rcc rId="17522" sId="9" numFmtId="21">
    <oc r="O1">
      <v>46097</v>
    </oc>
    <nc r="O1">
      <v>46160</v>
    </nc>
  </rcc>
  <rcc rId="17523" sId="9" numFmtId="21">
    <oc r="P1">
      <v>46098</v>
    </oc>
    <nc r="P1">
      <v>46161</v>
    </nc>
  </rcc>
  <rcc rId="17524" sId="9" numFmtId="21">
    <oc r="Q1">
      <v>46099</v>
    </oc>
    <nc r="Q1">
      <v>46162</v>
    </nc>
  </rcc>
  <rcc rId="17525" sId="9" numFmtId="21">
    <oc r="R1">
      <v>46100</v>
    </oc>
    <nc r="R1">
      <v>46163</v>
    </nc>
  </rcc>
  <rcc rId="17526" sId="9" numFmtId="21">
    <oc r="S1">
      <v>46101</v>
    </oc>
    <nc r="S1">
      <v>46164</v>
    </nc>
  </rcc>
  <rcc rId="17527" sId="9" numFmtId="21">
    <oc r="U1">
      <v>46104</v>
    </oc>
    <nc r="U1">
      <v>46167</v>
    </nc>
  </rcc>
  <rcc rId="17528" sId="9" numFmtId="21">
    <oc r="V1">
      <v>46105</v>
    </oc>
    <nc r="V1">
      <v>46168</v>
    </nc>
  </rcc>
  <rcc rId="17529" sId="9" numFmtId="21">
    <oc r="W1">
      <v>46106</v>
    </oc>
    <nc r="W1">
      <v>46169</v>
    </nc>
  </rcc>
  <rcc rId="17530" sId="9" numFmtId="21">
    <oc r="X1">
      <v>46107</v>
    </oc>
    <nc r="X1">
      <v>46170</v>
    </nc>
  </rcc>
  <rcc rId="17531" sId="9" numFmtId="21">
    <oc r="Y1">
      <v>46108</v>
    </oc>
    <nc r="Y1">
      <v>46171</v>
    </nc>
  </rcc>
  <rcc rId="17532" sId="9" numFmtId="21">
    <oc r="AA1">
      <v>46111</v>
    </oc>
    <nc r="AA1">
      <v>46174</v>
    </nc>
  </rcc>
  <rcc rId="17533" sId="9" numFmtId="21">
    <oc r="AB1">
      <v>46112</v>
    </oc>
    <nc r="AB1">
      <v>46175</v>
    </nc>
  </rcc>
  <rcc rId="17534" sId="9" numFmtId="21">
    <oc r="AC1">
      <v>46113</v>
    </oc>
    <nc r="AC1">
      <v>46176</v>
    </nc>
  </rcc>
  <rcc rId="17535" sId="9" numFmtId="21">
    <oc r="AD1">
      <v>46114</v>
    </oc>
    <nc r="AD1">
      <v>46177</v>
    </nc>
  </rcc>
  <rcc rId="17536" sId="9" numFmtId="21">
    <oc r="AE1">
      <v>46115</v>
    </oc>
    <nc r="AE1">
      <v>46178</v>
    </nc>
  </rcc>
  <rcc rId="17537" sId="9" numFmtId="21">
    <oc r="AG1">
      <v>46118</v>
    </oc>
    <nc r="AG1">
      <v>46181</v>
    </nc>
  </rcc>
  <rcc rId="17538" sId="9" numFmtId="21">
    <oc r="AH1">
      <v>46119</v>
    </oc>
    <nc r="AH1">
      <v>46182</v>
    </nc>
  </rcc>
  <rcc rId="17539" sId="9" numFmtId="21">
    <oc r="AI1">
      <v>46120</v>
    </oc>
    <nc r="AI1">
      <v>46183</v>
    </nc>
  </rcc>
  <rcc rId="17540" sId="9" numFmtId="21">
    <oc r="AJ1">
      <v>46121</v>
    </oc>
    <nc r="AJ1">
      <v>46184</v>
    </nc>
  </rcc>
  <rcc rId="17541" sId="9" numFmtId="21">
    <oc r="AK1">
      <v>46122</v>
    </oc>
    <nc r="AK1">
      <v>46185</v>
    </nc>
  </rcc>
  <rcc rId="17542" sId="9">
    <oc r="AD11">
      <v>3</v>
    </oc>
    <nc r="AD11"/>
  </rcc>
  <rcc rId="17543" sId="9">
    <oc r="AD12">
      <v>17</v>
    </oc>
    <nc r="AD12"/>
  </rcc>
  <rcc rId="17544" sId="9">
    <oc r="AG11">
      <v>3</v>
    </oc>
    <nc r="AG11"/>
  </rcc>
  <rcc rId="17545" sId="9">
    <oc r="AH11">
      <v>4</v>
    </oc>
    <nc r="AH11"/>
  </rcc>
  <rcc rId="17546" sId="9">
    <oc r="AI11">
      <v>6</v>
    </oc>
    <nc r="AI11"/>
  </rcc>
  <rcc rId="17547" sId="9">
    <oc r="AK11">
      <v>2</v>
    </oc>
    <nc r="AK11"/>
  </rcc>
  <rcc rId="17548" sId="9">
    <oc r="AG12">
      <v>13</v>
    </oc>
    <nc r="AG12"/>
  </rcc>
  <rcc rId="17549" sId="9">
    <oc r="AH12">
      <v>26</v>
    </oc>
    <nc r="AH12"/>
  </rcc>
  <rcc rId="17550" sId="9">
    <oc r="AI12">
      <v>25</v>
    </oc>
    <nc r="AI12"/>
  </rcc>
  <rcc rId="17551" sId="9">
    <oc r="AK12">
      <v>20</v>
    </oc>
    <nc r="AK12"/>
  </rcc>
  <rcc rId="17552" sId="9" numFmtId="21">
    <oc r="AM1">
      <v>46125</v>
    </oc>
    <nc r="AM1">
      <v>46188</v>
    </nc>
  </rcc>
  <rcc rId="17553" sId="9" numFmtId="21">
    <oc r="AN1">
      <v>46126</v>
    </oc>
    <nc r="AN1">
      <v>46189</v>
    </nc>
  </rcc>
  <rcc rId="17554" sId="9" numFmtId="21">
    <oc r="AO1">
      <v>46127</v>
    </oc>
    <nc r="AO1">
      <v>46190</v>
    </nc>
  </rcc>
  <rcc rId="17555" sId="9" numFmtId="21">
    <oc r="AP1">
      <v>46128</v>
    </oc>
    <nc r="AP1">
      <v>46191</v>
    </nc>
  </rcc>
  <rcc rId="17556" sId="9" numFmtId="21">
    <oc r="AQ1">
      <v>46129</v>
    </oc>
    <nc r="AQ1">
      <v>46192</v>
    </nc>
  </rcc>
  <rcc rId="17557" sId="9">
    <oc r="AM11">
      <v>5</v>
    </oc>
    <nc r="AM11"/>
  </rcc>
  <rcc rId="17558" sId="9">
    <oc r="AN11">
      <v>3</v>
    </oc>
    <nc r="AN11"/>
  </rcc>
  <rcc rId="17559" sId="9">
    <oc r="AO11">
      <v>3</v>
    </oc>
    <nc r="AO11"/>
  </rcc>
  <rcc rId="17560" sId="9">
    <oc r="AP11">
      <v>5</v>
    </oc>
    <nc r="AP11"/>
  </rcc>
  <rcc rId="17561" sId="9">
    <oc r="AQ11">
      <v>4</v>
    </oc>
    <nc r="AQ11"/>
  </rcc>
  <rcc rId="17562" sId="9">
    <oc r="AM12">
      <v>34</v>
    </oc>
    <nc r="AM12"/>
  </rcc>
  <rcc rId="17563" sId="9">
    <oc r="AN12">
      <v>22</v>
    </oc>
    <nc r="AN12"/>
  </rcc>
  <rcc rId="17564" sId="9">
    <oc r="AO12">
      <v>16</v>
    </oc>
    <nc r="AO12"/>
  </rcc>
  <rcc rId="17565" sId="9">
    <oc r="AP12">
      <v>42</v>
    </oc>
    <nc r="AP12"/>
  </rcc>
  <rcc rId="17566" sId="9">
    <oc r="AQ12">
      <v>25</v>
    </oc>
    <nc r="AQ12"/>
  </rcc>
  <rcc rId="17567" sId="9" numFmtId="21">
    <oc r="AS1">
      <v>46132</v>
    </oc>
    <nc r="AS1">
      <v>46195</v>
    </nc>
  </rcc>
  <rcc rId="17568" sId="9" numFmtId="21">
    <oc r="AT1">
      <v>46133</v>
    </oc>
    <nc r="AT1">
      <v>46196</v>
    </nc>
  </rcc>
  <rcc rId="17569" sId="9" numFmtId="21">
    <oc r="AU1">
      <v>46134</v>
    </oc>
    <nc r="AU1">
      <v>46197</v>
    </nc>
  </rcc>
  <rcc rId="17570" sId="9" numFmtId="21">
    <oc r="AV1">
      <v>46135</v>
    </oc>
    <nc r="AV1">
      <v>46198</v>
    </nc>
  </rcc>
  <rcc rId="17571" sId="9" odxf="1" dxf="1" numFmtId="21">
    <oc r="AW1">
      <v>46136</v>
    </oc>
    <nc r="AW1">
      <v>46199</v>
    </nc>
    <odxf>
      <border outline="0">
        <right style="thin">
          <color auto="1"/>
        </right>
      </border>
    </odxf>
    <ndxf>
      <border outline="0">
        <right/>
      </border>
    </ndxf>
  </rcc>
  <rcc rId="17572" sId="9" numFmtId="21">
    <oc r="AY1">
      <v>46139</v>
    </oc>
    <nc r="AY1">
      <v>46202</v>
    </nc>
  </rcc>
  <rcc rId="17573" sId="9" numFmtId="21">
    <oc r="AZ1">
      <v>46140</v>
    </oc>
    <nc r="AZ1">
      <v>46203</v>
    </nc>
  </rcc>
  <rrc rId="17574" sId="9" ref="BA1:BA1048576" action="deleteCol">
    <rfmt sheetId="9" xfDxf="1" sqref="BA1:BA1048576" start="0" length="0">
      <dxf>
        <alignment horizontal="center" vertical="center"/>
      </dxf>
    </rfmt>
    <rcc rId="0" sId="9" dxf="1" numFmtId="21">
      <nc r="BA1">
        <v>46141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9" sqref="BA17" start="0" length="0">
      <dxf>
        <border outline="0">
          <bottom style="thin">
            <color indexed="64"/>
          </bottom>
        </border>
      </dxf>
    </rfmt>
  </rrc>
  <rrc rId="17575" sId="9" ref="BA1:BA1048576" action="deleteCol">
    <rfmt sheetId="9" xfDxf="1" sqref="BA1:BA1048576" start="0" length="0">
      <dxf>
        <alignment horizontal="center" vertical="center"/>
      </dxf>
    </rfmt>
    <rcc rId="0" sId="9" dxf="1" numFmtId="21">
      <nc r="BA1">
        <v>46142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9" sqref="BA17" start="0" length="0">
      <dxf>
        <border outline="0">
          <bottom style="thin">
            <color indexed="64"/>
          </bottom>
        </border>
      </dxf>
    </rfmt>
  </rrc>
  <rrc rId="17576" sId="9" ref="BA1:BA1048576" action="deleteCol">
    <undo index="65535" exp="area" dr="AY17:BA17" r="BB17" sId="9"/>
    <undo index="65535" exp="area" dr="AY16:BA16" r="BB16" sId="9"/>
    <undo index="65535" exp="area" dr="AY15:BA15" r="BB15" sId="9"/>
    <undo index="65535" exp="area" dr="AY14:BA14" r="BB14" sId="9"/>
    <undo index="65535" exp="area" dr="AY13:BA13" r="BB13" sId="9"/>
    <undo index="65535" exp="area" dr="AY12:BA12" r="BB12" sId="9"/>
    <undo index="65535" exp="area" dr="AY11:BA11" r="BB11" sId="9"/>
    <undo index="65535" exp="area" dr="AY10:BA10" r="BB10" sId="9"/>
    <undo index="65535" exp="area" dr="AY9:BA9" r="BB9" sId="9"/>
    <undo index="65535" exp="area" dr="AY8:BA8" r="BB8" sId="9"/>
    <undo index="65535" exp="area" dr="AY7:BA7" r="BB7" sId="9"/>
    <undo index="65535" exp="area" dr="AY6:BA6" r="BB6" sId="9"/>
    <undo index="65535" exp="area" dr="AY5:BA5" r="BB5" sId="9"/>
    <undo index="65535" exp="area" dr="AY4:BA4" r="BB4" sId="9"/>
    <undo index="65535" exp="area" dr="AY3:BA3" r="BB3" sId="9"/>
    <undo index="65535" exp="area" dr="AY2:BA2" r="BB2" sId="9"/>
    <rfmt sheetId="9" xfDxf="1" sqref="BA1:BA1048576" start="0" length="0">
      <dxf>
        <alignment horizontal="center" vertical="center"/>
      </dxf>
    </rfmt>
    <rcc rId="0" sId="9" dxf="1" numFmtId="21">
      <nc r="BA1">
        <v>46143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9" sqref="BA17" start="0" length="0">
      <dxf>
        <border outline="0">
          <bottom style="thin">
            <color indexed="64"/>
          </bottom>
        </border>
      </dxf>
    </rfmt>
  </rrc>
  <rcc rId="17577" sId="4" numFmtId="21">
    <oc r="C1">
      <v>46083</v>
    </oc>
    <nc r="C1">
      <v>46146</v>
    </nc>
  </rcc>
  <rcc rId="17578" sId="4" numFmtId="21">
    <oc r="D1">
      <v>46084</v>
    </oc>
    <nc r="D1">
      <v>46147</v>
    </nc>
  </rcc>
  <rcc rId="17579" sId="4" numFmtId="21">
    <oc r="E1">
      <v>46085</v>
    </oc>
    <nc r="E1">
      <v>46148</v>
    </nc>
  </rcc>
  <rcc rId="17580" sId="4" numFmtId="21">
    <oc r="F1">
      <v>46086</v>
    </oc>
    <nc r="F1">
      <v>46149</v>
    </nc>
  </rcc>
  <rcc rId="17581" sId="4" numFmtId="21">
    <oc r="G1">
      <v>46087</v>
    </oc>
    <nc r="G1">
      <v>46150</v>
    </nc>
  </rcc>
  <rcc rId="17582" sId="4" numFmtId="21">
    <oc r="I1">
      <v>46090</v>
    </oc>
    <nc r="I1">
      <v>46153</v>
    </nc>
  </rcc>
  <rcc rId="17583" sId="4" numFmtId="21">
    <oc r="J1">
      <v>46091</v>
    </oc>
    <nc r="J1">
      <v>46154</v>
    </nc>
  </rcc>
  <rcc rId="17584" sId="4" numFmtId="21">
    <oc r="K1">
      <v>46092</v>
    </oc>
    <nc r="K1">
      <v>46155</v>
    </nc>
  </rcc>
  <rcc rId="17585" sId="4" numFmtId="21">
    <oc r="L1">
      <v>46093</v>
    </oc>
    <nc r="L1">
      <v>46156</v>
    </nc>
  </rcc>
  <rcc rId="17586" sId="4" numFmtId="21">
    <oc r="M1">
      <v>46094</v>
    </oc>
    <nc r="M1">
      <v>46157</v>
    </nc>
  </rcc>
  <rcc rId="17587" sId="4" numFmtId="21">
    <oc r="O1">
      <v>46097</v>
    </oc>
    <nc r="O1">
      <v>46160</v>
    </nc>
  </rcc>
  <rcc rId="17588" sId="4" numFmtId="21">
    <oc r="P1">
      <v>46098</v>
    </oc>
    <nc r="P1">
      <v>46161</v>
    </nc>
  </rcc>
  <rcc rId="17589" sId="4" numFmtId="21">
    <oc r="Q1">
      <v>46099</v>
    </oc>
    <nc r="Q1">
      <v>46162</v>
    </nc>
  </rcc>
  <rcc rId="17590" sId="4" numFmtId="21">
    <oc r="R1">
      <v>46100</v>
    </oc>
    <nc r="R1">
      <v>46163</v>
    </nc>
  </rcc>
  <rcc rId="17591" sId="4" numFmtId="21">
    <oc r="S1">
      <v>46101</v>
    </oc>
    <nc r="S1">
      <v>46164</v>
    </nc>
  </rcc>
  <rcc rId="17592" sId="4" numFmtId="21">
    <oc r="U1">
      <v>46104</v>
    </oc>
    <nc r="U1">
      <v>46167</v>
    </nc>
  </rcc>
  <rcc rId="17593" sId="4" numFmtId="21">
    <oc r="V1">
      <v>46105</v>
    </oc>
    <nc r="V1">
      <v>46168</v>
    </nc>
  </rcc>
  <rcc rId="17594" sId="4" numFmtId="21">
    <oc r="W1">
      <v>46106</v>
    </oc>
    <nc r="W1">
      <v>46169</v>
    </nc>
  </rcc>
  <rcc rId="17595" sId="4" numFmtId="21">
    <oc r="X1">
      <v>46107</v>
    </oc>
    <nc r="X1">
      <v>46170</v>
    </nc>
  </rcc>
  <rcc rId="17596" sId="4" numFmtId="21">
    <oc r="Y1">
      <v>46108</v>
    </oc>
    <nc r="Y1">
      <v>46171</v>
    </nc>
  </rcc>
  <rcc rId="17597" sId="4" numFmtId="21">
    <oc r="AA1">
      <v>46111</v>
    </oc>
    <nc r="AA1">
      <v>46174</v>
    </nc>
  </rcc>
  <rcc rId="17598" sId="4" numFmtId="21">
    <oc r="AB1">
      <v>46112</v>
    </oc>
    <nc r="AB1">
      <v>46175</v>
    </nc>
  </rcc>
  <rcc rId="17599" sId="4" numFmtId="21">
    <oc r="AC1">
      <v>46113</v>
    </oc>
    <nc r="AC1">
      <v>46176</v>
    </nc>
  </rcc>
  <rcc rId="17600" sId="4" numFmtId="21">
    <oc r="AD1">
      <v>46114</v>
    </oc>
    <nc r="AD1">
      <v>46177</v>
    </nc>
  </rcc>
  <rcc rId="17601" sId="4" numFmtId="21">
    <oc r="AE1">
      <v>46115</v>
    </oc>
    <nc r="AE1">
      <v>46178</v>
    </nc>
  </rcc>
  <rcc rId="17602" sId="4" numFmtId="21">
    <oc r="AG1">
      <v>46118</v>
    </oc>
    <nc r="AG1">
      <v>46181</v>
    </nc>
  </rcc>
  <rcc rId="17603" sId="4" numFmtId="21">
    <oc r="AH1">
      <v>46119</v>
    </oc>
    <nc r="AH1">
      <v>46182</v>
    </nc>
  </rcc>
  <rcc rId="17604" sId="4" numFmtId="21">
    <oc r="AI1">
      <v>46120</v>
    </oc>
    <nc r="AI1">
      <v>46183</v>
    </nc>
  </rcc>
  <rcc rId="17605" sId="4" numFmtId="21">
    <oc r="AJ1">
      <v>46121</v>
    </oc>
    <nc r="AJ1">
      <v>46184</v>
    </nc>
  </rcc>
  <rcc rId="17606" sId="4" numFmtId="21">
    <oc r="AK1">
      <v>46122</v>
    </oc>
    <nc r="AK1">
      <v>46185</v>
    </nc>
  </rcc>
  <rcc rId="17607" sId="4" numFmtId="21">
    <oc r="AM1">
      <v>46125</v>
    </oc>
    <nc r="AM1">
      <v>46188</v>
    </nc>
  </rcc>
  <rcc rId="17608" sId="4" numFmtId="21">
    <oc r="AN1">
      <v>46126</v>
    </oc>
    <nc r="AN1">
      <v>46189</v>
    </nc>
  </rcc>
  <rcc rId="17609" sId="4" numFmtId="21">
    <oc r="AO1">
      <v>46127</v>
    </oc>
    <nc r="AO1">
      <v>46190</v>
    </nc>
  </rcc>
  <rcc rId="17610" sId="4" numFmtId="21">
    <oc r="AP1">
      <v>46128</v>
    </oc>
    <nc r="AP1">
      <v>46191</v>
    </nc>
  </rcc>
  <rcc rId="17611" sId="4" numFmtId="21">
    <oc r="AQ1">
      <v>46129</v>
    </oc>
    <nc r="AQ1">
      <v>46192</v>
    </nc>
  </rcc>
  <rcc rId="17612" sId="4" numFmtId="21">
    <oc r="AS1">
      <v>46132</v>
    </oc>
    <nc r="AS1">
      <v>46195</v>
    </nc>
  </rcc>
  <rcc rId="17613" sId="4" numFmtId="21">
    <oc r="AT1">
      <v>46133</v>
    </oc>
    <nc r="AT1">
      <v>46196</v>
    </nc>
  </rcc>
  <rcc rId="17614" sId="4" numFmtId="21">
    <oc r="AU1">
      <v>46134</v>
    </oc>
    <nc r="AU1">
      <v>46197</v>
    </nc>
  </rcc>
  <rcc rId="17615" sId="4" numFmtId="21">
    <oc r="AV1">
      <v>46135</v>
    </oc>
    <nc r="AV1">
      <v>46198</v>
    </nc>
  </rcc>
  <rcc rId="17616" sId="4" odxf="1" dxf="1" numFmtId="21">
    <oc r="AW1">
      <v>46136</v>
    </oc>
    <nc r="AW1">
      <v>46199</v>
    </nc>
    <odxf>
      <border outline="0">
        <right style="thin">
          <color auto="1"/>
        </right>
      </border>
    </odxf>
    <ndxf>
      <border outline="0">
        <right/>
      </border>
    </ndxf>
  </rcc>
  <rcc rId="17617" sId="4" numFmtId="21">
    <oc r="AY1">
      <v>46139</v>
    </oc>
    <nc r="AY1">
      <v>46202</v>
    </nc>
  </rcc>
  <rcc rId="17618" sId="4" numFmtId="21">
    <oc r="AZ1">
      <v>46140</v>
    </oc>
    <nc r="AZ1">
      <v>46203</v>
    </nc>
  </rcc>
  <rcc rId="17619" sId="4" odxf="1" dxf="1">
    <oc r="BA1">
      <v>46141</v>
    </oc>
    <nc r="BA1" t="inlineStr">
      <is>
        <t>TOTAL SEMANA</t>
      </is>
    </nc>
    <odxf>
      <numFmt numFmtId="21" formatCode="dd/mmm"/>
      <fill>
        <patternFill patternType="none">
          <bgColor indexed="65"/>
        </patternFill>
      </fill>
    </odxf>
    <ndxf>
      <numFmt numFmtId="0" formatCode="General"/>
      <fill>
        <patternFill patternType="solid">
          <bgColor theme="0" tint="-0.14999847407452621"/>
        </patternFill>
      </fill>
    </ndxf>
  </rcc>
  <rfmt sheetId="4" sqref="C2" start="0" length="0">
    <dxf>
      <border outline="0">
        <left/>
        <top/>
      </border>
    </dxf>
  </rfmt>
  <rfmt sheetId="4" sqref="D2" start="0" length="0">
    <dxf>
      <border outline="0">
        <top/>
      </border>
    </dxf>
  </rfmt>
  <rfmt sheetId="4" sqref="E2" start="0" length="0">
    <dxf>
      <border outline="0">
        <top/>
      </border>
    </dxf>
  </rfmt>
  <rfmt sheetId="4" sqref="F2" start="0" length="0">
    <dxf>
      <border outline="0">
        <top/>
      </border>
    </dxf>
  </rfmt>
  <rfmt sheetId="4" sqref="G2" start="0" length="0">
    <dxf>
      <border outline="0">
        <right/>
        <top/>
      </border>
    </dxf>
  </rfmt>
  <rcc rId="17620" sId="4">
    <oc r="H2">
      <f>SUM(C2:G2)</f>
    </oc>
    <nc r="H2">
      <f>SUM(C2:G2)</f>
    </nc>
  </rcc>
  <rcc rId="17621" sId="4">
    <oc r="N2">
      <f>SUM(I2:M2)</f>
    </oc>
    <nc r="N2">
      <f>SUM(I2:M2)</f>
    </nc>
  </rcc>
  <rcc rId="17622" sId="4">
    <oc r="T2">
      <f>SUM(O2:S2)</f>
    </oc>
    <nc r="T2">
      <f>SUM(O2:S2)</f>
    </nc>
  </rcc>
  <rcc rId="17623" sId="4">
    <oc r="Z2">
      <f>SUM(U2:Y2)</f>
    </oc>
    <nc r="Z2">
      <f>SUM(U2:Y2)</f>
    </nc>
  </rcc>
  <rcc rId="17624" sId="4">
    <oc r="AF2">
      <f>SUM(AA2:AE2)</f>
    </oc>
    <nc r="AF2">
      <f>SUM(AA2:AE2)</f>
    </nc>
  </rcc>
  <rcc rId="17625" sId="4">
    <oc r="AL2">
      <f>SUM(AG2:AK2)</f>
    </oc>
    <nc r="AL2">
      <f>SUM(AG2:AK2)</f>
    </nc>
  </rcc>
  <rcc rId="17626" sId="4">
    <oc r="AR2">
      <f>SUM(AM2:AQ2)</f>
    </oc>
    <nc r="AR2">
      <f>SUM(AM2:AQ2)</f>
    </nc>
  </rcc>
  <rcc rId="17627" sId="4">
    <oc r="AX2">
      <f>SUM(AS2:AW2)</f>
    </oc>
    <nc r="AX2">
      <f>SUM(AS2:AW2)</f>
    </nc>
  </rcc>
  <rcc rId="17628" sId="4" odxf="1" dxf="1">
    <nc r="BA2">
      <f>SUM(AY2:AZ2)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3" start="0" length="0">
    <dxf>
      <border outline="0">
        <left/>
      </border>
    </dxf>
  </rfmt>
  <rfmt sheetId="4" sqref="G3" start="0" length="0">
    <dxf>
      <border outline="0">
        <right/>
      </border>
    </dxf>
  </rfmt>
  <rcc rId="17629" sId="4">
    <oc r="H3">
      <f>SUM(C3:G3)</f>
    </oc>
    <nc r="H3">
      <f>SUM(C3:G3)</f>
    </nc>
  </rcc>
  <rcc rId="17630" sId="4">
    <oc r="N3">
      <f>SUM(I3:M3)</f>
    </oc>
    <nc r="N3">
      <f>SUM(I3:M3)</f>
    </nc>
  </rcc>
  <rcc rId="17631" sId="4">
    <oc r="T3">
      <f>SUM(O3:S3)</f>
    </oc>
    <nc r="T3">
      <f>SUM(O3:S3)</f>
    </nc>
  </rcc>
  <rcc rId="17632" sId="4">
    <oc r="Z3">
      <f>SUM(U3:Y3)</f>
    </oc>
    <nc r="Z3">
      <f>SUM(U3:Y3)</f>
    </nc>
  </rcc>
  <rcc rId="17633" sId="4">
    <oc r="AF3">
      <f>SUM(AA3:AE3)</f>
    </oc>
    <nc r="AF3">
      <f>SUM(AA3:AE3)</f>
    </nc>
  </rcc>
  <rcc rId="17634" sId="4">
    <oc r="AL3">
      <f>SUM(AG3:AK3)</f>
    </oc>
    <nc r="AL3">
      <f>SUM(AG3:AK3)</f>
    </nc>
  </rcc>
  <rcc rId="17635" sId="4">
    <oc r="AR3">
      <f>SUM(AM3:AQ3)</f>
    </oc>
    <nc r="AR3">
      <f>SUM(AM3:AQ3)</f>
    </nc>
  </rcc>
  <rcc rId="17636" sId="4">
    <oc r="AX3">
      <f>SUM(AS3:AW3)</f>
    </oc>
    <nc r="AX3">
      <f>SUM(AS3:AW3)</f>
    </nc>
  </rcc>
  <rcc rId="17637" sId="4" odxf="1" dxf="1">
    <nc r="BA3">
      <f>SUM(AY3:AZ3)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4" start="0" length="0">
    <dxf>
      <border outline="0">
        <left/>
      </border>
    </dxf>
  </rfmt>
  <rfmt sheetId="4" sqref="G4" start="0" length="0">
    <dxf>
      <border outline="0">
        <right/>
      </border>
    </dxf>
  </rfmt>
  <rcc rId="17638" sId="4">
    <oc r="H4">
      <f>SUM(C4:G4)</f>
    </oc>
    <nc r="H4">
      <f>SUM(C4:G4)</f>
    </nc>
  </rcc>
  <rcc rId="17639" sId="4">
    <oc r="N4">
      <f>SUM(I4:M4)</f>
    </oc>
    <nc r="N4">
      <f>SUM(I4:M4)</f>
    </nc>
  </rcc>
  <rcc rId="17640" sId="4">
    <oc r="Q4">
      <v>22</v>
    </oc>
    <nc r="Q4"/>
  </rcc>
  <rcc rId="17641" sId="4">
    <oc r="T4">
      <f>SUM(O4:S4)</f>
    </oc>
    <nc r="T4">
      <f>SUM(O4:S4)</f>
    </nc>
  </rcc>
  <rcc rId="17642" sId="4">
    <oc r="Z4">
      <f>SUM(U4:Y4)</f>
    </oc>
    <nc r="Z4">
      <f>SUM(U4:Y4)</f>
    </nc>
  </rcc>
  <rcc rId="17643" sId="4">
    <oc r="AF4">
      <f>SUM(AA4:AE4)</f>
    </oc>
    <nc r="AF4">
      <f>SUM(AA4:AE4)</f>
    </nc>
  </rcc>
  <rcc rId="17644" sId="4">
    <oc r="AL4">
      <f>SUM(AG4:AK4)</f>
    </oc>
    <nc r="AL4">
      <f>SUM(AG4:AK4)</f>
    </nc>
  </rcc>
  <rcc rId="17645" sId="4">
    <oc r="AN4">
      <v>13</v>
    </oc>
    <nc r="AN4"/>
  </rcc>
  <rcc rId="17646" sId="4">
    <oc r="AR4">
      <f>SUM(AM4:AQ4)</f>
    </oc>
    <nc r="AR4">
      <f>SUM(AM4:AQ4)</f>
    </nc>
  </rcc>
  <rcc rId="17647" sId="4">
    <oc r="AX4">
      <f>SUM(AS4:AW4)</f>
    </oc>
    <nc r="AX4">
      <f>SUM(AS4:AW4)</f>
    </nc>
  </rcc>
  <rcc rId="17648" sId="4" odxf="1" dxf="1">
    <nc r="BA4">
      <f>SUM(AY4:AZ4)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5" start="0" length="0">
    <dxf>
      <border outline="0">
        <left/>
      </border>
    </dxf>
  </rfmt>
  <rfmt sheetId="4" sqref="G5" start="0" length="0">
    <dxf>
      <border outline="0">
        <right/>
      </border>
    </dxf>
  </rfmt>
  <rcc rId="17649" sId="4">
    <oc r="H5">
      <f>SUM(C5:G5)</f>
    </oc>
    <nc r="H5">
      <f>SUM(C5:G5)</f>
    </nc>
  </rcc>
  <rcc rId="17650" sId="4">
    <oc r="N5">
      <f>SUM(I5:M5)</f>
    </oc>
    <nc r="N5">
      <f>SUM(I5:M5)</f>
    </nc>
  </rcc>
  <rcc rId="17651" sId="4">
    <oc r="T5">
      <f>SUM(O5:S5)</f>
    </oc>
    <nc r="T5">
      <f>SUM(O5:S5)</f>
    </nc>
  </rcc>
  <rcc rId="17652" sId="4">
    <oc r="Z5">
      <f>SUM(U5:Y5)</f>
    </oc>
    <nc r="Z5">
      <f>SUM(U5:Y5)</f>
    </nc>
  </rcc>
  <rcc rId="17653" sId="4">
    <oc r="AF5">
      <f>SUM(AA5:AE5)</f>
    </oc>
    <nc r="AF5">
      <f>SUM(AA5:AE5)</f>
    </nc>
  </rcc>
  <rcc rId="17654" sId="4">
    <oc r="AL5">
      <f>SUM(AG5:AK5)</f>
    </oc>
    <nc r="AL5">
      <f>SUM(AG5:AK5)</f>
    </nc>
  </rcc>
  <rcc rId="17655" sId="4">
    <oc r="AR5">
      <f>SUM(AM5:AQ5)</f>
    </oc>
    <nc r="AR5">
      <f>SUM(AM5:AQ5)</f>
    </nc>
  </rcc>
  <rcc rId="17656" sId="4">
    <oc r="AX5">
      <f>SUM(AS5:AW5)</f>
    </oc>
    <nc r="AX5">
      <f>SUM(AS5:AW5)</f>
    </nc>
  </rcc>
  <rcc rId="17657" sId="4" odxf="1" dxf="1">
    <nc r="BA5">
      <f>SUM(AY5:AZ5)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6" start="0" length="0">
    <dxf>
      <border outline="0">
        <left/>
      </border>
    </dxf>
  </rfmt>
  <rfmt sheetId="4" sqref="G6" start="0" length="0">
    <dxf>
      <border outline="0">
        <right/>
      </border>
    </dxf>
  </rfmt>
  <rcc rId="17658" sId="4">
    <oc r="H6">
      <f>SUM(C6:G6)</f>
    </oc>
    <nc r="H6">
      <f>SUM(C6:G6)</f>
    </nc>
  </rcc>
  <rcc rId="17659" sId="4">
    <oc r="N6">
      <f>SUM(I6:M6)</f>
    </oc>
    <nc r="N6">
      <f>SUM(I6:M6)</f>
    </nc>
  </rcc>
  <rcc rId="17660" sId="4">
    <oc r="T6">
      <f>SUM(O6:S6)</f>
    </oc>
    <nc r="T6">
      <f>SUM(O6:S6)</f>
    </nc>
  </rcc>
  <rcc rId="17661" sId="4">
    <oc r="Z6">
      <f>SUM(U6:Y6)</f>
    </oc>
    <nc r="Z6">
      <f>SUM(U6:Y6)</f>
    </nc>
  </rcc>
  <rcc rId="17662" sId="4">
    <oc r="AF6">
      <f>SUM(AA6:AE6)</f>
    </oc>
    <nc r="AF6">
      <f>SUM(AA6:AE6)</f>
    </nc>
  </rcc>
  <rcc rId="17663" sId="4">
    <oc r="AL6">
      <f>SUM(AG6:AK6)</f>
    </oc>
    <nc r="AL6">
      <f>SUM(AG6:AK6)</f>
    </nc>
  </rcc>
  <rcc rId="17664" sId="4">
    <oc r="AR6">
      <f>SUM(AM6:AQ6)</f>
    </oc>
    <nc r="AR6">
      <f>SUM(AM6:AQ6)</f>
    </nc>
  </rcc>
  <rcc rId="17665" sId="4">
    <oc r="AX6">
      <f>SUM(AS6:AW6)</f>
    </oc>
    <nc r="AX6">
      <f>SUM(AS6:AW6)</f>
    </nc>
  </rcc>
  <rcc rId="17666" sId="4" odxf="1" dxf="1">
    <nc r="BA6">
      <f>SUM(AY6:AZ6)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7" start="0" length="0">
    <dxf>
      <border outline="0">
        <left/>
      </border>
    </dxf>
  </rfmt>
  <rfmt sheetId="4" sqref="G7" start="0" length="0">
    <dxf>
      <border outline="0">
        <right/>
      </border>
    </dxf>
  </rfmt>
  <rcc rId="17667" sId="4">
    <oc r="H7">
      <f>SUM(C7:G7)</f>
    </oc>
    <nc r="H7">
      <f>SUM(C7:G7)</f>
    </nc>
  </rcc>
  <rcc rId="17668" sId="4">
    <oc r="N7">
      <f>SUM(I7:M7)</f>
    </oc>
    <nc r="N7">
      <f>SUM(I7:M7)</f>
    </nc>
  </rcc>
  <rcc rId="17669" sId="4">
    <oc r="T7">
      <f>SUM(O7:S7)</f>
    </oc>
    <nc r="T7">
      <f>SUM(O7:S7)</f>
    </nc>
  </rcc>
  <rcc rId="17670" sId="4">
    <oc r="Z7">
      <f>SUM(U7:Y7)</f>
    </oc>
    <nc r="Z7">
      <f>SUM(U7:Y7)</f>
    </nc>
  </rcc>
  <rcc rId="17671" sId="4">
    <oc r="AF7">
      <f>SUM(AA7:AE7)</f>
    </oc>
    <nc r="AF7">
      <f>SUM(AA7:AE7)</f>
    </nc>
  </rcc>
  <rcc rId="17672" sId="4">
    <oc r="AL7">
      <f>SUM(AG7:AK7)</f>
    </oc>
    <nc r="AL7">
      <f>SUM(AG7:AK7)</f>
    </nc>
  </rcc>
  <rcc rId="17673" sId="4">
    <oc r="AR7">
      <f>SUM(AM7:AQ7)</f>
    </oc>
    <nc r="AR7">
      <f>SUM(AM7:AQ7)</f>
    </nc>
  </rcc>
  <rcc rId="17674" sId="4">
    <oc r="AX7">
      <f>SUM(AS7:AW7)</f>
    </oc>
    <nc r="AX7">
      <f>SUM(AS7:AW7)</f>
    </nc>
  </rcc>
  <rcc rId="17675" sId="4" odxf="1" dxf="1">
    <nc r="BA7">
      <f>SUM(AY7:AZ7)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8" start="0" length="0">
    <dxf>
      <border outline="0">
        <left/>
      </border>
    </dxf>
  </rfmt>
  <rfmt sheetId="4" sqref="G8" start="0" length="0">
    <dxf>
      <border outline="0">
        <right/>
      </border>
    </dxf>
  </rfmt>
  <rcc rId="17676" sId="4">
    <oc r="H8">
      <f>SUM(C8:G8)</f>
    </oc>
    <nc r="H8">
      <f>SUM(C8:G8)</f>
    </nc>
  </rcc>
  <rcc rId="17677" sId="4">
    <oc r="N8">
      <f>SUM(I8:M8)</f>
    </oc>
    <nc r="N8">
      <f>SUM(I8:M8)</f>
    </nc>
  </rcc>
  <rcc rId="17678" sId="4">
    <oc r="T8">
      <f>SUM(O8:S8)</f>
    </oc>
    <nc r="T8">
      <f>SUM(O8:S8)</f>
    </nc>
  </rcc>
  <rcc rId="17679" sId="4">
    <oc r="Z8">
      <f>SUM(U8:Y8)</f>
    </oc>
    <nc r="Z8">
      <f>SUM(U8:Y8)</f>
    </nc>
  </rcc>
  <rcc rId="17680" sId="4">
    <oc r="AF8">
      <f>SUM(AA8:AE8)</f>
    </oc>
    <nc r="AF8">
      <f>SUM(AA8:AE8)</f>
    </nc>
  </rcc>
  <rcc rId="17681" sId="4">
    <oc r="AL8">
      <f>SUM(AG8:AK8)</f>
    </oc>
    <nc r="AL8">
      <f>SUM(AG8:AK8)</f>
    </nc>
  </rcc>
  <rcc rId="17682" sId="4">
    <oc r="AR8">
      <f>SUM(AM8:AQ8)</f>
    </oc>
    <nc r="AR8">
      <f>SUM(AM8:AQ8)</f>
    </nc>
  </rcc>
  <rcc rId="17683" sId="4">
    <oc r="AX8">
      <f>SUM(AS8:AW8)</f>
    </oc>
    <nc r="AX8">
      <f>SUM(AS8:AW8)</f>
    </nc>
  </rcc>
  <rcc rId="17684" sId="4" odxf="1" dxf="1">
    <nc r="BA8">
      <f>SUM(AY8:AZ8)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9" start="0" length="0">
    <dxf>
      <border outline="0">
        <left/>
      </border>
    </dxf>
  </rfmt>
  <rfmt sheetId="4" sqref="G9" start="0" length="0">
    <dxf>
      <border outline="0">
        <right/>
      </border>
    </dxf>
  </rfmt>
  <rcc rId="17685" sId="4">
    <oc r="H9">
      <f>SUM(C9:G9)</f>
    </oc>
    <nc r="H9">
      <f>SUM(C9:G9)</f>
    </nc>
  </rcc>
  <rcc rId="17686" sId="4">
    <oc r="N9">
      <f>SUM(I9:M9)</f>
    </oc>
    <nc r="N9">
      <f>SUM(I9:M9)</f>
    </nc>
  </rcc>
  <rcc rId="17687" sId="4">
    <oc r="T9">
      <f>SUM(O9:S9)</f>
    </oc>
    <nc r="T9">
      <f>SUM(O9:S9)</f>
    </nc>
  </rcc>
  <rcc rId="17688" sId="4">
    <oc r="Z9">
      <f>SUM(U9:Y9)</f>
    </oc>
    <nc r="Z9">
      <f>SUM(U9:Y9)</f>
    </nc>
  </rcc>
  <rcc rId="17689" sId="4">
    <oc r="AF9">
      <f>SUM(AA9:AE9)</f>
    </oc>
    <nc r="AF9">
      <f>SUM(AA9:AE9)</f>
    </nc>
  </rcc>
  <rcc rId="17690" sId="4">
    <oc r="AL9">
      <f>SUM(AG9:AK9)</f>
    </oc>
    <nc r="AL9">
      <f>SUM(AG9:AK9)</f>
    </nc>
  </rcc>
  <rcc rId="17691" sId="4">
    <oc r="AR9">
      <f>SUM(AM9:AQ9)</f>
    </oc>
    <nc r="AR9">
      <f>SUM(AM9:AQ9)</f>
    </nc>
  </rcc>
  <rcc rId="17692" sId="4">
    <oc r="AX9">
      <f>SUM(AS9:AW9)</f>
    </oc>
    <nc r="AX9">
      <f>SUM(AS9:AW9)</f>
    </nc>
  </rcc>
  <rcc rId="17693" sId="4" odxf="1" dxf="1">
    <nc r="BA9">
      <f>SUM(AY9:AZ9)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10" start="0" length="0">
    <dxf>
      <border outline="0">
        <left/>
      </border>
    </dxf>
  </rfmt>
  <rfmt sheetId="4" sqref="G10" start="0" length="0">
    <dxf>
      <border outline="0">
        <right/>
      </border>
    </dxf>
  </rfmt>
  <rcc rId="17694" sId="4">
    <oc r="H10">
      <f>SUM(C10:G10)</f>
    </oc>
    <nc r="H10">
      <f>SUM(C10:G10)</f>
    </nc>
  </rcc>
  <rcc rId="17695" sId="4">
    <oc r="N10">
      <f>SUM(I10:M10)</f>
    </oc>
    <nc r="N10">
      <f>SUM(I10:M10)</f>
    </nc>
  </rcc>
  <rcc rId="17696" sId="4">
    <oc r="T10">
      <f>SUM(O10:S10)</f>
    </oc>
    <nc r="T10">
      <f>SUM(O10:S10)</f>
    </nc>
  </rcc>
  <rcc rId="17697" sId="4">
    <oc r="Z10">
      <f>SUM(U10:Y10)</f>
    </oc>
    <nc r="Z10">
      <f>SUM(U10:Y10)</f>
    </nc>
  </rcc>
  <rcc rId="17698" sId="4">
    <oc r="AF10">
      <f>SUM(AA10:AE10)</f>
    </oc>
    <nc r="AF10">
      <f>SUM(AA10:AE10)</f>
    </nc>
  </rcc>
  <rcc rId="17699" sId="4">
    <oc r="AL10">
      <f>SUM(AG10:AK10)</f>
    </oc>
    <nc r="AL10">
      <f>SUM(AG10:AK10)</f>
    </nc>
  </rcc>
  <rcc rId="17700" sId="4">
    <oc r="AR10">
      <f>SUM(AM10:AQ10)</f>
    </oc>
    <nc r="AR10">
      <f>SUM(AM10:AQ10)</f>
    </nc>
  </rcc>
  <rcc rId="17701" sId="4">
    <oc r="AX10">
      <f>SUM(AS10:AW10)</f>
    </oc>
    <nc r="AX10">
      <f>SUM(AS10:AW10)</f>
    </nc>
  </rcc>
  <rcc rId="17702" sId="4" odxf="1" dxf="1">
    <nc r="BA10">
      <f>SUM(AY10:AZ10)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11" start="0" length="0">
    <dxf>
      <border outline="0">
        <left/>
      </border>
    </dxf>
  </rfmt>
  <rfmt sheetId="4" sqref="G11" start="0" length="0">
    <dxf>
      <border outline="0">
        <right/>
      </border>
    </dxf>
  </rfmt>
  <rcc rId="17703" sId="4">
    <oc r="H11">
      <f>SUM(C11:G11)</f>
    </oc>
    <nc r="H11">
      <f>SUM(C11:G11)</f>
    </nc>
  </rcc>
  <rcc rId="17704" sId="4">
    <oc r="N11">
      <f>SUM(I11:M11)</f>
    </oc>
    <nc r="N11">
      <f>SUM(I11:M11)</f>
    </nc>
  </rcc>
  <rcc rId="17705" sId="4">
    <oc r="O11">
      <v>8</v>
    </oc>
    <nc r="O11"/>
  </rcc>
  <rcc rId="17706" sId="4">
    <oc r="P11">
      <v>6</v>
    </oc>
    <nc r="P11"/>
  </rcc>
  <rcc rId="17707" sId="4">
    <oc r="T11">
      <f>SUM(O11:S11)</f>
    </oc>
    <nc r="T11">
      <f>SUM(O11:S11)</f>
    </nc>
  </rcc>
  <rcc rId="17708" sId="4">
    <oc r="Z11">
      <f>SUM(U11:Y11)</f>
    </oc>
    <nc r="Z11">
      <f>SUM(U11:Y11)</f>
    </nc>
  </rcc>
  <rcc rId="17709" sId="4">
    <oc r="AE11">
      <v>7</v>
    </oc>
    <nc r="AE11"/>
  </rcc>
  <rcc rId="17710" sId="4">
    <oc r="AF11">
      <f>SUM(AA11:AE11)</f>
    </oc>
    <nc r="AF11">
      <f>SUM(AA11:AE11)</f>
    </nc>
  </rcc>
  <rcc rId="17711" sId="4">
    <oc r="AG11">
      <v>2</v>
    </oc>
    <nc r="AG11"/>
  </rcc>
  <rcc rId="17712" sId="4">
    <oc r="AH11">
      <v>1</v>
    </oc>
    <nc r="AH11"/>
  </rcc>
  <rcc rId="17713" sId="4">
    <oc r="AI11">
      <v>7</v>
    </oc>
    <nc r="AI11"/>
  </rcc>
  <rcc rId="17714" sId="4">
    <oc r="AJ11">
      <v>7</v>
    </oc>
    <nc r="AJ11"/>
  </rcc>
  <rcc rId="17715" sId="4">
    <oc r="AL11">
      <f>SUM(AG11:AK11)</f>
    </oc>
    <nc r="AL11">
      <f>SUM(AG11:AK11)</f>
    </nc>
  </rcc>
  <rcc rId="17716" sId="4">
    <oc r="AR11">
      <f>SUM(AM11:AQ11)</f>
    </oc>
    <nc r="AR11">
      <f>SUM(AM11:AQ11)</f>
    </nc>
  </rcc>
  <rcc rId="17717" sId="4">
    <oc r="AX11">
      <f>SUM(AS11:AW11)</f>
    </oc>
    <nc r="AX11">
      <f>SUM(AS11:AW11)</f>
    </nc>
  </rcc>
  <rcc rId="17718" sId="4" odxf="1" dxf="1">
    <nc r="BA11">
      <f>SUM(AY11:AZ11)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12" start="0" length="0">
    <dxf>
      <border outline="0">
        <left/>
      </border>
    </dxf>
  </rfmt>
  <rfmt sheetId="4" sqref="G12" start="0" length="0">
    <dxf>
      <border outline="0">
        <right/>
      </border>
    </dxf>
  </rfmt>
  <rcc rId="17719" sId="4">
    <oc r="H12">
      <f>SUM(C12:G12)</f>
    </oc>
    <nc r="H12">
      <f>SUM(C12:G12)</f>
    </nc>
  </rcc>
  <rcc rId="17720" sId="4">
    <oc r="N12">
      <f>SUM(I12:M12)</f>
    </oc>
    <nc r="N12">
      <f>SUM(I12:M12)</f>
    </nc>
  </rcc>
  <rcc rId="17721" sId="4">
    <oc r="T12">
      <f>SUM(O12:S12)</f>
    </oc>
    <nc r="T12">
      <f>SUM(O12:S12)</f>
    </nc>
  </rcc>
  <rcc rId="17722" sId="4">
    <oc r="Z12">
      <f>SUM(U12:Y12)</f>
    </oc>
    <nc r="Z12">
      <f>SUM(U12:Y12)</f>
    </nc>
  </rcc>
  <rcc rId="17723" sId="4">
    <oc r="AF12">
      <f>SUM(AA12:AE12)</f>
    </oc>
    <nc r="AF12">
      <f>SUM(AA12:AE12)</f>
    </nc>
  </rcc>
  <rcc rId="17724" sId="4">
    <oc r="AG12">
      <v>26</v>
    </oc>
    <nc r="AG12"/>
  </rcc>
  <rcc rId="17725" sId="4">
    <oc r="AH12">
      <v>8</v>
    </oc>
    <nc r="AH12"/>
  </rcc>
  <rcc rId="17726" sId="4">
    <oc r="AI12">
      <v>54</v>
    </oc>
    <nc r="AI12"/>
  </rcc>
  <rcc rId="17727" sId="4">
    <oc r="AJ12">
      <v>56</v>
    </oc>
    <nc r="AJ12"/>
  </rcc>
  <rcc rId="17728" sId="4">
    <oc r="AL12">
      <f>SUM(AG12:AK12)</f>
    </oc>
    <nc r="AL12">
      <f>SUM(AG12:AK12)</f>
    </nc>
  </rcc>
  <rcc rId="17729" sId="4">
    <oc r="AR12">
      <f>SUM(AM12:AQ12)</f>
    </oc>
    <nc r="AR12">
      <f>SUM(AM12:AQ12)</f>
    </nc>
  </rcc>
  <rcc rId="17730" sId="4">
    <oc r="AX12">
      <f>SUM(AS12:AW12)</f>
    </oc>
    <nc r="AX12">
      <f>SUM(AS12:AW12)</f>
    </nc>
  </rcc>
  <rcc rId="17731" sId="4" odxf="1" dxf="1">
    <nc r="BA12">
      <f>SUM(AY12:AZ12)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13" start="0" length="0">
    <dxf>
      <border outline="0">
        <left/>
      </border>
    </dxf>
  </rfmt>
  <rfmt sheetId="4" sqref="G13" start="0" length="0">
    <dxf>
      <border outline="0">
        <right/>
      </border>
    </dxf>
  </rfmt>
  <rcc rId="17732" sId="4">
    <oc r="H13">
      <f>SUM(C13:G13)</f>
    </oc>
    <nc r="H13">
      <f>SUM(C13:G13)</f>
    </nc>
  </rcc>
  <rcc rId="17733" sId="4">
    <oc r="N13">
      <f>SUM(I13:M13)</f>
    </oc>
    <nc r="N13">
      <f>SUM(I13:M13)</f>
    </nc>
  </rcc>
  <rcc rId="17734" sId="4">
    <oc r="T13">
      <f>SUM(O13:S13)</f>
    </oc>
    <nc r="T13">
      <f>SUM(O13:S13)</f>
    </nc>
  </rcc>
  <rcc rId="17735" sId="4">
    <oc r="Z13">
      <f>SUM(U13:Y13)</f>
    </oc>
    <nc r="Z13">
      <f>SUM(U13:Y13)</f>
    </nc>
  </rcc>
  <rcc rId="17736" sId="4">
    <oc r="AC13">
      <v>1</v>
    </oc>
    <nc r="AC13"/>
  </rcc>
  <rcc rId="17737" sId="4">
    <oc r="AF13">
      <f>SUM(AA13:AE13)</f>
    </oc>
    <nc r="AF13">
      <f>SUM(AA13:AE13)</f>
    </nc>
  </rcc>
  <rcc rId="17738" sId="4">
    <oc r="AL13">
      <f>SUM(AG13:AK13)</f>
    </oc>
    <nc r="AL13">
      <f>SUM(AG13:AK13)</f>
    </nc>
  </rcc>
  <rcc rId="17739" sId="4">
    <oc r="AN13">
      <v>1</v>
    </oc>
    <nc r="AN13"/>
  </rcc>
  <rcc rId="17740" sId="4">
    <oc r="AR13">
      <f>SUM(AM13:AQ13)</f>
    </oc>
    <nc r="AR13">
      <f>SUM(AM13:AQ13)</f>
    </nc>
  </rcc>
  <rcc rId="17741" sId="4">
    <oc r="AX13">
      <f>SUM(AS13:AW13)</f>
    </oc>
    <nc r="AX13">
      <f>SUM(AS13:AW13)</f>
    </nc>
  </rcc>
  <rcc rId="17742" sId="4" odxf="1" dxf="1">
    <nc r="BA13">
      <f>SUM(AY13:AZ13)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14" start="0" length="0">
    <dxf>
      <border outline="0">
        <left/>
      </border>
    </dxf>
  </rfmt>
  <rfmt sheetId="4" sqref="G14" start="0" length="0">
    <dxf>
      <border outline="0">
        <right/>
      </border>
    </dxf>
  </rfmt>
  <rcc rId="17743" sId="4">
    <oc r="H14">
      <f>SUM(C14:G14)</f>
    </oc>
    <nc r="H14">
      <f>SUM(C14:G14)</f>
    </nc>
  </rcc>
  <rcc rId="17744" sId="4">
    <oc r="N14">
      <f>SUM(I14:M14)</f>
    </oc>
    <nc r="N14">
      <f>SUM(I14:M14)</f>
    </nc>
  </rcc>
  <rcc rId="17745" sId="4">
    <oc r="T14">
      <f>SUM(O14:S14)</f>
    </oc>
    <nc r="T14">
      <f>SUM(O14:S14)</f>
    </nc>
  </rcc>
  <rcc rId="17746" sId="4">
    <oc r="Z14">
      <f>SUM(U14:Y14)</f>
    </oc>
    <nc r="Z14">
      <f>SUM(U14:Y14)</f>
    </nc>
  </rcc>
  <rcc rId="17747" sId="4">
    <oc r="AF14">
      <f>SUM(AA14:AE14)</f>
    </oc>
    <nc r="AF14">
      <f>SUM(AA14:AE14)</f>
    </nc>
  </rcc>
  <rcc rId="17748" sId="4">
    <oc r="AL14">
      <f>SUM(AG14:AK14)</f>
    </oc>
    <nc r="AL14">
      <f>SUM(AG14:AK14)</f>
    </nc>
  </rcc>
  <rcc rId="17749" sId="4">
    <oc r="AR14">
      <f>SUM(AM14:AQ14)</f>
    </oc>
    <nc r="AR14">
      <f>SUM(AM14:AQ14)</f>
    </nc>
  </rcc>
  <rcc rId="17750" sId="4">
    <oc r="AX14">
      <f>SUM(AS14:AW14)</f>
    </oc>
    <nc r="AX14">
      <f>SUM(AS14:AW14)</f>
    </nc>
  </rcc>
  <rcc rId="17751" sId="4" odxf="1" dxf="1">
    <nc r="BA14">
      <f>SUM(AY14:AZ14)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15" start="0" length="0">
    <dxf>
      <border outline="0">
        <left/>
      </border>
    </dxf>
  </rfmt>
  <rfmt sheetId="4" sqref="G15" start="0" length="0">
    <dxf>
      <border outline="0">
        <right/>
      </border>
    </dxf>
  </rfmt>
  <rcc rId="17752" sId="4">
    <oc r="H15">
      <f>SUM(C15:G15)</f>
    </oc>
    <nc r="H15">
      <f>SUM(C15:G15)</f>
    </nc>
  </rcc>
  <rcc rId="17753" sId="4">
    <oc r="N15">
      <f>SUM(I15:M15)</f>
    </oc>
    <nc r="N15">
      <f>SUM(I15:M15)</f>
    </nc>
  </rcc>
  <rcc rId="17754" sId="4">
    <oc r="O15">
      <v>49</v>
    </oc>
    <nc r="O15"/>
  </rcc>
  <rcc rId="17755" sId="4">
    <oc r="P15">
      <v>50</v>
    </oc>
    <nc r="P15"/>
  </rcc>
  <rcc rId="17756" sId="4">
    <oc r="Q15">
      <v>26</v>
    </oc>
    <nc r="Q15"/>
  </rcc>
  <rcc rId="17757" sId="4">
    <oc r="R15">
      <v>50</v>
    </oc>
    <nc r="R15"/>
  </rcc>
  <rcc rId="17758" sId="4">
    <oc r="T15">
      <f>SUM(O15:S15)</f>
    </oc>
    <nc r="T15">
      <f>SUM(O15:S15)</f>
    </nc>
  </rcc>
  <rcc rId="17759" sId="4">
    <oc r="Z15">
      <f>SUM(U15:Y15)</f>
    </oc>
    <nc r="Z15">
      <f>SUM(U15:Y15)</f>
    </nc>
  </rcc>
  <rcc rId="17760" sId="4">
    <oc r="AA15">
      <v>10</v>
    </oc>
    <nc r="AA15"/>
  </rcc>
  <rcc rId="17761" sId="4">
    <oc r="AB15">
      <v>10</v>
    </oc>
    <nc r="AB15"/>
  </rcc>
  <rcc rId="17762" sId="4">
    <oc r="AF15">
      <f>SUM(AA15:AE15)</f>
    </oc>
    <nc r="AF15">
      <f>SUM(AA15:AE15)</f>
    </nc>
  </rcc>
  <rcc rId="17763" sId="4">
    <oc r="AL15">
      <f>SUM(AG15:AK15)</f>
    </oc>
    <nc r="AL15">
      <f>SUM(AG15:AK15)</f>
    </nc>
  </rcc>
  <rcc rId="17764" sId="4">
    <oc r="AN15">
      <v>42</v>
    </oc>
    <nc r="AN15"/>
  </rcc>
  <rcc rId="17765" sId="4">
    <oc r="AR15">
      <f>SUM(AM15:AQ15)</f>
    </oc>
    <nc r="AR15">
      <f>SUM(AM15:AQ15)</f>
    </nc>
  </rcc>
  <rcc rId="17766" sId="4">
    <oc r="AX15">
      <f>SUM(AS15:AW15)</f>
    </oc>
    <nc r="AX15">
      <f>SUM(AS15:AW15)</f>
    </nc>
  </rcc>
  <rcc rId="17767" sId="4" odxf="1" dxf="1">
    <nc r="BA15">
      <f>SUM(AY15:AZ15)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4" sqref="C16" start="0" length="0">
    <dxf>
      <border outline="0">
        <left/>
      </border>
    </dxf>
  </rfmt>
  <rfmt sheetId="4" sqref="G16" start="0" length="0">
    <dxf>
      <border outline="0">
        <right/>
      </border>
    </dxf>
  </rfmt>
  <rcc rId="17768" sId="4">
    <oc r="H16">
      <f>SUM(C16:G16)</f>
    </oc>
    <nc r="H16">
      <f>SUM(C16:G16)</f>
    </nc>
  </rcc>
  <rcc rId="17769" sId="4">
    <oc r="N16">
      <f>SUM(I16:M16)</f>
    </oc>
    <nc r="N16">
      <f>SUM(I16:M16)</f>
    </nc>
  </rcc>
  <rcc rId="17770" sId="4">
    <oc r="T16">
      <f>SUM(O16:S16)</f>
    </oc>
    <nc r="T16">
      <f>SUM(O16:S16)</f>
    </nc>
  </rcc>
  <rcc rId="17771" sId="4">
    <oc r="Z16">
      <f>SUM(U16:Y16)</f>
    </oc>
    <nc r="Z16">
      <f>SUM(U16:Y16)</f>
    </nc>
  </rcc>
  <rcc rId="17772" sId="4">
    <oc r="AF16">
      <f>SUM(AA16:AE16)</f>
    </oc>
    <nc r="AF16">
      <f>SUM(AA16:AE16)</f>
    </nc>
  </rcc>
  <rcc rId="17773" sId="4">
    <oc r="AL16">
      <f>SUM(AG16:AK16)</f>
    </oc>
    <nc r="AL16">
      <f>SUM(AG16:AK16)</f>
    </nc>
  </rcc>
  <rcc rId="17774" sId="4">
    <oc r="AR16">
      <f>SUM(AM16:AQ16)</f>
    </oc>
    <nc r="AR16">
      <f>SUM(AM16:AQ16)</f>
    </nc>
  </rcc>
  <rcc rId="17775" sId="4">
    <oc r="AX16">
      <f>SUM(AS16:AW16)</f>
    </oc>
    <nc r="AX16">
      <f>SUM(AS16:AW16)</f>
    </nc>
  </rcc>
  <rcc rId="17776" sId="4" odxf="1" dxf="1">
    <nc r="BA16">
      <f>SUM(AY16:AZ16)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7777" sId="4" odxf="1" dxf="1">
    <oc r="C17">
      <v>10</v>
    </oc>
    <nc r="C17"/>
    <ndxf>
      <border outline="0">
        <left/>
      </border>
    </ndxf>
  </rcc>
  <rcc rId="17778" sId="4">
    <oc r="D17">
      <v>10</v>
    </oc>
    <nc r="D17"/>
  </rcc>
  <rcc rId="17779" sId="4">
    <oc r="E17">
      <v>10</v>
    </oc>
    <nc r="E17"/>
  </rcc>
  <rcc rId="17780" sId="4">
    <oc r="F17">
      <v>10</v>
    </oc>
    <nc r="F17"/>
  </rcc>
  <rcc rId="17781" sId="4" odxf="1" dxf="1">
    <oc r="G17">
      <v>10</v>
    </oc>
    <nc r="G17"/>
    <ndxf>
      <border outline="0">
        <right/>
      </border>
    </ndxf>
  </rcc>
  <rcc rId="17782" sId="4">
    <oc r="H17">
      <f>SUM(C17:G17)</f>
    </oc>
    <nc r="H17">
      <f>SUM(C17:G17)</f>
    </nc>
  </rcc>
  <rcc rId="17783" sId="4" odxf="1" dxf="1">
    <oc r="K17">
      <v>10</v>
    </oc>
    <nc r="K17"/>
    <ndxf>
      <border outline="0">
        <right/>
      </border>
    </ndxf>
  </rcc>
  <rcc rId="17784" sId="4" odxf="1" dxf="1">
    <oc r="L17">
      <v>10</v>
    </oc>
    <nc r="L17"/>
    <ndxf>
      <border outline="0">
        <right/>
      </border>
    </ndxf>
  </rcc>
  <rcc rId="17785" sId="4" odxf="1" dxf="1">
    <oc r="M17">
      <v>10</v>
    </oc>
    <nc r="M17"/>
    <ndxf>
      <border outline="0">
        <right/>
      </border>
    </ndxf>
  </rcc>
  <rcc rId="17786" sId="4">
    <oc r="N17">
      <f>SUM(I17:M17)</f>
    </oc>
    <nc r="N17">
      <f>SUM(I17:M17)</f>
    </nc>
  </rcc>
  <rcc rId="17787" sId="4">
    <oc r="T17">
      <f>SUM(O17:S17)</f>
    </oc>
    <nc r="T17">
      <f>SUM(O17:S17)</f>
    </nc>
  </rcc>
  <rcc rId="17788" sId="4">
    <oc r="Z17">
      <f>SUM(U17:Y17)</f>
    </oc>
    <nc r="Z17">
      <f>SUM(U17:Y17)</f>
    </nc>
  </rcc>
  <rcc rId="17789" sId="4">
    <oc r="AF17">
      <f>SUM(AA17:AE17)</f>
    </oc>
    <nc r="AF17">
      <f>SUM(AA17:AE17)</f>
    </nc>
  </rcc>
  <rcc rId="17790" sId="4">
    <oc r="AL17">
      <f>SUM(AG17:AK17)</f>
    </oc>
    <nc r="AL17">
      <f>SUM(AG17:AK17)</f>
    </nc>
  </rcc>
  <rcc rId="17791" sId="4">
    <oc r="AR17">
      <f>SUM(AM17:AQ17)</f>
    </oc>
    <nc r="AR17">
      <f>SUM(AM17:AQ17)</f>
    </nc>
  </rcc>
  <rcc rId="17792" sId="4">
    <oc r="AX17">
      <f>SUM(AS17:AW17)</f>
    </oc>
    <nc r="AX17">
      <f>SUM(AS17:AW17)</f>
    </nc>
  </rcc>
  <rcc rId="17793" sId="4" odxf="1" dxf="1">
    <nc r="BA17">
      <f>SUM(AY17:AZ17)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rc rId="17794" sId="4" ref="BB1:BB1048576" action="deleteCol">
    <rfmt sheetId="4" xfDxf="1" sqref="BB1:BB1048576" start="0" length="0">
      <dxf>
        <alignment horizontal="center" vertical="center"/>
      </dxf>
    </rfmt>
    <rcc rId="0" sId="4" dxf="1" numFmtId="21">
      <nc r="BB1">
        <v>46142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BB17" start="0" length="0">
      <dxf>
        <border outline="0">
          <bottom style="thin">
            <color indexed="64"/>
          </bottom>
        </border>
      </dxf>
    </rfmt>
  </rrc>
  <rrc rId="17795" sId="4" ref="BB1:BB1048576" action="deleteCol">
    <undo index="65535" exp="area" dr="AY17:BB17" r="BC17" sId="4"/>
    <undo index="65535" exp="area" dr="AY16:BB16" r="BC16" sId="4"/>
    <undo index="65535" exp="area" dr="AY15:BB15" r="BC15" sId="4"/>
    <undo index="65535" exp="area" dr="AY14:BB14" r="BC14" sId="4"/>
    <undo index="65535" exp="area" dr="AY13:BB13" r="BC13" sId="4"/>
    <undo index="65535" exp="area" dr="AY12:BB12" r="BC12" sId="4"/>
    <undo index="65535" exp="area" dr="AY11:BB11" r="BC11" sId="4"/>
    <undo index="65535" exp="area" dr="AY10:BB10" r="BC10" sId="4"/>
    <undo index="65535" exp="area" dr="AY9:BB9" r="BC9" sId="4"/>
    <undo index="65535" exp="area" dr="AY8:BB8" r="BC8" sId="4"/>
    <undo index="65535" exp="area" dr="AY7:BB7" r="BC7" sId="4"/>
    <undo index="65535" exp="area" dr="AY6:BB6" r="BC6" sId="4"/>
    <undo index="65535" exp="area" dr="AY5:BB5" r="BC5" sId="4"/>
    <undo index="65535" exp="area" dr="AY4:BB4" r="BC4" sId="4"/>
    <undo index="65535" exp="area" dr="AY3:BB3" r="BC3" sId="4"/>
    <undo index="65535" exp="area" dr="AY2:BB2" r="BC2" sId="4"/>
    <rfmt sheetId="4" xfDxf="1" sqref="BB1:BB1048576" start="0" length="0">
      <dxf>
        <alignment horizontal="center" vertical="center"/>
      </dxf>
    </rfmt>
    <rcc rId="0" sId="4" dxf="1" numFmtId="21">
      <nc r="BB1">
        <v>46143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BB17" start="0" length="0">
      <dxf>
        <border outline="0">
          <bottom style="thin">
            <color indexed="64"/>
          </bottom>
        </border>
      </dxf>
    </rfmt>
  </rrc>
  <rrc rId="17796" sId="4" ref="BB1:BB1048576" action="deleteCol">
    <undo index="0" exp="ref" ref3D="1" v="1" dr="BB17" r="K17" sId="3"/>
    <undo index="0" exp="ref" ref3D="1" v="1" dr="BB16" r="K16" sId="3"/>
    <undo index="0" exp="ref" ref3D="1" v="1" dr="BB15" r="K15" sId="3"/>
    <undo index="0" exp="ref" ref3D="1" v="1" dr="BB14" r="K14" sId="3"/>
    <undo index="0" exp="ref" ref3D="1" v="1" dr="BB13" r="K13" sId="3"/>
    <undo index="0" exp="ref" ref3D="1" v="1" dr="BB12" r="K12" sId="3"/>
    <undo index="0" exp="ref" ref3D="1" v="1" dr="BB11" r="K11" sId="3"/>
    <undo index="0" exp="ref" ref3D="1" v="1" dr="BB10" r="K10" sId="3"/>
    <undo index="0" exp="ref" ref3D="1" v="1" dr="BB9" r="K9" sId="3"/>
    <undo index="0" exp="ref" ref3D="1" v="1" dr="BB8" r="K8" sId="3"/>
    <undo index="0" exp="ref" ref3D="1" v="1" dr="BB7" r="K7" sId="3"/>
    <undo index="0" exp="ref" ref3D="1" v="1" dr="BB6" r="K6" sId="3"/>
    <undo index="0" exp="ref" ref3D="1" v="1" dr="BB5" r="K5" sId="3"/>
    <undo index="0" exp="ref" ref3D="1" v="1" dr="BB4" r="K4" sId="3"/>
    <undo index="0" exp="ref" ref3D="1" v="1" dr="BB3" r="K3" sId="3"/>
    <undo index="0" exp="ref" ref3D="1" v="1" dr="BB2" r="K2" sId="3"/>
    <rfmt sheetId="4" xfDxf="1" sqref="BB1:BB1048576" start="0" length="0">
      <dxf>
        <alignment horizontal="center" vertical="center"/>
      </dxf>
    </rfmt>
    <rcc rId="0" sId="4" dxf="1">
      <nc r="BB1" t="inlineStr">
        <is>
          <t>TOTAL SEMANA</t>
        </is>
      </nc>
      <n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BB2">
        <f>SUM(AY2:BA2)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3">
        <f>SUM(AY3:BA3)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4">
        <f>SUM(AY4:BA4)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5">
        <f>SUM(AY5:BA5)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6">
        <f>SUM(AY6:BA6)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7">
        <f>SUM(AY7:BA7)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8">
        <f>SUM(AY8:BA8)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9">
        <f>SUM(AY9:BA9)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10">
        <f>SUM(AY10:BA10)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11">
        <f>SUM(AY11:BA11)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12">
        <f>SUM(AY12:BA12)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13">
        <f>SUM(AY13:BA13)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14">
        <f>SUM(AY14:BA14)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15">
        <f>SUM(AY15:BA15)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16">
        <f>SUM(AY16:BA16)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4" dxf="1">
      <nc r="BB17">
        <f>SUM(AY17:BA17)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</rrc>
  <rrc rId="17797" sId="4" ref="BB1:BB1048576" action="deleteCol">
    <rfmt sheetId="4" xfDxf="1" sqref="BB1:BB1048576" start="0" length="0">
      <dxf>
        <alignment horizontal="center" vertical="center"/>
      </dxf>
    </rfmt>
  </rrc>
  <rcc rId="17798" sId="5" odxf="1" dxf="1" numFmtId="21">
    <oc r="C1">
      <v>46083</v>
    </oc>
    <nc r="C1">
      <v>46146</v>
    </nc>
    <odxf>
      <border outline="0">
        <left style="thin">
          <color indexed="64"/>
        </left>
      </border>
    </odxf>
    <ndxf>
      <border outline="0">
        <left/>
      </border>
    </ndxf>
  </rcc>
  <rcc rId="17799" sId="5" numFmtId="21">
    <oc r="D1">
      <v>46084</v>
    </oc>
    <nc r="D1">
      <v>46147</v>
    </nc>
  </rcc>
  <rcc rId="17800" sId="5" numFmtId="21">
    <oc r="E1">
      <v>46085</v>
    </oc>
    <nc r="E1">
      <v>46148</v>
    </nc>
  </rcc>
  <rcc rId="17801" sId="5" numFmtId="21">
    <oc r="F1">
      <v>46086</v>
    </oc>
    <nc r="F1">
      <v>46149</v>
    </nc>
  </rcc>
  <rcc rId="17802" sId="5" odxf="1" dxf="1" numFmtId="21">
    <oc r="G1">
      <v>46087</v>
    </oc>
    <nc r="G1">
      <v>46150</v>
    </nc>
    <odxf>
      <border outline="0">
        <right style="thin">
          <color indexed="64"/>
        </right>
      </border>
    </odxf>
    <ndxf>
      <border outline="0">
        <right/>
      </border>
    </ndxf>
  </rcc>
  <rcc rId="17803" sId="5" numFmtId="21">
    <oc r="I1">
      <v>46090</v>
    </oc>
    <nc r="I1">
      <v>46153</v>
    </nc>
  </rcc>
  <rcc rId="17804" sId="5" numFmtId="21">
    <oc r="J1">
      <v>46091</v>
    </oc>
    <nc r="J1">
      <v>46154</v>
    </nc>
  </rcc>
  <rcc rId="17805" sId="5" numFmtId="21">
    <oc r="K1">
      <v>46092</v>
    </oc>
    <nc r="K1">
      <v>46155</v>
    </nc>
  </rcc>
  <rcc rId="17806" sId="5" numFmtId="21">
    <oc r="L1">
      <v>46093</v>
    </oc>
    <nc r="L1">
      <v>46156</v>
    </nc>
  </rcc>
  <rcc rId="17807" sId="5" numFmtId="21">
    <oc r="M1">
      <v>46094</v>
    </oc>
    <nc r="M1">
      <v>46157</v>
    </nc>
  </rcc>
  <rcc rId="17808" sId="5" numFmtId="21">
    <oc r="O1">
      <v>46097</v>
    </oc>
    <nc r="O1">
      <v>46160</v>
    </nc>
  </rcc>
  <rcc rId="17809" sId="5" numFmtId="21">
    <oc r="P1">
      <v>46098</v>
    </oc>
    <nc r="P1">
      <v>46161</v>
    </nc>
  </rcc>
  <rcc rId="17810" sId="5" numFmtId="21">
    <oc r="Q1">
      <v>46099</v>
    </oc>
    <nc r="Q1">
      <v>46162</v>
    </nc>
  </rcc>
  <rcc rId="17811" sId="5" numFmtId="21">
    <oc r="R1">
      <v>46100</v>
    </oc>
    <nc r="R1">
      <v>46163</v>
    </nc>
  </rcc>
  <rcc rId="17812" sId="5" numFmtId="21">
    <oc r="S1">
      <v>46101</v>
    </oc>
    <nc r="S1">
      <v>46164</v>
    </nc>
  </rcc>
  <rcc rId="17813" sId="5" odxf="1" dxf="1" numFmtId="21">
    <oc r="U1">
      <v>46104</v>
    </oc>
    <nc r="U1">
      <v>46167</v>
    </nc>
    <odxf>
      <border outline="0">
        <left style="thin">
          <color indexed="64"/>
        </left>
      </border>
    </odxf>
    <ndxf>
      <border outline="0">
        <left/>
      </border>
    </ndxf>
  </rcc>
  <rcc rId="17814" sId="5" numFmtId="21">
    <oc r="V1">
      <v>46105</v>
    </oc>
    <nc r="V1">
      <v>46168</v>
    </nc>
  </rcc>
  <rcc rId="17815" sId="5" numFmtId="21">
    <oc r="W1">
      <v>46106</v>
    </oc>
    <nc r="W1">
      <v>46169</v>
    </nc>
  </rcc>
  <rcc rId="17816" sId="5" numFmtId="21">
    <oc r="X1">
      <v>46107</v>
    </oc>
    <nc r="X1">
      <v>46170</v>
    </nc>
  </rcc>
  <rcc rId="17817" sId="5" odxf="1" dxf="1" numFmtId="21">
    <oc r="Y1">
      <v>46108</v>
    </oc>
    <nc r="Y1">
      <v>46171</v>
    </nc>
    <odxf>
      <border outline="0">
        <right style="thin">
          <color indexed="64"/>
        </right>
      </border>
    </odxf>
    <ndxf>
      <border outline="0">
        <right/>
      </border>
    </ndxf>
  </rcc>
  <rcc rId="17818" sId="5" numFmtId="21">
    <oc r="AA1">
      <v>46111</v>
    </oc>
    <nc r="AA1">
      <v>46174</v>
    </nc>
  </rcc>
  <rcc rId="17819" sId="5" numFmtId="21">
    <oc r="AB1">
      <v>46112</v>
    </oc>
    <nc r="AB1">
      <v>46175</v>
    </nc>
  </rcc>
  <rcc rId="17820" sId="5" numFmtId="21">
    <oc r="AC1">
      <v>46113</v>
    </oc>
    <nc r="AC1">
      <v>46176</v>
    </nc>
  </rcc>
  <rcc rId="17821" sId="5" numFmtId="21">
    <oc r="AD1">
      <v>46114</v>
    </oc>
    <nc r="AD1">
      <v>46177</v>
    </nc>
  </rcc>
  <rcc rId="17822" sId="5" numFmtId="21">
    <oc r="AE1">
      <v>46115</v>
    </oc>
    <nc r="AE1">
      <v>46178</v>
    </nc>
  </rcc>
  <rcc rId="17823" sId="5" numFmtId="21">
    <oc r="AG1">
      <v>46118</v>
    </oc>
    <nc r="AG1">
      <v>46181</v>
    </nc>
  </rcc>
  <rcc rId="17824" sId="5" numFmtId="21">
    <oc r="AH1">
      <v>46119</v>
    </oc>
    <nc r="AH1">
      <v>46182</v>
    </nc>
  </rcc>
  <rcc rId="17825" sId="5" numFmtId="21">
    <oc r="AI1">
      <v>46120</v>
    </oc>
    <nc r="AI1">
      <v>46183</v>
    </nc>
  </rcc>
  <rcc rId="17826" sId="5" numFmtId="21">
    <oc r="AJ1">
      <v>46121</v>
    </oc>
    <nc r="AJ1">
      <v>46184</v>
    </nc>
  </rcc>
  <rcc rId="17827" sId="5" numFmtId="21">
    <oc r="AK1">
      <v>46122</v>
    </oc>
    <nc r="AK1">
      <v>46185</v>
    </nc>
  </rcc>
  <rcc rId="17828" sId="5" odxf="1" dxf="1" numFmtId="21">
    <oc r="AM1">
      <v>46125</v>
    </oc>
    <nc r="AM1">
      <v>46188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7829" sId="5" odxf="1" dxf="1" numFmtId="21">
    <oc r="AN1">
      <v>46126</v>
    </oc>
    <nc r="AN1">
      <v>46189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7830" sId="5" odxf="1" dxf="1" numFmtId="21">
    <oc r="AO1">
      <v>46127</v>
    </oc>
    <nc r="AO1">
      <v>46190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7831" sId="5" odxf="1" dxf="1" numFmtId="21">
    <oc r="AP1">
      <v>46128</v>
    </oc>
    <nc r="AP1">
      <v>46191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7832" sId="5" odxf="1" dxf="1" numFmtId="21">
    <oc r="AQ1">
      <v>46129</v>
    </oc>
    <nc r="AQ1">
      <v>46192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7833" sId="5" numFmtId="21">
    <oc r="AS1">
      <v>46132</v>
    </oc>
    <nc r="AS1">
      <v>46195</v>
    </nc>
  </rcc>
  <rcc rId="17834" sId="5" numFmtId="21">
    <oc r="AT1">
      <v>46133</v>
    </oc>
    <nc r="AT1">
      <v>46196</v>
    </nc>
  </rcc>
  <rcc rId="17835" sId="5" numFmtId="21">
    <oc r="AU1">
      <v>46134</v>
    </oc>
    <nc r="AU1">
      <v>46197</v>
    </nc>
  </rcc>
  <rcc rId="17836" sId="5" numFmtId="21">
    <oc r="AV1">
      <v>46135</v>
    </oc>
    <nc r="AV1">
      <v>46198</v>
    </nc>
  </rcc>
  <rcc rId="17837" sId="5" numFmtId="21">
    <oc r="AW1">
      <v>46136</v>
    </oc>
    <nc r="AW1">
      <v>46199</v>
    </nc>
  </rcc>
  <rcc rId="17838" sId="5" numFmtId="21">
    <oc r="AY1">
      <v>46139</v>
    </oc>
    <nc r="AY1">
      <v>46202</v>
    </nc>
  </rcc>
  <rcc rId="17839" sId="5" numFmtId="21">
    <oc r="AZ1">
      <v>46140</v>
    </oc>
    <nc r="AZ1">
      <v>46203</v>
    </nc>
  </rcc>
  <rcc rId="17840" sId="5" odxf="1" dxf="1">
    <oc r="BA1">
      <v>46141</v>
    </oc>
    <nc r="BA1" t="inlineStr">
      <is>
        <t>TOTAL SEMANA</t>
      </is>
    </nc>
    <odxf>
      <numFmt numFmtId="21" formatCode="dd/mmm"/>
      <fill>
        <patternFill patternType="none">
          <bgColor indexed="65"/>
        </patternFill>
      </fill>
    </odxf>
    <ndxf>
      <numFmt numFmtId="0" formatCode="General"/>
      <fill>
        <patternFill patternType="solid">
          <bgColor theme="0" tint="-0.14999847407452621"/>
        </patternFill>
      </fill>
    </ndxf>
  </rcc>
  <rfmt sheetId="5" sqref="C2" start="0" length="0">
    <dxf>
      <border outline="0">
        <left/>
      </border>
    </dxf>
  </rfmt>
  <rfmt sheetId="5" sqref="G2" start="0" length="0">
    <dxf>
      <border outline="0">
        <right/>
      </border>
    </dxf>
  </rfmt>
  <rcc rId="17841" sId="5">
    <oc r="H2">
      <f>SUM(C2:G2)</f>
    </oc>
    <nc r="H2">
      <f>SUM(C2:G2)</f>
    </nc>
  </rcc>
  <rfmt sheetId="5" sqref="I2" start="0" length="0">
    <dxf>
      <border outline="0">
        <left/>
        <top/>
      </border>
    </dxf>
  </rfmt>
  <rfmt sheetId="5" sqref="J2" start="0" length="0">
    <dxf>
      <border outline="0">
        <top/>
      </border>
    </dxf>
  </rfmt>
  <rfmt sheetId="5" sqref="K2" start="0" length="0">
    <dxf>
      <border outline="0">
        <top/>
      </border>
    </dxf>
  </rfmt>
  <rfmt sheetId="5" sqref="L2" start="0" length="0">
    <dxf>
      <border outline="0">
        <top/>
      </border>
    </dxf>
  </rfmt>
  <rfmt sheetId="5" sqref="M2" start="0" length="0">
    <dxf>
      <border outline="0">
        <right/>
        <top/>
      </border>
    </dxf>
  </rfmt>
  <rcc rId="17842" sId="5">
    <oc r="N2">
      <f>SUM(I2:M2)</f>
    </oc>
    <nc r="N2">
      <f>SUM(I2:M2)</f>
    </nc>
  </rcc>
  <rcc rId="17843" sId="5">
    <oc r="P2">
      <v>1</v>
    </oc>
    <nc r="P2"/>
  </rcc>
  <rcc rId="17844" sId="5">
    <oc r="T2">
      <f>SUM(O2:S2)</f>
    </oc>
    <nc r="T2">
      <f>SUM(O2:S2)</f>
    </nc>
  </rcc>
  <rfmt sheetId="5" sqref="U2" start="0" length="0">
    <dxf>
      <alignment wrapText="0"/>
      <border outline="0">
        <left/>
      </border>
    </dxf>
  </rfmt>
  <rfmt sheetId="5" sqref="V2" start="0" length="0">
    <dxf>
      <alignment wrapText="0"/>
    </dxf>
  </rfmt>
  <rfmt sheetId="5" sqref="W2" start="0" length="0">
    <dxf>
      <alignment wrapText="0"/>
    </dxf>
  </rfmt>
  <rfmt sheetId="5" sqref="X2" start="0" length="0">
    <dxf>
      <alignment wrapText="0"/>
    </dxf>
  </rfmt>
  <rfmt sheetId="5" sqref="Y2" start="0" length="0">
    <dxf>
      <alignment wrapText="0"/>
      <border outline="0">
        <right/>
      </border>
    </dxf>
  </rfmt>
  <rcc rId="17845" sId="5">
    <oc r="Z2">
      <f>SUM(U2:Y2)</f>
    </oc>
    <nc r="Z2">
      <f>SUM(U2:Y2)</f>
    </nc>
  </rcc>
  <rcc rId="17846" sId="5">
    <oc r="AD2">
      <v>23</v>
    </oc>
    <nc r="AD2"/>
  </rcc>
  <rcc rId="17847" sId="5">
    <oc r="AF2">
      <f>SUM(AA2:AE2)</f>
    </oc>
    <nc r="AF2">
      <f>SUM(AA2:AE2)</f>
    </nc>
  </rcc>
  <rfmt sheetId="5" sqref="AG2" start="0" length="0">
    <dxf>
      <border outline="0">
        <left/>
        <top/>
      </border>
    </dxf>
  </rfmt>
  <rfmt sheetId="5" sqref="AH2" start="0" length="0">
    <dxf>
      <border outline="0">
        <top/>
      </border>
    </dxf>
  </rfmt>
  <rfmt sheetId="5" sqref="AI2" start="0" length="0">
    <dxf>
      <border outline="0">
        <top/>
      </border>
    </dxf>
  </rfmt>
  <rfmt sheetId="5" sqref="AJ2" start="0" length="0">
    <dxf>
      <border outline="0">
        <top/>
      </border>
    </dxf>
  </rfmt>
  <rfmt sheetId="5" sqref="AK2" start="0" length="0">
    <dxf>
      <border outline="0">
        <right/>
        <top/>
      </border>
    </dxf>
  </rfmt>
  <rcc rId="17848" sId="5">
    <oc r="AL2">
      <f>SUM(AG2:AK2)</f>
    </oc>
    <nc r="AL2">
      <f>SUM(AG2:AK2)</f>
    </nc>
  </rcc>
  <rcc rId="17849" sId="5">
    <oc r="AR2">
      <f>SUM(AM2:AQ2)</f>
    </oc>
    <nc r="AR2">
      <f>SUM(AM2:AQ2)</f>
    </nc>
  </rcc>
  <rfmt sheetId="5" sqref="AS2" start="0" length="0">
    <dxf>
      <numFmt numFmtId="21" formatCode="dd/mmm"/>
    </dxf>
  </rfmt>
  <rcc rId="17850" sId="5">
    <oc r="AX2">
      <f>SUM(AS2:AW2)</f>
    </oc>
    <nc r="AX2">
      <f>SUM(AS2:AW2)</f>
    </nc>
  </rcc>
  <rcc rId="17851" sId="5" odxf="1" dxf="1">
    <nc r="BA2">
      <f>SUM(AY2:AZ2)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3" start="0" length="0">
    <dxf>
      <border outline="0">
        <left/>
      </border>
    </dxf>
  </rfmt>
  <rfmt sheetId="5" sqref="G3" start="0" length="0">
    <dxf>
      <border outline="0">
        <right/>
      </border>
    </dxf>
  </rfmt>
  <rcc rId="17852" sId="5">
    <oc r="H3">
      <f>SUM(C3:G3)</f>
    </oc>
    <nc r="H3">
      <f>SUM(C3:G3)</f>
    </nc>
  </rcc>
  <rfmt sheetId="5" sqref="I3" start="0" length="0">
    <dxf>
      <border outline="0">
        <left/>
      </border>
    </dxf>
  </rfmt>
  <rfmt sheetId="5" sqref="M3" start="0" length="0">
    <dxf>
      <border outline="0">
        <right/>
      </border>
    </dxf>
  </rfmt>
  <rcc rId="17853" sId="5">
    <oc r="N3">
      <f>SUM(I3:M3)</f>
    </oc>
    <nc r="N3">
      <f>SUM(I3:M3)</f>
    </nc>
  </rcc>
  <rcc rId="17854" sId="5">
    <oc r="T3">
      <f>SUM(O3:S3)</f>
    </oc>
    <nc r="T3">
      <f>SUM(O3:S3)</f>
    </nc>
  </rcc>
  <rfmt sheetId="5" sqref="U3" start="0" length="0">
    <dxf>
      <alignment wrapText="0"/>
      <border outline="0">
        <left/>
      </border>
    </dxf>
  </rfmt>
  <rfmt sheetId="5" sqref="V3" start="0" length="0">
    <dxf>
      <alignment wrapText="0"/>
    </dxf>
  </rfmt>
  <rfmt sheetId="5" sqref="W3" start="0" length="0">
    <dxf>
      <alignment wrapText="0"/>
    </dxf>
  </rfmt>
  <rfmt sheetId="5" sqref="X3" start="0" length="0">
    <dxf>
      <alignment wrapText="0"/>
    </dxf>
  </rfmt>
  <rfmt sheetId="5" sqref="Y3" start="0" length="0">
    <dxf>
      <alignment wrapText="0"/>
      <border outline="0">
        <right/>
      </border>
    </dxf>
  </rfmt>
  <rcc rId="17855" sId="5">
    <oc r="Z3">
      <f>SUM(U3:Y3)</f>
    </oc>
    <nc r="Z3">
      <f>SUM(U3:Y3)</f>
    </nc>
  </rcc>
  <rcc rId="17856" sId="5">
    <oc r="AF3">
      <f>SUM(AA3:AE3)</f>
    </oc>
    <nc r="AF3">
      <f>SUM(AA3:AE3)</f>
    </nc>
  </rcc>
  <rfmt sheetId="5" sqref="AG3" start="0" length="0">
    <dxf>
      <border outline="0">
        <left/>
      </border>
    </dxf>
  </rfmt>
  <rfmt sheetId="5" sqref="AK3" start="0" length="0">
    <dxf>
      <border outline="0">
        <right/>
      </border>
    </dxf>
  </rfmt>
  <rcc rId="17857" sId="5">
    <oc r="AL3">
      <f>SUM(AG3:AK3)</f>
    </oc>
    <nc r="AL3">
      <f>SUM(AG3:AK3)</f>
    </nc>
  </rcc>
  <rcc rId="17858" sId="5">
    <oc r="AR3">
      <f>SUM(AM3:AQ3)</f>
    </oc>
    <nc r="AR3">
      <f>SUM(AM3:AQ3)</f>
    </nc>
  </rcc>
  <rcc rId="17859" sId="5">
    <oc r="AX3">
      <f>SUM(AS3:AW3)</f>
    </oc>
    <nc r="AX3">
      <f>SUM(AS3:AW3)</f>
    </nc>
  </rcc>
  <rcc rId="17860" sId="5" odxf="1" dxf="1">
    <nc r="BA3">
      <f>SUM(AY3:AZ3)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4" start="0" length="0">
    <dxf>
      <border outline="0">
        <left/>
      </border>
    </dxf>
  </rfmt>
  <rcc rId="17861" sId="5">
    <oc r="E4">
      <v>1</v>
    </oc>
    <nc r="E4"/>
  </rcc>
  <rfmt sheetId="5" sqref="G4" start="0" length="0">
    <dxf>
      <border outline="0">
        <right/>
      </border>
    </dxf>
  </rfmt>
  <rcc rId="17862" sId="5">
    <oc r="H4">
      <f>SUM(C4:G4)</f>
    </oc>
    <nc r="H4">
      <f>SUM(C4:G4)</f>
    </nc>
  </rcc>
  <rfmt sheetId="5" sqref="I4" start="0" length="0">
    <dxf>
      <border outline="0">
        <left/>
      </border>
    </dxf>
  </rfmt>
  <rfmt sheetId="5" sqref="M4" start="0" length="0">
    <dxf>
      <border outline="0">
        <right/>
      </border>
    </dxf>
  </rfmt>
  <rcc rId="17863" sId="5">
    <oc r="N4">
      <f>SUM(I4:M4)</f>
    </oc>
    <nc r="N4">
      <f>SUM(I4:M4)</f>
    </nc>
  </rcc>
  <rcc rId="17864" sId="5">
    <oc r="T4">
      <f>SUM(O4:S4)</f>
    </oc>
    <nc r="T4">
      <f>SUM(O4:S4)</f>
    </nc>
  </rcc>
  <rfmt sheetId="5" sqref="U4" start="0" length="0">
    <dxf>
      <alignment wrapText="0"/>
      <border outline="0">
        <left/>
      </border>
    </dxf>
  </rfmt>
  <rcc rId="17865" sId="5" odxf="1" dxf="1">
    <oc r="V4">
      <v>7</v>
    </oc>
    <nc r="V4"/>
    <odxf>
      <alignment wrapText="1"/>
    </odxf>
    <ndxf>
      <alignment wrapText="0"/>
    </ndxf>
  </rcc>
  <rfmt sheetId="5" sqref="W4" start="0" length="0">
    <dxf>
      <alignment wrapText="0"/>
    </dxf>
  </rfmt>
  <rfmt sheetId="5" sqref="X4" start="0" length="0">
    <dxf>
      <alignment wrapText="0"/>
    </dxf>
  </rfmt>
  <rfmt sheetId="5" sqref="Y4" start="0" length="0">
    <dxf>
      <alignment wrapText="0"/>
      <border outline="0">
        <right/>
      </border>
    </dxf>
  </rfmt>
  <rcc rId="17866" sId="5">
    <oc r="Z4">
      <f>SUM(U4:Y4)</f>
    </oc>
    <nc r="Z4">
      <f>SUM(U4:Y4)</f>
    </nc>
  </rcc>
  <rcc rId="17867" sId="5">
    <oc r="AF4">
      <f>SUM(AA4:AE4)</f>
    </oc>
    <nc r="AF4">
      <f>SUM(AA4:AE4)</f>
    </nc>
  </rcc>
  <rfmt sheetId="5" sqref="AG4" start="0" length="0">
    <dxf>
      <border outline="0">
        <left/>
      </border>
    </dxf>
  </rfmt>
  <rfmt sheetId="5" sqref="AK4" start="0" length="0">
    <dxf>
      <border outline="0">
        <right/>
      </border>
    </dxf>
  </rfmt>
  <rcc rId="17868" sId="5">
    <oc r="AL4">
      <f>SUM(AG4:AK4)</f>
    </oc>
    <nc r="AL4">
      <f>SUM(AG4:AK4)</f>
    </nc>
  </rcc>
  <rcc rId="17869" sId="5">
    <oc r="AR4">
      <f>SUM(AM4:AQ4)</f>
    </oc>
    <nc r="AR4">
      <f>SUM(AM4:AQ4)</f>
    </nc>
  </rcc>
  <rcc rId="17870" sId="5">
    <oc r="AX4">
      <f>SUM(AS4:AW4)</f>
    </oc>
    <nc r="AX4">
      <f>SUM(AS4:AW4)</f>
    </nc>
  </rcc>
  <rcc rId="17871" sId="5" odxf="1" dxf="1">
    <nc r="BA4">
      <f>SUM(AY4:AZ4)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5" start="0" length="0">
    <dxf>
      <border outline="0">
        <left/>
      </border>
    </dxf>
  </rfmt>
  <rfmt sheetId="5" sqref="G5" start="0" length="0">
    <dxf>
      <border outline="0">
        <right/>
      </border>
    </dxf>
  </rfmt>
  <rcc rId="17872" sId="5">
    <oc r="H5">
      <f>SUM(C5:G5)</f>
    </oc>
    <nc r="H5">
      <f>SUM(C5:G5)</f>
    </nc>
  </rcc>
  <rfmt sheetId="5" sqref="I5" start="0" length="0">
    <dxf>
      <border outline="0">
        <left/>
      </border>
    </dxf>
  </rfmt>
  <rfmt sheetId="5" sqref="L5" start="0" length="0">
    <dxf>
      <font>
        <b/>
        <sz val="11"/>
        <color theme="1"/>
        <name val="Aptos Narrow"/>
        <family val="2"/>
        <scheme val="minor"/>
      </font>
    </dxf>
  </rfmt>
  <rfmt sheetId="5" sqref="M5" start="0" length="0">
    <dxf>
      <border outline="0">
        <right/>
      </border>
    </dxf>
  </rfmt>
  <rcc rId="17873" sId="5">
    <oc r="N5">
      <f>SUM(I5:M5)</f>
    </oc>
    <nc r="N5">
      <f>SUM(I5:M5)</f>
    </nc>
  </rcc>
  <rcc rId="17874" sId="5">
    <oc r="T5">
      <f>SUM(O5:S5)</f>
    </oc>
    <nc r="T5">
      <f>SUM(O5:S5)</f>
    </nc>
  </rcc>
  <rfmt sheetId="5" sqref="U5" start="0" length="0">
    <dxf>
      <alignment wrapText="0"/>
      <border outline="0">
        <left/>
      </border>
    </dxf>
  </rfmt>
  <rfmt sheetId="5" sqref="V5" start="0" length="0">
    <dxf>
      <alignment wrapText="0"/>
    </dxf>
  </rfmt>
  <rfmt sheetId="5" sqref="W5" start="0" length="0">
    <dxf>
      <alignment wrapText="0"/>
    </dxf>
  </rfmt>
  <rfmt sheetId="5" sqref="X5" start="0" length="0">
    <dxf>
      <alignment wrapText="0"/>
    </dxf>
  </rfmt>
  <rfmt sheetId="5" sqref="Y5" start="0" length="0">
    <dxf>
      <alignment wrapText="0"/>
      <border outline="0">
        <right/>
      </border>
    </dxf>
  </rfmt>
  <rcc rId="17875" sId="5">
    <oc r="Z5">
      <f>SUM(U5:Y5)</f>
    </oc>
    <nc r="Z5">
      <f>SUM(U5:Y5)</f>
    </nc>
  </rcc>
  <rcc rId="17876" sId="5">
    <oc r="AF5">
      <f>SUM(AA5:AE5)</f>
    </oc>
    <nc r="AF5">
      <f>SUM(AA5:AE5)</f>
    </nc>
  </rcc>
  <rfmt sheetId="5" sqref="AG5" start="0" length="0">
    <dxf>
      <border outline="0">
        <left/>
      </border>
    </dxf>
  </rfmt>
  <rfmt sheetId="5" sqref="AK5" start="0" length="0">
    <dxf>
      <border outline="0">
        <right/>
      </border>
    </dxf>
  </rfmt>
  <rcc rId="17877" sId="5">
    <oc r="AL5">
      <f>SUM(AG5:AK5)</f>
    </oc>
    <nc r="AL5">
      <f>SUM(AG5:AK5)</f>
    </nc>
  </rcc>
  <rcc rId="17878" sId="5">
    <oc r="AR5">
      <f>SUM(AM5:AQ5)</f>
    </oc>
    <nc r="AR5">
      <f>SUM(AM5:AQ5)</f>
    </nc>
  </rcc>
  <rcc rId="17879" sId="5">
    <oc r="AX5">
      <f>SUM(AS5:AW5)</f>
    </oc>
    <nc r="AX5">
      <f>SUM(AS5:AW5)</f>
    </nc>
  </rcc>
  <rcc rId="17880" sId="5" odxf="1" dxf="1">
    <nc r="BA5">
      <f>SUM(AY5:AZ5)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6" start="0" length="0">
    <dxf>
      <border outline="0">
        <left/>
      </border>
    </dxf>
  </rfmt>
  <rfmt sheetId="5" sqref="G6" start="0" length="0">
    <dxf>
      <border outline="0">
        <right/>
      </border>
    </dxf>
  </rfmt>
  <rcc rId="17881" sId="5">
    <oc r="H6">
      <f>SUM(C6:G6)</f>
    </oc>
    <nc r="H6">
      <f>SUM(C6:G6)</f>
    </nc>
  </rcc>
  <rfmt sheetId="5" sqref="I6" start="0" length="0">
    <dxf>
      <border outline="0">
        <left/>
      </border>
    </dxf>
  </rfmt>
  <rfmt sheetId="5" sqref="L6" start="0" length="0">
    <dxf>
      <font>
        <b/>
        <sz val="11"/>
        <color theme="1"/>
        <name val="Aptos Narrow"/>
        <family val="2"/>
        <scheme val="minor"/>
      </font>
    </dxf>
  </rfmt>
  <rfmt sheetId="5" sqref="M6" start="0" length="0">
    <dxf>
      <border outline="0">
        <right/>
      </border>
    </dxf>
  </rfmt>
  <rcc rId="17882" sId="5">
    <oc r="N6">
      <f>SUM(I6:M6)</f>
    </oc>
    <nc r="N6">
      <f>SUM(I6:M6)</f>
    </nc>
  </rcc>
  <rcc rId="17883" sId="5">
    <oc r="T6">
      <f>SUM(O6:S6)</f>
    </oc>
    <nc r="T6">
      <f>SUM(O6:S6)</f>
    </nc>
  </rcc>
  <rfmt sheetId="5" sqref="U6" start="0" length="0">
    <dxf>
      <alignment wrapText="0"/>
      <border outline="0">
        <left/>
      </border>
    </dxf>
  </rfmt>
  <rfmt sheetId="5" sqref="V6" start="0" length="0">
    <dxf>
      <alignment wrapText="0"/>
    </dxf>
  </rfmt>
  <rfmt sheetId="5" sqref="W6" start="0" length="0">
    <dxf>
      <alignment wrapText="0"/>
    </dxf>
  </rfmt>
  <rfmt sheetId="5" sqref="X6" start="0" length="0">
    <dxf>
      <alignment wrapText="0"/>
    </dxf>
  </rfmt>
  <rfmt sheetId="5" sqref="Y6" start="0" length="0">
    <dxf>
      <alignment wrapText="0"/>
      <border outline="0">
        <right/>
      </border>
    </dxf>
  </rfmt>
  <rcc rId="17884" sId="5">
    <oc r="Z6">
      <f>SUM(U6:Y6)</f>
    </oc>
    <nc r="Z6">
      <f>SUM(U6:Y6)</f>
    </nc>
  </rcc>
  <rcc rId="17885" sId="5">
    <oc r="AF6">
      <f>SUM(AA6:AE6)</f>
    </oc>
    <nc r="AF6">
      <f>SUM(AA6:AE6)</f>
    </nc>
  </rcc>
  <rfmt sheetId="5" sqref="AG6" start="0" length="0">
    <dxf>
      <border outline="0">
        <left/>
      </border>
    </dxf>
  </rfmt>
  <rfmt sheetId="5" sqref="AK6" start="0" length="0">
    <dxf>
      <border outline="0">
        <right/>
      </border>
    </dxf>
  </rfmt>
  <rcc rId="17886" sId="5">
    <oc r="AL6">
      <f>SUM(AG6:AK6)</f>
    </oc>
    <nc r="AL6">
      <f>SUM(AG6:AK6)</f>
    </nc>
  </rcc>
  <rcc rId="17887" sId="5">
    <oc r="AR6">
      <f>SUM(AM6:AQ6)</f>
    </oc>
    <nc r="AR6">
      <f>SUM(AM6:AQ6)</f>
    </nc>
  </rcc>
  <rcc rId="17888" sId="5">
    <oc r="AX6">
      <f>SUM(AS6:AW6)</f>
    </oc>
    <nc r="AX6">
      <f>SUM(AS6:AW6)</f>
    </nc>
  </rcc>
  <rcc rId="17889" sId="5" odxf="1" dxf="1">
    <nc r="BA6">
      <f>SUM(AY6:AZ6)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7" start="0" length="0">
    <dxf>
      <border outline="0">
        <left/>
      </border>
    </dxf>
  </rfmt>
  <rfmt sheetId="5" sqref="G7" start="0" length="0">
    <dxf>
      <border outline="0">
        <right/>
      </border>
    </dxf>
  </rfmt>
  <rcc rId="17890" sId="5">
    <oc r="H7">
      <f>SUM(C7:G7)</f>
    </oc>
    <nc r="H7">
      <f>SUM(C7:G7)</f>
    </nc>
  </rcc>
  <rfmt sheetId="5" sqref="I7" start="0" length="0">
    <dxf>
      <border outline="0">
        <left/>
      </border>
    </dxf>
  </rfmt>
  <rfmt sheetId="5" sqref="M7" start="0" length="0">
    <dxf>
      <border outline="0">
        <right/>
      </border>
    </dxf>
  </rfmt>
  <rcc rId="17891" sId="5">
    <oc r="N7">
      <f>SUM(I7:M7)</f>
    </oc>
    <nc r="N7">
      <f>SUM(I7:M7)</f>
    </nc>
  </rcc>
  <rcc rId="17892" sId="5">
    <oc r="T7">
      <f>SUM(O7:S7)</f>
    </oc>
    <nc r="T7">
      <f>SUM(O7:S7)</f>
    </nc>
  </rcc>
  <rfmt sheetId="5" sqref="U7" start="0" length="0">
    <dxf>
      <alignment wrapText="0"/>
      <border outline="0">
        <left/>
      </border>
    </dxf>
  </rfmt>
  <rfmt sheetId="5" sqref="V7" start="0" length="0">
    <dxf>
      <alignment wrapText="0"/>
    </dxf>
  </rfmt>
  <rfmt sheetId="5" sqref="W7" start="0" length="0">
    <dxf>
      <alignment wrapText="0"/>
    </dxf>
  </rfmt>
  <rfmt sheetId="5" sqref="X7" start="0" length="0">
    <dxf>
      <alignment wrapText="0"/>
    </dxf>
  </rfmt>
  <rfmt sheetId="5" sqref="Y7" start="0" length="0">
    <dxf>
      <alignment wrapText="0"/>
      <border outline="0">
        <right/>
      </border>
    </dxf>
  </rfmt>
  <rcc rId="17893" sId="5">
    <oc r="Z7">
      <f>SUM(U7:Y7)</f>
    </oc>
    <nc r="Z7">
      <f>SUM(U7:Y7)</f>
    </nc>
  </rcc>
  <rcc rId="17894" sId="5">
    <oc r="AF7">
      <f>SUM(AA7:AE7)</f>
    </oc>
    <nc r="AF7">
      <f>SUM(AA7:AE7)</f>
    </nc>
  </rcc>
  <rfmt sheetId="5" sqref="AG7" start="0" length="0">
    <dxf>
      <border outline="0">
        <left/>
      </border>
    </dxf>
  </rfmt>
  <rfmt sheetId="5" sqref="AK7" start="0" length="0">
    <dxf>
      <border outline="0">
        <right/>
      </border>
    </dxf>
  </rfmt>
  <rcc rId="17895" sId="5">
    <oc r="AL7">
      <f>SUM(AG7:AK7)</f>
    </oc>
    <nc r="AL7">
      <f>SUM(AG7:AK7)</f>
    </nc>
  </rcc>
  <rcc rId="17896" sId="5">
    <oc r="AR7">
      <f>SUM(AM7:AQ7)</f>
    </oc>
    <nc r="AR7">
      <f>SUM(AM7:AQ7)</f>
    </nc>
  </rcc>
  <rcc rId="17897" sId="5">
    <oc r="AX7">
      <f>SUM(AS7:AW7)</f>
    </oc>
    <nc r="AX7">
      <f>SUM(AS7:AW7)</f>
    </nc>
  </rcc>
  <rcc rId="17898" sId="5" odxf="1" dxf="1">
    <nc r="BA7">
      <f>SUM(AY7:AZ7)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8" start="0" length="0">
    <dxf>
      <border outline="0">
        <left/>
      </border>
    </dxf>
  </rfmt>
  <rfmt sheetId="5" sqref="G8" start="0" length="0">
    <dxf>
      <border outline="0">
        <right/>
      </border>
    </dxf>
  </rfmt>
  <rcc rId="17899" sId="5">
    <oc r="H8">
      <f>SUM(C8:G8)</f>
    </oc>
    <nc r="H8">
      <f>SUM(C8:G8)</f>
    </nc>
  </rcc>
  <rfmt sheetId="5" sqref="I8" start="0" length="0">
    <dxf>
      <border outline="0">
        <left/>
      </border>
    </dxf>
  </rfmt>
  <rfmt sheetId="5" sqref="M8" start="0" length="0">
    <dxf>
      <border outline="0">
        <right/>
      </border>
    </dxf>
  </rfmt>
  <rcc rId="17900" sId="5">
    <oc r="N8">
      <f>SUM(I8:M8)</f>
    </oc>
    <nc r="N8">
      <f>SUM(I8:M8)</f>
    </nc>
  </rcc>
  <rcc rId="17901" sId="5">
    <oc r="T8">
      <f>SUM(O8:S8)</f>
    </oc>
    <nc r="T8">
      <f>SUM(O8:S8)</f>
    </nc>
  </rcc>
  <rfmt sheetId="5" sqref="U8" start="0" length="0">
    <dxf>
      <alignment wrapText="0"/>
      <border outline="0">
        <left/>
      </border>
    </dxf>
  </rfmt>
  <rfmt sheetId="5" sqref="V8" start="0" length="0">
    <dxf>
      <alignment wrapText="0"/>
    </dxf>
  </rfmt>
  <rfmt sheetId="5" sqref="W8" start="0" length="0">
    <dxf>
      <alignment wrapText="0"/>
    </dxf>
  </rfmt>
  <rfmt sheetId="5" sqref="X8" start="0" length="0">
    <dxf>
      <alignment wrapText="0"/>
    </dxf>
  </rfmt>
  <rfmt sheetId="5" sqref="Y8" start="0" length="0">
    <dxf>
      <alignment wrapText="0"/>
      <border outline="0">
        <right/>
      </border>
    </dxf>
  </rfmt>
  <rcc rId="17902" sId="5">
    <oc r="Z8">
      <f>SUM(U8:Y8)</f>
    </oc>
    <nc r="Z8">
      <f>SUM(U8:Y8)</f>
    </nc>
  </rcc>
  <rcc rId="17903" sId="5">
    <oc r="AF8">
      <f>SUM(AA8:AE8)</f>
    </oc>
    <nc r="AF8">
      <f>SUM(AA8:AE8)</f>
    </nc>
  </rcc>
  <rfmt sheetId="5" sqref="AG8" start="0" length="0">
    <dxf>
      <border outline="0">
        <left/>
      </border>
    </dxf>
  </rfmt>
  <rfmt sheetId="5" sqref="AK8" start="0" length="0">
    <dxf>
      <border outline="0">
        <right/>
      </border>
    </dxf>
  </rfmt>
  <rcc rId="17904" sId="5">
    <oc r="AL8">
      <f>SUM(AG8:AK8)</f>
    </oc>
    <nc r="AL8">
      <f>SUM(AG8:AK8)</f>
    </nc>
  </rcc>
  <rcc rId="17905" sId="5">
    <oc r="AR8">
      <f>SUM(AM8:AQ8)</f>
    </oc>
    <nc r="AR8">
      <f>SUM(AM8:AQ8)</f>
    </nc>
  </rcc>
  <rcc rId="17906" sId="5">
    <oc r="AX8">
      <f>SUM(AS8:AW8)</f>
    </oc>
    <nc r="AX8">
      <f>SUM(AS8:AW8)</f>
    </nc>
  </rcc>
  <rcc rId="17907" sId="5" odxf="1" dxf="1">
    <nc r="BA8">
      <f>SUM(AY8:AZ8)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9" start="0" length="0">
    <dxf>
      <border outline="0">
        <left/>
      </border>
    </dxf>
  </rfmt>
  <rfmt sheetId="5" sqref="G9" start="0" length="0">
    <dxf>
      <border outline="0">
        <right/>
      </border>
    </dxf>
  </rfmt>
  <rcc rId="17908" sId="5">
    <oc r="H9">
      <f>SUM(C9:G9)</f>
    </oc>
    <nc r="H9">
      <f>SUM(C9:G9)</f>
    </nc>
  </rcc>
  <rfmt sheetId="5" sqref="I9" start="0" length="0">
    <dxf>
      <border outline="0">
        <left/>
      </border>
    </dxf>
  </rfmt>
  <rfmt sheetId="5" sqref="M9" start="0" length="0">
    <dxf>
      <border outline="0">
        <right/>
      </border>
    </dxf>
  </rfmt>
  <rcc rId="17909" sId="5">
    <oc r="N9">
      <f>SUM(I9:M9)</f>
    </oc>
    <nc r="N9">
      <f>SUM(I9:M9)</f>
    </nc>
  </rcc>
  <rcc rId="17910" sId="5">
    <oc r="T9">
      <f>SUM(O9:S9)</f>
    </oc>
    <nc r="T9">
      <f>SUM(O9:S9)</f>
    </nc>
  </rcc>
  <rfmt sheetId="5" sqref="U9" start="0" length="0">
    <dxf>
      <alignment wrapText="0"/>
      <border outline="0">
        <left/>
      </border>
    </dxf>
  </rfmt>
  <rfmt sheetId="5" sqref="V9" start="0" length="0">
    <dxf>
      <alignment wrapText="0"/>
    </dxf>
  </rfmt>
  <rfmt sheetId="5" sqref="W9" start="0" length="0">
    <dxf>
      <alignment wrapText="0"/>
    </dxf>
  </rfmt>
  <rfmt sheetId="5" sqref="X9" start="0" length="0">
    <dxf>
      <alignment wrapText="0"/>
    </dxf>
  </rfmt>
  <rfmt sheetId="5" sqref="Y9" start="0" length="0">
    <dxf>
      <alignment wrapText="0"/>
      <border outline="0">
        <right/>
      </border>
    </dxf>
  </rfmt>
  <rcc rId="17911" sId="5">
    <oc r="Z9">
      <f>SUM(U9:Y9)</f>
    </oc>
    <nc r="Z9">
      <f>SUM(U9:Y9)</f>
    </nc>
  </rcc>
  <rcc rId="17912" sId="5">
    <oc r="AF9">
      <f>SUM(AA9:AE9)</f>
    </oc>
    <nc r="AF9">
      <f>SUM(AA9:AE9)</f>
    </nc>
  </rcc>
  <rfmt sheetId="5" sqref="AG9" start="0" length="0">
    <dxf>
      <border outline="0">
        <left/>
      </border>
    </dxf>
  </rfmt>
  <rfmt sheetId="5" sqref="AK9" start="0" length="0">
    <dxf>
      <border outline="0">
        <right/>
      </border>
    </dxf>
  </rfmt>
  <rcc rId="17913" sId="5">
    <oc r="AL9">
      <f>SUM(AG9:AK9)</f>
    </oc>
    <nc r="AL9">
      <f>SUM(AG9:AK9)</f>
    </nc>
  </rcc>
  <rcc rId="17914" sId="5">
    <oc r="AR9">
      <f>SUM(AM9:AQ9)</f>
    </oc>
    <nc r="AR9">
      <f>SUM(AM9:AQ9)</f>
    </nc>
  </rcc>
  <rcc rId="17915" sId="5">
    <oc r="AX9">
      <f>SUM(AS9:AW9)</f>
    </oc>
    <nc r="AX9">
      <f>SUM(AS9:AW9)</f>
    </nc>
  </rcc>
  <rcc rId="17916" sId="5" odxf="1" dxf="1">
    <nc r="BA9">
      <f>SUM(AY9:AZ9)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10" start="0" length="0">
    <dxf>
      <border outline="0">
        <left/>
      </border>
    </dxf>
  </rfmt>
  <rfmt sheetId="5" sqref="G10" start="0" length="0">
    <dxf>
      <border outline="0">
        <right/>
      </border>
    </dxf>
  </rfmt>
  <rcc rId="17917" sId="5">
    <oc r="H10">
      <f>SUM(C10:G10)</f>
    </oc>
    <nc r="H10">
      <f>SUM(C10:G10)</f>
    </nc>
  </rcc>
  <rfmt sheetId="5" sqref="I10" start="0" length="0">
    <dxf>
      <border outline="0">
        <left/>
      </border>
    </dxf>
  </rfmt>
  <rfmt sheetId="5" sqref="M10" start="0" length="0">
    <dxf>
      <border outline="0">
        <right/>
      </border>
    </dxf>
  </rfmt>
  <rcc rId="17918" sId="5">
    <oc r="N10">
      <f>SUM(I10:M10)</f>
    </oc>
    <nc r="N10">
      <f>SUM(I10:M10)</f>
    </nc>
  </rcc>
  <rcc rId="17919" sId="5">
    <oc r="T10">
      <f>SUM(O10:S10)</f>
    </oc>
    <nc r="T10">
      <f>SUM(O10:S10)</f>
    </nc>
  </rcc>
  <rfmt sheetId="5" sqref="U10" start="0" length="0">
    <dxf>
      <alignment wrapText="0"/>
      <border outline="0">
        <left/>
      </border>
    </dxf>
  </rfmt>
  <rfmt sheetId="5" sqref="V10" start="0" length="0">
    <dxf>
      <alignment wrapText="0"/>
    </dxf>
  </rfmt>
  <rfmt sheetId="5" sqref="W10" start="0" length="0">
    <dxf>
      <alignment wrapText="0"/>
    </dxf>
  </rfmt>
  <rfmt sheetId="5" sqref="X10" start="0" length="0">
    <dxf>
      <alignment wrapText="0"/>
    </dxf>
  </rfmt>
  <rfmt sheetId="5" sqref="Y10" start="0" length="0">
    <dxf>
      <alignment wrapText="0"/>
      <border outline="0">
        <right/>
      </border>
    </dxf>
  </rfmt>
  <rcc rId="17920" sId="5">
    <oc r="Z10">
      <f>SUM(U10:Y10)</f>
    </oc>
    <nc r="Z10">
      <f>SUM(U10:Y10)</f>
    </nc>
  </rcc>
  <rcc rId="17921" sId="5">
    <oc r="AF10">
      <f>SUM(AA10:AE10)</f>
    </oc>
    <nc r="AF10">
      <f>SUM(AA10:AE10)</f>
    </nc>
  </rcc>
  <rfmt sheetId="5" sqref="AG10" start="0" length="0">
    <dxf>
      <border outline="0">
        <left/>
      </border>
    </dxf>
  </rfmt>
  <rfmt sheetId="5" sqref="AK10" start="0" length="0">
    <dxf>
      <border outline="0">
        <right/>
      </border>
    </dxf>
  </rfmt>
  <rcc rId="17922" sId="5">
    <oc r="AL10">
      <f>SUM(AG10:AK10)</f>
    </oc>
    <nc r="AL10">
      <f>SUM(AG10:AK10)</f>
    </nc>
  </rcc>
  <rcc rId="17923" sId="5">
    <oc r="AR10">
      <f>SUM(AM10:AQ10)</f>
    </oc>
    <nc r="AR10">
      <f>SUM(AM10:AQ10)</f>
    </nc>
  </rcc>
  <rcc rId="17924" sId="5">
    <oc r="AX10">
      <f>SUM(AS10:AW10)</f>
    </oc>
    <nc r="AX10">
      <f>SUM(AS10:AW10)</f>
    </nc>
  </rcc>
  <rcc rId="17925" sId="5" odxf="1" dxf="1">
    <nc r="BA10">
      <f>SUM(AY10:AZ10)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11" start="0" length="0">
    <dxf>
      <border outline="0">
        <left/>
      </border>
    </dxf>
  </rfmt>
  <rfmt sheetId="5" sqref="G11" start="0" length="0">
    <dxf>
      <border outline="0">
        <right/>
      </border>
    </dxf>
  </rfmt>
  <rcc rId="17926" sId="5">
    <oc r="H11">
      <f>SUM(C11:G11)</f>
    </oc>
    <nc r="H11">
      <f>SUM(C11:G11)</f>
    </nc>
  </rcc>
  <rfmt sheetId="5" sqref="I11" start="0" length="0">
    <dxf>
      <border outline="0">
        <left/>
      </border>
    </dxf>
  </rfmt>
  <rfmt sheetId="5" sqref="M11" start="0" length="0">
    <dxf>
      <border outline="0">
        <right/>
      </border>
    </dxf>
  </rfmt>
  <rcc rId="17927" sId="5">
    <oc r="N11">
      <f>SUM(I11:M11)</f>
    </oc>
    <nc r="N11">
      <f>SUM(I11:M11)</f>
    </nc>
  </rcc>
  <rcc rId="17928" sId="5">
    <oc r="O11">
      <v>7</v>
    </oc>
    <nc r="O11"/>
  </rcc>
  <rcc rId="17929" sId="5">
    <oc r="P11">
      <v>7</v>
    </oc>
    <nc r="P11"/>
  </rcc>
  <rcc rId="17930" sId="5">
    <oc r="Q11">
      <v>4</v>
    </oc>
    <nc r="Q11"/>
  </rcc>
  <rcc rId="17931" sId="5">
    <oc r="R11">
      <v>7</v>
    </oc>
    <nc r="R11"/>
  </rcc>
  <rcc rId="17932" sId="5">
    <oc r="T11">
      <f>SUM(O11:S11)</f>
    </oc>
    <nc r="T11">
      <f>SUM(O11:S11)</f>
    </nc>
  </rcc>
  <rfmt sheetId="5" sqref="U11" start="0" length="0">
    <dxf>
      <alignment wrapText="0"/>
      <border outline="0">
        <left/>
      </border>
    </dxf>
  </rfmt>
  <rfmt sheetId="5" sqref="V11" start="0" length="0">
    <dxf>
      <alignment wrapText="0"/>
    </dxf>
  </rfmt>
  <rfmt sheetId="5" sqref="W11" start="0" length="0">
    <dxf>
      <alignment wrapText="0"/>
    </dxf>
  </rfmt>
  <rfmt sheetId="5" sqref="X11" start="0" length="0">
    <dxf>
      <alignment wrapText="0"/>
    </dxf>
  </rfmt>
  <rfmt sheetId="5" sqref="Y11" start="0" length="0">
    <dxf>
      <alignment wrapText="0"/>
      <border outline="0">
        <right/>
      </border>
    </dxf>
  </rfmt>
  <rcc rId="17933" sId="5">
    <oc r="Z11">
      <f>SUM(U11:Y11)</f>
    </oc>
    <nc r="Z11">
      <f>SUM(U11:Y11)</f>
    </nc>
  </rcc>
  <rcc rId="17934" sId="5">
    <oc r="AE11">
      <v>8</v>
    </oc>
    <nc r="AE11"/>
  </rcc>
  <rcc rId="17935" sId="5">
    <oc r="AF11">
      <f>SUM(AA11:AE11)</f>
    </oc>
    <nc r="AF11">
      <f>SUM(AA11:AE11)</f>
    </nc>
  </rcc>
  <rfmt sheetId="5" sqref="AG11" start="0" length="0">
    <dxf>
      <border outline="0">
        <left/>
      </border>
    </dxf>
  </rfmt>
  <rcc rId="17936" sId="5">
    <oc r="AI11">
      <v>8</v>
    </oc>
    <nc r="AI11"/>
  </rcc>
  <rcc rId="17937" sId="5">
    <oc r="AJ11">
      <v>6</v>
    </oc>
    <nc r="AJ11"/>
  </rcc>
  <rfmt sheetId="5" sqref="AK11" start="0" length="0">
    <dxf>
      <border outline="0">
        <right/>
      </border>
    </dxf>
  </rfmt>
  <rcc rId="17938" sId="5">
    <oc r="AL11">
      <f>SUM(AG11:AK11)</f>
    </oc>
    <nc r="AL11">
      <f>SUM(AG11:AK11)</f>
    </nc>
  </rcc>
  <rcc rId="17939" sId="5">
    <oc r="AM11">
      <v>6</v>
    </oc>
    <nc r="AM11"/>
  </rcc>
  <rcc rId="17940" sId="5">
    <oc r="AR11">
      <f>SUM(AM11:AQ11)</f>
    </oc>
    <nc r="AR11">
      <f>SUM(AM11:AQ11)</f>
    </nc>
  </rcc>
  <rcc rId="17941" sId="5">
    <oc r="AX11">
      <f>SUM(AS11:AW11)</f>
    </oc>
    <nc r="AX11">
      <f>SUM(AS11:AW11)</f>
    </nc>
  </rcc>
  <rcc rId="17942" sId="5" odxf="1" dxf="1">
    <nc r="BA11">
      <f>SUM(AY11:AZ11)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12" start="0" length="0">
    <dxf>
      <border outline="0">
        <left/>
      </border>
    </dxf>
  </rfmt>
  <rfmt sheetId="5" sqref="G12" start="0" length="0">
    <dxf>
      <border outline="0">
        <right/>
      </border>
    </dxf>
  </rfmt>
  <rcc rId="17943" sId="5">
    <oc r="H12">
      <f>SUM(C12:G12)</f>
    </oc>
    <nc r="H12">
      <f>SUM(C12:G12)</f>
    </nc>
  </rcc>
  <rfmt sheetId="5" sqref="I12" start="0" length="0">
    <dxf>
      <border outline="0">
        <left/>
      </border>
    </dxf>
  </rfmt>
  <rfmt sheetId="5" sqref="M12" start="0" length="0">
    <dxf>
      <border outline="0">
        <right/>
      </border>
    </dxf>
  </rfmt>
  <rcc rId="17944" sId="5">
    <oc r="N12">
      <f>SUM(I12:M12)</f>
    </oc>
    <nc r="N12">
      <f>SUM(I12:M12)</f>
    </nc>
  </rcc>
  <rcc rId="17945" sId="5">
    <oc r="T12">
      <f>SUM(O12:S12)</f>
    </oc>
    <nc r="T12">
      <f>SUM(O12:S12)</f>
    </nc>
  </rcc>
  <rfmt sheetId="5" sqref="U12" start="0" length="0">
    <dxf>
      <alignment wrapText="0"/>
      <border outline="0">
        <left/>
      </border>
    </dxf>
  </rfmt>
  <rfmt sheetId="5" sqref="V12" start="0" length="0">
    <dxf>
      <alignment wrapText="0"/>
    </dxf>
  </rfmt>
  <rfmt sheetId="5" sqref="W12" start="0" length="0">
    <dxf>
      <alignment wrapText="0"/>
    </dxf>
  </rfmt>
  <rfmt sheetId="5" sqref="X12" start="0" length="0">
    <dxf>
      <alignment wrapText="0"/>
    </dxf>
  </rfmt>
  <rfmt sheetId="5" sqref="Y12" start="0" length="0">
    <dxf>
      <alignment wrapText="0"/>
      <border outline="0">
        <right/>
      </border>
    </dxf>
  </rfmt>
  <rcc rId="17946" sId="5">
    <oc r="Z12">
      <f>SUM(U12:Y12)</f>
    </oc>
    <nc r="Z12">
      <f>SUM(U12:Y12)</f>
    </nc>
  </rcc>
  <rcc rId="17947" sId="5">
    <oc r="AD12">
      <v>44</v>
    </oc>
    <nc r="AD12"/>
  </rcc>
  <rcc rId="17948" sId="5">
    <oc r="AF12">
      <f>SUM(AA12:AE12)</f>
    </oc>
    <nc r="AF12">
      <f>SUM(AA12:AE12)</f>
    </nc>
  </rcc>
  <rfmt sheetId="5" sqref="AG12" start="0" length="0">
    <dxf>
      <border outline="0">
        <left/>
      </border>
    </dxf>
  </rfmt>
  <rcc rId="17949" sId="5">
    <oc r="AI12">
      <v>60</v>
    </oc>
    <nc r="AI12"/>
  </rcc>
  <rcc rId="17950" sId="5">
    <oc r="AJ12">
      <v>39</v>
    </oc>
    <nc r="AJ12"/>
  </rcc>
  <rfmt sheetId="5" sqref="AK12" start="0" length="0">
    <dxf>
      <border outline="0">
        <right/>
      </border>
    </dxf>
  </rfmt>
  <rcc rId="17951" sId="5">
    <oc r="AL12">
      <f>SUM(AG12:AK12)</f>
    </oc>
    <nc r="AL12">
      <f>SUM(AG12:AK12)</f>
    </nc>
  </rcc>
  <rcc rId="17952" sId="5">
    <oc r="AM12">
      <v>27</v>
    </oc>
    <nc r="AM12"/>
  </rcc>
  <rcc rId="17953" sId="5">
    <oc r="AR12">
      <f>SUM(AM12:AQ12)</f>
    </oc>
    <nc r="AR12">
      <f>SUM(AM12:AQ12)</f>
    </nc>
  </rcc>
  <rcc rId="17954" sId="5">
    <oc r="AX12">
      <f>SUM(AS12:AW12)</f>
    </oc>
    <nc r="AX12">
      <f>SUM(AS12:AW12)</f>
    </nc>
  </rcc>
  <rcc rId="17955" sId="5" odxf="1" dxf="1">
    <nc r="BA12">
      <f>SUM(AY12:AZ12)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13" start="0" length="0">
    <dxf>
      <border outline="0">
        <left/>
      </border>
    </dxf>
  </rfmt>
  <rcc rId="17956" sId="5">
    <oc r="E13">
      <v>1</v>
    </oc>
    <nc r="E13"/>
  </rcc>
  <rcc rId="17957" sId="5" odxf="1" dxf="1">
    <oc r="G13">
      <v>1</v>
    </oc>
    <nc r="G13"/>
    <odxf>
      <border outline="0">
        <right style="thin">
          <color indexed="64"/>
        </right>
      </border>
    </odxf>
    <ndxf>
      <border outline="0">
        <right/>
      </border>
    </ndxf>
  </rcc>
  <rcc rId="17958" sId="5">
    <oc r="H13">
      <f>SUM(C13:G13)</f>
    </oc>
    <nc r="H13">
      <f>SUM(C13:G13)</f>
    </nc>
  </rcc>
  <rfmt sheetId="5" sqref="I13" start="0" length="0">
    <dxf>
      <border outline="0">
        <left/>
      </border>
    </dxf>
  </rfmt>
  <rfmt sheetId="5" sqref="M13" start="0" length="0">
    <dxf>
      <border outline="0">
        <right/>
      </border>
    </dxf>
  </rfmt>
  <rcc rId="17959" sId="5">
    <oc r="N13">
      <f>SUM(I13:M13)</f>
    </oc>
    <nc r="N13">
      <f>SUM(I13:M13)</f>
    </nc>
  </rcc>
  <rcc rId="17960" sId="5">
    <oc r="Q13">
      <v>1</v>
    </oc>
    <nc r="Q13"/>
  </rcc>
  <rcc rId="17961" sId="5">
    <oc r="T13">
      <f>SUM(O13:S13)</f>
    </oc>
    <nc r="T13">
      <f>SUM(O13:S13)</f>
    </nc>
  </rcc>
  <rfmt sheetId="5" sqref="U13" start="0" length="0">
    <dxf>
      <alignment wrapText="0"/>
      <border outline="0">
        <left/>
      </border>
    </dxf>
  </rfmt>
  <rcc rId="17962" sId="5" odxf="1" dxf="1">
    <oc r="V13">
      <v>1</v>
    </oc>
    <nc r="V13"/>
    <odxf>
      <alignment wrapText="1"/>
    </odxf>
    <ndxf>
      <alignment wrapText="0"/>
    </ndxf>
  </rcc>
  <rfmt sheetId="5" sqref="W13" start="0" length="0">
    <dxf>
      <alignment wrapText="0"/>
    </dxf>
  </rfmt>
  <rfmt sheetId="5" sqref="X13" start="0" length="0">
    <dxf>
      <alignment wrapText="0"/>
    </dxf>
  </rfmt>
  <rfmt sheetId="5" sqref="Y13" start="0" length="0">
    <dxf>
      <alignment wrapText="0"/>
      <border outline="0">
        <right/>
      </border>
    </dxf>
  </rfmt>
  <rcc rId="17963" sId="5">
    <oc r="Z13">
      <f>SUM(U13:Y13)</f>
    </oc>
    <nc r="Z13">
      <f>SUM(U13:Y13)</f>
    </nc>
  </rcc>
  <rcc rId="17964" sId="5">
    <oc r="AF13">
      <f>SUM(AA13:AE13)</f>
    </oc>
    <nc r="AF13">
      <f>SUM(AA13:AE13)</f>
    </nc>
  </rcc>
  <rfmt sheetId="5" sqref="AG13" start="0" length="0">
    <dxf>
      <border outline="0">
        <left/>
      </border>
    </dxf>
  </rfmt>
  <rfmt sheetId="5" sqref="AK13" start="0" length="0">
    <dxf>
      <border outline="0">
        <right/>
      </border>
    </dxf>
  </rfmt>
  <rcc rId="17965" sId="5">
    <oc r="AL13">
      <f>SUM(AG13:AK13)</f>
    </oc>
    <nc r="AL13">
      <f>SUM(AG13:AK13)</f>
    </nc>
  </rcc>
  <rcc rId="17966" sId="5">
    <oc r="AR13">
      <f>SUM(AM13:AQ13)</f>
    </oc>
    <nc r="AR13">
      <f>SUM(AM13:AQ13)</f>
    </nc>
  </rcc>
  <rcc rId="17967" sId="5">
    <oc r="AX13">
      <f>SUM(AS13:AW13)</f>
    </oc>
    <nc r="AX13">
      <f>SUM(AS13:AW13)</f>
    </nc>
  </rcc>
  <rcc rId="17968" sId="5" odxf="1" dxf="1">
    <nc r="BA13">
      <f>SUM(AY13:AZ13)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14" start="0" length="0">
    <dxf>
      <border outline="0">
        <left/>
      </border>
    </dxf>
  </rfmt>
  <rfmt sheetId="5" sqref="G14" start="0" length="0">
    <dxf>
      <border outline="0">
        <right/>
      </border>
    </dxf>
  </rfmt>
  <rcc rId="17969" sId="5">
    <oc r="H14">
      <f>SUM(C14:G14)</f>
    </oc>
    <nc r="H14">
      <f>SUM(C14:G14)</f>
    </nc>
  </rcc>
  <rfmt sheetId="5" sqref="I14" start="0" length="0">
    <dxf>
      <border outline="0">
        <left/>
      </border>
    </dxf>
  </rfmt>
  <rfmt sheetId="5" sqref="M14" start="0" length="0">
    <dxf>
      <border outline="0">
        <right/>
      </border>
    </dxf>
  </rfmt>
  <rcc rId="17970" sId="5">
    <oc r="N14">
      <f>SUM(I14:M14)</f>
    </oc>
    <nc r="N14">
      <f>SUM(I14:M14)</f>
    </nc>
  </rcc>
  <rcc rId="17971" sId="5">
    <oc r="T14">
      <f>SUM(O14:S14)</f>
    </oc>
    <nc r="T14">
      <f>SUM(O14:S14)</f>
    </nc>
  </rcc>
  <rfmt sheetId="5" sqref="U14" start="0" length="0">
    <dxf>
      <alignment wrapText="0"/>
      <border outline="0">
        <left/>
      </border>
    </dxf>
  </rfmt>
  <rfmt sheetId="5" sqref="V14" start="0" length="0">
    <dxf>
      <alignment wrapText="0"/>
    </dxf>
  </rfmt>
  <rfmt sheetId="5" sqref="W14" start="0" length="0">
    <dxf>
      <alignment wrapText="0"/>
    </dxf>
  </rfmt>
  <rfmt sheetId="5" sqref="X14" start="0" length="0">
    <dxf>
      <alignment wrapText="0"/>
    </dxf>
  </rfmt>
  <rfmt sheetId="5" sqref="Y14" start="0" length="0">
    <dxf>
      <alignment wrapText="0"/>
      <border outline="0">
        <right/>
      </border>
    </dxf>
  </rfmt>
  <rcc rId="17972" sId="5">
    <oc r="Z14">
      <f>SUM(U14:Y14)</f>
    </oc>
    <nc r="Z14">
      <f>SUM(U14:Y14)</f>
    </nc>
  </rcc>
  <rcc rId="17973" sId="5">
    <oc r="AF14">
      <f>SUM(AA14:AE14)</f>
    </oc>
    <nc r="AF14">
      <f>SUM(AA14:AE14)</f>
    </nc>
  </rcc>
  <rfmt sheetId="5" sqref="AG14" start="0" length="0">
    <dxf>
      <border outline="0">
        <left/>
      </border>
    </dxf>
  </rfmt>
  <rfmt sheetId="5" sqref="AK14" start="0" length="0">
    <dxf>
      <border outline="0">
        <right/>
      </border>
    </dxf>
  </rfmt>
  <rcc rId="17974" sId="5">
    <oc r="AL14">
      <f>SUM(AG14:AK14)</f>
    </oc>
    <nc r="AL14">
      <f>SUM(AG14:AK14)</f>
    </nc>
  </rcc>
  <rcc rId="17975" sId="5">
    <oc r="AR14">
      <f>SUM(AM14:AQ14)</f>
    </oc>
    <nc r="AR14">
      <f>SUM(AM14:AQ14)</f>
    </nc>
  </rcc>
  <rcc rId="17976" sId="5">
    <oc r="AX14">
      <f>SUM(AS14:AW14)</f>
    </oc>
    <nc r="AX14">
      <f>SUM(AS14:AW14)</f>
    </nc>
  </rcc>
  <rcc rId="17977" sId="5" odxf="1" dxf="1">
    <nc r="BA14">
      <f>SUM(AY14:AZ14)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15" start="0" length="0">
    <dxf>
      <border outline="0">
        <left/>
      </border>
    </dxf>
  </rfmt>
  <rfmt sheetId="5" sqref="G15" start="0" length="0">
    <dxf>
      <border outline="0">
        <right/>
      </border>
    </dxf>
  </rfmt>
  <rcc rId="17978" sId="5">
    <oc r="H15">
      <f>SUM(C15:G15)</f>
    </oc>
    <nc r="H15">
      <f>SUM(C15:G15)</f>
    </nc>
  </rcc>
  <rfmt sheetId="5" sqref="I15" start="0" length="0">
    <dxf>
      <border outline="0">
        <left/>
      </border>
    </dxf>
  </rfmt>
  <rfmt sheetId="5" sqref="M15" start="0" length="0">
    <dxf>
      <border outline="0">
        <right/>
      </border>
    </dxf>
  </rfmt>
  <rcc rId="17979" sId="5">
    <oc r="N15">
      <f>SUM(I15:M15)</f>
    </oc>
    <nc r="N15">
      <f>SUM(I15:M15)</f>
    </nc>
  </rcc>
  <rcc rId="17980" sId="5">
    <oc r="O15">
      <v>49</v>
    </oc>
    <nc r="O15"/>
  </rcc>
  <rcc rId="17981" sId="5">
    <oc r="P15">
      <v>50</v>
    </oc>
    <nc r="P15"/>
  </rcc>
  <rcc rId="17982" sId="5">
    <oc r="Q15">
      <v>26</v>
    </oc>
    <nc r="Q15"/>
  </rcc>
  <rcc rId="17983" sId="5">
    <oc r="R15">
      <v>50</v>
    </oc>
    <nc r="R15"/>
  </rcc>
  <rcc rId="17984" sId="5">
    <oc r="T15">
      <f>SUM(O15:S15)</f>
    </oc>
    <nc r="T15">
      <f>SUM(O15:S15)</f>
    </nc>
  </rcc>
  <rfmt sheetId="5" sqref="U15" start="0" length="0">
    <dxf>
      <alignment wrapText="0"/>
      <border outline="0">
        <left/>
      </border>
    </dxf>
  </rfmt>
  <rfmt sheetId="5" sqref="V15" start="0" length="0">
    <dxf>
      <alignment wrapText="0"/>
    </dxf>
  </rfmt>
  <rfmt sheetId="5" sqref="W15" start="0" length="0">
    <dxf>
      <alignment wrapText="0"/>
    </dxf>
  </rfmt>
  <rfmt sheetId="5" sqref="X15" start="0" length="0">
    <dxf>
      <alignment wrapText="0"/>
    </dxf>
  </rfmt>
  <rfmt sheetId="5" sqref="Y15" start="0" length="0">
    <dxf>
      <alignment wrapText="0"/>
      <border outline="0">
        <right/>
      </border>
    </dxf>
  </rfmt>
  <rcc rId="17985" sId="5">
    <oc r="Z15">
      <f>SUM(U15:Y15)</f>
    </oc>
    <nc r="Z15">
      <f>SUM(U15:Y15)</f>
    </nc>
  </rcc>
  <rcc rId="17986" sId="5">
    <oc r="AF15">
      <f>SUM(AA15:AE15)</f>
    </oc>
    <nc r="AF15">
      <f>SUM(AA15:AE15)</f>
    </nc>
  </rcc>
  <rfmt sheetId="5" sqref="AG15" start="0" length="0">
    <dxf>
      <border outline="0">
        <left/>
      </border>
    </dxf>
  </rfmt>
  <rfmt sheetId="5" sqref="AK15" start="0" length="0">
    <dxf>
      <border outline="0">
        <right/>
      </border>
    </dxf>
  </rfmt>
  <rcc rId="17987" sId="5">
    <oc r="AL15">
      <f>SUM(AG15:AK15)</f>
    </oc>
    <nc r="AL15">
      <f>SUM(AG15:AK15)</f>
    </nc>
  </rcc>
  <rcc rId="17988" sId="5">
    <oc r="AN15">
      <v>92</v>
    </oc>
    <nc r="AN15"/>
  </rcc>
  <rcc rId="17989" sId="5">
    <oc r="AR15">
      <f>SUM(AM15:AQ15)</f>
    </oc>
    <nc r="AR15">
      <f>SUM(AM15:AQ15)</f>
    </nc>
  </rcc>
  <rcc rId="17990" sId="5">
    <oc r="AX15">
      <f>SUM(AS15:AW15)</f>
    </oc>
    <nc r="AX15">
      <f>SUM(AS15:AW15)</f>
    </nc>
  </rcc>
  <rcc rId="17991" sId="5" odxf="1" dxf="1">
    <nc r="BA15">
      <f>SUM(AY15:AZ15)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16" start="0" length="0">
    <dxf>
      <border outline="0">
        <left/>
      </border>
    </dxf>
  </rfmt>
  <rfmt sheetId="5" sqref="G16" start="0" length="0">
    <dxf>
      <border outline="0">
        <right/>
      </border>
    </dxf>
  </rfmt>
  <rcc rId="17992" sId="5">
    <oc r="H16">
      <f>SUM(C16:G16)</f>
    </oc>
    <nc r="H16">
      <f>SUM(C16:G16)</f>
    </nc>
  </rcc>
  <rfmt sheetId="5" sqref="I16" start="0" length="0">
    <dxf>
      <border outline="0">
        <left/>
      </border>
    </dxf>
  </rfmt>
  <rfmt sheetId="5" sqref="M16" start="0" length="0">
    <dxf>
      <border outline="0">
        <right/>
      </border>
    </dxf>
  </rfmt>
  <rcc rId="17993" sId="5">
    <oc r="N16">
      <f>SUM(I16:M16)</f>
    </oc>
    <nc r="N16">
      <f>SUM(I16:M16)</f>
    </nc>
  </rcc>
  <rcc rId="17994" sId="5">
    <oc r="T16">
      <f>SUM(O16:S16)</f>
    </oc>
    <nc r="T16">
      <f>SUM(O16:S16)</f>
    </nc>
  </rcc>
  <rfmt sheetId="5" sqref="U16" start="0" length="0">
    <dxf>
      <alignment wrapText="0"/>
      <border outline="0">
        <left/>
      </border>
    </dxf>
  </rfmt>
  <rfmt sheetId="5" sqref="V16" start="0" length="0">
    <dxf>
      <alignment wrapText="0"/>
    </dxf>
  </rfmt>
  <rfmt sheetId="5" sqref="W16" start="0" length="0">
    <dxf>
      <alignment wrapText="0"/>
    </dxf>
  </rfmt>
  <rfmt sheetId="5" sqref="X16" start="0" length="0">
    <dxf>
      <alignment wrapText="0"/>
    </dxf>
  </rfmt>
  <rfmt sheetId="5" sqref="Y16" start="0" length="0">
    <dxf>
      <alignment wrapText="0"/>
      <border outline="0">
        <right/>
      </border>
    </dxf>
  </rfmt>
  <rcc rId="17995" sId="5">
    <oc r="Z16">
      <f>SUM(U16:Y16)</f>
    </oc>
    <nc r="Z16">
      <f>SUM(U16:Y16)</f>
    </nc>
  </rcc>
  <rcc rId="17996" sId="5">
    <oc r="AF16">
      <f>SUM(AA16:AE16)</f>
    </oc>
    <nc r="AF16">
      <f>SUM(AA16:AE16)</f>
    </nc>
  </rcc>
  <rfmt sheetId="5" sqref="AG16" start="0" length="0">
    <dxf>
      <border outline="0">
        <left/>
      </border>
    </dxf>
  </rfmt>
  <rfmt sheetId="5" sqref="AK16" start="0" length="0">
    <dxf>
      <border outline="0">
        <right/>
      </border>
    </dxf>
  </rfmt>
  <rcc rId="17997" sId="5">
    <oc r="AL16">
      <f>SUM(AG16:AK16)</f>
    </oc>
    <nc r="AL16">
      <f>SUM(AG16:AK16)</f>
    </nc>
  </rcc>
  <rcc rId="17998" sId="5">
    <oc r="AR16">
      <f>SUM(AM16:AQ16)</f>
    </oc>
    <nc r="AR16">
      <f>SUM(AM16:AQ16)</f>
    </nc>
  </rcc>
  <rcc rId="17999" sId="5">
    <oc r="AX16">
      <f>SUM(AS16:AW16)</f>
    </oc>
    <nc r="AX16">
      <f>SUM(AS16:AW16)</f>
    </nc>
  </rcc>
  <rcc rId="18000" sId="5" odxf="1" dxf="1">
    <nc r="BA16">
      <f>SUM(AY16:AZ16)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fmt sheetId="5" sqref="C17" start="0" length="0">
    <dxf>
      <border outline="0">
        <left/>
      </border>
    </dxf>
  </rfmt>
  <rcc rId="18001" sId="5">
    <oc r="F17">
      <v>5</v>
    </oc>
    <nc r="F17"/>
  </rcc>
  <rfmt sheetId="5" sqref="G17" start="0" length="0">
    <dxf>
      <border outline="0">
        <right/>
      </border>
    </dxf>
  </rfmt>
  <rcc rId="18002" sId="5">
    <oc r="H17">
      <f>SUM(C17:G17)</f>
    </oc>
    <nc r="H17">
      <f>SUM(C17:G17)</f>
    </nc>
  </rcc>
  <rfmt sheetId="5" sqref="I17" start="0" length="0">
    <dxf>
      <border outline="0">
        <left/>
      </border>
    </dxf>
  </rfmt>
  <rcc rId="18003" sId="5">
    <oc r="K17">
      <v>5</v>
    </oc>
    <nc r="K17"/>
  </rcc>
  <rcc rId="18004" sId="5">
    <oc r="L17">
      <v>7</v>
    </oc>
    <nc r="L17"/>
  </rcc>
  <rcc rId="18005" sId="5" odxf="1" dxf="1">
    <oc r="M17">
      <v>10</v>
    </oc>
    <nc r="M17"/>
    <odxf>
      <border outline="0">
        <right style="thin">
          <color indexed="64"/>
        </right>
      </border>
    </odxf>
    <ndxf>
      <border outline="0">
        <right/>
      </border>
    </ndxf>
  </rcc>
  <rcc rId="18006" sId="5">
    <oc r="N17">
      <f>SUM(I17:M17)</f>
    </oc>
    <nc r="N17">
      <f>SUM(I17:M17)</f>
    </nc>
  </rcc>
  <rfmt sheetId="5" sqref="O17" start="0" length="0">
    <dxf>
      <border outline="0">
        <bottom style="thin">
          <color indexed="64"/>
        </bottom>
      </border>
    </dxf>
  </rfmt>
  <rfmt sheetId="5" sqref="P17" start="0" length="0">
    <dxf>
      <border outline="0">
        <bottom style="thin">
          <color indexed="64"/>
        </bottom>
      </border>
    </dxf>
  </rfmt>
  <rfmt sheetId="5" sqref="Q17" start="0" length="0">
    <dxf>
      <border outline="0">
        <bottom style="thin">
          <color indexed="64"/>
        </bottom>
      </border>
    </dxf>
  </rfmt>
  <rfmt sheetId="5" sqref="R17" start="0" length="0">
    <dxf>
      <border outline="0">
        <bottom style="thin">
          <color indexed="64"/>
        </bottom>
      </border>
    </dxf>
  </rfmt>
  <rfmt sheetId="5" sqref="S17" start="0" length="0">
    <dxf>
      <border outline="0">
        <bottom style="thin">
          <color indexed="64"/>
        </bottom>
      </border>
    </dxf>
  </rfmt>
  <rcc rId="18007" sId="5">
    <oc r="T17">
      <f>SUM(O17:S17)</f>
    </oc>
    <nc r="T17">
      <f>SUM(O17:S17)</f>
    </nc>
  </rcc>
  <rfmt sheetId="5" sqref="U17" start="0" length="0">
    <dxf>
      <alignment wrapText="0"/>
      <border outline="0">
        <left/>
      </border>
    </dxf>
  </rfmt>
  <rfmt sheetId="5" sqref="V17" start="0" length="0">
    <dxf>
      <alignment wrapText="0"/>
    </dxf>
  </rfmt>
  <rfmt sheetId="5" sqref="W17" start="0" length="0">
    <dxf>
      <alignment wrapText="0"/>
    </dxf>
  </rfmt>
  <rfmt sheetId="5" sqref="X17" start="0" length="0">
    <dxf>
      <alignment wrapText="0"/>
    </dxf>
  </rfmt>
  <rfmt sheetId="5" sqref="Y17" start="0" length="0">
    <dxf>
      <alignment wrapText="0"/>
      <border outline="0">
        <right/>
      </border>
    </dxf>
  </rfmt>
  <rcc rId="18008" sId="5">
    <oc r="Z17">
      <f>SUM(U17:Y17)</f>
    </oc>
    <nc r="Z17">
      <f>SUM(U17:Y17)</f>
    </nc>
  </rcc>
  <rfmt sheetId="5" sqref="AA17" start="0" length="0">
    <dxf>
      <border outline="0">
        <bottom style="thin">
          <color indexed="64"/>
        </bottom>
      </border>
    </dxf>
  </rfmt>
  <rfmt sheetId="5" sqref="AB17" start="0" length="0">
    <dxf>
      <border outline="0">
        <bottom style="thin">
          <color indexed="64"/>
        </bottom>
      </border>
    </dxf>
  </rfmt>
  <rfmt sheetId="5" sqref="AC17" start="0" length="0">
    <dxf>
      <border outline="0">
        <bottom style="thin">
          <color indexed="64"/>
        </bottom>
      </border>
    </dxf>
  </rfmt>
  <rfmt sheetId="5" sqref="AD17" start="0" length="0">
    <dxf>
      <border outline="0">
        <bottom style="thin">
          <color indexed="64"/>
        </bottom>
      </border>
    </dxf>
  </rfmt>
  <rfmt sheetId="5" sqref="AE17" start="0" length="0">
    <dxf>
      <border outline="0">
        <bottom style="thin">
          <color indexed="64"/>
        </bottom>
      </border>
    </dxf>
  </rfmt>
  <rcc rId="18009" sId="5">
    <oc r="AF17">
      <f>SUM(AA17:AE17)</f>
    </oc>
    <nc r="AF17">
      <f>SUM(AA17:AE17)</f>
    </nc>
  </rcc>
  <rfmt sheetId="5" sqref="AG17" start="0" length="0">
    <dxf>
      <border outline="0">
        <left/>
      </border>
    </dxf>
  </rfmt>
  <rfmt sheetId="5" sqref="AK17" start="0" length="0">
    <dxf>
      <border outline="0">
        <right/>
      </border>
    </dxf>
  </rfmt>
  <rcc rId="18010" sId="5">
    <oc r="AL17">
      <f>SUM(AG17:AK17)</f>
    </oc>
    <nc r="AL17">
      <f>SUM(AG17:AK17)</f>
    </nc>
  </rcc>
  <rfmt sheetId="5" sqref="AM17" start="0" length="0">
    <dxf>
      <border outline="0">
        <bottom style="thin">
          <color indexed="64"/>
        </bottom>
      </border>
    </dxf>
  </rfmt>
  <rfmt sheetId="5" sqref="AN17" start="0" length="0">
    <dxf>
      <border outline="0">
        <bottom style="thin">
          <color indexed="64"/>
        </bottom>
      </border>
    </dxf>
  </rfmt>
  <rfmt sheetId="5" sqref="AO17" start="0" length="0">
    <dxf>
      <border outline="0">
        <bottom style="thin">
          <color indexed="64"/>
        </bottom>
      </border>
    </dxf>
  </rfmt>
  <rfmt sheetId="5" sqref="AP17" start="0" length="0">
    <dxf>
      <border outline="0">
        <bottom style="thin">
          <color indexed="64"/>
        </bottom>
      </border>
    </dxf>
  </rfmt>
  <rfmt sheetId="5" sqref="AQ17" start="0" length="0">
    <dxf>
      <border outline="0">
        <bottom style="thin">
          <color indexed="64"/>
        </bottom>
      </border>
    </dxf>
  </rfmt>
  <rcc rId="18011" sId="5">
    <oc r="AR17">
      <f>SUM(AM17:AQ17)</f>
    </oc>
    <nc r="AR17">
      <f>SUM(AM17:AQ17)</f>
    </nc>
  </rcc>
  <rfmt sheetId="5" sqref="AS17" start="0" length="0">
    <dxf>
      <border outline="0">
        <bottom style="thin">
          <color indexed="64"/>
        </bottom>
      </border>
    </dxf>
  </rfmt>
  <rfmt sheetId="5" sqref="AT17" start="0" length="0">
    <dxf>
      <border outline="0">
        <bottom style="thin">
          <color indexed="64"/>
        </bottom>
      </border>
    </dxf>
  </rfmt>
  <rfmt sheetId="5" sqref="AU17" start="0" length="0">
    <dxf>
      <border outline="0">
        <bottom style="thin">
          <color indexed="64"/>
        </bottom>
      </border>
    </dxf>
  </rfmt>
  <rfmt sheetId="5" sqref="AV17" start="0" length="0">
    <dxf>
      <border outline="0">
        <bottom style="thin">
          <color indexed="64"/>
        </bottom>
      </border>
    </dxf>
  </rfmt>
  <rfmt sheetId="5" sqref="AW17" start="0" length="0">
    <dxf>
      <border outline="0">
        <bottom style="thin">
          <color indexed="64"/>
        </bottom>
      </border>
    </dxf>
  </rfmt>
  <rcc rId="18012" sId="5">
    <oc r="AX17">
      <f>SUM(AS17:AW17)</f>
    </oc>
    <nc r="AX17">
      <f>SUM(AS17:AW17)</f>
    </nc>
  </rcc>
  <rcc rId="18013" sId="5" odxf="1" dxf="1">
    <nc r="BA17">
      <f>SUM(AY17:AZ17)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rc rId="18014" sId="5" ref="BB1:BB1048576" action="deleteCol">
    <rfmt sheetId="5" xfDxf="1" sqref="BB1:BB1048576" start="0" length="0">
      <dxf>
        <alignment horizontal="center" vertical="center"/>
      </dxf>
    </rfmt>
    <rcc rId="0" sId="5" dxf="1" numFmtId="21">
      <nc r="BB1">
        <v>46142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5" sqref="BB17" start="0" length="0">
      <dxf>
        <border outline="0">
          <bottom style="thin">
            <color indexed="64"/>
          </bottom>
        </border>
      </dxf>
    </rfmt>
  </rrc>
  <rrc rId="18015" sId="5" ref="BB1:BB1048576" action="deleteCol">
    <undo index="65535" exp="area" dr="AY17:BB17" r="BC17" sId="5"/>
    <undo index="65535" exp="area" dr="AY16:BB16" r="BC16" sId="5"/>
    <undo index="65535" exp="area" dr="AY15:BB15" r="BC15" sId="5"/>
    <undo index="65535" exp="area" dr="AY14:BB14" r="BC14" sId="5"/>
    <undo index="65535" exp="area" dr="AY13:BB13" r="BC13" sId="5"/>
    <undo index="65535" exp="area" dr="AY12:BB12" r="BC12" sId="5"/>
    <undo index="65535" exp="area" dr="AY11:BB11" r="BC11" sId="5"/>
    <undo index="65535" exp="area" dr="AY10:BB10" r="BC10" sId="5"/>
    <undo index="65535" exp="area" dr="AY9:BB9" r="BC9" sId="5"/>
    <undo index="65535" exp="area" dr="AY8:BB8" r="BC8" sId="5"/>
    <undo index="65535" exp="area" dr="AY7:BB7" r="BC7" sId="5"/>
    <undo index="65535" exp="area" dr="AY6:BB6" r="BC6" sId="5"/>
    <undo index="65535" exp="area" dr="AY5:BB5" r="BC5" sId="5"/>
    <undo index="65535" exp="area" dr="AY4:BB4" r="BC4" sId="5"/>
    <undo index="65535" exp="area" dr="AY3:BB3" r="BC3" sId="5"/>
    <undo index="65535" exp="area" dr="AY2:BB2" r="BC2" sId="5"/>
    <rfmt sheetId="5" xfDxf="1" sqref="BB1:BB1048576" start="0" length="0">
      <dxf>
        <alignment horizontal="center" vertical="center"/>
      </dxf>
    </rfmt>
    <rcc rId="0" sId="5" dxf="1" numFmtId="21">
      <nc r="BB1">
        <v>46143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5" sqref="BB17" start="0" length="0">
      <dxf>
        <border outline="0">
          <bottom style="thin">
            <color indexed="64"/>
          </bottom>
        </border>
      </dxf>
    </rfmt>
  </rrc>
  <rrc rId="18016" sId="5" ref="BB1:BB1048576" action="deleteCol">
    <undo index="65535" exp="ref" ref3D="1" v="1" dr="BB17" r="K17" sId="3"/>
    <undo index="65535" exp="ref" ref3D="1" v="1" dr="BB16" r="K16" sId="3"/>
    <undo index="65535" exp="ref" ref3D="1" v="1" dr="BB15" r="K15" sId="3"/>
    <undo index="65535" exp="ref" ref3D="1" v="1" dr="BB14" r="K14" sId="3"/>
    <undo index="65535" exp="ref" ref3D="1" v="1" dr="BB13" r="K13" sId="3"/>
    <undo index="65535" exp="ref" ref3D="1" v="1" dr="BB12" r="K12" sId="3"/>
    <undo index="65535" exp="ref" ref3D="1" v="1" dr="BB11" r="K11" sId="3"/>
    <undo index="65535" exp="ref" ref3D="1" v="1" dr="BB10" r="K10" sId="3"/>
    <undo index="65535" exp="ref" ref3D="1" v="1" dr="BB9" r="K9" sId="3"/>
    <undo index="65535" exp="ref" ref3D="1" v="1" dr="BB8" r="K8" sId="3"/>
    <undo index="65535" exp="ref" ref3D="1" v="1" dr="BB7" r="K7" sId="3"/>
    <undo index="65535" exp="ref" ref3D="1" v="1" dr="BB6" r="K6" sId="3"/>
    <undo index="65535" exp="ref" ref3D="1" v="1" dr="BB5" r="K5" sId="3"/>
    <undo index="65535" exp="ref" ref3D="1" v="1" dr="BB4" r="K4" sId="3"/>
    <undo index="65535" exp="ref" ref3D="1" v="1" dr="BB3" r="K3" sId="3"/>
    <undo index="65535" exp="ref" ref3D="1" v="1" dr="BB2" r="K2" sId="3"/>
    <rfmt sheetId="5" xfDxf="1" sqref="BB1:BB1048576" start="0" length="0">
      <dxf>
        <alignment horizontal="center" vertical="center"/>
      </dxf>
    </rfmt>
    <rcc rId="0" sId="5" dxf="1">
      <nc r="BB1" t="inlineStr">
        <is>
          <t>TOTAL SEMANA</t>
        </is>
      </nc>
      <n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5" dxf="1">
      <nc r="BB2">
        <f>SUM(AY2:BA2)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3">
        <f>SUM(AY3:BA3)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4">
        <f>SUM(AY4:BA4)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5">
        <f>SUM(AY5:BA5)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6">
        <f>SUM(AY6:BA6)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7">
        <f>SUM(AY7:BA7)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8">
        <f>SUM(AY8:BA8)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9">
        <f>SUM(AY9:BA9)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10">
        <f>SUM(AY10:BA10)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11">
        <f>SUM(AY11:BA11)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12">
        <f>SUM(AY12:BA12)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13">
        <f>SUM(AY13:BA13)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14">
        <f>SUM(AY14:BA14)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15">
        <f>SUM(AY15:BA15)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16">
        <f>SUM(AY16:BA16)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5" dxf="1">
      <nc r="BB17">
        <f>SUM(AY17:BA17)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</rrc>
  <rrc rId="18017" sId="5" ref="BB1:BB1048576" action="deleteCol">
    <rfmt sheetId="5" xfDxf="1" sqref="BB1:BB1048576" start="0" length="0">
      <dxf>
        <alignment horizontal="center" vertical="center"/>
      </dxf>
    </rfmt>
  </rrc>
  <rcc rId="18018" sId="6" numFmtId="21">
    <oc r="C1">
      <v>46083</v>
    </oc>
    <nc r="C1">
      <v>46146</v>
    </nc>
  </rcc>
  <rcc rId="18019" sId="6" numFmtId="21">
    <oc r="D1">
      <v>46084</v>
    </oc>
    <nc r="D1">
      <v>46147</v>
    </nc>
  </rcc>
  <rcc rId="18020" sId="6" numFmtId="21">
    <oc r="E1">
      <v>46085</v>
    </oc>
    <nc r="E1">
      <v>46148</v>
    </nc>
  </rcc>
  <rcc rId="18021" sId="6" numFmtId="21">
    <oc r="F1">
      <v>46086</v>
    </oc>
    <nc r="F1">
      <v>46149</v>
    </nc>
  </rcc>
  <rcc rId="18022" sId="6" numFmtId="21">
    <oc r="G1">
      <v>46087</v>
    </oc>
    <nc r="G1">
      <v>46150</v>
    </nc>
  </rcc>
  <rcc rId="18023" sId="6" numFmtId="21">
    <oc r="I1">
      <v>46090</v>
    </oc>
    <nc r="I1">
      <v>46153</v>
    </nc>
  </rcc>
  <rcc rId="18024" sId="6" numFmtId="21">
    <oc r="J1">
      <v>46091</v>
    </oc>
    <nc r="J1">
      <v>46154</v>
    </nc>
  </rcc>
  <rcc rId="18025" sId="6" numFmtId="21">
    <oc r="K1">
      <v>46092</v>
    </oc>
    <nc r="K1">
      <v>46155</v>
    </nc>
  </rcc>
  <rcc rId="18026" sId="6" numFmtId="21">
    <oc r="L1">
      <v>46093</v>
    </oc>
    <nc r="L1">
      <v>46156</v>
    </nc>
  </rcc>
  <rcc rId="18027" sId="6" numFmtId="21">
    <oc r="M1">
      <v>46094</v>
    </oc>
    <nc r="M1">
      <v>46157</v>
    </nc>
  </rcc>
  <rcc rId="18028" sId="6" numFmtId="21">
    <oc r="O1">
      <v>46097</v>
    </oc>
    <nc r="O1">
      <v>46160</v>
    </nc>
  </rcc>
  <rcc rId="18029" sId="6" numFmtId="21">
    <oc r="P1">
      <v>46098</v>
    </oc>
    <nc r="P1">
      <v>46161</v>
    </nc>
  </rcc>
  <rcc rId="18030" sId="6" numFmtId="21">
    <oc r="Q1">
      <v>46099</v>
    </oc>
    <nc r="Q1">
      <v>46162</v>
    </nc>
  </rcc>
  <rcc rId="18031" sId="6" numFmtId="21">
    <oc r="R1">
      <v>46100</v>
    </oc>
    <nc r="R1">
      <v>46163</v>
    </nc>
  </rcc>
  <rcc rId="18032" sId="6" numFmtId="21">
    <oc r="S1">
      <v>46101</v>
    </oc>
    <nc r="S1">
      <v>46164</v>
    </nc>
  </rcc>
  <rcc rId="18033" sId="6" numFmtId="21">
    <oc r="U1">
      <v>46104</v>
    </oc>
    <nc r="U1">
      <v>46167</v>
    </nc>
  </rcc>
  <rcc rId="18034" sId="6" numFmtId="21">
    <oc r="V1">
      <v>46105</v>
    </oc>
    <nc r="V1">
      <v>46168</v>
    </nc>
  </rcc>
  <rcc rId="18035" sId="6" numFmtId="21">
    <oc r="W1">
      <v>46106</v>
    </oc>
    <nc r="W1">
      <v>46169</v>
    </nc>
  </rcc>
  <rcc rId="18036" sId="6" numFmtId="21">
    <oc r="X1">
      <v>46107</v>
    </oc>
    <nc r="X1">
      <v>46170</v>
    </nc>
  </rcc>
  <rcc rId="18037" sId="6" numFmtId="21">
    <oc r="Y1">
      <v>46108</v>
    </oc>
    <nc r="Y1">
      <v>46171</v>
    </nc>
  </rcc>
  <rcc rId="18038" sId="6" numFmtId="21">
    <oc r="AA1">
      <v>46111</v>
    </oc>
    <nc r="AA1">
      <v>46174</v>
    </nc>
  </rcc>
  <rcc rId="18039" sId="6" numFmtId="21">
    <oc r="AB1">
      <v>46112</v>
    </oc>
    <nc r="AB1">
      <v>46175</v>
    </nc>
  </rcc>
  <rcc rId="18040" sId="6" numFmtId="21">
    <oc r="AC1">
      <v>46113</v>
    </oc>
    <nc r="AC1">
      <v>46176</v>
    </nc>
  </rcc>
  <rcc rId="18041" sId="6" numFmtId="21">
    <oc r="AD1">
      <v>46114</v>
    </oc>
    <nc r="AD1">
      <v>46177</v>
    </nc>
  </rcc>
  <rcc rId="18042" sId="6" numFmtId="21">
    <oc r="AE1">
      <v>46115</v>
    </oc>
    <nc r="AE1">
      <v>46178</v>
    </nc>
  </rcc>
  <rcc rId="18043" sId="6" numFmtId="21">
    <oc r="AG1">
      <v>46118</v>
    </oc>
    <nc r="AG1">
      <v>46181</v>
    </nc>
  </rcc>
  <rcc rId="18044" sId="6" numFmtId="21">
    <oc r="AH1">
      <v>46119</v>
    </oc>
    <nc r="AH1">
      <v>46182</v>
    </nc>
  </rcc>
  <rcc rId="18045" sId="6" numFmtId="21">
    <oc r="AI1">
      <v>46120</v>
    </oc>
    <nc r="AI1">
      <v>46183</v>
    </nc>
  </rcc>
  <rcc rId="18046" sId="6" numFmtId="21">
    <oc r="AJ1">
      <v>46121</v>
    </oc>
    <nc r="AJ1">
      <v>46184</v>
    </nc>
  </rcc>
  <rcc rId="18047" sId="6" numFmtId="21">
    <oc r="AK1">
      <v>46122</v>
    </oc>
    <nc r="AK1">
      <v>46185</v>
    </nc>
  </rcc>
  <rfmt sheetId="6" sqref="AL1" start="0" length="0">
    <dxf>
      <border outline="0">
        <right style="thin">
          <color auto="1"/>
        </right>
      </border>
    </dxf>
  </rfmt>
  <rcc rId="18048" sId="6" odxf="1" dxf="1" numFmtId="21">
    <oc r="AM1">
      <v>46125</v>
    </oc>
    <nc r="AM1">
      <v>46188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049" sId="6" odxf="1" dxf="1" numFmtId="21">
    <oc r="AN1">
      <v>46126</v>
    </oc>
    <nc r="AN1">
      <v>46189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050" sId="6" odxf="1" dxf="1" numFmtId="21">
    <oc r="AO1">
      <v>46127</v>
    </oc>
    <nc r="AO1">
      <v>46190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051" sId="6" odxf="1" dxf="1" numFmtId="21">
    <oc r="AP1">
      <v>46128</v>
    </oc>
    <nc r="AP1">
      <v>46191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052" sId="6" odxf="1" dxf="1" numFmtId="21">
    <oc r="AQ1">
      <v>46129</v>
    </oc>
    <nc r="AQ1">
      <v>46192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6" sqref="AR1" start="0" length="0">
    <dxf>
      <border outline="0">
        <left style="thin">
          <color auto="1"/>
        </left>
      </border>
    </dxf>
  </rfmt>
  <rcc rId="18053" sId="6" numFmtId="21">
    <oc r="AS1">
      <v>46132</v>
    </oc>
    <nc r="AS1">
      <v>46195</v>
    </nc>
  </rcc>
  <rcc rId="18054" sId="6" numFmtId="21">
    <oc r="AT1">
      <v>46133</v>
    </oc>
    <nc r="AT1">
      <v>46196</v>
    </nc>
  </rcc>
  <rcc rId="18055" sId="6" numFmtId="21">
    <oc r="AU1">
      <v>46134</v>
    </oc>
    <nc r="AU1">
      <v>46197</v>
    </nc>
  </rcc>
  <rcc rId="18056" sId="6" numFmtId="21">
    <oc r="AV1">
      <v>46135</v>
    </oc>
    <nc r="AV1">
      <v>46198</v>
    </nc>
  </rcc>
  <rcc rId="18057" sId="6" odxf="1" dxf="1" numFmtId="21">
    <oc r="AW1">
      <v>46136</v>
    </oc>
    <nc r="AW1">
      <v>46199</v>
    </nc>
    <odxf>
      <border outline="0">
        <right style="thin">
          <color auto="1"/>
        </right>
      </border>
    </odxf>
    <ndxf>
      <border outline="0">
        <right/>
      </border>
    </ndxf>
  </rcc>
  <rcc rId="18058" sId="6" numFmtId="21">
    <oc r="AY1">
      <v>46139</v>
    </oc>
    <nc r="AY1">
      <v>46202</v>
    </nc>
  </rcc>
  <rcc rId="18059" sId="6" numFmtId="21">
    <oc r="AZ1">
      <v>46140</v>
    </oc>
    <nc r="AZ1">
      <v>46203</v>
    </nc>
  </rcc>
  <rcc rId="18060" sId="6" odxf="1" dxf="1">
    <oc r="BA1">
      <v>46141</v>
    </oc>
    <nc r="BA1" t="inlineStr">
      <is>
        <t>TOTAL SEMANA</t>
      </is>
    </nc>
    <odxf>
      <numFmt numFmtId="21" formatCode="dd/mmm"/>
      <fill>
        <patternFill patternType="none">
          <bgColor indexed="65"/>
        </patternFill>
      </fill>
    </odxf>
    <ndxf>
      <numFmt numFmtId="0" formatCode="General"/>
      <fill>
        <patternFill patternType="solid">
          <bgColor theme="0" tint="-0.14999847407452621"/>
        </patternFill>
      </fill>
    </ndxf>
  </rcc>
  <rcc rId="18061" sId="6">
    <oc r="H2">
      <f>SUM(C2:G2)</f>
    </oc>
    <nc r="H2">
      <f>SUM(C2:G2)</f>
    </nc>
  </rcc>
  <rcc rId="18062" sId="6">
    <oc r="N2">
      <f>SUM(I2:M2)</f>
    </oc>
    <nc r="N2">
      <f>SUM(I2:M2)</f>
    </nc>
  </rcc>
  <rcc rId="18063" sId="6">
    <oc r="T2">
      <f>SUM(O2:S2)</f>
    </oc>
    <nc r="T2">
      <f>SUM(O2:S2)</f>
    </nc>
  </rcc>
  <rcc rId="18064" sId="6">
    <oc r="Z2">
      <f>SUM(U2:Y2)</f>
    </oc>
    <nc r="Z2">
      <f>SUM(U2:Y2)</f>
    </nc>
  </rcc>
  <rfmt sheetId="6" sqref="AA2" start="0" length="0">
    <dxf>
      <border outline="0">
        <left/>
      </border>
    </dxf>
  </rfmt>
  <rfmt sheetId="6" sqref="AE2" start="0" length="0">
    <dxf>
      <border outline="0">
        <right/>
      </border>
    </dxf>
  </rfmt>
  <rcc rId="18065" sId="6">
    <oc r="AF2">
      <f>SUM(AA2:AE2)</f>
    </oc>
    <nc r="AF2">
      <f>SUM(AA2:AE2)</f>
    </nc>
  </rcc>
  <rcc rId="18066" sId="6">
    <oc r="AL2">
      <f>SUM(AG2:AK2)</f>
    </oc>
    <nc r="AL2">
      <f>SUM(AG2:AK2)</f>
    </nc>
  </rcc>
  <rcc rId="18067" sId="6">
    <oc r="AR2">
      <f>SUM(AM2:AQ2)</f>
    </oc>
    <nc r="AR2">
      <f>SUM(AM2:AQ2)</f>
    </nc>
  </rcc>
  <rcc rId="18068" sId="6">
    <oc r="AX2">
      <f>SUM(AS2:AW2)</f>
    </oc>
    <nc r="AX2">
      <f>SUM(AS2:AW2)</f>
    </nc>
  </rcc>
  <rcc rId="18069" sId="6" odxf="1" dxf="1">
    <nc r="BA2">
      <f>SUM(AY2:AZ2)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070" sId="6">
    <oc r="H3">
      <f>SUM(C3:G3)</f>
    </oc>
    <nc r="H3">
      <f>SUM(C3:G3)</f>
    </nc>
  </rcc>
  <rcc rId="18071" sId="6">
    <oc r="N3">
      <f>SUM(I3:M3)</f>
    </oc>
    <nc r="N3">
      <f>SUM(I3:M3)</f>
    </nc>
  </rcc>
  <rcc rId="18072" sId="6">
    <oc r="T3">
      <f>SUM(O3:S3)</f>
    </oc>
    <nc r="T3">
      <f>SUM(O3:S3)</f>
    </nc>
  </rcc>
  <rcc rId="18073" sId="6">
    <oc r="Z3">
      <f>SUM(U3:Y3)</f>
    </oc>
    <nc r="Z3">
      <f>SUM(U3:Y3)</f>
    </nc>
  </rcc>
  <rfmt sheetId="6" sqref="AA3" start="0" length="0">
    <dxf>
      <border outline="0">
        <left/>
      </border>
    </dxf>
  </rfmt>
  <rfmt sheetId="6" sqref="AE3" start="0" length="0">
    <dxf>
      <border outline="0">
        <right/>
      </border>
    </dxf>
  </rfmt>
  <rcc rId="18074" sId="6">
    <oc r="AF3">
      <f>SUM(AA3:AE3)</f>
    </oc>
    <nc r="AF3">
      <f>SUM(AA3:AE3)</f>
    </nc>
  </rcc>
  <rcc rId="18075" sId="6">
    <oc r="AL3">
      <f>SUM(AG3:AK3)</f>
    </oc>
    <nc r="AL3">
      <f>SUM(AG3:AK3)</f>
    </nc>
  </rcc>
  <rcc rId="18076" sId="6">
    <oc r="AR3">
      <f>SUM(AM3:AQ3)</f>
    </oc>
    <nc r="AR3">
      <f>SUM(AM3:AQ3)</f>
    </nc>
  </rcc>
  <rcc rId="18077" sId="6">
    <oc r="AX3">
      <f>SUM(AS3:AW3)</f>
    </oc>
    <nc r="AX3">
      <f>SUM(AS3:AW3)</f>
    </nc>
  </rcc>
  <rcc rId="18078" sId="6" odxf="1" dxf="1">
    <nc r="BA3">
      <f>SUM(AY3:AZ3)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079" sId="6">
    <oc r="H4">
      <f>SUM(C4:G4)</f>
    </oc>
    <nc r="H4">
      <f>SUM(C4:G4)</f>
    </nc>
  </rcc>
  <rcc rId="18080" sId="6">
    <oc r="N4">
      <f>SUM(I4:M4)</f>
    </oc>
    <nc r="N4">
      <f>SUM(I4:M4)</f>
    </nc>
  </rcc>
  <rcc rId="18081" sId="6">
    <oc r="P4">
      <v>5</v>
    </oc>
    <nc r="P4"/>
  </rcc>
  <rcc rId="18082" sId="6">
    <oc r="T4">
      <f>SUM(O4:S4)</f>
    </oc>
    <nc r="T4">
      <f>SUM(O4:S4)</f>
    </nc>
  </rcc>
  <rcc rId="18083" sId="6">
    <oc r="Z4">
      <f>SUM(U4:Y4)</f>
    </oc>
    <nc r="Z4">
      <f>SUM(U4:Y4)</f>
    </nc>
  </rcc>
  <rfmt sheetId="6" sqref="AA4" start="0" length="0">
    <dxf>
      <border outline="0">
        <left/>
      </border>
    </dxf>
  </rfmt>
  <rfmt sheetId="6" sqref="AE4" start="0" length="0">
    <dxf>
      <border outline="0">
        <right/>
      </border>
    </dxf>
  </rfmt>
  <rcc rId="18084" sId="6">
    <oc r="AF4">
      <f>SUM(AA4:AE4)</f>
    </oc>
    <nc r="AF4">
      <f>SUM(AA4:AE4)</f>
    </nc>
  </rcc>
  <rcc rId="18085" sId="6">
    <oc r="AL4">
      <f>SUM(AG4:AK4)</f>
    </oc>
    <nc r="AL4">
      <f>SUM(AG4:AK4)</f>
    </nc>
  </rcc>
  <rcc rId="18086" sId="6">
    <oc r="AR4">
      <f>SUM(AM4:AQ4)</f>
    </oc>
    <nc r="AR4">
      <f>SUM(AM4:AQ4)</f>
    </nc>
  </rcc>
  <rcc rId="18087" sId="6">
    <oc r="AX4">
      <f>SUM(AS4:AW4)</f>
    </oc>
    <nc r="AX4">
      <f>SUM(AS4:AW4)</f>
    </nc>
  </rcc>
  <rcc rId="18088" sId="6" odxf="1" dxf="1">
    <nc r="BA4">
      <f>SUM(AY4:AZ4)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089" sId="6">
    <oc r="H5">
      <f>SUM(C5:G5)</f>
    </oc>
    <nc r="H5">
      <f>SUM(C5:G5)</f>
    </nc>
  </rcc>
  <rcc rId="18090" sId="6">
    <oc r="N5">
      <f>SUM(I5:M5)</f>
    </oc>
    <nc r="N5">
      <f>SUM(I5:M5)</f>
    </nc>
  </rcc>
  <rcc rId="18091" sId="6">
    <oc r="T5">
      <f>SUM(O5:S5)</f>
    </oc>
    <nc r="T5">
      <f>SUM(O5:S5)</f>
    </nc>
  </rcc>
  <rcc rId="18092" sId="6">
    <oc r="Z5">
      <f>SUM(U5:Y5)</f>
    </oc>
    <nc r="Z5">
      <f>SUM(U5:Y5)</f>
    </nc>
  </rcc>
  <rfmt sheetId="6" sqref="AA5" start="0" length="0">
    <dxf>
      <border outline="0">
        <left/>
      </border>
    </dxf>
  </rfmt>
  <rfmt sheetId="6" sqref="AE5" start="0" length="0">
    <dxf>
      <border outline="0">
        <right/>
      </border>
    </dxf>
  </rfmt>
  <rcc rId="18093" sId="6">
    <oc r="AF5">
      <f>SUM(AA5:AE5)</f>
    </oc>
    <nc r="AF5">
      <f>SUM(AA5:AE5)</f>
    </nc>
  </rcc>
  <rcc rId="18094" sId="6">
    <oc r="AL5">
      <f>SUM(AG5:AK5)</f>
    </oc>
    <nc r="AL5">
      <f>SUM(AG5:AK5)</f>
    </nc>
  </rcc>
  <rcc rId="18095" sId="6">
    <oc r="AR5">
      <f>SUM(AM5:AQ5)</f>
    </oc>
    <nc r="AR5">
      <f>SUM(AM5:AQ5)</f>
    </nc>
  </rcc>
  <rcc rId="18096" sId="6">
    <oc r="AX5">
      <f>SUM(AS5:AW5)</f>
    </oc>
    <nc r="AX5">
      <f>SUM(AS5:AW5)</f>
    </nc>
  </rcc>
  <rcc rId="18097" sId="6" odxf="1" dxf="1">
    <nc r="BA5">
      <f>SUM(AY5:AZ5)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098" sId="6">
    <oc r="H6">
      <f>SUM(C6:G6)</f>
    </oc>
    <nc r="H6">
      <f>SUM(C6:G6)</f>
    </nc>
  </rcc>
  <rcc rId="18099" sId="6">
    <oc r="N6">
      <f>SUM(I6:M6)</f>
    </oc>
    <nc r="N6">
      <f>SUM(I6:M6)</f>
    </nc>
  </rcc>
  <rcc rId="18100" sId="6">
    <oc r="T6">
      <f>SUM(O6:S6)</f>
    </oc>
    <nc r="T6">
      <f>SUM(O6:S6)</f>
    </nc>
  </rcc>
  <rcc rId="18101" sId="6">
    <oc r="Z6">
      <f>SUM(U6:Y6)</f>
    </oc>
    <nc r="Z6">
      <f>SUM(U6:Y6)</f>
    </nc>
  </rcc>
  <rfmt sheetId="6" sqref="AA6" start="0" length="0">
    <dxf>
      <border outline="0">
        <left/>
      </border>
    </dxf>
  </rfmt>
  <rfmt sheetId="6" sqref="AE6" start="0" length="0">
    <dxf>
      <border outline="0">
        <right/>
      </border>
    </dxf>
  </rfmt>
  <rcc rId="18102" sId="6">
    <oc r="AF6">
      <f>SUM(AA6:AE6)</f>
    </oc>
    <nc r="AF6">
      <f>SUM(AA6:AE6)</f>
    </nc>
  </rcc>
  <rcc rId="18103" sId="6">
    <oc r="AL6">
      <f>SUM(AG6:AK6)</f>
    </oc>
    <nc r="AL6">
      <f>SUM(AG6:AK6)</f>
    </nc>
  </rcc>
  <rcc rId="18104" sId="6">
    <oc r="AR6">
      <f>SUM(AM6:AQ6)</f>
    </oc>
    <nc r="AR6">
      <f>SUM(AM6:AQ6)</f>
    </nc>
  </rcc>
  <rcc rId="18105" sId="6">
    <oc r="AX6">
      <f>SUM(AS6:AW6)</f>
    </oc>
    <nc r="AX6">
      <f>SUM(AS6:AW6)</f>
    </nc>
  </rcc>
  <rcc rId="18106" sId="6" odxf="1" dxf="1">
    <nc r="BA6">
      <f>SUM(AY6:AZ6)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107" sId="6">
    <oc r="H7">
      <f>SUM(C7:G7)</f>
    </oc>
    <nc r="H7">
      <f>SUM(C7:G7)</f>
    </nc>
  </rcc>
  <rcc rId="18108" sId="6">
    <oc r="N7">
      <f>SUM(I7:M7)</f>
    </oc>
    <nc r="N7">
      <f>SUM(I7:M7)</f>
    </nc>
  </rcc>
  <rcc rId="18109" sId="6">
    <oc r="T7">
      <f>SUM(O7:S7)</f>
    </oc>
    <nc r="T7">
      <f>SUM(O7:S7)</f>
    </nc>
  </rcc>
  <rcc rId="18110" sId="6">
    <oc r="Z7">
      <f>SUM(U7:Y7)</f>
    </oc>
    <nc r="Z7">
      <f>SUM(U7:Y7)</f>
    </nc>
  </rcc>
  <rfmt sheetId="6" sqref="AA7" start="0" length="0">
    <dxf>
      <border outline="0">
        <left/>
      </border>
    </dxf>
  </rfmt>
  <rfmt sheetId="6" sqref="AE7" start="0" length="0">
    <dxf>
      <border outline="0">
        <right/>
      </border>
    </dxf>
  </rfmt>
  <rcc rId="18111" sId="6">
    <oc r="AF7">
      <f>SUM(AA7:AE7)</f>
    </oc>
    <nc r="AF7">
      <f>SUM(AA7:AE7)</f>
    </nc>
  </rcc>
  <rcc rId="18112" sId="6">
    <oc r="AL7">
      <f>SUM(AG7:AK7)</f>
    </oc>
    <nc r="AL7">
      <f>SUM(AG7:AK7)</f>
    </nc>
  </rcc>
  <rcc rId="18113" sId="6">
    <oc r="AR7">
      <f>SUM(AM7:AQ7)</f>
    </oc>
    <nc r="AR7">
      <f>SUM(AM7:AQ7)</f>
    </nc>
  </rcc>
  <rcc rId="18114" sId="6">
    <oc r="AX7">
      <f>SUM(AS7:AW7)</f>
    </oc>
    <nc r="AX7">
      <f>SUM(AS7:AW7)</f>
    </nc>
  </rcc>
  <rcc rId="18115" sId="6" odxf="1" dxf="1">
    <nc r="BA7">
      <f>SUM(AY7:AZ7)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116" sId="6">
    <oc r="H8">
      <f>SUM(C8:G8)</f>
    </oc>
    <nc r="H8">
      <f>SUM(C8:G8)</f>
    </nc>
  </rcc>
  <rcc rId="18117" sId="6">
    <oc r="N8">
      <f>SUM(I8:M8)</f>
    </oc>
    <nc r="N8">
      <f>SUM(I8:M8)</f>
    </nc>
  </rcc>
  <rcc rId="18118" sId="6">
    <oc r="P8">
      <v>11</v>
    </oc>
    <nc r="P8"/>
  </rcc>
  <rcc rId="18119" sId="6">
    <oc r="Q8">
      <v>6</v>
    </oc>
    <nc r="Q8"/>
  </rcc>
  <rcc rId="18120" sId="6">
    <oc r="R8">
      <v>7</v>
    </oc>
    <nc r="R8"/>
  </rcc>
  <rcc rId="18121" sId="6">
    <oc r="T8">
      <f>SUM(O8:S8)</f>
    </oc>
    <nc r="T8">
      <f>SUM(O8:S8)</f>
    </nc>
  </rcc>
  <rcc rId="18122" sId="6">
    <oc r="Z8">
      <f>SUM(U8:Y8)</f>
    </oc>
    <nc r="Z8">
      <f>SUM(U8:Y8)</f>
    </nc>
  </rcc>
  <rfmt sheetId="6" sqref="AA8" start="0" length="0">
    <dxf>
      <border outline="0">
        <left/>
      </border>
    </dxf>
  </rfmt>
  <rfmt sheetId="6" sqref="AE8" start="0" length="0">
    <dxf>
      <border outline="0">
        <right/>
      </border>
    </dxf>
  </rfmt>
  <rcc rId="18123" sId="6">
    <oc r="AF8">
      <f>SUM(AA8:AE8)</f>
    </oc>
    <nc r="AF8">
      <f>SUM(AA8:AE8)</f>
    </nc>
  </rcc>
  <rcc rId="18124" sId="6">
    <oc r="AL8">
      <f>SUM(AG8:AK8)</f>
    </oc>
    <nc r="AL8">
      <f>SUM(AG8:AK8)</f>
    </nc>
  </rcc>
  <rcc rId="18125" sId="6">
    <oc r="AR8">
      <f>SUM(AM8:AQ8)</f>
    </oc>
    <nc r="AR8">
      <f>SUM(AM8:AQ8)</f>
    </nc>
  </rcc>
  <rcc rId="18126" sId="6">
    <oc r="AX8">
      <f>SUM(AS8:AW8)</f>
    </oc>
    <nc r="AX8">
      <f>SUM(AS8:AW8)</f>
    </nc>
  </rcc>
  <rcc rId="18127" sId="6" odxf="1" dxf="1">
    <nc r="BA8">
      <f>SUM(AY8:AZ8)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128" sId="6">
    <oc r="H9">
      <f>SUM(C9:G9)</f>
    </oc>
    <nc r="H9">
      <f>SUM(C9:G9)</f>
    </nc>
  </rcc>
  <rcc rId="18129" sId="6">
    <oc r="N9">
      <f>SUM(I9:M9)</f>
    </oc>
    <nc r="N9">
      <f>SUM(I9:M9)</f>
    </nc>
  </rcc>
  <rcc rId="18130" sId="6">
    <oc r="O9">
      <v>7</v>
    </oc>
    <nc r="O9"/>
  </rcc>
  <rcc rId="18131" sId="6">
    <oc r="P9">
      <v>7</v>
    </oc>
    <nc r="P9"/>
  </rcc>
  <rcc rId="18132" sId="6">
    <oc r="Q9">
      <v>4</v>
    </oc>
    <nc r="Q9"/>
  </rcc>
  <rcc rId="18133" sId="6">
    <oc r="R9">
      <v>7</v>
    </oc>
    <nc r="R9"/>
  </rcc>
  <rcc rId="18134" sId="6">
    <oc r="T9">
      <f>SUM(O9:S9)</f>
    </oc>
    <nc r="T9">
      <f>SUM(O9:S9)</f>
    </nc>
  </rcc>
  <rcc rId="18135" sId="6">
    <oc r="Z9">
      <f>SUM(U9:Y9)</f>
    </oc>
    <nc r="Z9">
      <f>SUM(U9:Y9)</f>
    </nc>
  </rcc>
  <rfmt sheetId="6" sqref="AA9" start="0" length="0">
    <dxf>
      <border outline="0">
        <left/>
      </border>
    </dxf>
  </rfmt>
  <rfmt sheetId="6" sqref="AE9" start="0" length="0">
    <dxf>
      <border outline="0">
        <right/>
      </border>
    </dxf>
  </rfmt>
  <rcc rId="18136" sId="6">
    <oc r="AF9">
      <f>SUM(AA9:AE9)</f>
    </oc>
    <nc r="AF9">
      <f>SUM(AA9:AE9)</f>
    </nc>
  </rcc>
  <rcc rId="18137" sId="6">
    <oc r="AL9">
      <f>SUM(AG9:AK9)</f>
    </oc>
    <nc r="AL9">
      <f>SUM(AG9:AK9)</f>
    </nc>
  </rcc>
  <rcc rId="18138" sId="6">
    <oc r="AR9">
      <f>SUM(AM9:AQ9)</f>
    </oc>
    <nc r="AR9">
      <f>SUM(AM9:AQ9)</f>
    </nc>
  </rcc>
  <rcc rId="18139" sId="6">
    <oc r="AX9">
      <f>SUM(AS9:AW9)</f>
    </oc>
    <nc r="AX9">
      <f>SUM(AS9:AW9)</f>
    </nc>
  </rcc>
  <rcc rId="18140" sId="6" odxf="1" dxf="1">
    <nc r="BA9">
      <f>SUM(AY9:AZ9)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141" sId="6">
    <oc r="H10">
      <f>SUM(C10:G10)</f>
    </oc>
    <nc r="H10">
      <f>SUM(C10:G10)</f>
    </nc>
  </rcc>
  <rcc rId="18142" sId="6">
    <oc r="N10">
      <f>SUM(I10:M10)</f>
    </oc>
    <nc r="N10">
      <f>SUM(I10:M10)</f>
    </nc>
  </rcc>
  <rcc rId="18143" sId="6">
    <oc r="P10">
      <v>16</v>
    </oc>
    <nc r="P10"/>
  </rcc>
  <rcc rId="18144" sId="6">
    <oc r="Q10">
      <v>8</v>
    </oc>
    <nc r="Q10"/>
  </rcc>
  <rcc rId="18145" sId="6">
    <oc r="R10">
      <v>16</v>
    </oc>
    <nc r="R10"/>
  </rcc>
  <rcc rId="18146" sId="6">
    <oc r="T10">
      <f>SUM(O10:S10)</f>
    </oc>
    <nc r="T10">
      <f>SUM(O10:S10)</f>
    </nc>
  </rcc>
  <rcc rId="18147" sId="6">
    <oc r="Z10">
      <f>SUM(U10:Y10)</f>
    </oc>
    <nc r="Z10">
      <f>SUM(U10:Y10)</f>
    </nc>
  </rcc>
  <rfmt sheetId="6" sqref="AA10" start="0" length="0">
    <dxf>
      <border outline="0">
        <left/>
      </border>
    </dxf>
  </rfmt>
  <rfmt sheetId="6" sqref="AE10" start="0" length="0">
    <dxf>
      <border outline="0">
        <right/>
      </border>
    </dxf>
  </rfmt>
  <rcc rId="18148" sId="6">
    <oc r="AF10">
      <f>SUM(AA10:AE10)</f>
    </oc>
    <nc r="AF10">
      <f>SUM(AA10:AE10)</f>
    </nc>
  </rcc>
  <rcc rId="18149" sId="6">
    <oc r="AL10">
      <f>SUM(AG10:AK10)</f>
    </oc>
    <nc r="AL10">
      <f>SUM(AG10:AK10)</f>
    </nc>
  </rcc>
  <rcc rId="18150" sId="6">
    <oc r="AR10">
      <f>SUM(AM10:AQ10)</f>
    </oc>
    <nc r="AR10">
      <f>SUM(AM10:AQ10)</f>
    </nc>
  </rcc>
  <rcc rId="18151" sId="6">
    <oc r="AX10">
      <f>SUM(AS10:AW10)</f>
    </oc>
    <nc r="AX10">
      <f>SUM(AS10:AW10)</f>
    </nc>
  </rcc>
  <rcc rId="18152" sId="6" odxf="1" dxf="1">
    <nc r="BA10">
      <f>SUM(AY10:AZ10)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153" sId="6">
    <oc r="H11">
      <f>SUM(C11:G11)</f>
    </oc>
    <nc r="H11">
      <f>SUM(C11:G11)</f>
    </nc>
  </rcc>
  <rcc rId="18154" sId="6">
    <oc r="N11">
      <f>SUM(I11:M11)</f>
    </oc>
    <nc r="N11">
      <f>SUM(I11:M11)</f>
    </nc>
  </rcc>
  <rcc rId="18155" sId="6">
    <oc r="T11">
      <f>SUM(O11:S11)</f>
    </oc>
    <nc r="T11">
      <f>SUM(O11:S11)</f>
    </nc>
  </rcc>
  <rcc rId="18156" sId="6">
    <oc r="Z11">
      <f>SUM(U11:Y11)</f>
    </oc>
    <nc r="Z11">
      <f>SUM(U11:Y11)</f>
    </nc>
  </rcc>
  <rfmt sheetId="6" sqref="AA11" start="0" length="0">
    <dxf>
      <border outline="0">
        <left/>
      </border>
    </dxf>
  </rfmt>
  <rfmt sheetId="6" sqref="AE11" start="0" length="0">
    <dxf>
      <border outline="0">
        <right/>
      </border>
    </dxf>
  </rfmt>
  <rcc rId="18157" sId="6">
    <oc r="AF11">
      <f>SUM(AA11:AE11)</f>
    </oc>
    <nc r="AF11">
      <f>SUM(AA11:AE11)</f>
    </nc>
  </rcc>
  <rcc rId="18158" sId="6">
    <oc r="AL11">
      <f>SUM(AG11:AK11)</f>
    </oc>
    <nc r="AL11">
      <f>SUM(AG11:AK11)</f>
    </nc>
  </rcc>
  <rcc rId="18159" sId="6">
    <oc r="AR11">
      <f>SUM(AM11:AQ11)</f>
    </oc>
    <nc r="AR11">
      <f>SUM(AM11:AQ11)</f>
    </nc>
  </rcc>
  <rcc rId="18160" sId="6">
    <oc r="AX11">
      <f>SUM(AS11:AW11)</f>
    </oc>
    <nc r="AX11">
      <f>SUM(AS11:AW11)</f>
    </nc>
  </rcc>
  <rcc rId="18161" sId="6" odxf="1" dxf="1">
    <nc r="BA11">
      <f>SUM(AY11:AZ11)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162" sId="6">
    <oc r="H12">
      <f>SUM(C12:G12)</f>
    </oc>
    <nc r="H12">
      <f>SUM(C12:G12)</f>
    </nc>
  </rcc>
  <rcc rId="18163" sId="6">
    <oc r="N12">
      <f>SUM(I12:M12)</f>
    </oc>
    <nc r="N12">
      <f>SUM(I12:M12)</f>
    </nc>
  </rcc>
  <rcc rId="18164" sId="6">
    <oc r="T12">
      <f>SUM(O12:S12)</f>
    </oc>
    <nc r="T12">
      <f>SUM(O12:S12)</f>
    </nc>
  </rcc>
  <rcc rId="18165" sId="6">
    <oc r="Z12">
      <f>SUM(U12:Y12)</f>
    </oc>
    <nc r="Z12">
      <f>SUM(U12:Y12)</f>
    </nc>
  </rcc>
  <rfmt sheetId="6" sqref="AA12" start="0" length="0">
    <dxf>
      <border outline="0">
        <left/>
      </border>
    </dxf>
  </rfmt>
  <rfmt sheetId="6" sqref="AE12" start="0" length="0">
    <dxf>
      <border outline="0">
        <right/>
      </border>
    </dxf>
  </rfmt>
  <rcc rId="18166" sId="6">
    <oc r="AF12">
      <f>SUM(AA12:AE12)</f>
    </oc>
    <nc r="AF12">
      <f>SUM(AA12:AE12)</f>
    </nc>
  </rcc>
  <rcc rId="18167" sId="6">
    <oc r="AL12">
      <f>SUM(AG12:AK12)</f>
    </oc>
    <nc r="AL12">
      <f>SUM(AG12:AK12)</f>
    </nc>
  </rcc>
  <rcc rId="18168" sId="6">
    <oc r="AR12">
      <f>SUM(AM12:AQ12)</f>
    </oc>
    <nc r="AR12">
      <f>SUM(AM12:AQ12)</f>
    </nc>
  </rcc>
  <rcc rId="18169" sId="6">
    <oc r="AX12">
      <f>SUM(AS12:AW12)</f>
    </oc>
    <nc r="AX12">
      <f>SUM(AS12:AW12)</f>
    </nc>
  </rcc>
  <rcc rId="18170" sId="6" odxf="1" dxf="1">
    <nc r="BA12">
      <f>SUM(AY12:AZ12)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171" sId="6">
    <oc r="H13">
      <f>SUM(C13:G13)</f>
    </oc>
    <nc r="H13">
      <f>SUM(C13:G13)</f>
    </nc>
  </rcc>
  <rcc rId="18172" sId="6">
    <oc r="N13">
      <f>SUM(I13:M13)</f>
    </oc>
    <nc r="N13">
      <f>SUM(I13:M13)</f>
    </nc>
  </rcc>
  <rcc rId="18173" sId="6">
    <oc r="T13">
      <f>SUM(O13:S13)</f>
    </oc>
    <nc r="T13">
      <f>SUM(O13:S13)</f>
    </nc>
  </rcc>
  <rcc rId="18174" sId="6">
    <oc r="Z13">
      <f>SUM(U13:Y13)</f>
    </oc>
    <nc r="Z13">
      <f>SUM(U13:Y13)</f>
    </nc>
  </rcc>
  <rfmt sheetId="6" sqref="AA13" start="0" length="0">
    <dxf>
      <border outline="0">
        <left/>
      </border>
    </dxf>
  </rfmt>
  <rfmt sheetId="6" sqref="AE13" start="0" length="0">
    <dxf>
      <border outline="0">
        <right/>
      </border>
    </dxf>
  </rfmt>
  <rcc rId="18175" sId="6">
    <oc r="AF13">
      <f>SUM(AA13:AE13)</f>
    </oc>
    <nc r="AF13">
      <f>SUM(AA13:AE13)</f>
    </nc>
  </rcc>
  <rcc rId="18176" sId="6">
    <oc r="AL13">
      <f>SUM(AG13:AK13)</f>
    </oc>
    <nc r="AL13">
      <f>SUM(AG13:AK13)</f>
    </nc>
  </rcc>
  <rcc rId="18177" sId="6">
    <oc r="AR13">
      <f>SUM(AM13:AQ13)</f>
    </oc>
    <nc r="AR13">
      <f>SUM(AM13:AQ13)</f>
    </nc>
  </rcc>
  <rcc rId="18178" sId="6">
    <oc r="AX13">
      <f>SUM(AS13:AW13)</f>
    </oc>
    <nc r="AX13">
      <f>SUM(AS13:AW13)</f>
    </nc>
  </rcc>
  <rcc rId="18179" sId="6" odxf="1" dxf="1">
    <nc r="BA13">
      <f>SUM(AY13:AZ13)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180" sId="6">
    <oc r="H14">
      <f>SUM(C14:G14)</f>
    </oc>
    <nc r="H14">
      <f>SUM(C14:G14)</f>
    </nc>
  </rcc>
  <rcc rId="18181" sId="6">
    <oc r="N14">
      <f>SUM(I14:M14)</f>
    </oc>
    <nc r="N14">
      <f>SUM(I14:M14)</f>
    </nc>
  </rcc>
  <rcc rId="18182" sId="6">
    <oc r="T14">
      <f>SUM(O14:S14)</f>
    </oc>
    <nc r="T14">
      <f>SUM(O14:S14)</f>
    </nc>
  </rcc>
  <rcc rId="18183" sId="6">
    <oc r="Z14">
      <f>SUM(U14:Y14)</f>
    </oc>
    <nc r="Z14">
      <f>SUM(U14:Y14)</f>
    </nc>
  </rcc>
  <rfmt sheetId="6" sqref="AA14" start="0" length="0">
    <dxf>
      <border outline="0">
        <left/>
      </border>
    </dxf>
  </rfmt>
  <rfmt sheetId="6" sqref="AE14" start="0" length="0">
    <dxf>
      <border outline="0">
        <right/>
      </border>
    </dxf>
  </rfmt>
  <rcc rId="18184" sId="6">
    <oc r="AF14">
      <f>SUM(AA14:AE14)</f>
    </oc>
    <nc r="AF14">
      <f>SUM(AA14:AE14)</f>
    </nc>
  </rcc>
  <rcc rId="18185" sId="6">
    <oc r="AL14">
      <f>SUM(AG14:AK14)</f>
    </oc>
    <nc r="AL14">
      <f>SUM(AG14:AK14)</f>
    </nc>
  </rcc>
  <rcc rId="18186" sId="6">
    <oc r="AR14">
      <f>SUM(AM14:AQ14)</f>
    </oc>
    <nc r="AR14">
      <f>SUM(AM14:AQ14)</f>
    </nc>
  </rcc>
  <rcc rId="18187" sId="6">
    <oc r="AX14">
      <f>SUM(AS14:AW14)</f>
    </oc>
    <nc r="AX14">
      <f>SUM(AS14:AW14)</f>
    </nc>
  </rcc>
  <rcc rId="18188" sId="6" odxf="1" dxf="1">
    <nc r="BA14">
      <f>SUM(AY14:AZ14)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189" sId="6">
    <oc r="H15">
      <f>SUM(C15:G15)</f>
    </oc>
    <nc r="H15">
      <f>SUM(C15:G15)</f>
    </nc>
  </rcc>
  <rcc rId="18190" sId="6">
    <oc r="N15">
      <f>SUM(I15:M15)</f>
    </oc>
    <nc r="N15">
      <f>SUM(I15:M15)</f>
    </nc>
  </rcc>
  <rcc rId="18191" sId="6">
    <oc r="O15">
      <v>10</v>
    </oc>
    <nc r="O15"/>
  </rcc>
  <rcc rId="18192" sId="6">
    <oc r="P15">
      <v>11</v>
    </oc>
    <nc r="P15"/>
  </rcc>
  <rcc rId="18193" sId="6">
    <oc r="Q15">
      <v>6</v>
    </oc>
    <nc r="Q15"/>
  </rcc>
  <rcc rId="18194" sId="6">
    <oc r="R15">
      <v>10</v>
    </oc>
    <nc r="R15"/>
  </rcc>
  <rcc rId="18195" sId="6">
    <oc r="T15">
      <f>SUM(O15:S15)</f>
    </oc>
    <nc r="T15">
      <f>SUM(O15:S15)</f>
    </nc>
  </rcc>
  <rcc rId="18196" sId="6">
    <oc r="Z15">
      <f>SUM(U15:Y15)</f>
    </oc>
    <nc r="Z15">
      <f>SUM(U15:Y15)</f>
    </nc>
  </rcc>
  <rfmt sheetId="6" sqref="AA15" start="0" length="0">
    <dxf>
      <border outline="0">
        <left/>
      </border>
    </dxf>
  </rfmt>
  <rfmt sheetId="6" sqref="AE15" start="0" length="0">
    <dxf>
      <border outline="0">
        <right/>
      </border>
    </dxf>
  </rfmt>
  <rcc rId="18197" sId="6">
    <oc r="AF15">
      <f>SUM(AA15:AE15)</f>
    </oc>
    <nc r="AF15">
      <f>SUM(AA15:AE15)</f>
    </nc>
  </rcc>
  <rcc rId="18198" sId="6">
    <oc r="AL15">
      <f>SUM(AG15:AK15)</f>
    </oc>
    <nc r="AL15">
      <f>SUM(AG15:AK15)</f>
    </nc>
  </rcc>
  <rcc rId="18199" sId="6">
    <oc r="AR15">
      <f>SUM(AM15:AQ15)</f>
    </oc>
    <nc r="AR15">
      <f>SUM(AM15:AQ15)</f>
    </nc>
  </rcc>
  <rcc rId="18200" sId="6">
    <oc r="AX15">
      <f>SUM(AS15:AW15)</f>
    </oc>
    <nc r="AX15">
      <f>SUM(AS15:AW15)</f>
    </nc>
  </rcc>
  <rcc rId="18201" sId="6" odxf="1" dxf="1">
    <nc r="BA15">
      <f>SUM(AY15:AZ15)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202" sId="6">
    <oc r="H16">
      <f>SUM(C16:G16)</f>
    </oc>
    <nc r="H16">
      <f>SUM(C16:G16)</f>
    </nc>
  </rcc>
  <rcc rId="18203" sId="6">
    <oc r="N16">
      <f>SUM(I16:M16)</f>
    </oc>
    <nc r="N16">
      <f>SUM(I16:M16)</f>
    </nc>
  </rcc>
  <rcc rId="18204" sId="6">
    <oc r="T16">
      <f>SUM(O16:S16)</f>
    </oc>
    <nc r="T16">
      <f>SUM(O16:S16)</f>
    </nc>
  </rcc>
  <rcc rId="18205" sId="6">
    <oc r="Z16">
      <f>SUM(U16:Y16)</f>
    </oc>
    <nc r="Z16">
      <f>SUM(U16:Y16)</f>
    </nc>
  </rcc>
  <rfmt sheetId="6" sqref="AA16" start="0" length="0">
    <dxf>
      <border outline="0">
        <left/>
      </border>
    </dxf>
  </rfmt>
  <rfmt sheetId="6" sqref="AE16" start="0" length="0">
    <dxf>
      <border outline="0">
        <right/>
      </border>
    </dxf>
  </rfmt>
  <rcc rId="18206" sId="6">
    <oc r="AF16">
      <f>SUM(AA16:AE16)</f>
    </oc>
    <nc r="AF16">
      <f>SUM(AA16:AE16)</f>
    </nc>
  </rcc>
  <rcc rId="18207" sId="6">
    <oc r="AL16">
      <f>SUM(AG16:AK16)</f>
    </oc>
    <nc r="AL16">
      <f>SUM(AG16:AK16)</f>
    </nc>
  </rcc>
  <rcc rId="18208" sId="6">
    <oc r="AR16">
      <f>SUM(AM16:AQ16)</f>
    </oc>
    <nc r="AR16">
      <f>SUM(AM16:AQ16)</f>
    </nc>
  </rcc>
  <rcc rId="18209" sId="6">
    <oc r="AX16">
      <f>SUM(AS16:AW16)</f>
    </oc>
    <nc r="AX16">
      <f>SUM(AS16:AW16)</f>
    </nc>
  </rcc>
  <rcc rId="18210" sId="6" odxf="1" dxf="1">
    <nc r="BA16">
      <f>SUM(AY16:AZ16)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211" sId="6" odxf="1" dxf="1">
    <oc r="C17">
      <v>10</v>
    </oc>
    <nc r="C17"/>
    <odxf>
      <border outline="0">
        <left style="thin">
          <color indexed="64"/>
        </left>
      </border>
    </odxf>
    <ndxf>
      <border outline="0">
        <left/>
      </border>
    </ndxf>
  </rcc>
  <rcc rId="18212" sId="6">
    <oc r="D17">
      <v>10</v>
    </oc>
    <nc r="D17"/>
  </rcc>
  <rcc rId="18213" sId="6">
    <oc r="E17">
      <v>10</v>
    </oc>
    <nc r="E17"/>
  </rcc>
  <rcc rId="18214" sId="6">
    <oc r="F17">
      <v>10</v>
    </oc>
    <nc r="F17"/>
  </rcc>
  <rcc rId="18215" sId="6" odxf="1" dxf="1">
    <oc r="G17">
      <v>10</v>
    </oc>
    <nc r="G17"/>
    <odxf>
      <border outline="0">
        <right style="thin">
          <color indexed="64"/>
        </right>
      </border>
    </odxf>
    <ndxf>
      <border outline="0">
        <right/>
      </border>
    </ndxf>
  </rcc>
  <rcc rId="18216" sId="6">
    <oc r="H17">
      <f>SUM(C17:G17)</f>
    </oc>
    <nc r="H17">
      <f>SUM(C17:G17)</f>
    </nc>
  </rcc>
  <rcc rId="18217" sId="6">
    <oc r="I17">
      <v>5</v>
    </oc>
    <nc r="I17"/>
  </rcc>
  <rcc rId="18218" sId="6">
    <oc r="J17">
      <v>5</v>
    </oc>
    <nc r="J17"/>
  </rcc>
  <rcc rId="18219" sId="6">
    <oc r="K17">
      <v>10</v>
    </oc>
    <nc r="K17"/>
  </rcc>
  <rcc rId="18220" sId="6">
    <oc r="L17">
      <v>10</v>
    </oc>
    <nc r="L17"/>
  </rcc>
  <rcc rId="18221" sId="6">
    <oc r="N17">
      <f>SUM(I17:M17)</f>
    </oc>
    <nc r="N17">
      <f>SUM(I17:M17)</f>
    </nc>
  </rcc>
  <rcc rId="18222" sId="6">
    <oc r="T17">
      <f>SUM(O17:S17)</f>
    </oc>
    <nc r="T17">
      <f>SUM(O17:S17)</f>
    </nc>
  </rcc>
  <rcc rId="18223" sId="6">
    <oc r="Z17">
      <f>SUM(U17:Y17)</f>
    </oc>
    <nc r="Z17">
      <f>SUM(U17:Y17)</f>
    </nc>
  </rcc>
  <rfmt sheetId="6" sqref="AA17" start="0" length="0">
    <dxf>
      <border outline="0">
        <left/>
      </border>
    </dxf>
  </rfmt>
  <rfmt sheetId="6" sqref="AE17" start="0" length="0">
    <dxf>
      <border outline="0">
        <right/>
      </border>
    </dxf>
  </rfmt>
  <rcc rId="18224" sId="6">
    <oc r="AF17">
      <f>SUM(AA17:AE17)</f>
    </oc>
    <nc r="AF17">
      <f>SUM(AA17:AE17)</f>
    </nc>
  </rcc>
  <rcc rId="18225" sId="6">
    <oc r="AL17">
      <f>SUM(AG17:AK17)</f>
    </oc>
    <nc r="AL17">
      <f>SUM(AG17:AK17)</f>
    </nc>
  </rcc>
  <rcc rId="18226" sId="6">
    <oc r="AR17">
      <f>SUM(AM17:AQ17)</f>
    </oc>
    <nc r="AR17">
      <f>SUM(AM17:AQ17)</f>
    </nc>
  </rcc>
  <rcc rId="18227" sId="6">
    <oc r="AX17">
      <f>SUM(AS17:AW17)</f>
    </oc>
    <nc r="AX17">
      <f>SUM(AS17:AW17)</f>
    </nc>
  </rcc>
  <rcc rId="18228" sId="6" odxf="1" dxf="1">
    <nc r="BA17">
      <f>SUM(AY17:AZ17)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rc rId="18229" sId="6" ref="BB1:BB1048576" action="deleteCol">
    <rfmt sheetId="6" xfDxf="1" sqref="BB1:BB1048576" start="0" length="0">
      <dxf>
        <alignment horizontal="center" vertical="center"/>
      </dxf>
    </rfmt>
    <rcc rId="0" sId="6" dxf="1" numFmtId="21">
      <nc r="BB1">
        <v>46142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6" sqref="BB17" start="0" length="0">
      <dxf>
        <border outline="0">
          <bottom style="thin">
            <color indexed="64"/>
          </bottom>
        </border>
      </dxf>
    </rfmt>
  </rrc>
  <rrc rId="18230" sId="6" ref="BB1:BB1048576" action="deleteCol">
    <undo index="65535" exp="area" dr="AY17:BB17" r="BC17" sId="6"/>
    <undo index="65535" exp="area" dr="AY16:BB16" r="BC16" sId="6"/>
    <undo index="65535" exp="area" dr="AY15:BB15" r="BC15" sId="6"/>
    <undo index="65535" exp="area" dr="AY14:BB14" r="BC14" sId="6"/>
    <undo index="65535" exp="area" dr="AY13:BB13" r="BC13" sId="6"/>
    <undo index="65535" exp="area" dr="AY12:BB12" r="BC12" sId="6"/>
    <undo index="65535" exp="area" dr="AY11:BB11" r="BC11" sId="6"/>
    <undo index="65535" exp="area" dr="AY10:BB10" r="BC10" sId="6"/>
    <undo index="65535" exp="area" dr="AY9:BB9" r="BC9" sId="6"/>
    <undo index="65535" exp="area" dr="AY8:BB8" r="BC8" sId="6"/>
    <undo index="65535" exp="area" dr="AY7:BB7" r="BC7" sId="6"/>
    <undo index="65535" exp="area" dr="AY6:BB6" r="BC6" sId="6"/>
    <undo index="65535" exp="area" dr="AY5:BB5" r="BC5" sId="6"/>
    <undo index="65535" exp="area" dr="AY4:BB4" r="BC4" sId="6"/>
    <undo index="65535" exp="area" dr="AY3:BB3" r="BC3" sId="6"/>
    <undo index="65535" exp="area" dr="AY2:BB2" r="BC2" sId="6"/>
    <rfmt sheetId="6" xfDxf="1" sqref="BB1:BB1048576" start="0" length="0">
      <dxf>
        <alignment horizontal="center" vertical="center"/>
      </dxf>
    </rfmt>
    <rcc rId="0" sId="6" dxf="1" numFmtId="21">
      <nc r="BB1">
        <v>46143</v>
      </nc>
      <n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fmt sheetId="6" sqref="BB17" start="0" length="0">
      <dxf>
        <border outline="0">
          <bottom style="thin">
            <color indexed="64"/>
          </bottom>
        </border>
      </dxf>
    </rfmt>
  </rrc>
  <rrc rId="18231" sId="6" ref="BB1:BB1048576" action="deleteCol">
    <undo index="65535" exp="ref" ref3D="1" v="1" dr="BB17" r="K17" sId="3"/>
    <undo index="65535" exp="ref" ref3D="1" v="1" dr="BB16" r="K16" sId="3"/>
    <undo index="65535" exp="ref" ref3D="1" v="1" dr="BB15" r="K15" sId="3"/>
    <undo index="65535" exp="ref" ref3D="1" v="1" dr="BB14" r="K14" sId="3"/>
    <undo index="65535" exp="ref" ref3D="1" v="1" dr="BB13" r="K13" sId="3"/>
    <undo index="65535" exp="ref" ref3D="1" v="1" dr="BB12" r="K12" sId="3"/>
    <undo index="65535" exp="ref" ref3D="1" v="1" dr="BB11" r="K11" sId="3"/>
    <undo index="65535" exp="ref" ref3D="1" v="1" dr="BB10" r="K10" sId="3"/>
    <undo index="65535" exp="ref" ref3D="1" v="1" dr="BB9" r="K9" sId="3"/>
    <undo index="65535" exp="ref" ref3D="1" v="1" dr="BB8" r="K8" sId="3"/>
    <undo index="65535" exp="ref" ref3D="1" v="1" dr="BB7" r="K7" sId="3"/>
    <undo index="65535" exp="ref" ref3D="1" v="1" dr="BB6" r="K6" sId="3"/>
    <undo index="65535" exp="ref" ref3D="1" v="1" dr="BB5" r="K5" sId="3"/>
    <undo index="65535" exp="ref" ref3D="1" v="1" dr="BB4" r="K4" sId="3"/>
    <undo index="65535" exp="ref" ref3D="1" v="1" dr="BB3" r="K3" sId="3"/>
    <undo index="65535" exp="ref" ref3D="1" v="1" dr="BB2" r="K2" sId="3"/>
    <rfmt sheetId="6" xfDxf="1" sqref="BB1:BB1048576" start="0" length="0">
      <dxf>
        <alignment horizontal="center" vertical="center"/>
      </dxf>
    </rfmt>
    <rcc rId="0" sId="6" dxf="1">
      <nc r="BB1" t="inlineStr">
        <is>
          <t>TOTAL SEMANA</t>
        </is>
      </nc>
      <n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6" dxf="1">
      <nc r="BB2">
        <f>SUM(AY2:BA2)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3">
        <f>SUM(AY3:BA3)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4">
        <f>SUM(AY4:BA4)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5">
        <f>SUM(AY5:BA5)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6">
        <f>SUM(AY6:BA6)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7">
        <f>SUM(AY7:BA7)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8">
        <f>SUM(AY8:BA8)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9">
        <f>SUM(AY9:BA9)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10">
        <f>SUM(AY10:BA10)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11">
        <f>SUM(AY11:BA11)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12">
        <f>SUM(AY12:BA12)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13">
        <f>SUM(AY13:BA13)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14">
        <f>SUM(AY14:BA14)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15">
        <f>SUM(AY15:BA15)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16">
        <f>SUM(AY16:BA16)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6" dxf="1">
      <nc r="BB17">
        <f>SUM(AY17:BA17)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</rrc>
  <rrc rId="18232" sId="6" ref="BB1:BB1048576" action="deleteCol">
    <rfmt sheetId="6" xfDxf="1" sqref="BB1:BB1048576" start="0" length="0">
      <dxf>
        <alignment horizontal="center" vertical="center"/>
      </dxf>
    </rfmt>
  </rrc>
  <rcc rId="18233" sId="7" numFmtId="21">
    <oc r="C1">
      <v>46083</v>
    </oc>
    <nc r="C1">
      <v>46146</v>
    </nc>
  </rcc>
  <rcc rId="18234" sId="7" numFmtId="21">
    <oc r="D1">
      <v>46084</v>
    </oc>
    <nc r="D1">
      <v>46147</v>
    </nc>
  </rcc>
  <rcc rId="18235" sId="7" numFmtId="21">
    <oc r="E1">
      <v>46085</v>
    </oc>
    <nc r="E1">
      <v>46148</v>
    </nc>
  </rcc>
  <rcc rId="18236" sId="7" numFmtId="21">
    <oc r="F1">
      <v>46086</v>
    </oc>
    <nc r="F1">
      <v>46149</v>
    </nc>
  </rcc>
  <rcc rId="18237" sId="7" numFmtId="21">
    <oc r="G1">
      <v>46087</v>
    </oc>
    <nc r="G1">
      <v>46150</v>
    </nc>
  </rcc>
  <rcc rId="18238" sId="7" numFmtId="21">
    <oc r="I1">
      <v>46090</v>
    </oc>
    <nc r="I1">
      <v>46153</v>
    </nc>
  </rcc>
  <rcc rId="18239" sId="7" numFmtId="21">
    <oc r="J1">
      <v>46091</v>
    </oc>
    <nc r="J1">
      <v>46154</v>
    </nc>
  </rcc>
  <rcc rId="18240" sId="7" numFmtId="21">
    <oc r="K1">
      <v>46092</v>
    </oc>
    <nc r="K1">
      <v>46155</v>
    </nc>
  </rcc>
  <rcc rId="18241" sId="7" numFmtId="21">
    <oc r="L1">
      <v>46093</v>
    </oc>
    <nc r="L1">
      <v>46156</v>
    </nc>
  </rcc>
  <rcc rId="18242" sId="7" numFmtId="21">
    <oc r="M1">
      <v>46094</v>
    </oc>
    <nc r="M1">
      <v>46157</v>
    </nc>
  </rcc>
  <rcc rId="18243" sId="7" numFmtId="21">
    <oc r="O1">
      <v>46097</v>
    </oc>
    <nc r="O1">
      <v>46160</v>
    </nc>
  </rcc>
  <rcc rId="18244" sId="7" numFmtId="21">
    <oc r="P1">
      <v>46098</v>
    </oc>
    <nc r="P1">
      <v>46161</v>
    </nc>
  </rcc>
  <rcc rId="18245" sId="7" numFmtId="21">
    <oc r="Q1">
      <v>46099</v>
    </oc>
    <nc r="Q1">
      <v>46162</v>
    </nc>
  </rcc>
  <rcc rId="18246" sId="7" numFmtId="21">
    <oc r="R1">
      <v>46100</v>
    </oc>
    <nc r="R1">
      <v>46163</v>
    </nc>
  </rcc>
  <rcc rId="18247" sId="7" numFmtId="21">
    <oc r="S1">
      <v>46101</v>
    </oc>
    <nc r="S1">
      <v>46164</v>
    </nc>
  </rcc>
  <rcc rId="18248" sId="7" numFmtId="21">
    <oc r="U1">
      <v>46104</v>
    </oc>
    <nc r="U1">
      <v>46167</v>
    </nc>
  </rcc>
  <rcc rId="18249" sId="7" numFmtId="21">
    <oc r="V1">
      <v>46105</v>
    </oc>
    <nc r="V1">
      <v>46168</v>
    </nc>
  </rcc>
  <rcc rId="18250" sId="7" numFmtId="21">
    <oc r="W1">
      <v>46106</v>
    </oc>
    <nc r="W1">
      <v>46169</v>
    </nc>
  </rcc>
  <rcc rId="18251" sId="7" numFmtId="21">
    <oc r="X1">
      <v>46107</v>
    </oc>
    <nc r="X1">
      <v>46170</v>
    </nc>
  </rcc>
  <rcc rId="18252" sId="7" numFmtId="21">
    <oc r="Y1">
      <v>46108</v>
    </oc>
    <nc r="Y1">
      <v>46171</v>
    </nc>
  </rcc>
  <rcc rId="18253" sId="7" numFmtId="21">
    <oc r="AA1">
      <v>46111</v>
    </oc>
    <nc r="AA1">
      <v>46174</v>
    </nc>
  </rcc>
  <rcc rId="18254" sId="7" numFmtId="21">
    <oc r="AB1">
      <v>46112</v>
    </oc>
    <nc r="AB1">
      <v>46175</v>
    </nc>
  </rcc>
  <rcc rId="18255" sId="7" numFmtId="21">
    <oc r="AC1">
      <v>46113</v>
    </oc>
    <nc r="AC1">
      <v>46176</v>
    </nc>
  </rcc>
  <rcc rId="18256" sId="7" numFmtId="21">
    <oc r="AD1">
      <v>46114</v>
    </oc>
    <nc r="AD1">
      <v>46177</v>
    </nc>
  </rcc>
  <rcc rId="18257" sId="7" numFmtId="21">
    <oc r="AE1">
      <v>46115</v>
    </oc>
    <nc r="AE1">
      <v>46178</v>
    </nc>
  </rcc>
  <rcc rId="18258" sId="7" numFmtId="21">
    <oc r="AG1">
      <v>46118</v>
    </oc>
    <nc r="AG1">
      <v>46181</v>
    </nc>
  </rcc>
  <rcc rId="18259" sId="7" numFmtId="21">
    <oc r="AH1">
      <v>46119</v>
    </oc>
    <nc r="AH1">
      <v>46182</v>
    </nc>
  </rcc>
  <rcc rId="18260" sId="7" numFmtId="21">
    <oc r="AI1">
      <v>46120</v>
    </oc>
    <nc r="AI1">
      <v>46183</v>
    </nc>
  </rcc>
  <rcc rId="18261" sId="7" numFmtId="21">
    <oc r="AJ1">
      <v>46121</v>
    </oc>
    <nc r="AJ1">
      <v>46184</v>
    </nc>
  </rcc>
  <rcc rId="18262" sId="7" numFmtId="21">
    <oc r="AK1">
      <v>46122</v>
    </oc>
    <nc r="AK1">
      <v>46185</v>
    </nc>
  </rcc>
  <rfmt sheetId="7" sqref="AL1" start="0" length="0">
    <dxf>
      <border outline="0">
        <right style="thin">
          <color auto="1"/>
        </right>
      </border>
    </dxf>
  </rfmt>
  <rcc rId="18263" sId="7" odxf="1" dxf="1" numFmtId="21">
    <oc r="AM1">
      <v>46125</v>
    </oc>
    <nc r="AM1">
      <v>46188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264" sId="7" odxf="1" dxf="1" numFmtId="21">
    <oc r="AN1">
      <v>46126</v>
    </oc>
    <nc r="AN1">
      <v>46189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265" sId="7" odxf="1" dxf="1" numFmtId="21">
    <oc r="AO1">
      <v>46127</v>
    </oc>
    <nc r="AO1">
      <v>46190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266" sId="7" odxf="1" dxf="1" numFmtId="21">
    <oc r="AP1">
      <v>46128</v>
    </oc>
    <nc r="AP1">
      <v>46191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267" sId="7" odxf="1" dxf="1" numFmtId="21">
    <oc r="AQ1">
      <v>46129</v>
    </oc>
    <nc r="AQ1">
      <v>46192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7" sqref="AR1" start="0" length="0">
    <dxf>
      <border outline="0">
        <left style="thin">
          <color auto="1"/>
        </left>
      </border>
    </dxf>
  </rfmt>
  <rcc rId="18268" sId="7" numFmtId="21">
    <oc r="AS1">
      <v>46132</v>
    </oc>
    <nc r="AS1">
      <v>46195</v>
    </nc>
  </rcc>
  <rcc rId="18269" sId="7" numFmtId="21">
    <oc r="AT1">
      <v>46133</v>
    </oc>
    <nc r="AT1">
      <v>46196</v>
    </nc>
  </rcc>
  <rcc rId="18270" sId="7" numFmtId="21">
    <oc r="AU1">
      <v>46134</v>
    </oc>
    <nc r="AU1">
      <v>46197</v>
    </nc>
  </rcc>
  <rcc rId="18271" sId="7" numFmtId="21">
    <oc r="AV1">
      <v>46135</v>
    </oc>
    <nc r="AV1">
      <v>46198</v>
    </nc>
  </rcc>
  <rcc rId="18272" sId="7" odxf="1" dxf="1" numFmtId="21">
    <oc r="AW1">
      <v>46136</v>
    </oc>
    <nc r="AW1">
      <v>46199</v>
    </nc>
    <odxf>
      <border outline="0">
        <right style="thin">
          <color auto="1"/>
        </right>
      </border>
    </odxf>
    <ndxf>
      <border outline="0">
        <right/>
      </border>
    </ndxf>
  </rcc>
  <rcc rId="18273" sId="7" numFmtId="21">
    <oc r="AY1">
      <v>46139</v>
    </oc>
    <nc r="AY1">
      <v>46202</v>
    </nc>
  </rcc>
  <rcc rId="18274" sId="7" numFmtId="21">
    <oc r="AZ1">
      <v>46140</v>
    </oc>
    <nc r="AZ1">
      <v>46203</v>
    </nc>
  </rcc>
  <rcc rId="18275" sId="7" odxf="1" dxf="1">
    <oc r="BA1">
      <v>46141</v>
    </oc>
    <nc r="BA1" t="inlineStr">
      <is>
        <t>TOTAL SEMANA</t>
      </is>
    </nc>
    <odxf>
      <numFmt numFmtId="21" formatCode="dd/mmm"/>
      <fill>
        <patternFill patternType="none">
          <bgColor indexed="65"/>
        </patternFill>
      </fill>
    </odxf>
    <ndxf>
      <numFmt numFmtId="0" formatCode="General"/>
      <fill>
        <patternFill patternType="solid">
          <bgColor theme="0" tint="-0.14999847407452621"/>
        </patternFill>
      </fill>
    </ndxf>
  </rcc>
  <rcc rId="18276" sId="7">
    <oc r="H2">
      <f>SUM(C2:G2)</f>
    </oc>
    <nc r="H2">
      <f>SUM(C2:G2)</f>
    </nc>
  </rcc>
  <rcc rId="18277" sId="7">
    <oc r="N2">
      <f>SUM(I2:M2)</f>
    </oc>
    <nc r="N2">
      <f>SUM(I2:M2)</f>
    </nc>
  </rcc>
  <rcc rId="18278" sId="7">
    <oc r="T2">
      <f>SUM(O2:S2)</f>
    </oc>
    <nc r="T2">
      <f>SUM(O2:S2)</f>
    </nc>
  </rcc>
  <rcc rId="18279" sId="7">
    <oc r="Z2">
      <f>SUM(U2:Y2)</f>
    </oc>
    <nc r="Z2">
      <f>SUM(U2:Y2)</f>
    </nc>
  </rcc>
  <rfmt sheetId="7" sqref="AA2" start="0" length="0">
    <dxf>
      <border outline="0">
        <left/>
        <top/>
      </border>
    </dxf>
  </rfmt>
  <rfmt sheetId="7" sqref="AB2" start="0" length="0">
    <dxf>
      <border outline="0">
        <top/>
      </border>
    </dxf>
  </rfmt>
  <rfmt sheetId="7" sqref="AC2" start="0" length="0">
    <dxf>
      <border outline="0">
        <top/>
      </border>
    </dxf>
  </rfmt>
  <rfmt sheetId="7" sqref="AD2" start="0" length="0">
    <dxf>
      <border outline="0">
        <top/>
      </border>
    </dxf>
  </rfmt>
  <rfmt sheetId="7" sqref="AE2" start="0" length="0">
    <dxf>
      <border outline="0">
        <right/>
        <top/>
      </border>
    </dxf>
  </rfmt>
  <rcc rId="18280" sId="7">
    <oc r="AF2">
      <f>SUM(AA2:AE2)</f>
    </oc>
    <nc r="AF2">
      <f>SUM(AA2:AE2)</f>
    </nc>
  </rcc>
  <rcc rId="18281" sId="7">
    <oc r="AK2">
      <v>2</v>
    </oc>
    <nc r="AK2"/>
  </rcc>
  <rcc rId="18282" sId="7">
    <oc r="AL2">
      <f>SUM(AG2:AK2)</f>
    </oc>
    <nc r="AL2">
      <f>SUM(AG2:AK2)</f>
    </nc>
  </rcc>
  <rfmt sheetId="7" sqref="AM2" start="0" length="0">
    <dxf>
      <font>
        <b val="0"/>
        <sz val="11"/>
        <color theme="1"/>
        <name val="Aptos Narrow"/>
        <family val="2"/>
        <scheme val="minor"/>
      </font>
    </dxf>
  </rfmt>
  <rfmt sheetId="7" sqref="AN2" start="0" length="0">
    <dxf>
      <font>
        <b val="0"/>
        <sz val="11"/>
        <color theme="1"/>
        <name val="Aptos Narrow"/>
        <family val="2"/>
        <scheme val="minor"/>
      </font>
    </dxf>
  </rfmt>
  <rcc rId="18283" sId="7">
    <oc r="AR2">
      <f>SUM(AM2:AQ2)</f>
    </oc>
    <nc r="AR2">
      <f>SUM(AM2:AQ2)</f>
    </nc>
  </rcc>
  <rcc rId="18284" sId="7">
    <oc r="AX2">
      <f>SUM(AS2:AW2)</f>
    </oc>
    <nc r="AX2">
      <f>SUM(AS2:AW2)</f>
    </nc>
  </rcc>
  <rcc rId="18285" sId="7" odxf="1" dxf="1">
    <nc r="BA2">
      <f>SUM(AY2:AZ2)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286" sId="7">
    <oc r="H3">
      <f>SUM(C3:G3)</f>
    </oc>
    <nc r="H3">
      <f>SUM(C3:G3)</f>
    </nc>
  </rcc>
  <rcc rId="18287" sId="7">
    <oc r="N3">
      <f>SUM(I3:M3)</f>
    </oc>
    <nc r="N3">
      <f>SUM(I3:M3)</f>
    </nc>
  </rcc>
  <rcc rId="18288" sId="7">
    <oc r="T3">
      <f>SUM(O3:S3)</f>
    </oc>
    <nc r="T3">
      <f>SUM(O3:S3)</f>
    </nc>
  </rcc>
  <rcc rId="18289" sId="7">
    <oc r="Z3">
      <f>SUM(U3:Y3)</f>
    </oc>
    <nc r="Z3">
      <f>SUM(U3:Y3)</f>
    </nc>
  </rcc>
  <rfmt sheetId="7" sqref="AA3" start="0" length="0">
    <dxf>
      <border outline="0">
        <left/>
      </border>
    </dxf>
  </rfmt>
  <rfmt sheetId="7" sqref="AE3" start="0" length="0">
    <dxf>
      <border outline="0">
        <right/>
      </border>
    </dxf>
  </rfmt>
  <rcc rId="18290" sId="7">
    <oc r="AF3">
      <f>SUM(AA3:AE3)</f>
    </oc>
    <nc r="AF3">
      <f>SUM(AA3:AE3)</f>
    </nc>
  </rcc>
  <rcc rId="18291" sId="7">
    <oc r="AL3">
      <f>SUM(AG3:AK3)</f>
    </oc>
    <nc r="AL3">
      <f>SUM(AG3:AK3)</f>
    </nc>
  </rcc>
  <rfmt sheetId="7" sqref="AM3" start="0" length="0">
    <dxf>
      <font>
        <b val="0"/>
        <sz val="11"/>
        <color theme="1"/>
        <name val="Aptos Narrow"/>
        <family val="2"/>
        <scheme val="minor"/>
      </font>
    </dxf>
  </rfmt>
  <rfmt sheetId="7" sqref="AN3" start="0" length="0">
    <dxf>
      <font>
        <b val="0"/>
        <sz val="11"/>
        <color theme="1"/>
        <name val="Aptos Narrow"/>
        <family val="2"/>
        <scheme val="minor"/>
      </font>
    </dxf>
  </rfmt>
  <rcc rId="18292" sId="7">
    <oc r="AR3">
      <f>SUM(AM3:AQ3)</f>
    </oc>
    <nc r="AR3">
      <f>SUM(AM3:AQ3)</f>
    </nc>
  </rcc>
  <rcc rId="18293" sId="7">
    <oc r="AX3">
      <f>SUM(AS3:AW3)</f>
    </oc>
    <nc r="AX3">
      <f>SUM(AS3:AW3)</f>
    </nc>
  </rcc>
  <rcc rId="18294" sId="7" odxf="1" dxf="1">
    <nc r="BA3">
      <f>SUM(AY3:AZ3)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295" sId="7">
    <oc r="H4">
      <f>SUM(C4:G4)</f>
    </oc>
    <nc r="H4">
      <f>SUM(C4:G4)</f>
    </nc>
  </rcc>
  <rcc rId="18296" sId="7">
    <oc r="N4">
      <f>SUM(I4:M4)</f>
    </oc>
    <nc r="N4">
      <f>SUM(I4:M4)</f>
    </nc>
  </rcc>
  <rcc rId="18297" sId="7">
    <oc r="T4">
      <f>SUM(O4:S4)</f>
    </oc>
    <nc r="T4">
      <f>SUM(O4:S4)</f>
    </nc>
  </rcc>
  <rcc rId="18298" sId="7">
    <oc r="Z4">
      <f>SUM(U4:Y4)</f>
    </oc>
    <nc r="Z4">
      <f>SUM(U4:Y4)</f>
    </nc>
  </rcc>
  <rfmt sheetId="7" sqref="AA4" start="0" length="0">
    <dxf>
      <border outline="0">
        <left/>
      </border>
    </dxf>
  </rfmt>
  <rfmt sheetId="7" sqref="AE4" start="0" length="0">
    <dxf>
      <border outline="0">
        <right/>
      </border>
    </dxf>
  </rfmt>
  <rcc rId="18299" sId="7">
    <oc r="AF4">
      <f>SUM(AA4:AE4)</f>
    </oc>
    <nc r="AF4">
      <f>SUM(AA4:AE4)</f>
    </nc>
  </rcc>
  <rcc rId="18300" sId="7">
    <oc r="AL4">
      <f>SUM(AG4:AK4)</f>
    </oc>
    <nc r="AL4">
      <f>SUM(AG4:AK4)</f>
    </nc>
  </rcc>
  <rfmt sheetId="7" sqref="AM4" start="0" length="0">
    <dxf>
      <font>
        <b val="0"/>
        <sz val="11"/>
        <color theme="1"/>
        <name val="Aptos Narrow"/>
        <family val="2"/>
        <scheme val="minor"/>
      </font>
    </dxf>
  </rfmt>
  <rfmt sheetId="7" sqref="AN4" start="0" length="0">
    <dxf>
      <font>
        <b val="0"/>
        <sz val="11"/>
        <color theme="1"/>
        <name val="Aptos Narrow"/>
        <family val="2"/>
        <scheme val="minor"/>
      </font>
    </dxf>
  </rfmt>
  <rcc rId="18301" sId="7">
    <oc r="AR4">
      <f>SUM(AM4:AQ4)</f>
    </oc>
    <nc r="AR4">
      <f>SUM(AM4:AQ4)</f>
    </nc>
  </rcc>
  <rcc rId="18302" sId="7">
    <oc r="AX4">
      <f>SUM(AS4:AW4)</f>
    </oc>
    <nc r="AX4">
      <f>SUM(AS4:AW4)</f>
    </nc>
  </rcc>
  <rcc rId="18303" sId="7" odxf="1" dxf="1">
    <nc r="BA4">
      <f>SUM(AY4:AZ4)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304" sId="7">
    <oc r="H5">
      <f>SUM(C5:G5)</f>
    </oc>
    <nc r="H5">
      <f>SUM(C5:G5)</f>
    </nc>
  </rcc>
  <rcc rId="18305" sId="7">
    <oc r="N5">
      <f>SUM(I5:M5)</f>
    </oc>
    <nc r="N5">
      <f>SUM(I5:M5)</f>
    </nc>
  </rcc>
  <rcc rId="18306" sId="7">
    <oc r="T5">
      <f>SUM(O5:S5)</f>
    </oc>
    <nc r="T5">
      <f>SUM(O5:S5)</f>
    </nc>
  </rcc>
  <rcc rId="18307" sId="7">
    <oc r="Z5">
      <f>SUM(U5:Y5)</f>
    </oc>
    <nc r="Z5">
      <f>SUM(U5:Y5)</f>
    </nc>
  </rcc>
  <rfmt sheetId="7" sqref="AA5" start="0" length="0">
    <dxf>
      <border outline="0">
        <left/>
      </border>
    </dxf>
  </rfmt>
  <rfmt sheetId="7" sqref="AE5" start="0" length="0">
    <dxf>
      <border outline="0">
        <right/>
      </border>
    </dxf>
  </rfmt>
  <rcc rId="18308" sId="7">
    <oc r="AF5">
      <f>SUM(AA5:AE5)</f>
    </oc>
    <nc r="AF5">
      <f>SUM(AA5:AE5)</f>
    </nc>
  </rcc>
  <rcc rId="18309" sId="7">
    <oc r="AL5">
      <f>SUM(AG5:AK5)</f>
    </oc>
    <nc r="AL5">
      <f>SUM(AG5:AK5)</f>
    </nc>
  </rcc>
  <rfmt sheetId="7" sqref="AM5" start="0" length="0">
    <dxf>
      <font>
        <b val="0"/>
        <sz val="11"/>
        <color theme="1"/>
        <name val="Aptos Narrow"/>
        <family val="2"/>
        <scheme val="minor"/>
      </font>
    </dxf>
  </rfmt>
  <rfmt sheetId="7" sqref="AN5" start="0" length="0">
    <dxf>
      <font>
        <b val="0"/>
        <sz val="11"/>
        <color theme="1"/>
        <name val="Aptos Narrow"/>
        <family val="2"/>
        <scheme val="minor"/>
      </font>
    </dxf>
  </rfmt>
  <rcc rId="18310" sId="7">
    <oc r="AR5">
      <f>SUM(AM5:AQ5)</f>
    </oc>
    <nc r="AR5">
      <f>SUM(AM5:AQ5)</f>
    </nc>
  </rcc>
  <rcc rId="18311" sId="7">
    <oc r="AX5">
      <f>SUM(AS5:AW5)</f>
    </oc>
    <nc r="AX5">
      <f>SUM(AS5:AW5)</f>
    </nc>
  </rcc>
  <rcc rId="18312" sId="7" odxf="1" dxf="1">
    <nc r="BA5">
      <f>SUM(AY5:AZ5)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313" sId="7">
    <oc r="H6">
      <f>SUM(C6:G6)</f>
    </oc>
    <nc r="H6">
      <f>SUM(C6:G6)</f>
    </nc>
  </rcc>
  <rcc rId="18314" sId="7">
    <oc r="N6">
      <f>SUM(I6:M6)</f>
    </oc>
    <nc r="N6">
      <f>SUM(I6:M6)</f>
    </nc>
  </rcc>
  <rcc rId="18315" sId="7">
    <oc r="T6">
      <f>SUM(O6:S6)</f>
    </oc>
    <nc r="T6">
      <f>SUM(O6:S6)</f>
    </nc>
  </rcc>
  <rcc rId="18316" sId="7">
    <oc r="Z6">
      <f>SUM(U6:Y6)</f>
    </oc>
    <nc r="Z6">
      <f>SUM(U6:Y6)</f>
    </nc>
  </rcc>
  <rfmt sheetId="7" sqref="AA6" start="0" length="0">
    <dxf>
      <border outline="0">
        <left/>
      </border>
    </dxf>
  </rfmt>
  <rfmt sheetId="7" sqref="AE6" start="0" length="0">
    <dxf>
      <border outline="0">
        <right/>
      </border>
    </dxf>
  </rfmt>
  <rcc rId="18317" sId="7">
    <oc r="AF6">
      <f>SUM(AA6:AE6)</f>
    </oc>
    <nc r="AF6">
      <f>SUM(AA6:AE6)</f>
    </nc>
  </rcc>
  <rcc rId="18318" sId="7">
    <oc r="AL6">
      <f>SUM(AG6:AK6)</f>
    </oc>
    <nc r="AL6">
      <f>SUM(AG6:AK6)</f>
    </nc>
  </rcc>
  <rfmt sheetId="7" sqref="AM6" start="0" length="0">
    <dxf>
      <font>
        <b val="0"/>
        <sz val="11"/>
        <color theme="1"/>
        <name val="Aptos Narrow"/>
        <family val="2"/>
        <scheme val="minor"/>
      </font>
    </dxf>
  </rfmt>
  <rfmt sheetId="7" sqref="AN6" start="0" length="0">
    <dxf>
      <font>
        <b val="0"/>
        <sz val="11"/>
        <color theme="1"/>
        <name val="Aptos Narrow"/>
        <family val="2"/>
        <scheme val="minor"/>
      </font>
    </dxf>
  </rfmt>
  <rcc rId="18319" sId="7">
    <oc r="AR6">
      <f>SUM(AM6:AQ6)</f>
    </oc>
    <nc r="AR6">
      <f>SUM(AM6:AQ6)</f>
    </nc>
  </rcc>
  <rcc rId="18320" sId="7">
    <oc r="AX6">
      <f>SUM(AS6:AW6)</f>
    </oc>
    <nc r="AX6">
      <f>SUM(AS6:AW6)</f>
    </nc>
  </rcc>
  <rcc rId="18321" sId="7" odxf="1" dxf="1">
    <nc r="BA6">
      <f>SUM(AY6:AZ6)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322" sId="7">
    <oc r="H7">
      <f>SUM(C7:G7)</f>
    </oc>
    <nc r="H7">
      <f>SUM(C7:G7)</f>
    </nc>
  </rcc>
  <rcc rId="18323" sId="7">
    <oc r="N7">
      <f>SUM(I7:M7)</f>
    </oc>
    <nc r="N7">
      <f>SUM(I7:M7)</f>
    </nc>
  </rcc>
  <rcc rId="18324" sId="7">
    <oc r="T7">
      <f>SUM(O7:S7)</f>
    </oc>
    <nc r="T7">
      <f>SUM(O7:S7)</f>
    </nc>
  </rcc>
  <rcc rId="18325" sId="7">
    <oc r="Z7">
      <f>SUM(U7:Y7)</f>
    </oc>
    <nc r="Z7">
      <f>SUM(U7:Y7)</f>
    </nc>
  </rcc>
  <rfmt sheetId="7" sqref="AA7" start="0" length="0">
    <dxf>
      <border outline="0">
        <left/>
      </border>
    </dxf>
  </rfmt>
  <rfmt sheetId="7" sqref="AE7" start="0" length="0">
    <dxf>
      <border outline="0">
        <right/>
      </border>
    </dxf>
  </rfmt>
  <rcc rId="18326" sId="7">
    <oc r="AF7">
      <f>SUM(AA7:AE7)</f>
    </oc>
    <nc r="AF7">
      <f>SUM(AA7:AE7)</f>
    </nc>
  </rcc>
  <rcc rId="18327" sId="7">
    <oc r="AL7">
      <f>SUM(AG7:AK7)</f>
    </oc>
    <nc r="AL7">
      <f>SUM(AG7:AK7)</f>
    </nc>
  </rcc>
  <rfmt sheetId="7" sqref="AM7" start="0" length="0">
    <dxf>
      <font>
        <b val="0"/>
        <sz val="11"/>
        <color theme="1"/>
        <name val="Aptos Narrow"/>
        <family val="2"/>
        <scheme val="minor"/>
      </font>
    </dxf>
  </rfmt>
  <rfmt sheetId="7" sqref="AN7" start="0" length="0">
    <dxf>
      <font>
        <b val="0"/>
        <sz val="11"/>
        <color theme="1"/>
        <name val="Aptos Narrow"/>
        <family val="2"/>
        <scheme val="minor"/>
      </font>
    </dxf>
  </rfmt>
  <rcc rId="18328" sId="7">
    <oc r="AR7">
      <f>SUM(AM7:AQ7)</f>
    </oc>
    <nc r="AR7">
      <f>SUM(AM7:AQ7)</f>
    </nc>
  </rcc>
  <rcc rId="18329" sId="7">
    <oc r="AX7">
      <f>SUM(AS7:AW7)</f>
    </oc>
    <nc r="AX7">
      <f>SUM(AS7:AW7)</f>
    </nc>
  </rcc>
  <rcc rId="18330" sId="7" odxf="1" dxf="1">
    <nc r="BA7">
      <f>SUM(AY7:AZ7)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331" sId="7">
    <oc r="H8">
      <f>SUM(C8:G8)</f>
    </oc>
    <nc r="H8">
      <f>SUM(C8:G8)</f>
    </nc>
  </rcc>
  <rcc rId="18332" sId="7">
    <oc r="N8">
      <f>SUM(I8:M8)</f>
    </oc>
    <nc r="N8">
      <f>SUM(I8:M8)</f>
    </nc>
  </rcc>
  <rcc rId="18333" sId="7">
    <oc r="T8">
      <f>SUM(O8:S8)</f>
    </oc>
    <nc r="T8">
      <f>SUM(O8:S8)</f>
    </nc>
  </rcc>
  <rcc rId="18334" sId="7">
    <oc r="Z8">
      <f>SUM(U8:Y8)</f>
    </oc>
    <nc r="Z8">
      <f>SUM(U8:Y8)</f>
    </nc>
  </rcc>
  <rfmt sheetId="7" sqref="AA8" start="0" length="0">
    <dxf>
      <border outline="0">
        <left/>
      </border>
    </dxf>
  </rfmt>
  <rfmt sheetId="7" sqref="AE8" start="0" length="0">
    <dxf>
      <border outline="0">
        <right/>
      </border>
    </dxf>
  </rfmt>
  <rcc rId="18335" sId="7">
    <oc r="AF8">
      <f>SUM(AA8:AE8)</f>
    </oc>
    <nc r="AF8">
      <f>SUM(AA8:AE8)</f>
    </nc>
  </rcc>
  <rcc rId="18336" sId="7">
    <oc r="AL8">
      <f>SUM(AG8:AK8)</f>
    </oc>
    <nc r="AL8">
      <f>SUM(AG8:AK8)</f>
    </nc>
  </rcc>
  <rfmt sheetId="7" sqref="AM8" start="0" length="0">
    <dxf>
      <font>
        <b val="0"/>
        <sz val="11"/>
        <color theme="1"/>
        <name val="Aptos Narrow"/>
        <family val="2"/>
        <scheme val="minor"/>
      </font>
    </dxf>
  </rfmt>
  <rfmt sheetId="7" sqref="AN8" start="0" length="0">
    <dxf>
      <font>
        <b val="0"/>
        <sz val="11"/>
        <color theme="1"/>
        <name val="Aptos Narrow"/>
        <family val="2"/>
        <scheme val="minor"/>
      </font>
    </dxf>
  </rfmt>
  <rcc rId="18337" sId="7">
    <oc r="AR8">
      <f>SUM(AM8:AQ8)</f>
    </oc>
    <nc r="AR8">
      <f>SUM(AM8:AQ8)</f>
    </nc>
  </rcc>
  <rcc rId="18338" sId="7">
    <oc r="AX8">
      <f>SUM(AS8:AW8)</f>
    </oc>
    <nc r="AX8">
      <f>SUM(AS8:AW8)</f>
    </nc>
  </rcc>
  <rcc rId="18339" sId="7" odxf="1" dxf="1">
    <nc r="BA8">
      <f>SUM(AY8:AZ8)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340" sId="7">
    <oc r="H9">
      <f>SUM(C9:G9)</f>
    </oc>
    <nc r="H9">
      <f>SUM(C9:G9)</f>
    </nc>
  </rcc>
  <rcc rId="18341" sId="7">
    <oc r="N9">
      <f>SUM(I9:M9)</f>
    </oc>
    <nc r="N9">
      <f>SUM(I9:M9)</f>
    </nc>
  </rcc>
  <rcc rId="18342" sId="7">
    <oc r="O9">
      <v>7</v>
    </oc>
    <nc r="O9"/>
  </rcc>
  <rcc rId="18343" sId="7">
    <oc r="P9">
      <v>7</v>
    </oc>
    <nc r="P9"/>
  </rcc>
  <rcc rId="18344" sId="7">
    <oc r="Q9">
      <v>5</v>
    </oc>
    <nc r="Q9"/>
  </rcc>
  <rcc rId="18345" sId="7">
    <oc r="R9">
      <v>7</v>
    </oc>
    <nc r="R9"/>
  </rcc>
  <rcc rId="18346" sId="7">
    <oc r="T9">
      <f>SUM(O9:S9)</f>
    </oc>
    <nc r="T9">
      <f>SUM(O9:S9)</f>
    </nc>
  </rcc>
  <rcc rId="18347" sId="7">
    <oc r="Z9">
      <f>SUM(U9:Y9)</f>
    </oc>
    <nc r="Z9">
      <f>SUM(U9:Y9)</f>
    </nc>
  </rcc>
  <rfmt sheetId="7" sqref="AA9" start="0" length="0">
    <dxf>
      <border outline="0">
        <left/>
      </border>
    </dxf>
  </rfmt>
  <rfmt sheetId="7" sqref="AE9" start="0" length="0">
    <dxf>
      <border outline="0">
        <right/>
      </border>
    </dxf>
  </rfmt>
  <rcc rId="18348" sId="7">
    <oc r="AF9">
      <f>SUM(AA9:AE9)</f>
    </oc>
    <nc r="AF9">
      <f>SUM(AA9:AE9)</f>
    </nc>
  </rcc>
  <rcc rId="18349" sId="7">
    <oc r="AL9">
      <f>SUM(AG9:AK9)</f>
    </oc>
    <nc r="AL9">
      <f>SUM(AG9:AK9)</f>
    </nc>
  </rcc>
  <rfmt sheetId="7" sqref="AM9" start="0" length="0">
    <dxf>
      <font>
        <b val="0"/>
        <sz val="11"/>
        <color theme="1"/>
        <name val="Aptos Narrow"/>
        <family val="2"/>
        <scheme val="minor"/>
      </font>
    </dxf>
  </rfmt>
  <rfmt sheetId="7" sqref="AN9" start="0" length="0">
    <dxf>
      <font>
        <b val="0"/>
        <sz val="11"/>
        <color theme="1"/>
        <name val="Aptos Narrow"/>
        <family val="2"/>
        <scheme val="minor"/>
      </font>
    </dxf>
  </rfmt>
  <rcc rId="18350" sId="7">
    <oc r="AR9">
      <f>SUM(AM9:AQ9)</f>
    </oc>
    <nc r="AR9">
      <f>SUM(AM9:AQ9)</f>
    </nc>
  </rcc>
  <rcc rId="18351" sId="7">
    <oc r="AX9">
      <f>SUM(AS9:AW9)</f>
    </oc>
    <nc r="AX9">
      <f>SUM(AS9:AW9)</f>
    </nc>
  </rcc>
  <rcc rId="18352" sId="7" odxf="1" dxf="1">
    <nc r="BA9">
      <f>SUM(AY9:AZ9)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353" sId="7">
    <oc r="H10">
      <f>SUM(C10:G10)</f>
    </oc>
    <nc r="H10">
      <f>SUM(C10:G10)</f>
    </nc>
  </rcc>
  <rcc rId="18354" sId="7">
    <oc r="N10">
      <f>SUM(I10:M10)</f>
    </oc>
    <nc r="N10">
      <f>SUM(I10:M10)</f>
    </nc>
  </rcc>
  <rcc rId="18355" sId="7">
    <oc r="T10">
      <f>SUM(O10:S10)</f>
    </oc>
    <nc r="T10">
      <f>SUM(O10:S10)</f>
    </nc>
  </rcc>
  <rcc rId="18356" sId="7">
    <oc r="Z10">
      <f>SUM(U10:Y10)</f>
    </oc>
    <nc r="Z10">
      <f>SUM(U10:Y10)</f>
    </nc>
  </rcc>
  <rfmt sheetId="7" sqref="AA10" start="0" length="0">
    <dxf>
      <border outline="0">
        <left/>
      </border>
    </dxf>
  </rfmt>
  <rfmt sheetId="7" sqref="AE10" start="0" length="0">
    <dxf>
      <border outline="0">
        <right/>
      </border>
    </dxf>
  </rfmt>
  <rcc rId="18357" sId="7">
    <oc r="AF10">
      <f>SUM(AA10:AE10)</f>
    </oc>
    <nc r="AF10">
      <f>SUM(AA10:AE10)</f>
    </nc>
  </rcc>
  <rcc rId="18358" sId="7">
    <oc r="AL10">
      <f>SUM(AG10:AK10)</f>
    </oc>
    <nc r="AL10">
      <f>SUM(AG10:AK10)</f>
    </nc>
  </rcc>
  <rfmt sheetId="7" sqref="AM10" start="0" length="0">
    <dxf>
      <font>
        <b val="0"/>
        <sz val="11"/>
        <color theme="1"/>
        <name val="Aptos Narrow"/>
        <family val="2"/>
        <scheme val="minor"/>
      </font>
    </dxf>
  </rfmt>
  <rfmt sheetId="7" sqref="AN10" start="0" length="0">
    <dxf>
      <font>
        <b val="0"/>
        <sz val="11"/>
        <color theme="1"/>
        <name val="Aptos Narrow"/>
        <family val="2"/>
        <scheme val="minor"/>
      </font>
    </dxf>
  </rfmt>
  <rcc rId="18359" sId="7">
    <oc r="AR10">
      <f>SUM(AM10:AQ10)</f>
    </oc>
    <nc r="AR10">
      <f>SUM(AM10:AQ10)</f>
    </nc>
  </rcc>
  <rcc rId="18360" sId="7">
    <oc r="AX10">
      <f>SUM(AS10:AW10)</f>
    </oc>
    <nc r="AX10">
      <f>SUM(AS10:AW10)</f>
    </nc>
  </rcc>
  <rcc rId="18361" sId="7" odxf="1" dxf="1">
    <nc r="BA10">
      <f>SUM(AY10:AZ10)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362" sId="7">
    <oc r="H11">
      <f>SUM(C11:G11)</f>
    </oc>
    <nc r="H11">
      <f>SUM(C11:G11)</f>
    </nc>
  </rcc>
  <rcc rId="18363" sId="7">
    <oc r="N11">
      <f>SUM(I11:M11)</f>
    </oc>
    <nc r="N11">
      <f>SUM(I11:M11)</f>
    </nc>
  </rcc>
  <rcc rId="18364" sId="7">
    <oc r="T11">
      <f>SUM(O11:S11)</f>
    </oc>
    <nc r="T11">
      <f>SUM(O11:S11)</f>
    </nc>
  </rcc>
  <rcc rId="18365" sId="7">
    <oc r="Z11">
      <f>SUM(U11:Y11)</f>
    </oc>
    <nc r="Z11">
      <f>SUM(U11:Y11)</f>
    </nc>
  </rcc>
  <rfmt sheetId="7" sqref="AA11" start="0" length="0">
    <dxf>
      <border outline="0">
        <left/>
      </border>
    </dxf>
  </rfmt>
  <rfmt sheetId="7" sqref="AE11" start="0" length="0">
    <dxf>
      <border outline="0">
        <right/>
      </border>
    </dxf>
  </rfmt>
  <rcc rId="18366" sId="7">
    <oc r="AF11">
      <f>SUM(AA11:AE11)</f>
    </oc>
    <nc r="AF11">
      <f>SUM(AA11:AE11)</f>
    </nc>
  </rcc>
  <rcc rId="18367" sId="7">
    <oc r="AH11">
      <v>9</v>
    </oc>
    <nc r="AH11"/>
  </rcc>
  <rcc rId="18368" sId="7">
    <oc r="AI11">
      <v>8</v>
    </oc>
    <nc r="AI11"/>
  </rcc>
  <rcc rId="18369" sId="7">
    <oc r="AJ11">
      <v>7</v>
    </oc>
    <nc r="AJ11"/>
  </rcc>
  <rcc rId="18370" sId="7">
    <oc r="AL11">
      <f>SUM(AG11:AK11)</f>
    </oc>
    <nc r="AL11">
      <f>SUM(AG11:AK11)</f>
    </nc>
  </rcc>
  <rcc rId="18371" sId="7" odxf="1" dxf="1">
    <oc r="AM11">
      <v>3</v>
    </oc>
    <nc r="AM11"/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fmt sheetId="7" sqref="AN11" start="0" length="0">
    <dxf>
      <font>
        <b val="0"/>
        <sz val="11"/>
        <color theme="1"/>
        <name val="Aptos Narrow"/>
        <family val="2"/>
        <scheme val="minor"/>
      </font>
    </dxf>
  </rfmt>
  <rcc rId="18372" sId="7">
    <oc r="AO11">
      <v>2</v>
    </oc>
    <nc r="AO11"/>
  </rcc>
  <rcc rId="18373" sId="7">
    <oc r="AP11">
      <v>3</v>
    </oc>
    <nc r="AP11"/>
  </rcc>
  <rcc rId="18374" sId="7">
    <oc r="AQ11">
      <v>5</v>
    </oc>
    <nc r="AQ11"/>
  </rcc>
  <rcc rId="18375" sId="7">
    <oc r="AR11">
      <f>SUM(AM11:AQ11)</f>
    </oc>
    <nc r="AR11">
      <f>SUM(AM11:AQ11)</f>
    </nc>
  </rcc>
  <rcc rId="18376" sId="7">
    <oc r="AX11">
      <f>SUM(AS11:AW11)</f>
    </oc>
    <nc r="AX11">
      <f>SUM(AS11:AW11)</f>
    </nc>
  </rcc>
  <rcc rId="18377" sId="7" odxf="1" dxf="1">
    <nc r="BA11">
      <f>SUM(AY11:AZ11)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378" sId="7">
    <oc r="H12">
      <f>SUM(C12:G12)</f>
    </oc>
    <nc r="H12">
      <f>SUM(C12:G12)</f>
    </nc>
  </rcc>
  <rcc rId="18379" sId="7">
    <oc r="N12">
      <f>SUM(I12:M12)</f>
    </oc>
    <nc r="N12">
      <f>SUM(I12:M12)</f>
    </nc>
  </rcc>
  <rcc rId="18380" sId="7">
    <oc r="T12">
      <f>SUM(O12:S12)</f>
    </oc>
    <nc r="T12">
      <f>SUM(O12:S12)</f>
    </nc>
  </rcc>
  <rcc rId="18381" sId="7">
    <oc r="Z12">
      <f>SUM(U12:Y12)</f>
    </oc>
    <nc r="Z12">
      <f>SUM(U12:Y12)</f>
    </nc>
  </rcc>
  <rfmt sheetId="7" sqref="AA12" start="0" length="0">
    <dxf>
      <border outline="0">
        <left/>
      </border>
    </dxf>
  </rfmt>
  <rfmt sheetId="7" sqref="AE12" start="0" length="0">
    <dxf>
      <border outline="0">
        <right/>
      </border>
    </dxf>
  </rfmt>
  <rcc rId="18382" sId="7">
    <oc r="AF12">
      <f>SUM(AA12:AE12)</f>
    </oc>
    <nc r="AF12">
      <f>SUM(AA12:AE12)</f>
    </nc>
  </rcc>
  <rcc rId="18383" sId="7">
    <oc r="AH12">
      <v>59</v>
    </oc>
    <nc r="AH12"/>
  </rcc>
  <rcc rId="18384" sId="7">
    <oc r="AI12">
      <v>53</v>
    </oc>
    <nc r="AI12"/>
  </rcc>
  <rcc rId="18385" sId="7">
    <oc r="AJ12">
      <v>53</v>
    </oc>
    <nc r="AJ12"/>
  </rcc>
  <rcc rId="18386" sId="7">
    <oc r="AL12">
      <f>SUM(AG12:AK12)</f>
    </oc>
    <nc r="AL12">
      <f>SUM(AG12:AK12)</f>
    </nc>
  </rcc>
  <rcc rId="18387" sId="7" odxf="1" dxf="1">
    <oc r="AM12">
      <v>22</v>
    </oc>
    <nc r="AM12"/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fmt sheetId="7" sqref="AN12" start="0" length="0">
    <dxf>
      <font>
        <b val="0"/>
        <sz val="11"/>
        <color theme="1"/>
        <name val="Aptos Narrow"/>
        <family val="2"/>
        <scheme val="minor"/>
      </font>
    </dxf>
  </rfmt>
  <rcc rId="18388" sId="7">
    <oc r="AO12">
      <v>8</v>
    </oc>
    <nc r="AO12"/>
  </rcc>
  <rcc rId="18389" sId="7">
    <oc r="AP12">
      <v>17</v>
    </oc>
    <nc r="AP12"/>
  </rcc>
  <rcc rId="18390" sId="7">
    <oc r="AQ12">
      <v>43</v>
    </oc>
    <nc r="AQ12"/>
  </rcc>
  <rcc rId="18391" sId="7">
    <oc r="AR12">
      <f>SUM(AM12:AQ12)</f>
    </oc>
    <nc r="AR12">
      <f>SUM(AM12:AQ12)</f>
    </nc>
  </rcc>
  <rcc rId="18392" sId="7">
    <oc r="AX12">
      <f>SUM(AS12:AW12)</f>
    </oc>
    <nc r="AX12">
      <f>SUM(AS12:AW12)</f>
    </nc>
  </rcc>
  <rcc rId="18393" sId="7" odxf="1" dxf="1">
    <nc r="BA12">
      <f>SUM(AY12:AZ12)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394" sId="7">
    <oc r="F13">
      <v>1</v>
    </oc>
    <nc r="F13"/>
  </rcc>
  <rcc rId="18395" sId="7">
    <oc r="H13">
      <f>SUM(C13:G13)</f>
    </oc>
    <nc r="H13">
      <f>SUM(C13:G13)</f>
    </nc>
  </rcc>
  <rcc rId="18396" sId="7">
    <oc r="N13">
      <f>SUM(I13:M13)</f>
    </oc>
    <nc r="N13">
      <f>SUM(I13:M13)</f>
    </nc>
  </rcc>
  <rcc rId="18397" sId="7">
    <oc r="T13">
      <f>SUM(O13:S13)</f>
    </oc>
    <nc r="T13">
      <f>SUM(O13:S13)</f>
    </nc>
  </rcc>
  <rcc rId="18398" sId="7">
    <oc r="Z13">
      <f>SUM(U13:Y13)</f>
    </oc>
    <nc r="Z13">
      <f>SUM(U13:Y13)</f>
    </nc>
  </rcc>
  <rfmt sheetId="7" sqref="AA13" start="0" length="0">
    <dxf>
      <border outline="0">
        <left/>
      </border>
    </dxf>
  </rfmt>
  <rfmt sheetId="7" sqref="AE13" start="0" length="0">
    <dxf>
      <border outline="0">
        <right/>
      </border>
    </dxf>
  </rfmt>
  <rcc rId="18399" sId="7">
    <oc r="AF13">
      <f>SUM(AA13:AE13)</f>
    </oc>
    <nc r="AF13">
      <f>SUM(AA13:AE13)</f>
    </nc>
  </rcc>
  <rcc rId="18400" sId="7">
    <oc r="AK13">
      <v>1</v>
    </oc>
    <nc r="AK13"/>
  </rcc>
  <rcc rId="18401" sId="7">
    <oc r="AL13">
      <f>SUM(AG13:AK13)</f>
    </oc>
    <nc r="AL13">
      <f>SUM(AG13:AK13)</f>
    </nc>
  </rcc>
  <rfmt sheetId="7" sqref="AM13" start="0" length="0">
    <dxf>
      <font>
        <b val="0"/>
        <sz val="11"/>
        <color theme="1"/>
        <name val="Aptos Narrow"/>
        <family val="2"/>
        <scheme val="minor"/>
      </font>
    </dxf>
  </rfmt>
  <rfmt sheetId="7" sqref="AN13" start="0" length="0">
    <dxf>
      <font>
        <b val="0"/>
        <sz val="11"/>
        <color theme="1"/>
        <name val="Aptos Narrow"/>
        <family val="2"/>
        <scheme val="minor"/>
      </font>
    </dxf>
  </rfmt>
  <rcc rId="18402" sId="7">
    <oc r="AR13">
      <f>SUM(AM13:AQ13)</f>
    </oc>
    <nc r="AR13">
      <f>SUM(AM13:AQ13)</f>
    </nc>
  </rcc>
  <rcc rId="18403" sId="7">
    <oc r="AX13">
      <f>SUM(AS13:AW13)</f>
    </oc>
    <nc r="AX13">
      <f>SUM(AS13:AW13)</f>
    </nc>
  </rcc>
  <rcc rId="18404" sId="7" odxf="1" dxf="1">
    <nc r="BA13">
      <f>SUM(AY13:AZ13)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405" sId="7">
    <oc r="H14">
      <f>SUM(C14:G14)</f>
    </oc>
    <nc r="H14">
      <f>SUM(C14:G14)</f>
    </nc>
  </rcc>
  <rcc rId="18406" sId="7">
    <oc r="N14">
      <f>SUM(I14:M14)</f>
    </oc>
    <nc r="N14">
      <f>SUM(I14:M14)</f>
    </nc>
  </rcc>
  <rcc rId="18407" sId="7">
    <oc r="T14">
      <f>SUM(O14:S14)</f>
    </oc>
    <nc r="T14">
      <f>SUM(O14:S14)</f>
    </nc>
  </rcc>
  <rcc rId="18408" sId="7">
    <oc r="Z14">
      <f>SUM(U14:Y14)</f>
    </oc>
    <nc r="Z14">
      <f>SUM(U14:Y14)</f>
    </nc>
  </rcc>
  <rfmt sheetId="7" sqref="AA14" start="0" length="0">
    <dxf>
      <border outline="0">
        <left/>
      </border>
    </dxf>
  </rfmt>
  <rfmt sheetId="7" sqref="AE14" start="0" length="0">
    <dxf>
      <border outline="0">
        <right/>
      </border>
    </dxf>
  </rfmt>
  <rcc rId="18409" sId="7">
    <oc r="AF14">
      <f>SUM(AA14:AE14)</f>
    </oc>
    <nc r="AF14">
      <f>SUM(AA14:AE14)</f>
    </nc>
  </rcc>
  <rcc rId="18410" sId="7">
    <oc r="AL14">
      <f>SUM(AG14:AK14)</f>
    </oc>
    <nc r="AL14">
      <f>SUM(AG14:AK14)</f>
    </nc>
  </rcc>
  <rfmt sheetId="7" sqref="AM14" start="0" length="0">
    <dxf>
      <font>
        <b val="0"/>
        <sz val="11"/>
        <color theme="1"/>
        <name val="Aptos Narrow"/>
        <family val="2"/>
        <scheme val="minor"/>
      </font>
    </dxf>
  </rfmt>
  <rcc rId="18411" sId="7" odxf="1" dxf="1">
    <oc r="AN14">
      <v>1</v>
    </oc>
    <nc r="AN14"/>
    <odxf>
      <font>
        <b/>
      </font>
    </odxf>
    <ndxf>
      <font>
        <b val="0"/>
        <sz val="11"/>
        <color theme="1"/>
        <name val="Aptos Narrow"/>
        <family val="2"/>
        <scheme val="minor"/>
      </font>
    </ndxf>
  </rcc>
  <rcc rId="18412" sId="7">
    <oc r="AR14">
      <f>SUM(AM14:AQ14)</f>
    </oc>
    <nc r="AR14">
      <f>SUM(AM14:AQ14)</f>
    </nc>
  </rcc>
  <rcc rId="18413" sId="7">
    <oc r="AX14">
      <f>SUM(AS14:AW14)</f>
    </oc>
    <nc r="AX14">
      <f>SUM(AS14:AW14)</f>
    </nc>
  </rcc>
  <rcc rId="18414" sId="7" odxf="1" dxf="1">
    <nc r="BA14">
      <f>SUM(AY14:AZ14)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415" sId="7">
    <oc r="H15">
      <f>SUM(C15:G15)</f>
    </oc>
    <nc r="H15">
      <f>SUM(C15:G15)</f>
    </nc>
  </rcc>
  <rcc rId="18416" sId="7">
    <oc r="N15">
      <f>SUM(I15:M15)</f>
    </oc>
    <nc r="N15">
      <f>SUM(I15:M15)</f>
    </nc>
  </rcc>
  <rcc rId="18417" sId="7">
    <oc r="T15">
      <f>SUM(O15:S15)</f>
    </oc>
    <nc r="T15">
      <f>SUM(O15:S15)</f>
    </nc>
  </rcc>
  <rcc rId="18418" sId="7">
    <oc r="Z15">
      <f>SUM(U15:Y15)</f>
    </oc>
    <nc r="Z15">
      <f>SUM(U15:Y15)</f>
    </nc>
  </rcc>
  <rfmt sheetId="7" sqref="AA15" start="0" length="0">
    <dxf>
      <border outline="0">
        <left/>
      </border>
    </dxf>
  </rfmt>
  <rfmt sheetId="7" sqref="AE15" start="0" length="0">
    <dxf>
      <border outline="0">
        <right/>
      </border>
    </dxf>
  </rfmt>
  <rcc rId="18419" sId="7">
    <oc r="AF15">
      <f>SUM(AA15:AE15)</f>
    </oc>
    <nc r="AF15">
      <f>SUM(AA15:AE15)</f>
    </nc>
  </rcc>
  <rcc rId="18420" sId="7">
    <oc r="AL15">
      <f>SUM(AG15:AK15)</f>
    </oc>
    <nc r="AL15">
      <f>SUM(AG15:AK15)</f>
    </nc>
  </rcc>
  <rfmt sheetId="7" sqref="AM15" start="0" length="0">
    <dxf>
      <font>
        <b val="0"/>
        <sz val="11"/>
        <color theme="1"/>
        <name val="Aptos Narrow"/>
        <family val="2"/>
        <scheme val="minor"/>
      </font>
    </dxf>
  </rfmt>
  <rfmt sheetId="7" sqref="AN15" start="0" length="0">
    <dxf>
      <font>
        <b val="0"/>
        <sz val="11"/>
        <color theme="1"/>
        <name val="Aptos Narrow"/>
        <family val="2"/>
        <scheme val="minor"/>
      </font>
    </dxf>
  </rfmt>
  <rcc rId="18421" sId="7">
    <oc r="AR15">
      <f>SUM(AM15:AQ15)</f>
    </oc>
    <nc r="AR15">
      <f>SUM(AM15:AQ15)</f>
    </nc>
  </rcc>
  <rcc rId="18422" sId="7">
    <oc r="AU15">
      <v>175</v>
    </oc>
    <nc r="AU15"/>
  </rcc>
  <rcc rId="18423" sId="7">
    <oc r="AX15">
      <f>SUM(AS15:AW15)</f>
    </oc>
    <nc r="AX15">
      <f>SUM(AS15:AW15)</f>
    </nc>
  </rcc>
  <rcc rId="18424" sId="7" odxf="1" dxf="1">
    <nc r="BA15">
      <f>SUM(AY15:AZ15)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425" sId="7">
    <oc r="H16">
      <f>SUM(C16:G16)</f>
    </oc>
    <nc r="H16">
      <f>SUM(C16:G16)</f>
    </nc>
  </rcc>
  <rcc rId="18426" sId="7">
    <oc r="N16">
      <f>SUM(I16:M16)</f>
    </oc>
    <nc r="N16">
      <f>SUM(I16:M16)</f>
    </nc>
  </rcc>
  <rcc rId="18427" sId="7">
    <oc r="T16">
      <f>SUM(O16:S16)</f>
    </oc>
    <nc r="T16">
      <f>SUM(O16:S16)</f>
    </nc>
  </rcc>
  <rcc rId="18428" sId="7">
    <oc r="Z16">
      <f>SUM(U16:Y16)</f>
    </oc>
    <nc r="Z16">
      <f>SUM(U16:Y16)</f>
    </nc>
  </rcc>
  <rfmt sheetId="7" sqref="AA16" start="0" length="0">
    <dxf>
      <border outline="0">
        <left/>
      </border>
    </dxf>
  </rfmt>
  <rfmt sheetId="7" sqref="AE16" start="0" length="0">
    <dxf>
      <border outline="0">
        <right/>
      </border>
    </dxf>
  </rfmt>
  <rcc rId="18429" sId="7">
    <oc r="AF16">
      <f>SUM(AA16:AE16)</f>
    </oc>
    <nc r="AF16">
      <f>SUM(AA16:AE16)</f>
    </nc>
  </rcc>
  <rcc rId="18430" sId="7">
    <oc r="AL16">
      <f>SUM(AG16:AK16)</f>
    </oc>
    <nc r="AL16">
      <f>SUM(AG16:AK16)</f>
    </nc>
  </rcc>
  <rfmt sheetId="7" sqref="AN16" start="0" length="0">
    <dxf>
      <font>
        <b val="0"/>
        <sz val="11"/>
        <color theme="1"/>
        <name val="Aptos Narrow"/>
        <family val="2"/>
        <scheme val="minor"/>
      </font>
    </dxf>
  </rfmt>
  <rcc rId="18431" sId="7">
    <oc r="AR16">
      <f>SUM(AM16:AQ16)</f>
    </oc>
    <nc r="AR16">
      <f>SUM(AM16:AQ16)</f>
    </nc>
  </rcc>
  <rcc rId="18432" sId="7">
    <oc r="AX16">
      <f>SUM(AS16:AW16)</f>
    </oc>
    <nc r="AX16">
      <f>SUM(AS16:AW16)</f>
    </nc>
  </rcc>
  <rcc rId="18433" sId="7" odxf="1" dxf="1">
    <nc r="BA16">
      <f>SUM(AY16:AZ16)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434" sId="7" odxf="1" dxf="1">
    <oc r="C17">
      <v>10</v>
    </oc>
    <nc r="C17"/>
    <odxf>
      <border outline="0">
        <left style="thin">
          <color indexed="64"/>
        </left>
      </border>
    </odxf>
    <ndxf>
      <border outline="0">
        <left/>
      </border>
    </ndxf>
  </rcc>
  <rcc rId="18435" sId="7">
    <oc r="D17">
      <v>10</v>
    </oc>
    <nc r="D17"/>
  </rcc>
  <rcc rId="18436" sId="7">
    <oc r="E17">
      <v>10</v>
    </oc>
    <nc r="E17"/>
  </rcc>
  <rcc rId="18437" sId="7">
    <oc r="F17">
      <v>10</v>
    </oc>
    <nc r="F17"/>
  </rcc>
  <rcc rId="18438" sId="7" odxf="1" dxf="1">
    <oc r="G17">
      <v>10</v>
    </oc>
    <nc r="G17"/>
    <odxf>
      <border outline="0">
        <right style="thin">
          <color indexed="64"/>
        </right>
      </border>
    </odxf>
    <ndxf>
      <border outline="0">
        <right/>
      </border>
    </ndxf>
  </rcc>
  <rcc rId="18439" sId="7">
    <oc r="H17">
      <f>SUM(C17:G17)</f>
    </oc>
    <nc r="H17">
      <f>SUM(C17:G17)</f>
    </nc>
  </rcc>
  <rcc rId="18440" sId="7">
    <oc r="I17">
      <v>3</v>
    </oc>
    <nc r="I17"/>
  </rcc>
  <rcc rId="18441" sId="7">
    <oc r="J17">
      <v>4</v>
    </oc>
    <nc r="J17"/>
  </rcc>
  <rcc rId="18442" sId="7">
    <oc r="K17">
      <v>7</v>
    </oc>
    <nc r="K17"/>
  </rcc>
  <rcc rId="18443" sId="7">
    <oc r="L17">
      <v>7</v>
    </oc>
    <nc r="L17"/>
  </rcc>
  <rcc rId="18444" sId="7">
    <oc r="M17">
      <v>7</v>
    </oc>
    <nc r="M17"/>
  </rcc>
  <rcc rId="18445" sId="7">
    <oc r="N17">
      <f>SUM(I17:M17)</f>
    </oc>
    <nc r="N17">
      <f>SUM(I17:M17)</f>
    </nc>
  </rcc>
  <rcc rId="18446" sId="7">
    <oc r="T17">
      <f>SUM(O17:S17)</f>
    </oc>
    <nc r="T17">
      <f>SUM(O17:S17)</f>
    </nc>
  </rcc>
  <rcc rId="18447" sId="7">
    <oc r="Z17">
      <f>SUM(U17:Y17)</f>
    </oc>
    <nc r="Z17">
      <f>SUM(U17:Y17)</f>
    </nc>
  </rcc>
  <rfmt sheetId="7" sqref="AA17" start="0" length="0">
    <dxf>
      <border outline="0">
        <left/>
      </border>
    </dxf>
  </rfmt>
  <rfmt sheetId="7" sqref="AE17" start="0" length="0">
    <dxf>
      <border outline="0">
        <right/>
      </border>
    </dxf>
  </rfmt>
  <rcc rId="18448" sId="7">
    <oc r="AF17">
      <f>SUM(AA17:AE17)</f>
    </oc>
    <nc r="AF17">
      <f>SUM(AA17:AE17)</f>
    </nc>
  </rcc>
  <rcc rId="18449" sId="7">
    <oc r="AL17">
      <f>SUM(AG17:AK17)</f>
    </oc>
    <nc r="AL17">
      <f>SUM(AG17:AK17)</f>
    </nc>
  </rcc>
  <rfmt sheetId="7" sqref="AM17" start="0" length="0">
    <dxf>
      <font>
        <b val="0"/>
        <sz val="11"/>
        <color theme="1"/>
        <name val="Aptos Narrow"/>
        <family val="2"/>
        <scheme val="minor"/>
      </font>
      <border outline="0">
        <left/>
        <right/>
        <top/>
      </border>
    </dxf>
  </rfmt>
  <rfmt sheetId="7" sqref="AN17" start="0" length="0">
    <dxf>
      <font>
        <b val="0"/>
        <sz val="11"/>
        <color theme="1"/>
        <name val="Aptos Narrow"/>
        <family val="2"/>
        <scheme val="minor"/>
      </font>
    </dxf>
  </rfmt>
  <rcc rId="18450" sId="7">
    <oc r="AR17">
      <f>SUM(AM17:AQ17)</f>
    </oc>
    <nc r="AR17">
      <f>SUM(AM17:AQ17)</f>
    </nc>
  </rcc>
  <rcc rId="18451" sId="7">
    <oc r="AX17">
      <f>SUM(AS17:AW17)</f>
    </oc>
    <nc r="AX17">
      <f>SUM(AS17:AW17)</f>
    </nc>
  </rcc>
  <rcc rId="18452" sId="7" odxf="1" dxf="1">
    <nc r="BA17">
      <f>SUM(AY17:AZ17)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rc rId="18453" sId="7" ref="BB1:BB1048576" action="deleteCol">
    <rfmt sheetId="7" xfDxf="1" sqref="BB1:BB1048576" start="0" length="0">
      <dxf>
        <alignment horizontal="center" vertical="center"/>
      </dxf>
    </rfmt>
    <rcc rId="0" sId="7" dxf="1" numFmtId="21">
      <nc r="BB1">
        <v>46142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7" sqref="BB17" start="0" length="0">
      <dxf>
        <border outline="0">
          <bottom style="thin">
            <color indexed="64"/>
          </bottom>
        </border>
      </dxf>
    </rfmt>
  </rrc>
  <rrc rId="18454" sId="7" ref="BB1:BB1048576" action="deleteCol">
    <undo index="65535" exp="area" dr="AY17:BB17" r="BC17" sId="7"/>
    <undo index="65535" exp="area" dr="AY16:BB16" r="BC16" sId="7"/>
    <undo index="65535" exp="area" dr="AY15:BB15" r="BC15" sId="7"/>
    <undo index="65535" exp="area" dr="AY14:BB14" r="BC14" sId="7"/>
    <undo index="65535" exp="area" dr="AY13:BB13" r="BC13" sId="7"/>
    <undo index="65535" exp="area" dr="AY12:BB12" r="BC12" sId="7"/>
    <undo index="65535" exp="area" dr="AY11:BB11" r="BC11" sId="7"/>
    <undo index="65535" exp="area" dr="AY10:BB10" r="BC10" sId="7"/>
    <undo index="65535" exp="area" dr="AY9:BB9" r="BC9" sId="7"/>
    <undo index="65535" exp="area" dr="AY8:BB8" r="BC8" sId="7"/>
    <undo index="65535" exp="area" dr="AY7:BB7" r="BC7" sId="7"/>
    <undo index="65535" exp="area" dr="AY6:BB6" r="BC6" sId="7"/>
    <undo index="65535" exp="area" dr="AY5:BB5" r="BC5" sId="7"/>
    <undo index="65535" exp="area" dr="AY4:BB4" r="BC4" sId="7"/>
    <undo index="65535" exp="area" dr="AY3:BB3" r="BC3" sId="7"/>
    <undo index="65535" exp="area" dr="AY2:BB2" r="BC2" sId="7"/>
    <rfmt sheetId="7" xfDxf="1" sqref="BB1:BB1048576" start="0" length="0">
      <dxf>
        <alignment horizontal="center" vertical="center"/>
      </dxf>
    </rfmt>
    <rcc rId="0" sId="7" dxf="1" numFmtId="21">
      <nc r="BB1">
        <v>46143</v>
      </nc>
      <n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fmt sheetId="7" sqref="BB17" start="0" length="0">
      <dxf>
        <border outline="0">
          <bottom style="thin">
            <color indexed="64"/>
          </bottom>
        </border>
      </dxf>
    </rfmt>
  </rrc>
  <rrc rId="18455" sId="7" ref="BB1:BB1048576" action="deleteCol">
    <undo index="65535" exp="ref" ref3D="1" v="1" dr="BB17" r="K17" sId="3"/>
    <undo index="65535" exp="ref" ref3D="1" v="1" dr="BB16" r="K16" sId="3"/>
    <undo index="65535" exp="ref" ref3D="1" v="1" dr="BB15" r="K15" sId="3"/>
    <undo index="65535" exp="ref" ref3D="1" v="1" dr="BB14" r="K14" sId="3"/>
    <undo index="65535" exp="ref" ref3D="1" v="1" dr="BB13" r="K13" sId="3"/>
    <undo index="65535" exp="ref" ref3D="1" v="1" dr="BB12" r="K12" sId="3"/>
    <undo index="65535" exp="ref" ref3D="1" v="1" dr="BB11" r="K11" sId="3"/>
    <undo index="65535" exp="ref" ref3D="1" v="1" dr="BB10" r="K10" sId="3"/>
    <undo index="65535" exp="ref" ref3D="1" v="1" dr="BB9" r="K9" sId="3"/>
    <undo index="65535" exp="ref" ref3D="1" v="1" dr="BB8" r="K8" sId="3"/>
    <undo index="65535" exp="ref" ref3D="1" v="1" dr="BB7" r="K7" sId="3"/>
    <undo index="65535" exp="ref" ref3D="1" v="1" dr="BB6" r="K6" sId="3"/>
    <undo index="65535" exp="ref" ref3D="1" v="1" dr="BB5" r="K5" sId="3"/>
    <undo index="65535" exp="ref" ref3D="1" v="1" dr="BB4" r="K4" sId="3"/>
    <undo index="65535" exp="ref" ref3D="1" v="1" dr="BB3" r="K3" sId="3"/>
    <undo index="65535" exp="ref" ref3D="1" v="1" dr="BB2" r="K2" sId="3"/>
    <rfmt sheetId="7" xfDxf="1" sqref="BB1:BB1048576" start="0" length="0">
      <dxf>
        <alignment horizontal="center" vertical="center"/>
      </dxf>
    </rfmt>
    <rcc rId="0" sId="7" dxf="1">
      <nc r="BB1" t="inlineStr">
        <is>
          <t>TOTAL SEMANA</t>
        </is>
      </nc>
      <n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7" dxf="1">
      <nc r="BB2">
        <f>SUM(AY2:BA2)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3">
        <f>SUM(AY3:BA3)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4">
        <f>SUM(AY4:BA4)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5">
        <f>SUM(AY5:BA5)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6">
        <f>SUM(AY6:BA6)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7">
        <f>SUM(AY7:BA7)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8">
        <f>SUM(AY8:BA8)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9">
        <f>SUM(AY9:BA9)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10">
        <f>SUM(AY10:BA10)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11">
        <f>SUM(AY11:BA11)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12">
        <f>SUM(AY12:BA12)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13">
        <f>SUM(AY13:BA13)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14">
        <f>SUM(AY14:BA14)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15">
        <f>SUM(AY15:BA15)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16">
        <f>SUM(AY16:BA16)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7" dxf="1">
      <nc r="BB17">
        <f>SUM(AY17:BA17)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</rrc>
  <rrc rId="18456" sId="7" ref="BB1:BB1048576" action="deleteCol">
    <rfmt sheetId="7" xfDxf="1" sqref="BB1:BB1048576" start="0" length="0">
      <dxf>
        <alignment horizontal="center" vertical="center"/>
      </dxf>
    </rfmt>
  </rrc>
  <rrc rId="18457" sId="7" ref="BB1:BB1048576" action="deleteCol">
    <rfmt sheetId="7" xfDxf="1" sqref="BB1:BB1048576" start="0" length="0">
      <dxf>
        <alignment horizontal="center" vertical="center"/>
      </dxf>
    </rfmt>
  </rrc>
  <rcc rId="18458" sId="8" numFmtId="21">
    <oc r="C1">
      <v>46083</v>
    </oc>
    <nc r="C1">
      <v>46146</v>
    </nc>
  </rcc>
  <rcc rId="18459" sId="8" numFmtId="21">
    <oc r="D1">
      <v>46084</v>
    </oc>
    <nc r="D1">
      <v>46147</v>
    </nc>
  </rcc>
  <rcc rId="18460" sId="8" numFmtId="21">
    <oc r="E1">
      <v>46085</v>
    </oc>
    <nc r="E1">
      <v>46148</v>
    </nc>
  </rcc>
  <rcc rId="18461" sId="8" numFmtId="21">
    <oc r="F1">
      <v>46086</v>
    </oc>
    <nc r="F1">
      <v>46149</v>
    </nc>
  </rcc>
  <rcc rId="18462" sId="8" numFmtId="21">
    <oc r="G1">
      <v>46087</v>
    </oc>
    <nc r="G1">
      <v>46150</v>
    </nc>
  </rcc>
  <rcc rId="18463" sId="8" numFmtId="21">
    <oc r="I1">
      <v>46090</v>
    </oc>
    <nc r="I1">
      <v>46153</v>
    </nc>
  </rcc>
  <rcc rId="18464" sId="8" numFmtId="21">
    <oc r="J1">
      <v>46091</v>
    </oc>
    <nc r="J1">
      <v>46154</v>
    </nc>
  </rcc>
  <rcc rId="18465" sId="8" numFmtId="21">
    <oc r="K1">
      <v>46092</v>
    </oc>
    <nc r="K1">
      <v>46155</v>
    </nc>
  </rcc>
  <rcc rId="18466" sId="8" numFmtId="21">
    <oc r="L1">
      <v>46093</v>
    </oc>
    <nc r="L1">
      <v>46156</v>
    </nc>
  </rcc>
  <rcc rId="18467" sId="8" numFmtId="21">
    <oc r="M1">
      <v>46094</v>
    </oc>
    <nc r="M1">
      <v>46157</v>
    </nc>
  </rcc>
  <rcc rId="18468" sId="8" numFmtId="21">
    <oc r="O1">
      <v>46097</v>
    </oc>
    <nc r="O1">
      <v>46160</v>
    </nc>
  </rcc>
  <rcc rId="18469" sId="8" numFmtId="21">
    <oc r="P1">
      <v>46098</v>
    </oc>
    <nc r="P1">
      <v>46161</v>
    </nc>
  </rcc>
  <rcc rId="18470" sId="8" numFmtId="21">
    <oc r="Q1">
      <v>46099</v>
    </oc>
    <nc r="Q1">
      <v>46162</v>
    </nc>
  </rcc>
  <rcc rId="18471" sId="8" numFmtId="21">
    <oc r="R1">
      <v>46100</v>
    </oc>
    <nc r="R1">
      <v>46163</v>
    </nc>
  </rcc>
  <rcc rId="18472" sId="8" numFmtId="21">
    <oc r="S1">
      <v>46101</v>
    </oc>
    <nc r="S1">
      <v>46164</v>
    </nc>
  </rcc>
  <rcc rId="18473" sId="8" numFmtId="21">
    <oc r="U1">
      <v>46104</v>
    </oc>
    <nc r="U1">
      <v>46167</v>
    </nc>
  </rcc>
  <rcc rId="18474" sId="8" numFmtId="21">
    <oc r="V1">
      <v>46105</v>
    </oc>
    <nc r="V1">
      <v>46168</v>
    </nc>
  </rcc>
  <rcc rId="18475" sId="8" numFmtId="21">
    <oc r="W1">
      <v>46106</v>
    </oc>
    <nc r="W1">
      <v>46169</v>
    </nc>
  </rcc>
  <rcc rId="18476" sId="8" numFmtId="21">
    <oc r="X1">
      <v>46107</v>
    </oc>
    <nc r="X1">
      <v>46170</v>
    </nc>
  </rcc>
  <rcc rId="18477" sId="8" numFmtId="21">
    <oc r="Y1">
      <v>46108</v>
    </oc>
    <nc r="Y1">
      <v>46171</v>
    </nc>
  </rcc>
  <rcc rId="18478" sId="8" numFmtId="21">
    <oc r="AA1">
      <v>46111</v>
    </oc>
    <nc r="AA1">
      <v>46174</v>
    </nc>
  </rcc>
  <rcc rId="18479" sId="8" numFmtId="21">
    <oc r="AB1">
      <v>46112</v>
    </oc>
    <nc r="AB1">
      <v>46175</v>
    </nc>
  </rcc>
  <rcc rId="18480" sId="8" numFmtId="21">
    <oc r="AC1">
      <v>46113</v>
    </oc>
    <nc r="AC1">
      <v>46176</v>
    </nc>
  </rcc>
  <rcc rId="18481" sId="8" numFmtId="21">
    <oc r="AD1">
      <v>46114</v>
    </oc>
    <nc r="AD1">
      <v>46177</v>
    </nc>
  </rcc>
  <rcc rId="18482" sId="8" numFmtId="21">
    <oc r="AE1">
      <v>46115</v>
    </oc>
    <nc r="AE1">
      <v>46178</v>
    </nc>
  </rcc>
  <rcc rId="18483" sId="8" numFmtId="21">
    <oc r="AG1">
      <v>46118</v>
    </oc>
    <nc r="AG1">
      <v>46181</v>
    </nc>
  </rcc>
  <rcc rId="18484" sId="8" numFmtId="21">
    <oc r="AH1">
      <v>46119</v>
    </oc>
    <nc r="AH1">
      <v>46182</v>
    </nc>
  </rcc>
  <rcc rId="18485" sId="8" numFmtId="21">
    <oc r="AI1">
      <v>46120</v>
    </oc>
    <nc r="AI1">
      <v>46183</v>
    </nc>
  </rcc>
  <rcc rId="18486" sId="8" numFmtId="21">
    <oc r="AJ1">
      <v>46121</v>
    </oc>
    <nc r="AJ1">
      <v>46184</v>
    </nc>
  </rcc>
  <rcc rId="18487" sId="8" numFmtId="21">
    <oc r="AK1">
      <v>46122</v>
    </oc>
    <nc r="AK1">
      <v>46185</v>
    </nc>
  </rcc>
  <rfmt sheetId="8" sqref="AL1" start="0" length="0">
    <dxf>
      <border outline="0">
        <right style="thin">
          <color auto="1"/>
        </right>
      </border>
    </dxf>
  </rfmt>
  <rcc rId="18488" sId="8" odxf="1" dxf="1" numFmtId="21">
    <oc r="AM1">
      <v>46125</v>
    </oc>
    <nc r="AM1">
      <v>46188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489" sId="8" odxf="1" dxf="1" numFmtId="21">
    <oc r="AN1">
      <v>46126</v>
    </oc>
    <nc r="AN1">
      <v>46189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490" sId="8" odxf="1" dxf="1" numFmtId="21">
    <oc r="AO1">
      <v>46127</v>
    </oc>
    <nc r="AO1">
      <v>46190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491" sId="8" odxf="1" dxf="1" numFmtId="21">
    <oc r="AP1">
      <v>46128</v>
    </oc>
    <nc r="AP1">
      <v>46191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492" sId="8" odxf="1" dxf="1" numFmtId="21">
    <oc r="AQ1">
      <v>46129</v>
    </oc>
    <nc r="AQ1">
      <v>46192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8" sqref="AR1" start="0" length="0">
    <dxf>
      <border outline="0">
        <left style="thin">
          <color auto="1"/>
        </left>
      </border>
    </dxf>
  </rfmt>
  <rcc rId="18493" sId="8" numFmtId="21">
    <oc r="AS1">
      <v>46132</v>
    </oc>
    <nc r="AS1">
      <v>46195</v>
    </nc>
  </rcc>
  <rcc rId="18494" sId="8" numFmtId="21">
    <oc r="AT1">
      <v>46133</v>
    </oc>
    <nc r="AT1">
      <v>46196</v>
    </nc>
  </rcc>
  <rcc rId="18495" sId="8" numFmtId="21">
    <oc r="AU1">
      <v>46134</v>
    </oc>
    <nc r="AU1">
      <v>46197</v>
    </nc>
  </rcc>
  <rcc rId="18496" sId="8" numFmtId="21">
    <oc r="AV1">
      <v>46135</v>
    </oc>
    <nc r="AV1">
      <v>46198</v>
    </nc>
  </rcc>
  <rcc rId="18497" sId="8" odxf="1" dxf="1" numFmtId="21">
    <oc r="AW1">
      <v>46136</v>
    </oc>
    <nc r="AW1">
      <v>46199</v>
    </nc>
    <odxf>
      <border outline="0">
        <right style="thin">
          <color auto="1"/>
        </right>
      </border>
    </odxf>
    <ndxf>
      <border outline="0">
        <right/>
      </border>
    </ndxf>
  </rcc>
  <rcc rId="18498" sId="8" numFmtId="21">
    <oc r="AY1">
      <v>46139</v>
    </oc>
    <nc r="AY1">
      <v>46202</v>
    </nc>
  </rcc>
  <rcc rId="18499" sId="8" numFmtId="21">
    <oc r="AZ1">
      <v>46140</v>
    </oc>
    <nc r="AZ1">
      <v>46203</v>
    </nc>
  </rcc>
  <rcc rId="18500" sId="8" odxf="1" dxf="1">
    <oc r="BA1">
      <v>46141</v>
    </oc>
    <nc r="BA1" t="inlineStr">
      <is>
        <t>TOTAL SEMANA</t>
      </is>
    </nc>
    <odxf>
      <numFmt numFmtId="21" formatCode="dd/mmm"/>
      <fill>
        <patternFill patternType="none">
          <bgColor indexed="65"/>
        </patternFill>
      </fill>
    </odxf>
    <ndxf>
      <numFmt numFmtId="0" formatCode="General"/>
      <fill>
        <patternFill patternType="solid">
          <bgColor theme="0" tint="-0.14999847407452621"/>
        </patternFill>
      </fill>
    </ndxf>
  </rcc>
  <rcc rId="18501" sId="8">
    <oc r="H2">
      <f>SUM(C2:G2)</f>
    </oc>
    <nc r="H2">
      <f>SUM(C2:G2)</f>
    </nc>
  </rcc>
  <rcc rId="18502" sId="8">
    <oc r="N2">
      <f>SUM(I2:M2)</f>
    </oc>
    <nc r="N2">
      <f>SUM(I2:M2)</f>
    </nc>
  </rcc>
  <rcc rId="18503" sId="8">
    <oc r="T2">
      <f>SUM(O2:S2)</f>
    </oc>
    <nc r="T2">
      <f>SUM(O2:S2)</f>
    </nc>
  </rcc>
  <rcc rId="18504" sId="8">
    <oc r="Z2">
      <f>SUM(U2:Y2)</f>
    </oc>
    <nc r="Z2">
      <f>SUM(U2:Y2)</f>
    </nc>
  </rcc>
  <rcc rId="18505" sId="8">
    <oc r="AF2">
      <f>SUM(AA2:AE2)</f>
    </oc>
    <nc r="AF2">
      <f>SUM(AA2:AE2)</f>
    </nc>
  </rcc>
  <rcc rId="18506" sId="8">
    <oc r="AL2">
      <f>SUM(AG2:AK2)</f>
    </oc>
    <nc r="AL2">
      <f>SUM(AG2:AK2)</f>
    </nc>
  </rcc>
  <rcc rId="18507" sId="8">
    <oc r="AR2">
      <f>SUM(AM2:AQ2)</f>
    </oc>
    <nc r="AR2">
      <f>SUM(AM2:AQ2)</f>
    </nc>
  </rcc>
  <rcc rId="18508" sId="8">
    <oc r="AX2">
      <f>SUM(AS2:AW2)</f>
    </oc>
    <nc r="AX2">
      <f>SUM(AS2:AW2)</f>
    </nc>
  </rcc>
  <rcc rId="18509" sId="8" odxf="1" dxf="1">
    <nc r="BA2">
      <f>SUM(AY2:AZ2)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510" sId="8">
    <oc r="H3">
      <f>SUM(C3:G3)</f>
    </oc>
    <nc r="H3">
      <f>SUM(C3:G3)</f>
    </nc>
  </rcc>
  <rcc rId="18511" sId="8">
    <oc r="N3">
      <f>SUM(I3:M3)</f>
    </oc>
    <nc r="N3">
      <f>SUM(I3:M3)</f>
    </nc>
  </rcc>
  <rcc rId="18512" sId="8">
    <oc r="T3">
      <f>SUM(O3:S3)</f>
    </oc>
    <nc r="T3">
      <f>SUM(O3:S3)</f>
    </nc>
  </rcc>
  <rcc rId="18513" sId="8">
    <oc r="Z3">
      <f>SUM(U3:Y3)</f>
    </oc>
    <nc r="Z3">
      <f>SUM(U3:Y3)</f>
    </nc>
  </rcc>
  <rcc rId="18514" sId="8">
    <oc r="AF3">
      <f>SUM(AA3:AE3)</f>
    </oc>
    <nc r="AF3">
      <f>SUM(AA3:AE3)</f>
    </nc>
  </rcc>
  <rcc rId="18515" sId="8">
    <oc r="AL3">
      <f>SUM(AG3:AK3)</f>
    </oc>
    <nc r="AL3">
      <f>SUM(AG3:AK3)</f>
    </nc>
  </rcc>
  <rcc rId="18516" sId="8">
    <oc r="AR3">
      <f>SUM(AM3:AQ3)</f>
    </oc>
    <nc r="AR3">
      <f>SUM(AM3:AQ3)</f>
    </nc>
  </rcc>
  <rcc rId="18517" sId="8">
    <oc r="AX3">
      <f>SUM(AS3:AW3)</f>
    </oc>
    <nc r="AX3">
      <f>SUM(AS3:AW3)</f>
    </nc>
  </rcc>
  <rcc rId="18518" sId="8" odxf="1" dxf="1">
    <nc r="BA3">
      <f>SUM(AY3:AZ3)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519" sId="8">
    <oc r="H4">
      <f>SUM(C4:G4)</f>
    </oc>
    <nc r="H4">
      <f>SUM(C4:G4)</f>
    </nc>
  </rcc>
  <rcc rId="18520" sId="8">
    <oc r="N4">
      <f>SUM(I4:M4)</f>
    </oc>
    <nc r="N4">
      <f>SUM(I4:M4)</f>
    </nc>
  </rcc>
  <rcc rId="18521" sId="8">
    <oc r="T4">
      <f>SUM(O4:S4)</f>
    </oc>
    <nc r="T4">
      <f>SUM(O4:S4)</f>
    </nc>
  </rcc>
  <rcc rId="18522" sId="8">
    <oc r="Z4">
      <f>SUM(U4:Y4)</f>
    </oc>
    <nc r="Z4">
      <f>SUM(U4:Y4)</f>
    </nc>
  </rcc>
  <rcc rId="18523" sId="8">
    <oc r="AF4">
      <f>SUM(AA4:AE4)</f>
    </oc>
    <nc r="AF4">
      <f>SUM(AA4:AE4)</f>
    </nc>
  </rcc>
  <rcc rId="18524" sId="8">
    <oc r="AL4">
      <f>SUM(AG4:AK4)</f>
    </oc>
    <nc r="AL4">
      <f>SUM(AG4:AK4)</f>
    </nc>
  </rcc>
  <rcc rId="18525" sId="8">
    <oc r="AN4">
      <v>13</v>
    </oc>
    <nc r="AN4"/>
  </rcc>
  <rcc rId="18526" sId="8">
    <oc r="AR4">
      <f>SUM(AM4:AQ4)</f>
    </oc>
    <nc r="AR4">
      <f>SUM(AM4:AQ4)</f>
    </nc>
  </rcc>
  <rcc rId="18527" sId="8">
    <oc r="AX4">
      <f>SUM(AS4:AW4)</f>
    </oc>
    <nc r="AX4">
      <f>SUM(AS4:AW4)</f>
    </nc>
  </rcc>
  <rcc rId="18528" sId="8" odxf="1" dxf="1">
    <nc r="BA4">
      <f>SUM(AY4:AZ4)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529" sId="8">
    <oc r="H5">
      <f>SUM(C5:G5)</f>
    </oc>
    <nc r="H5">
      <f>SUM(C5:G5)</f>
    </nc>
  </rcc>
  <rcc rId="18530" sId="8">
    <oc r="N5">
      <f>SUM(I5:M5)</f>
    </oc>
    <nc r="N5">
      <f>SUM(I5:M5)</f>
    </nc>
  </rcc>
  <rcc rId="18531" sId="8">
    <oc r="T5">
      <f>SUM(O5:S5)</f>
    </oc>
    <nc r="T5">
      <f>SUM(O5:S5)</f>
    </nc>
  </rcc>
  <rcc rId="18532" sId="8">
    <oc r="Z5">
      <f>SUM(U5:Y5)</f>
    </oc>
    <nc r="Z5">
      <f>SUM(U5:Y5)</f>
    </nc>
  </rcc>
  <rcc rId="18533" sId="8">
    <oc r="AF5">
      <f>SUM(AA5:AE5)</f>
    </oc>
    <nc r="AF5">
      <f>SUM(AA5:AE5)</f>
    </nc>
  </rcc>
  <rcc rId="18534" sId="8">
    <oc r="AL5">
      <f>SUM(AG5:AK5)</f>
    </oc>
    <nc r="AL5">
      <f>SUM(AG5:AK5)</f>
    </nc>
  </rcc>
  <rcc rId="18535" sId="8">
    <oc r="AR5">
      <f>SUM(AM5:AQ5)</f>
    </oc>
    <nc r="AR5">
      <f>SUM(AM5:AQ5)</f>
    </nc>
  </rcc>
  <rcc rId="18536" sId="8">
    <oc r="AX5">
      <f>SUM(AS5:AW5)</f>
    </oc>
    <nc r="AX5">
      <f>SUM(AS5:AW5)</f>
    </nc>
  </rcc>
  <rcc rId="18537" sId="8" odxf="1" dxf="1">
    <nc r="BA5">
      <f>SUM(AY5:AZ5)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538" sId="8">
    <oc r="H6">
      <f>SUM(C6:G6)</f>
    </oc>
    <nc r="H6">
      <f>SUM(C6:G6)</f>
    </nc>
  </rcc>
  <rcc rId="18539" sId="8">
    <oc r="N6">
      <f>SUM(I6:M6)</f>
    </oc>
    <nc r="N6">
      <f>SUM(I6:M6)</f>
    </nc>
  </rcc>
  <rcc rId="18540" sId="8">
    <oc r="T6">
      <f>SUM(O6:S6)</f>
    </oc>
    <nc r="T6">
      <f>SUM(O6:S6)</f>
    </nc>
  </rcc>
  <rcc rId="18541" sId="8">
    <oc r="Z6">
      <f>SUM(U6:Y6)</f>
    </oc>
    <nc r="Z6">
      <f>SUM(U6:Y6)</f>
    </nc>
  </rcc>
  <rcc rId="18542" sId="8">
    <oc r="AF6">
      <f>SUM(AA6:AE6)</f>
    </oc>
    <nc r="AF6">
      <f>SUM(AA6:AE6)</f>
    </nc>
  </rcc>
  <rcc rId="18543" sId="8">
    <oc r="AL6">
      <f>SUM(AG6:AK6)</f>
    </oc>
    <nc r="AL6">
      <f>SUM(AG6:AK6)</f>
    </nc>
  </rcc>
  <rcc rId="18544" sId="8">
    <oc r="AR6">
      <f>SUM(AM6:AQ6)</f>
    </oc>
    <nc r="AR6">
      <f>SUM(AM6:AQ6)</f>
    </nc>
  </rcc>
  <rcc rId="18545" sId="8">
    <oc r="AX6">
      <f>SUM(AS6:AW6)</f>
    </oc>
    <nc r="AX6">
      <f>SUM(AS6:AW6)</f>
    </nc>
  </rcc>
  <rcc rId="18546" sId="8" odxf="1" dxf="1">
    <nc r="BA6">
      <f>SUM(AY6:AZ6)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547" sId="8">
    <oc r="H7">
      <f>SUM(C7:G7)</f>
    </oc>
    <nc r="H7">
      <f>SUM(C7:G7)</f>
    </nc>
  </rcc>
  <rcc rId="18548" sId="8">
    <oc r="N7">
      <f>SUM(I7:M7)</f>
    </oc>
    <nc r="N7">
      <f>SUM(I7:M7)</f>
    </nc>
  </rcc>
  <rcc rId="18549" sId="8">
    <oc r="T7">
      <f>SUM(O7:S7)</f>
    </oc>
    <nc r="T7">
      <f>SUM(O7:S7)</f>
    </nc>
  </rcc>
  <rcc rId="18550" sId="8">
    <oc r="Z7">
      <f>SUM(U7:Y7)</f>
    </oc>
    <nc r="Z7">
      <f>SUM(U7:Y7)</f>
    </nc>
  </rcc>
  <rcc rId="18551" sId="8">
    <oc r="AF7">
      <f>SUM(AA7:AE7)</f>
    </oc>
    <nc r="AF7">
      <f>SUM(AA7:AE7)</f>
    </nc>
  </rcc>
  <rcc rId="18552" sId="8">
    <oc r="AL7">
      <f>SUM(AG7:AK7)</f>
    </oc>
    <nc r="AL7">
      <f>SUM(AG7:AK7)</f>
    </nc>
  </rcc>
  <rcc rId="18553" sId="8">
    <oc r="AR7">
      <f>SUM(AM7:AQ7)</f>
    </oc>
    <nc r="AR7">
      <f>SUM(AM7:AQ7)</f>
    </nc>
  </rcc>
  <rcc rId="18554" sId="8">
    <oc r="AX7">
      <f>SUM(AS7:AW7)</f>
    </oc>
    <nc r="AX7">
      <f>SUM(AS7:AW7)</f>
    </nc>
  </rcc>
  <rcc rId="18555" sId="8" odxf="1" dxf="1">
    <nc r="BA7">
      <f>SUM(AY7:AZ7)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556" sId="8">
    <oc r="H8">
      <f>SUM(C8:G8)</f>
    </oc>
    <nc r="H8">
      <f>SUM(C8:G8)</f>
    </nc>
  </rcc>
  <rcc rId="18557" sId="8">
    <oc r="N8">
      <f>SUM(I8:M8)</f>
    </oc>
    <nc r="N8">
      <f>SUM(I8:M8)</f>
    </nc>
  </rcc>
  <rcc rId="18558" sId="8">
    <oc r="T8">
      <f>SUM(O8:S8)</f>
    </oc>
    <nc r="T8">
      <f>SUM(O8:S8)</f>
    </nc>
  </rcc>
  <rcc rId="18559" sId="8">
    <oc r="Z8">
      <f>SUM(U8:Y8)</f>
    </oc>
    <nc r="Z8">
      <f>SUM(U8:Y8)</f>
    </nc>
  </rcc>
  <rcc rId="18560" sId="8">
    <oc r="AF8">
      <f>SUM(AA8:AE8)</f>
    </oc>
    <nc r="AF8">
      <f>SUM(AA8:AE8)</f>
    </nc>
  </rcc>
  <rcc rId="18561" sId="8">
    <oc r="AL8">
      <f>SUM(AG8:AK8)</f>
    </oc>
    <nc r="AL8">
      <f>SUM(AG8:AK8)</f>
    </nc>
  </rcc>
  <rcc rId="18562" sId="8">
    <oc r="AR8">
      <f>SUM(AM8:AQ8)</f>
    </oc>
    <nc r="AR8">
      <f>SUM(AM8:AQ8)</f>
    </nc>
  </rcc>
  <rcc rId="18563" sId="8">
    <oc r="AX8">
      <f>SUM(AS8:AW8)</f>
    </oc>
    <nc r="AX8">
      <f>SUM(AS8:AW8)</f>
    </nc>
  </rcc>
  <rcc rId="18564" sId="8" odxf="1" dxf="1">
    <nc r="BA8">
      <f>SUM(AY8:AZ8)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565" sId="8">
    <oc r="H9">
      <f>SUM(C9:G9)</f>
    </oc>
    <nc r="H9">
      <f>SUM(C9:G9)</f>
    </nc>
  </rcc>
  <rcc rId="18566" sId="8">
    <oc r="N9">
      <f>SUM(I9:M9)</f>
    </oc>
    <nc r="N9">
      <f>SUM(I9:M9)</f>
    </nc>
  </rcc>
  <rcc rId="18567" sId="8">
    <oc r="O9">
      <v>7</v>
    </oc>
    <nc r="O9"/>
  </rcc>
  <rcc rId="18568" sId="8">
    <oc r="P9">
      <v>8</v>
    </oc>
    <nc r="P9"/>
  </rcc>
  <rcc rId="18569" sId="8">
    <oc r="Q9">
      <v>4</v>
    </oc>
    <nc r="Q9"/>
  </rcc>
  <rcc rId="18570" sId="8">
    <oc r="R9">
      <v>7</v>
    </oc>
    <nc r="R9"/>
  </rcc>
  <rcc rId="18571" sId="8">
    <oc r="T9">
      <f>SUM(O9:S9)</f>
    </oc>
    <nc r="T9">
      <f>SUM(O9:S9)</f>
    </nc>
  </rcc>
  <rcc rId="18572" sId="8">
    <oc r="Z9">
      <f>SUM(U9:Y9)</f>
    </oc>
    <nc r="Z9">
      <f>SUM(U9:Y9)</f>
    </nc>
  </rcc>
  <rcc rId="18573" sId="8">
    <oc r="AF9">
      <f>SUM(AA9:AE9)</f>
    </oc>
    <nc r="AF9">
      <f>SUM(AA9:AE9)</f>
    </nc>
  </rcc>
  <rcc rId="18574" sId="8">
    <oc r="AL9">
      <f>SUM(AG9:AK9)</f>
    </oc>
    <nc r="AL9">
      <f>SUM(AG9:AK9)</f>
    </nc>
  </rcc>
  <rcc rId="18575" sId="8">
    <oc r="AR9">
      <f>SUM(AM9:AQ9)</f>
    </oc>
    <nc r="AR9">
      <f>SUM(AM9:AQ9)</f>
    </nc>
  </rcc>
  <rcc rId="18576" sId="8">
    <oc r="AX9">
      <f>SUM(AS9:AW9)</f>
    </oc>
    <nc r="AX9">
      <f>SUM(AS9:AW9)</f>
    </nc>
  </rcc>
  <rcc rId="18577" sId="8" odxf="1" dxf="1">
    <nc r="BA9">
      <f>SUM(AY9:AZ9)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578" sId="8">
    <oc r="H10">
      <f>SUM(C10:G10)</f>
    </oc>
    <nc r="H10">
      <f>SUM(C10:G10)</f>
    </nc>
  </rcc>
  <rcc rId="18579" sId="8">
    <oc r="N10">
      <f>SUM(I10:M10)</f>
    </oc>
    <nc r="N10">
      <f>SUM(I10:M10)</f>
    </nc>
  </rcc>
  <rcc rId="18580" sId="8">
    <oc r="T10">
      <f>SUM(O10:S10)</f>
    </oc>
    <nc r="T10">
      <f>SUM(O10:S10)</f>
    </nc>
  </rcc>
  <rcc rId="18581" sId="8">
    <oc r="Z10">
      <f>SUM(U10:Y10)</f>
    </oc>
    <nc r="Z10">
      <f>SUM(U10:Y10)</f>
    </nc>
  </rcc>
  <rcc rId="18582" sId="8">
    <oc r="AF10">
      <f>SUM(AA10:AE10)</f>
    </oc>
    <nc r="AF10">
      <f>SUM(AA10:AE10)</f>
    </nc>
  </rcc>
  <rcc rId="18583" sId="8">
    <oc r="AL10">
      <f>SUM(AG10:AK10)</f>
    </oc>
    <nc r="AL10">
      <f>SUM(AG10:AK10)</f>
    </nc>
  </rcc>
  <rcc rId="18584" sId="8">
    <oc r="AR10">
      <f>SUM(AM10:AQ10)</f>
    </oc>
    <nc r="AR10">
      <f>SUM(AM10:AQ10)</f>
    </nc>
  </rcc>
  <rcc rId="18585" sId="8">
    <oc r="AX10">
      <f>SUM(AS10:AW10)</f>
    </oc>
    <nc r="AX10">
      <f>SUM(AS10:AW10)</f>
    </nc>
  </rcc>
  <rcc rId="18586" sId="8" odxf="1" dxf="1">
    <nc r="BA10">
      <f>SUM(AY10:AZ10)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587" sId="8">
    <oc r="H11">
      <f>SUM(C11:G11)</f>
    </oc>
    <nc r="H11">
      <f>SUM(C11:G11)</f>
    </nc>
  </rcc>
  <rcc rId="18588" sId="8">
    <oc r="N11">
      <f>SUM(I11:M11)</f>
    </oc>
    <nc r="N11">
      <f>SUM(I11:M11)</f>
    </nc>
  </rcc>
  <rcc rId="18589" sId="8">
    <oc r="T11">
      <f>SUM(O11:S11)</f>
    </oc>
    <nc r="T11">
      <f>SUM(O11:S11)</f>
    </nc>
  </rcc>
  <rcc rId="18590" sId="8">
    <oc r="Z11">
      <f>SUM(U11:Y11)</f>
    </oc>
    <nc r="Z11">
      <f>SUM(U11:Y11)</f>
    </nc>
  </rcc>
  <rcc rId="18591" sId="8">
    <oc r="AD11">
      <v>8</v>
    </oc>
    <nc r="AD11"/>
  </rcc>
  <rcc rId="18592" sId="8">
    <oc r="AF11">
      <f>SUM(AA11:AE11)</f>
    </oc>
    <nc r="AF11">
      <f>SUM(AA11:AE11)</f>
    </nc>
  </rcc>
  <rcc rId="18593" sId="8">
    <oc r="AG11">
      <v>3</v>
    </oc>
    <nc r="AG11"/>
  </rcc>
  <rcc rId="18594" sId="8">
    <oc r="AH11">
      <v>7</v>
    </oc>
    <nc r="AH11"/>
  </rcc>
  <rcc rId="18595" sId="8">
    <oc r="AI11">
      <v>8</v>
    </oc>
    <nc r="AI11"/>
  </rcc>
  <rcc rId="18596" sId="8">
    <oc r="AJ11">
      <v>6</v>
    </oc>
    <nc r="AJ11"/>
  </rcc>
  <rcc rId="18597" sId="8">
    <oc r="AL11">
      <f>SUM(AG11:AK11)</f>
    </oc>
    <nc r="AL11">
      <f>SUM(AG11:AK11)</f>
    </nc>
  </rcc>
  <rcc rId="18598" sId="8">
    <oc r="AM11">
      <v>8</v>
    </oc>
    <nc r="AM11"/>
  </rcc>
  <rcc rId="18599" sId="8">
    <oc r="AO11">
      <v>7</v>
    </oc>
    <nc r="AO11"/>
  </rcc>
  <rcc rId="18600" sId="8">
    <oc r="AP11">
      <v>6</v>
    </oc>
    <nc r="AP11"/>
  </rcc>
  <rcc rId="18601" sId="8">
    <oc r="AR11">
      <f>SUM(AM11:AQ11)</f>
    </oc>
    <nc r="AR11">
      <f>SUM(AM11:AQ11)</f>
    </nc>
  </rcc>
  <rcc rId="18602" sId="8">
    <oc r="AU11">
      <v>2</v>
    </oc>
    <nc r="AU11"/>
  </rcc>
  <rcc rId="18603" sId="8">
    <oc r="AV11">
      <v>9</v>
    </oc>
    <nc r="AV11"/>
  </rcc>
  <rcc rId="18604" sId="8">
    <oc r="AW11">
      <v>6</v>
    </oc>
    <nc r="AW11"/>
  </rcc>
  <rcc rId="18605" sId="8">
    <oc r="AX11">
      <f>SUM(AS11:AW11)</f>
    </oc>
    <nc r="AX11">
      <f>SUM(AS11:AW11)</f>
    </nc>
  </rcc>
  <rcc rId="18606" sId="8" odxf="1" dxf="1">
    <nc r="BA11">
      <f>SUM(AY11:AZ11)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607" sId="8">
    <oc r="H12">
      <f>SUM(C12:G12)</f>
    </oc>
    <nc r="H12">
      <f>SUM(C12:G12)</f>
    </nc>
  </rcc>
  <rcc rId="18608" sId="8">
    <oc r="N12">
      <f>SUM(I12:M12)</f>
    </oc>
    <nc r="N12">
      <f>SUM(I12:M12)</f>
    </nc>
  </rcc>
  <rcc rId="18609" sId="8">
    <oc r="T12">
      <f>SUM(O12:S12)</f>
    </oc>
    <nc r="T12">
      <f>SUM(O12:S12)</f>
    </nc>
  </rcc>
  <rcc rId="18610" sId="8">
    <oc r="Z12">
      <f>SUM(U12:Y12)</f>
    </oc>
    <nc r="Z12">
      <f>SUM(U12:Y12)</f>
    </nc>
  </rcc>
  <rcc rId="18611" sId="8">
    <oc r="AD12">
      <v>37</v>
    </oc>
    <nc r="AD12"/>
  </rcc>
  <rcc rId="18612" sId="8">
    <oc r="AF12">
      <f>SUM(AA12:AE12)</f>
    </oc>
    <nc r="AF12">
      <f>SUM(AA12:AE12)</f>
    </nc>
  </rcc>
  <rcc rId="18613" sId="8">
    <oc r="AG12">
      <v>24</v>
    </oc>
    <nc r="AG12"/>
  </rcc>
  <rcc rId="18614" sId="8">
    <oc r="AH12">
      <v>62</v>
    </oc>
    <nc r="AH12"/>
  </rcc>
  <rcc rId="18615" sId="8">
    <oc r="AI12">
      <v>45</v>
    </oc>
    <nc r="AI12"/>
  </rcc>
  <rcc rId="18616" sId="8">
    <oc r="AJ12">
      <v>49</v>
    </oc>
    <nc r="AJ12"/>
  </rcc>
  <rcc rId="18617" sId="8">
    <oc r="AL12">
      <f>SUM(AG12:AK12)</f>
    </oc>
    <nc r="AL12">
      <f>SUM(AG12:AK12)</f>
    </nc>
  </rcc>
  <rcc rId="18618" sId="8">
    <oc r="AM12">
      <v>41</v>
    </oc>
    <nc r="AM12"/>
  </rcc>
  <rcc rId="18619" sId="8">
    <oc r="AO12">
      <v>43</v>
    </oc>
    <nc r="AO12"/>
  </rcc>
  <rcc rId="18620" sId="8">
    <oc r="AP12">
      <v>45</v>
    </oc>
    <nc r="AP12"/>
  </rcc>
  <rcc rId="18621" sId="8">
    <oc r="AR12">
      <f>SUM(AM12:AQ12)</f>
    </oc>
    <nc r="AR12">
      <f>SUM(AM12:AQ12)</f>
    </nc>
  </rcc>
  <rcc rId="18622" sId="8">
    <oc r="AU12">
      <v>15</v>
    </oc>
    <nc r="AU12"/>
  </rcc>
  <rcc rId="18623" sId="8">
    <oc r="AV12">
      <v>46</v>
    </oc>
    <nc r="AV12"/>
  </rcc>
  <rcc rId="18624" sId="8">
    <oc r="AW12">
      <v>35</v>
    </oc>
    <nc r="AW12"/>
  </rcc>
  <rcc rId="18625" sId="8">
    <oc r="AX12">
      <f>SUM(AS12:AW12)</f>
    </oc>
    <nc r="AX12">
      <f>SUM(AS12:AW12)</f>
    </nc>
  </rcc>
  <rcc rId="18626" sId="8" odxf="1" dxf="1">
    <nc r="BA12">
      <f>SUM(AY12:AZ12)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627" sId="8">
    <oc r="H13">
      <f>SUM(C13:G13)</f>
    </oc>
    <nc r="H13">
      <f>SUM(C13:G13)</f>
    </nc>
  </rcc>
  <rcc rId="18628" sId="8">
    <oc r="N13">
      <f>SUM(I13:M13)</f>
    </oc>
    <nc r="N13">
      <f>SUM(I13:M13)</f>
    </nc>
  </rcc>
  <rcc rId="18629" sId="8">
    <oc r="T13">
      <f>SUM(O13:S13)</f>
    </oc>
    <nc r="T13">
      <f>SUM(O13:S13)</f>
    </nc>
  </rcc>
  <rcc rId="18630" sId="8">
    <oc r="Z13">
      <f>SUM(U13:Y13)</f>
    </oc>
    <nc r="Z13">
      <f>SUM(U13:Y13)</f>
    </nc>
  </rcc>
  <rcc rId="18631" sId="8">
    <oc r="AF13">
      <f>SUM(AA13:AE13)</f>
    </oc>
    <nc r="AF13">
      <f>SUM(AA13:AE13)</f>
    </nc>
  </rcc>
  <rcc rId="18632" sId="8">
    <oc r="AL13">
      <f>SUM(AG13:AK13)</f>
    </oc>
    <nc r="AL13">
      <f>SUM(AG13:AK13)</f>
    </nc>
  </rcc>
  <rcc rId="18633" sId="8">
    <oc r="AR13">
      <f>SUM(AM13:AQ13)</f>
    </oc>
    <nc r="AR13">
      <f>SUM(AM13:AQ13)</f>
    </nc>
  </rcc>
  <rcc rId="18634" sId="8">
    <oc r="AX13">
      <f>SUM(AS13:AW13)</f>
    </oc>
    <nc r="AX13">
      <f>SUM(AS13:AW13)</f>
    </nc>
  </rcc>
  <rcc rId="18635" sId="8" odxf="1" dxf="1">
    <nc r="BA13">
      <f>SUM(AY13:AZ13)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636" sId="8">
    <oc r="H14">
      <f>SUM(C14:G14)</f>
    </oc>
    <nc r="H14">
      <f>SUM(C14:G14)</f>
    </nc>
  </rcc>
  <rcc rId="18637" sId="8">
    <oc r="N14">
      <f>SUM(I14:M14)</f>
    </oc>
    <nc r="N14">
      <f>SUM(I14:M14)</f>
    </nc>
  </rcc>
  <rcc rId="18638" sId="8">
    <oc r="T14">
      <f>SUM(O14:S14)</f>
    </oc>
    <nc r="T14">
      <f>SUM(O14:S14)</f>
    </nc>
  </rcc>
  <rcc rId="18639" sId="8">
    <oc r="Z14">
      <f>SUM(U14:Y14)</f>
    </oc>
    <nc r="Z14">
      <f>SUM(U14:Y14)</f>
    </nc>
  </rcc>
  <rcc rId="18640" sId="8">
    <oc r="AF14">
      <f>SUM(AA14:AE14)</f>
    </oc>
    <nc r="AF14">
      <f>SUM(AA14:AE14)</f>
    </nc>
  </rcc>
  <rcc rId="18641" sId="8">
    <oc r="AL14">
      <f>SUM(AG14:AK14)</f>
    </oc>
    <nc r="AL14">
      <f>SUM(AG14:AK14)</f>
    </nc>
  </rcc>
  <rcc rId="18642" sId="8">
    <oc r="AR14">
      <f>SUM(AM14:AQ14)</f>
    </oc>
    <nc r="AR14">
      <f>SUM(AM14:AQ14)</f>
    </nc>
  </rcc>
  <rcc rId="18643" sId="8">
    <oc r="AX14">
      <f>SUM(AS14:AW14)</f>
    </oc>
    <nc r="AX14">
      <f>SUM(AS14:AW14)</f>
    </nc>
  </rcc>
  <rcc rId="18644" sId="8" odxf="1" dxf="1">
    <nc r="BA14">
      <f>SUM(AY14:AZ14)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645" sId="8">
    <oc r="H15">
      <f>SUM(C15:G15)</f>
    </oc>
    <nc r="H15">
      <f>SUM(C15:G15)</f>
    </nc>
  </rcc>
  <rcc rId="18646" sId="8">
    <oc r="N15">
      <f>SUM(I15:M15)</f>
    </oc>
    <nc r="N15">
      <f>SUM(I15:M15)</f>
    </nc>
  </rcc>
  <rcc rId="18647" sId="8">
    <oc r="O15">
      <v>49</v>
    </oc>
    <nc r="O15"/>
  </rcc>
  <rcc rId="18648" sId="8">
    <oc r="P15">
      <v>50</v>
    </oc>
    <nc r="P15"/>
  </rcc>
  <rcc rId="18649" sId="8">
    <oc r="Q15">
      <v>26</v>
    </oc>
    <nc r="Q15"/>
  </rcc>
  <rcc rId="18650" sId="8">
    <oc r="R15">
      <v>50</v>
    </oc>
    <nc r="R15"/>
  </rcc>
  <rcc rId="18651" sId="8">
    <oc r="T15">
      <f>SUM(O15:S15)</f>
    </oc>
    <nc r="T15">
      <f>SUM(O15:S15)</f>
    </nc>
  </rcc>
  <rcc rId="18652" sId="8">
    <oc r="Y15">
      <v>52</v>
    </oc>
    <nc r="Y15"/>
  </rcc>
  <rcc rId="18653" sId="8">
    <oc r="Z15">
      <f>SUM(U15:Y15)</f>
    </oc>
    <nc r="Z15">
      <f>SUM(U15:Y15)</f>
    </nc>
  </rcc>
  <rcc rId="18654" sId="8">
    <oc r="AC15">
      <v>52</v>
    </oc>
    <nc r="AC15"/>
  </rcc>
  <rcc rId="18655" sId="8">
    <oc r="AF15">
      <f>SUM(AA15:AE15)</f>
    </oc>
    <nc r="AF15">
      <f>SUM(AA15:AE15)</f>
    </nc>
  </rcc>
  <rcc rId="18656" sId="8">
    <oc r="AG15">
      <v>151</v>
    </oc>
    <nc r="AG15"/>
  </rcc>
  <rcc rId="18657" sId="8">
    <oc r="AK15">
      <v>150</v>
    </oc>
    <nc r="AK15"/>
  </rcc>
  <rcc rId="18658" sId="8">
    <oc r="AL15">
      <f>SUM(AG15:AK15)</f>
    </oc>
    <nc r="AL15">
      <f>SUM(AG15:AK15)</f>
    </nc>
  </rcc>
  <rcc rId="18659" sId="8">
    <oc r="AN15">
      <v>1</v>
    </oc>
    <nc r="AN15"/>
  </rcc>
  <rcc rId="18660" sId="8">
    <oc r="AR15">
      <f>SUM(AM15:AQ15)</f>
    </oc>
    <nc r="AR15">
      <f>SUM(AM15:AQ15)</f>
    </nc>
  </rcc>
  <rcc rId="18661" sId="8">
    <oc r="AU15">
      <v>175</v>
    </oc>
    <nc r="AU15"/>
  </rcc>
  <rcc rId="18662" sId="8">
    <oc r="AX15">
      <f>SUM(AS15:AW15)</f>
    </oc>
    <nc r="AX15">
      <f>SUM(AS15:AW15)</f>
    </nc>
  </rcc>
  <rcc rId="18663" sId="8" odxf="1" dxf="1">
    <nc r="BA15">
      <f>SUM(AY15:AZ15)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664" sId="8">
    <oc r="H16">
      <f>SUM(C16:G16)</f>
    </oc>
    <nc r="H16">
      <f>SUM(C16:G16)</f>
    </nc>
  </rcc>
  <rcc rId="18665" sId="8">
    <oc r="N16">
      <f>SUM(I16:M16)</f>
    </oc>
    <nc r="N16">
      <f>SUM(I16:M16)</f>
    </nc>
  </rcc>
  <rcc rId="18666" sId="8">
    <oc r="T16">
      <f>SUM(O16:S16)</f>
    </oc>
    <nc r="T16">
      <f>SUM(O16:S16)</f>
    </nc>
  </rcc>
  <rcc rId="18667" sId="8">
    <oc r="Z16">
      <f>SUM(U16:Y16)</f>
    </oc>
    <nc r="Z16">
      <f>SUM(U16:Y16)</f>
    </nc>
  </rcc>
  <rcc rId="18668" sId="8">
    <oc r="AF16">
      <f>SUM(AA16:AE16)</f>
    </oc>
    <nc r="AF16">
      <f>SUM(AA16:AE16)</f>
    </nc>
  </rcc>
  <rcc rId="18669" sId="8">
    <oc r="AL16">
      <f>SUM(AG16:AK16)</f>
    </oc>
    <nc r="AL16">
      <f>SUM(AG16:AK16)</f>
    </nc>
  </rcc>
  <rcc rId="18670" sId="8">
    <oc r="AR16">
      <f>SUM(AM16:AQ16)</f>
    </oc>
    <nc r="AR16">
      <f>SUM(AM16:AQ16)</f>
    </nc>
  </rcc>
  <rcc rId="18671" sId="8">
    <oc r="AX16">
      <f>SUM(AS16:AW16)</f>
    </oc>
    <nc r="AX16">
      <f>SUM(AS16:AW16)</f>
    </nc>
  </rcc>
  <rcc rId="18672" sId="8" odxf="1" dxf="1">
    <nc r="BA16">
      <f>SUM(AY16:AZ16)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673" sId="8">
    <oc r="C17">
      <v>8</v>
    </oc>
    <nc r="C17"/>
  </rcc>
  <rcc rId="18674" sId="8">
    <oc r="E17">
      <v>10</v>
    </oc>
    <nc r="E17"/>
  </rcc>
  <rcc rId="18675" sId="8">
    <oc r="F17">
      <v>8</v>
    </oc>
    <nc r="F17"/>
  </rcc>
  <rcc rId="18676" sId="8">
    <oc r="G17">
      <v>9</v>
    </oc>
    <nc r="G17"/>
  </rcc>
  <rcc rId="18677" sId="8">
    <oc r="H17">
      <f>SUM(C17:G17)</f>
    </oc>
    <nc r="H17">
      <f>SUM(C17:G17)</f>
    </nc>
  </rcc>
  <rcc rId="18678" sId="8">
    <oc r="K17">
      <v>11</v>
    </oc>
    <nc r="K17"/>
  </rcc>
  <rcc rId="18679" sId="8">
    <oc r="L17">
      <v>10</v>
    </oc>
    <nc r="L17"/>
  </rcc>
  <rcc rId="18680" sId="8">
    <oc r="M17">
      <v>12</v>
    </oc>
    <nc r="M17"/>
  </rcc>
  <rcc rId="18681" sId="8">
    <oc r="N17">
      <f>SUM(I17:M17)</f>
    </oc>
    <nc r="N17">
      <f>SUM(I17:M17)</f>
    </nc>
  </rcc>
  <rcc rId="18682" sId="8">
    <oc r="T17">
      <f>SUM(O17:S17)</f>
    </oc>
    <nc r="T17">
      <f>SUM(O17:S17)</f>
    </nc>
  </rcc>
  <rcc rId="18683" sId="8">
    <oc r="Z17">
      <f>SUM(U17:Y17)</f>
    </oc>
    <nc r="Z17">
      <f>SUM(U17:Y17)</f>
    </nc>
  </rcc>
  <rcc rId="18684" sId="8">
    <oc r="AF17">
      <f>SUM(AA17:AE17)</f>
    </oc>
    <nc r="AF17">
      <f>SUM(AA17:AE17)</f>
    </nc>
  </rcc>
  <rcc rId="18685" sId="8">
    <oc r="AL17">
      <f>SUM(AG17:AK17)</f>
    </oc>
    <nc r="AL17">
      <f>SUM(AG17:AK17)</f>
    </nc>
  </rcc>
  <rcc rId="18686" sId="8">
    <oc r="AN17">
      <v>3</v>
    </oc>
    <nc r="AN17"/>
  </rcc>
  <rcc rId="18687" sId="8">
    <oc r="AR17">
      <f>SUM(AM17:AQ17)</f>
    </oc>
    <nc r="AR17">
      <f>SUM(AM17:AQ17)</f>
    </nc>
  </rcc>
  <rcc rId="18688" sId="8">
    <oc r="AX17">
      <f>SUM(AS17:AW17)</f>
    </oc>
    <nc r="AX17">
      <f>SUM(AS17:AW17)</f>
    </nc>
  </rcc>
  <rcc rId="18689" sId="8" odxf="1" dxf="1">
    <nc r="BA17">
      <f>SUM(AY17:AZ17)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rc rId="18690" sId="8" ref="BB1:BB1048576" action="deleteCol">
    <rfmt sheetId="8" xfDxf="1" sqref="BB1:BB1048576" start="0" length="0">
      <dxf>
        <alignment horizontal="center" vertical="center"/>
      </dxf>
    </rfmt>
    <rcc rId="0" sId="8" dxf="1" numFmtId="21">
      <nc r="BB1">
        <v>46142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8" sqref="BB17" start="0" length="0">
      <dxf>
        <border outline="0">
          <bottom style="thin">
            <color indexed="64"/>
          </bottom>
        </border>
      </dxf>
    </rfmt>
  </rrc>
  <rrc rId="18691" sId="8" ref="BB1:BB1048576" action="deleteCol">
    <undo index="65535" exp="area" dr="AY17:BB17" r="BC17" sId="8"/>
    <undo index="65535" exp="area" dr="AY16:BB16" r="BC16" sId="8"/>
    <undo index="65535" exp="area" dr="AY15:BB15" r="BC15" sId="8"/>
    <undo index="65535" exp="area" dr="AY14:BB14" r="BC14" sId="8"/>
    <undo index="65535" exp="area" dr="AY13:BB13" r="BC13" sId="8"/>
    <undo index="65535" exp="area" dr="AY12:BB12" r="BC12" sId="8"/>
    <undo index="65535" exp="area" dr="AY11:BB11" r="BC11" sId="8"/>
    <undo index="65535" exp="area" dr="AY10:BB10" r="BC10" sId="8"/>
    <undo index="65535" exp="area" dr="AY9:BB9" r="BC9" sId="8"/>
    <undo index="65535" exp="area" dr="AY8:BB8" r="BC8" sId="8"/>
    <undo index="65535" exp="area" dr="AY7:BB7" r="BC7" sId="8"/>
    <undo index="65535" exp="area" dr="AY6:BB6" r="BC6" sId="8"/>
    <undo index="65535" exp="area" dr="AY5:BB5" r="BC5" sId="8"/>
    <undo index="65535" exp="area" dr="AY4:BB4" r="BC4" sId="8"/>
    <undo index="65535" exp="area" dr="AY3:BB3" r="BC3" sId="8"/>
    <undo index="65535" exp="area" dr="AY2:BB2" r="BC2" sId="8"/>
    <rfmt sheetId="8" xfDxf="1" sqref="BB1:BB1048576" start="0" length="0">
      <dxf>
        <alignment horizontal="center" vertical="center"/>
      </dxf>
    </rfmt>
    <rcc rId="0" sId="8" dxf="1" numFmtId="21">
      <nc r="BB1">
        <v>46143</v>
      </nc>
      <n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fmt sheetId="8" sqref="BB17" start="0" length="0">
      <dxf>
        <border outline="0">
          <bottom style="thin">
            <color indexed="64"/>
          </bottom>
        </border>
      </dxf>
    </rfmt>
  </rrc>
  <rrc rId="18692" sId="8" ref="BB1:BB1048576" action="deleteCol">
    <undo index="65535" exp="ref" ref3D="1" v="1" dr="BB17" r="K17" sId="3"/>
    <undo index="65535" exp="ref" ref3D="1" v="1" dr="BB16" r="K16" sId="3"/>
    <undo index="65535" exp="ref" ref3D="1" v="1" dr="BB15" r="K15" sId="3"/>
    <undo index="65535" exp="ref" ref3D="1" v="1" dr="BB14" r="K14" sId="3"/>
    <undo index="65535" exp="ref" ref3D="1" v="1" dr="BB13" r="K13" sId="3"/>
    <undo index="65535" exp="ref" ref3D="1" v="1" dr="BB12" r="K12" sId="3"/>
    <undo index="65535" exp="ref" ref3D="1" v="1" dr="BB11" r="K11" sId="3"/>
    <undo index="65535" exp="ref" ref3D="1" v="1" dr="BB10" r="K10" sId="3"/>
    <undo index="65535" exp="ref" ref3D="1" v="1" dr="BB9" r="K9" sId="3"/>
    <undo index="65535" exp="ref" ref3D="1" v="1" dr="BB8" r="K8" sId="3"/>
    <undo index="65535" exp="ref" ref3D="1" v="1" dr="BB7" r="K7" sId="3"/>
    <undo index="65535" exp="ref" ref3D="1" v="1" dr="BB6" r="K6" sId="3"/>
    <undo index="65535" exp="ref" ref3D="1" v="1" dr="BB5" r="K5" sId="3"/>
    <undo index="65535" exp="ref" ref3D="1" v="1" dr="BB4" r="K4" sId="3"/>
    <undo index="65535" exp="ref" ref3D="1" v="1" dr="BB3" r="K3" sId="3"/>
    <undo index="65535" exp="ref" ref3D="1" v="1" dr="BB2" r="K2" sId="3"/>
    <rfmt sheetId="8" xfDxf="1" sqref="BB1:BB1048576" start="0" length="0">
      <dxf>
        <alignment horizontal="center" vertical="center"/>
      </dxf>
    </rfmt>
    <rcc rId="0" sId="8" dxf="1">
      <nc r="BB1" t="inlineStr">
        <is>
          <t>TOTAL SEMANA</t>
        </is>
      </nc>
      <n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8" dxf="1">
      <nc r="BB2">
        <f>SUM(AY2:BA2)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3">
        <f>SUM(AY3:BA3)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4">
        <f>SUM(AY4:BA4)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5">
        <f>SUM(AY5:BA5)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6">
        <f>SUM(AY6:BA6)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7">
        <f>SUM(AY7:BA7)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8">
        <f>SUM(AY8:BA8)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9">
        <f>SUM(AY9:BA9)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10">
        <f>SUM(AY10:BA10)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11">
        <f>SUM(AY11:BA11)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12">
        <f>SUM(AY12:BA12)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13">
        <f>SUM(AY13:BA13)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14">
        <f>SUM(AY14:BA14)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15">
        <f>SUM(AY15:BA15)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16">
        <f>SUM(AY16:BA16)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8" dxf="1">
      <nc r="BB17">
        <f>SUM(AY17:BA17)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</rrc>
  <rrc rId="18693" sId="8" ref="BB1:BB1048576" action="deleteCol">
    <rfmt sheetId="8" xfDxf="1" sqref="BB1:BB1048576" start="0" length="0">
      <dxf>
        <alignment horizontal="center" vertical="center"/>
      </dxf>
    </rfmt>
  </rrc>
  <rrc rId="18694" sId="8" ref="BB1:BB1048576" action="deleteCol">
    <rfmt sheetId="8" xfDxf="1" sqref="BB1:BB1048576" start="0" length="0">
      <dxf>
        <alignment horizontal="center" vertical="center"/>
      </dxf>
    </rfmt>
  </rrc>
  <rcc rId="18695" sId="10" numFmtId="21">
    <oc r="C1">
      <v>46083</v>
    </oc>
    <nc r="C1">
      <v>46146</v>
    </nc>
  </rcc>
  <rcc rId="18696" sId="10" numFmtId="21">
    <oc r="D1">
      <v>46084</v>
    </oc>
    <nc r="D1">
      <v>46147</v>
    </nc>
  </rcc>
  <rcc rId="18697" sId="10" numFmtId="21">
    <oc r="E1">
      <v>46085</v>
    </oc>
    <nc r="E1">
      <v>46148</v>
    </nc>
  </rcc>
  <rcc rId="18698" sId="10" numFmtId="21">
    <oc r="F1">
      <v>46086</v>
    </oc>
    <nc r="F1">
      <v>46149</v>
    </nc>
  </rcc>
  <rcc rId="18699" sId="10" numFmtId="21">
    <oc r="G1">
      <v>46087</v>
    </oc>
    <nc r="G1">
      <v>46150</v>
    </nc>
  </rcc>
  <rcc rId="18700" sId="10" numFmtId="21">
    <oc r="I1">
      <v>46090</v>
    </oc>
    <nc r="I1">
      <v>46153</v>
    </nc>
  </rcc>
  <rcc rId="18701" sId="10" numFmtId="21">
    <oc r="J1">
      <v>46091</v>
    </oc>
    <nc r="J1">
      <v>46154</v>
    </nc>
  </rcc>
  <rcc rId="18702" sId="10" numFmtId="21">
    <oc r="K1">
      <v>46092</v>
    </oc>
    <nc r="K1">
      <v>46155</v>
    </nc>
  </rcc>
  <rcc rId="18703" sId="10" numFmtId="21">
    <oc r="L1">
      <v>46093</v>
    </oc>
    <nc r="L1">
      <v>46156</v>
    </nc>
  </rcc>
  <rcc rId="18704" sId="10" numFmtId="21">
    <oc r="M1">
      <v>46094</v>
    </oc>
    <nc r="M1">
      <v>46157</v>
    </nc>
  </rcc>
  <rcc rId="18705" sId="10" numFmtId="21">
    <oc r="O1">
      <v>46097</v>
    </oc>
    <nc r="O1">
      <v>46160</v>
    </nc>
  </rcc>
  <rcc rId="18706" sId="10" numFmtId="21">
    <oc r="P1">
      <v>46098</v>
    </oc>
    <nc r="P1">
      <v>46161</v>
    </nc>
  </rcc>
  <rcc rId="18707" sId="10" numFmtId="21">
    <oc r="Q1">
      <v>46099</v>
    </oc>
    <nc r="Q1">
      <v>46162</v>
    </nc>
  </rcc>
  <rcc rId="18708" sId="10" numFmtId="21">
    <oc r="R1">
      <v>46100</v>
    </oc>
    <nc r="R1">
      <v>46163</v>
    </nc>
  </rcc>
  <rcc rId="18709" sId="10" numFmtId="21">
    <oc r="S1">
      <v>46101</v>
    </oc>
    <nc r="S1">
      <v>46164</v>
    </nc>
  </rcc>
  <rcc rId="18710" sId="10" numFmtId="21">
    <oc r="U1">
      <v>46104</v>
    </oc>
    <nc r="U1">
      <v>46167</v>
    </nc>
  </rcc>
  <rcc rId="18711" sId="10" numFmtId="21">
    <oc r="V1">
      <v>46105</v>
    </oc>
    <nc r="V1">
      <v>46168</v>
    </nc>
  </rcc>
  <rcc rId="18712" sId="10" numFmtId="21">
    <oc r="W1">
      <v>46106</v>
    </oc>
    <nc r="W1">
      <v>46169</v>
    </nc>
  </rcc>
  <rcc rId="18713" sId="10" numFmtId="21">
    <oc r="X1">
      <v>46107</v>
    </oc>
    <nc r="X1">
      <v>46170</v>
    </nc>
  </rcc>
  <rcc rId="18714" sId="10" numFmtId="21">
    <oc r="Y1">
      <v>46108</v>
    </oc>
    <nc r="Y1">
      <v>46171</v>
    </nc>
  </rcc>
  <rcc rId="18715" sId="10" numFmtId="21">
    <oc r="AA1">
      <v>46111</v>
    </oc>
    <nc r="AA1">
      <v>46174</v>
    </nc>
  </rcc>
  <rcc rId="18716" sId="10" numFmtId="21">
    <oc r="AB1">
      <v>46112</v>
    </oc>
    <nc r="AB1">
      <v>46175</v>
    </nc>
  </rcc>
  <rcc rId="18717" sId="10" numFmtId="21">
    <oc r="AC1">
      <v>46113</v>
    </oc>
    <nc r="AC1">
      <v>46176</v>
    </nc>
  </rcc>
  <rcc rId="18718" sId="10" numFmtId="21">
    <oc r="AD1">
      <v>46114</v>
    </oc>
    <nc r="AD1">
      <v>46177</v>
    </nc>
  </rcc>
  <rcc rId="18719" sId="10" numFmtId="21">
    <oc r="AE1">
      <v>46115</v>
    </oc>
    <nc r="AE1">
      <v>46178</v>
    </nc>
  </rcc>
  <rcc rId="18720" sId="10" numFmtId="21">
    <oc r="AG1">
      <v>46118</v>
    </oc>
    <nc r="AG1">
      <v>46181</v>
    </nc>
  </rcc>
  <rcc rId="18721" sId="10" numFmtId="21">
    <oc r="AH1">
      <v>46119</v>
    </oc>
    <nc r="AH1">
      <v>46182</v>
    </nc>
  </rcc>
  <rcc rId="18722" sId="10" numFmtId="21">
    <oc r="AI1">
      <v>46120</v>
    </oc>
    <nc r="AI1">
      <v>46183</v>
    </nc>
  </rcc>
  <rcc rId="18723" sId="10" numFmtId="21">
    <oc r="AJ1">
      <v>46121</v>
    </oc>
    <nc r="AJ1">
      <v>46184</v>
    </nc>
  </rcc>
  <rcc rId="18724" sId="10" numFmtId="21">
    <oc r="AK1">
      <v>46122</v>
    </oc>
    <nc r="AK1">
      <v>46185</v>
    </nc>
  </rcc>
  <rfmt sheetId="10" sqref="AL1" start="0" length="0">
    <dxf>
      <border outline="0">
        <right style="thin">
          <color auto="1"/>
        </right>
      </border>
    </dxf>
  </rfmt>
  <rcc rId="18725" sId="10" odxf="1" dxf="1" numFmtId="21">
    <oc r="AM1">
      <v>46125</v>
    </oc>
    <nc r="AM1">
      <v>46188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726" sId="10" odxf="1" dxf="1" numFmtId="21">
    <oc r="AN1">
      <v>46126</v>
    </oc>
    <nc r="AN1">
      <v>46189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727" sId="10" odxf="1" dxf="1" numFmtId="21">
    <oc r="AO1">
      <v>46127</v>
    </oc>
    <nc r="AO1">
      <v>46190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728" sId="10" odxf="1" dxf="1" numFmtId="21">
    <oc r="AP1">
      <v>46128</v>
    </oc>
    <nc r="AP1">
      <v>46191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cc rId="18729" sId="10" odxf="1" dxf="1" numFmtId="21">
    <oc r="AQ1">
      <v>46129</v>
    </oc>
    <nc r="AQ1">
      <v>46192</v>
    </nc>
    <odxf>
      <border outline="0">
        <left style="thin">
          <color auto="1"/>
        </left>
        <right style="thin">
          <color auto="1"/>
        </right>
      </border>
    </odxf>
    <ndxf>
      <border outline="0">
        <left/>
        <right/>
      </border>
    </ndxf>
  </rcc>
  <rfmt sheetId="10" sqref="AR1" start="0" length="0">
    <dxf>
      <border outline="0">
        <left style="thin">
          <color auto="1"/>
        </left>
      </border>
    </dxf>
  </rfmt>
  <rcc rId="18730" sId="10" numFmtId="21">
    <oc r="AS1">
      <v>46132</v>
    </oc>
    <nc r="AS1">
      <v>46195</v>
    </nc>
  </rcc>
  <rcc rId="18731" sId="10" numFmtId="21">
    <oc r="AT1">
      <v>46133</v>
    </oc>
    <nc r="AT1">
      <v>46196</v>
    </nc>
  </rcc>
  <rcc rId="18732" sId="10" numFmtId="21">
    <oc r="AU1">
      <v>46134</v>
    </oc>
    <nc r="AU1">
      <v>46197</v>
    </nc>
  </rcc>
  <rcc rId="18733" sId="10" numFmtId="21">
    <oc r="AV1">
      <v>46135</v>
    </oc>
    <nc r="AV1">
      <v>46198</v>
    </nc>
  </rcc>
  <rcc rId="18734" sId="10" odxf="1" dxf="1" numFmtId="21">
    <oc r="AW1">
      <v>46136</v>
    </oc>
    <nc r="AW1">
      <v>46199</v>
    </nc>
    <odxf>
      <border outline="0">
        <right style="thin">
          <color auto="1"/>
        </right>
      </border>
    </odxf>
    <ndxf>
      <border outline="0">
        <right/>
      </border>
    </ndxf>
  </rcc>
  <rcc rId="18735" sId="10" numFmtId="21">
    <oc r="AY1">
      <v>46139</v>
    </oc>
    <nc r="AY1">
      <v>46202</v>
    </nc>
  </rcc>
  <rcc rId="18736" sId="10" numFmtId="21">
    <oc r="AZ1">
      <v>46140</v>
    </oc>
    <nc r="AZ1">
      <v>46203</v>
    </nc>
  </rcc>
  <rcc rId="18737" sId="10" odxf="1" dxf="1">
    <oc r="BA1">
      <v>46141</v>
    </oc>
    <nc r="BA1" t="inlineStr">
      <is>
        <t>TOTAL SEMANA</t>
      </is>
    </nc>
    <odxf>
      <numFmt numFmtId="21" formatCode="dd/mmm"/>
      <fill>
        <patternFill patternType="none">
          <bgColor indexed="65"/>
        </patternFill>
      </fill>
    </odxf>
    <ndxf>
      <numFmt numFmtId="0" formatCode="General"/>
      <fill>
        <patternFill patternType="solid">
          <bgColor theme="0" tint="-0.14999847407452621"/>
        </patternFill>
      </fill>
    </ndxf>
  </rcc>
  <rcc rId="18738" sId="10">
    <oc r="H2">
      <f>SUM(C2:G2)</f>
    </oc>
    <nc r="H2">
      <f>SUM(C2:G2)</f>
    </nc>
  </rcc>
  <rcc rId="18739" sId="10">
    <oc r="N2">
      <f>SUM(I2:M2)</f>
    </oc>
    <nc r="N2">
      <f>SUM(I2:M2)</f>
    </nc>
  </rcc>
  <rcc rId="18740" sId="10">
    <oc r="T2">
      <f>SUM(O2:S2)</f>
    </oc>
    <nc r="T2">
      <f>SUM(O2:S2)</f>
    </nc>
  </rcc>
  <rcc rId="18741" sId="10">
    <oc r="Z2">
      <f>SUM(U2:Y2)</f>
    </oc>
    <nc r="Z2">
      <f>SUM(U2:Y2)</f>
    </nc>
  </rcc>
  <rcc rId="18742" sId="10">
    <oc r="AB2">
      <v>1</v>
    </oc>
    <nc r="AB2"/>
  </rcc>
  <rcc rId="18743" sId="10">
    <oc r="AF2">
      <f>SUM(AA2:AE2)</f>
    </oc>
    <nc r="AF2">
      <f>SUM(AA2:AE2)</f>
    </nc>
  </rcc>
  <rfmt sheetId="10" sqref="AG2" start="0" length="0">
    <dxf>
      <border outline="0">
        <left/>
        <top/>
      </border>
    </dxf>
  </rfmt>
  <rfmt sheetId="10" sqref="AH2" start="0" length="0">
    <dxf>
      <border outline="0">
        <top/>
      </border>
    </dxf>
  </rfmt>
  <rcc rId="18744" sId="10" odxf="1" dxf="1">
    <oc r="AI2">
      <v>1</v>
    </oc>
    <nc r="AI2"/>
    <odxf>
      <border outline="0">
        <top style="thin">
          <color indexed="64"/>
        </top>
      </border>
    </odxf>
    <ndxf>
      <border outline="0">
        <top/>
      </border>
    </ndxf>
  </rcc>
  <rfmt sheetId="10" sqref="AJ2" start="0" length="0">
    <dxf>
      <border outline="0">
        <top/>
      </border>
    </dxf>
  </rfmt>
  <rfmt sheetId="10" sqref="AK2" start="0" length="0">
    <dxf>
      <border outline="0">
        <right/>
        <top/>
      </border>
    </dxf>
  </rfmt>
  <rcc rId="18745" sId="10" odxf="1" dxf="1">
    <oc r="AL2">
      <f>SUM(AG2:AK2)</f>
    </oc>
    <nc r="AL2">
      <f>SUM(AG2:AK2)</f>
    </nc>
    <odxf>
      <border outline="0">
        <top style="thin">
          <color auto="1"/>
        </top>
      </border>
    </odxf>
    <ndxf>
      <border outline="0">
        <top/>
      </border>
    </ndxf>
  </rcc>
  <rfmt sheetId="10" sqref="AM2" start="0" length="0">
    <dxf>
      <font>
        <b val="0"/>
        <sz val="11"/>
        <color theme="1"/>
        <name val="Aptos Narrow"/>
        <family val="2"/>
        <scheme val="minor"/>
      </font>
    </dxf>
  </rfmt>
  <rfmt sheetId="10" sqref="AN2" start="0" length="0">
    <dxf>
      <font>
        <b val="0"/>
        <sz val="11"/>
        <color theme="1"/>
        <name val="Aptos Narrow"/>
        <family val="2"/>
        <scheme val="minor"/>
      </font>
    </dxf>
  </rfmt>
  <rfmt sheetId="10" sqref="AO2" start="0" length="0">
    <dxf>
      <border outline="0">
        <top/>
      </border>
    </dxf>
  </rfmt>
  <rfmt sheetId="10" sqref="AP2" start="0" length="0">
    <dxf>
      <border outline="0">
        <top/>
      </border>
    </dxf>
  </rfmt>
  <rfmt sheetId="10" sqref="AQ2" start="0" length="0">
    <dxf>
      <border outline="0">
        <right/>
        <top/>
      </border>
    </dxf>
  </rfmt>
  <rcc rId="18746" sId="10">
    <oc r="AR2">
      <f>SUM(AM2:AQ2)</f>
    </oc>
    <nc r="AR2">
      <f>SUM(AM2:AQ2)</f>
    </nc>
  </rcc>
  <rcc rId="18747" sId="10" odxf="1" dxf="1">
    <oc r="AS2" t="inlineStr">
      <is>
        <t>RECESSO</t>
      </is>
    </oc>
    <nc r="AS2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748" sId="10" odxf="1" dxf="1">
    <oc r="AT2" t="inlineStr">
      <is>
        <t>FERIADO</t>
      </is>
    </oc>
    <nc r="AT2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749" sId="10">
    <oc r="AX2">
      <f>SUM(AS2:AW2)</f>
    </oc>
    <nc r="AX2">
      <f>SUM(AS2:AW2)</f>
    </nc>
  </rcc>
  <rcc rId="18750" sId="10" odxf="1" dxf="1">
    <nc r="BA2">
      <f>SUM(AY2:AZ2)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751" sId="10">
    <oc r="H3">
      <f>SUM(C3:G3)</f>
    </oc>
    <nc r="H3">
      <f>SUM(C3:G3)</f>
    </nc>
  </rcc>
  <rcc rId="18752" sId="10">
    <oc r="N3">
      <f>SUM(I3:M3)</f>
    </oc>
    <nc r="N3">
      <f>SUM(I3:M3)</f>
    </nc>
  </rcc>
  <rcc rId="18753" sId="10">
    <oc r="T3">
      <f>SUM(O3:S3)</f>
    </oc>
    <nc r="T3">
      <f>SUM(O3:S3)</f>
    </nc>
  </rcc>
  <rcc rId="18754" sId="10">
    <oc r="Z3">
      <f>SUM(U3:Y3)</f>
    </oc>
    <nc r="Z3">
      <f>SUM(U3:Y3)</f>
    </nc>
  </rcc>
  <rcc rId="18755" sId="10">
    <oc r="AB3">
      <v>3</v>
    </oc>
    <nc r="AB3"/>
  </rcc>
  <rcc rId="18756" sId="10">
    <oc r="AF3">
      <f>SUM(AA3:AE3)</f>
    </oc>
    <nc r="AF3">
      <f>SUM(AA3:AE3)</f>
    </nc>
  </rcc>
  <rcc rId="18757" sId="10" odxf="1" dxf="1">
    <oc r="AG3">
      <v>6</v>
    </oc>
    <nc r="AG3"/>
    <odxf>
      <border outline="0">
        <left style="thin">
          <color indexed="64"/>
        </left>
      </border>
    </odxf>
    <ndxf>
      <border outline="0">
        <left/>
      </border>
    </ndxf>
  </rcc>
  <rfmt sheetId="10" sqref="AK3" start="0" length="0">
    <dxf>
      <border outline="0">
        <right/>
      </border>
    </dxf>
  </rfmt>
  <rcc rId="18758" sId="10">
    <oc r="AL3">
      <f>SUM(AG3:AK3)</f>
    </oc>
    <nc r="AL3">
      <f>SUM(AG3:AK3)</f>
    </nc>
  </rcc>
  <rfmt sheetId="10" sqref="AM3" start="0" length="0">
    <dxf>
      <font>
        <b val="0"/>
        <sz val="11"/>
        <color theme="1"/>
        <name val="Aptos Narrow"/>
        <family val="2"/>
        <scheme val="minor"/>
      </font>
    </dxf>
  </rfmt>
  <rfmt sheetId="10" sqref="AN3" start="0" length="0">
    <dxf>
      <font>
        <b val="0"/>
        <sz val="11"/>
        <color theme="1"/>
        <name val="Aptos Narrow"/>
        <family val="2"/>
        <scheme val="minor"/>
      </font>
    </dxf>
  </rfmt>
  <rfmt sheetId="10" sqref="AQ3" start="0" length="0">
    <dxf>
      <border outline="0">
        <right/>
      </border>
    </dxf>
  </rfmt>
  <rcc rId="18759" sId="10">
    <oc r="AR3">
      <f>SUM(AM3:AQ3)</f>
    </oc>
    <nc r="AR3">
      <f>SUM(AM3:AQ3)</f>
    </nc>
  </rcc>
  <rcc rId="18760" sId="10" odxf="1" dxf="1">
    <oc r="AS3" t="inlineStr">
      <is>
        <t>RECESSO</t>
      </is>
    </oc>
    <nc r="AS3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761" sId="10" odxf="1" dxf="1">
    <oc r="AT3" t="inlineStr">
      <is>
        <t>FERIADO</t>
      </is>
    </oc>
    <nc r="AT3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762" sId="10">
    <oc r="AX3">
      <f>SUM(AS3:AW3)</f>
    </oc>
    <nc r="AX3">
      <f>SUM(AS3:AW3)</f>
    </nc>
  </rcc>
  <rcc rId="18763" sId="10" odxf="1" dxf="1">
    <nc r="BA3">
      <f>SUM(AY3:AZ3)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764" sId="10">
    <oc r="H4">
      <f>SUM(C4:G4)</f>
    </oc>
    <nc r="H4">
      <f>SUM(C4:G4)</f>
    </nc>
  </rcc>
  <rcc rId="18765" sId="10">
    <oc r="N4">
      <f>SUM(I4:M4)</f>
    </oc>
    <nc r="N4">
      <f>SUM(I4:M4)</f>
    </nc>
  </rcc>
  <rcc rId="18766" sId="10">
    <oc r="T4">
      <f>SUM(O4:S4)</f>
    </oc>
    <nc r="T4">
      <f>SUM(O4:S4)</f>
    </nc>
  </rcc>
  <rcc rId="18767" sId="10">
    <oc r="Z4">
      <f>SUM(U4:Y4)</f>
    </oc>
    <nc r="Z4">
      <f>SUM(U4:Y4)</f>
    </nc>
  </rcc>
  <rcc rId="18768" sId="10">
    <oc r="AF4">
      <f>SUM(AA4:AE4)</f>
    </oc>
    <nc r="AF4">
      <f>SUM(AA4:AE4)</f>
    </nc>
  </rcc>
  <rfmt sheetId="10" sqref="AG4" start="0" length="0">
    <dxf>
      <border outline="0">
        <left/>
      </border>
    </dxf>
  </rfmt>
  <rfmt sheetId="10" sqref="AK4" start="0" length="0">
    <dxf>
      <border outline="0">
        <right/>
      </border>
    </dxf>
  </rfmt>
  <rcc rId="18769" sId="10">
    <oc r="AL4">
      <f>SUM(AG4:AK4)</f>
    </oc>
    <nc r="AL4">
      <f>SUM(AG4:AK4)</f>
    </nc>
  </rcc>
  <rfmt sheetId="10" sqref="AM4" start="0" length="0">
    <dxf>
      <font>
        <b val="0"/>
        <sz val="11"/>
        <color theme="1"/>
        <name val="Aptos Narrow"/>
        <family val="2"/>
        <scheme val="minor"/>
      </font>
    </dxf>
  </rfmt>
  <rfmt sheetId="10" sqref="AN4" start="0" length="0">
    <dxf>
      <font>
        <b val="0"/>
        <sz val="11"/>
        <color theme="1"/>
        <name val="Aptos Narrow"/>
        <family val="2"/>
        <scheme val="minor"/>
      </font>
    </dxf>
  </rfmt>
  <rfmt sheetId="10" sqref="AQ4" start="0" length="0">
    <dxf>
      <border outline="0">
        <right/>
      </border>
    </dxf>
  </rfmt>
  <rcc rId="18770" sId="10">
    <oc r="AR4">
      <f>SUM(AM4:AQ4)</f>
    </oc>
    <nc r="AR4">
      <f>SUM(AM4:AQ4)</f>
    </nc>
  </rcc>
  <rcc rId="18771" sId="10" odxf="1" dxf="1">
    <oc r="AS4" t="inlineStr">
      <is>
        <t>RECESSO</t>
      </is>
    </oc>
    <nc r="AS4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772" sId="10" odxf="1" dxf="1">
    <oc r="AT4" t="inlineStr">
      <is>
        <t>FERIADO</t>
      </is>
    </oc>
    <nc r="AT4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773" sId="10">
    <oc r="AX4">
      <f>SUM(AS4:AW4)</f>
    </oc>
    <nc r="AX4">
      <f>SUM(AS4:AW4)</f>
    </nc>
  </rcc>
  <rcc rId="18774" sId="10" odxf="1" dxf="1">
    <nc r="BA4">
      <f>SUM(AY4:AZ4)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775" sId="10">
    <oc r="H5">
      <f>SUM(C5:G5)</f>
    </oc>
    <nc r="H5">
      <f>SUM(C5:G5)</f>
    </nc>
  </rcc>
  <rcc rId="18776" sId="10">
    <oc r="N5">
      <f>SUM(I5:M5)</f>
    </oc>
    <nc r="N5">
      <f>SUM(I5:M5)</f>
    </nc>
  </rcc>
  <rcc rId="18777" sId="10">
    <oc r="T5">
      <f>SUM(O5:S5)</f>
    </oc>
    <nc r="T5">
      <f>SUM(O5:S5)</f>
    </nc>
  </rcc>
  <rcc rId="18778" sId="10">
    <oc r="Z5">
      <f>SUM(U5:Y5)</f>
    </oc>
    <nc r="Z5">
      <f>SUM(U5:Y5)</f>
    </nc>
  </rcc>
  <rcc rId="18779" sId="10">
    <oc r="AF5">
      <f>SUM(AA5:AE5)</f>
    </oc>
    <nc r="AF5">
      <f>SUM(AA5:AE5)</f>
    </nc>
  </rcc>
  <rfmt sheetId="10" sqref="AG5" start="0" length="0">
    <dxf>
      <border outline="0">
        <left/>
      </border>
    </dxf>
  </rfmt>
  <rfmt sheetId="10" sqref="AK5" start="0" length="0">
    <dxf>
      <border outline="0">
        <right/>
      </border>
    </dxf>
  </rfmt>
  <rcc rId="18780" sId="10">
    <oc r="AL5">
      <f>SUM(AG5:AK5)</f>
    </oc>
    <nc r="AL5">
      <f>SUM(AG5:AK5)</f>
    </nc>
  </rcc>
  <rfmt sheetId="10" sqref="AM5" start="0" length="0">
    <dxf>
      <font>
        <b val="0"/>
        <sz val="11"/>
        <color theme="1"/>
        <name val="Aptos Narrow"/>
        <family val="2"/>
        <scheme val="minor"/>
      </font>
    </dxf>
  </rfmt>
  <rfmt sheetId="10" sqref="AN5" start="0" length="0">
    <dxf>
      <font>
        <b val="0"/>
        <sz val="11"/>
        <color theme="1"/>
        <name val="Aptos Narrow"/>
        <family val="2"/>
        <scheme val="minor"/>
      </font>
    </dxf>
  </rfmt>
  <rfmt sheetId="10" sqref="AQ5" start="0" length="0">
    <dxf>
      <border outline="0">
        <right/>
      </border>
    </dxf>
  </rfmt>
  <rcc rId="18781" sId="10">
    <oc r="AR5">
      <f>SUM(AM5:AQ5)</f>
    </oc>
    <nc r="AR5">
      <f>SUM(AM5:AQ5)</f>
    </nc>
  </rcc>
  <rcc rId="18782" sId="10" odxf="1" dxf="1">
    <oc r="AS5" t="inlineStr">
      <is>
        <t>RECESSO</t>
      </is>
    </oc>
    <nc r="AS5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783" sId="10" odxf="1" dxf="1">
    <oc r="AT5" t="inlineStr">
      <is>
        <t>FERIADO</t>
      </is>
    </oc>
    <nc r="AT5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784" sId="10">
    <oc r="AX5">
      <f>SUM(AS5:AW5)</f>
    </oc>
    <nc r="AX5">
      <f>SUM(AS5:AW5)</f>
    </nc>
  </rcc>
  <rcc rId="18785" sId="10" odxf="1" dxf="1">
    <nc r="BA5">
      <f>SUM(AY5:AZ5)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786" sId="10">
    <oc r="H6">
      <f>SUM(C6:G6)</f>
    </oc>
    <nc r="H6">
      <f>SUM(C6:G6)</f>
    </nc>
  </rcc>
  <rcc rId="18787" sId="10">
    <oc r="N6">
      <f>SUM(I6:M6)</f>
    </oc>
    <nc r="N6">
      <f>SUM(I6:M6)</f>
    </nc>
  </rcc>
  <rcc rId="18788" sId="10">
    <oc r="T6">
      <f>SUM(O6:S6)</f>
    </oc>
    <nc r="T6">
      <f>SUM(O6:S6)</f>
    </nc>
  </rcc>
  <rcc rId="18789" sId="10">
    <oc r="Z6">
      <f>SUM(U6:Y6)</f>
    </oc>
    <nc r="Z6">
      <f>SUM(U6:Y6)</f>
    </nc>
  </rcc>
  <rcc rId="18790" sId="10">
    <oc r="AF6">
      <f>SUM(AA6:AE6)</f>
    </oc>
    <nc r="AF6">
      <f>SUM(AA6:AE6)</f>
    </nc>
  </rcc>
  <rfmt sheetId="10" sqref="AG6" start="0" length="0">
    <dxf>
      <border outline="0">
        <left/>
      </border>
    </dxf>
  </rfmt>
  <rfmt sheetId="10" sqref="AK6" start="0" length="0">
    <dxf>
      <border outline="0">
        <right/>
      </border>
    </dxf>
  </rfmt>
  <rcc rId="18791" sId="10">
    <oc r="AL6">
      <f>SUM(AG6:AK6)</f>
    </oc>
    <nc r="AL6">
      <f>SUM(AG6:AK6)</f>
    </nc>
  </rcc>
  <rfmt sheetId="10" sqref="AM6" start="0" length="0">
    <dxf>
      <font>
        <b val="0"/>
        <sz val="11"/>
        <color theme="1"/>
        <name val="Aptos Narrow"/>
        <family val="2"/>
        <scheme val="minor"/>
      </font>
    </dxf>
  </rfmt>
  <rfmt sheetId="10" sqref="AN6" start="0" length="0">
    <dxf>
      <font>
        <b val="0"/>
        <sz val="11"/>
        <color theme="1"/>
        <name val="Aptos Narrow"/>
        <family val="2"/>
        <scheme val="minor"/>
      </font>
    </dxf>
  </rfmt>
  <rfmt sheetId="10" sqref="AQ6" start="0" length="0">
    <dxf>
      <border outline="0">
        <right/>
      </border>
    </dxf>
  </rfmt>
  <rcc rId="18792" sId="10">
    <oc r="AR6">
      <f>SUM(AM6:AQ6)</f>
    </oc>
    <nc r="AR6">
      <f>SUM(AM6:AQ6)</f>
    </nc>
  </rcc>
  <rcc rId="18793" sId="10" odxf="1" dxf="1">
    <oc r="AS6" t="inlineStr">
      <is>
        <t>RECESSO</t>
      </is>
    </oc>
    <nc r="AS6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794" sId="10" odxf="1" dxf="1">
    <oc r="AT6" t="inlineStr">
      <is>
        <t>FERIADO</t>
      </is>
    </oc>
    <nc r="AT6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795" sId="10">
    <oc r="AX6">
      <f>SUM(AS6:AW6)</f>
    </oc>
    <nc r="AX6">
      <f>SUM(AS6:AW6)</f>
    </nc>
  </rcc>
  <rcc rId="18796" sId="10" odxf="1" dxf="1">
    <nc r="BA6">
      <f>SUM(AY6:AZ6)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797" sId="10">
    <oc r="H7">
      <f>SUM(C7:G7)</f>
    </oc>
    <nc r="H7">
      <f>SUM(C7:G7)</f>
    </nc>
  </rcc>
  <rcc rId="18798" sId="10">
    <oc r="N7">
      <f>SUM(I7:M7)</f>
    </oc>
    <nc r="N7">
      <f>SUM(I7:M7)</f>
    </nc>
  </rcc>
  <rcc rId="18799" sId="10">
    <oc r="T7">
      <f>SUM(O7:S7)</f>
    </oc>
    <nc r="T7">
      <f>SUM(O7:S7)</f>
    </nc>
  </rcc>
  <rcc rId="18800" sId="10">
    <oc r="Z7">
      <f>SUM(U7:Y7)</f>
    </oc>
    <nc r="Z7">
      <f>SUM(U7:Y7)</f>
    </nc>
  </rcc>
  <rcc rId="18801" sId="10">
    <oc r="AF7">
      <f>SUM(AA7:AE7)</f>
    </oc>
    <nc r="AF7">
      <f>SUM(AA7:AE7)</f>
    </nc>
  </rcc>
  <rfmt sheetId="10" sqref="AG7" start="0" length="0">
    <dxf>
      <border outline="0">
        <left/>
      </border>
    </dxf>
  </rfmt>
  <rfmt sheetId="10" sqref="AK7" start="0" length="0">
    <dxf>
      <border outline="0">
        <right/>
      </border>
    </dxf>
  </rfmt>
  <rcc rId="18802" sId="10">
    <oc r="AL7">
      <f>SUM(AG7:AK7)</f>
    </oc>
    <nc r="AL7">
      <f>SUM(AG7:AK7)</f>
    </nc>
  </rcc>
  <rfmt sheetId="10" sqref="AM7" start="0" length="0">
    <dxf>
      <font>
        <b val="0"/>
        <sz val="11"/>
        <color theme="1"/>
        <name val="Aptos Narrow"/>
        <family val="2"/>
        <scheme val="minor"/>
      </font>
    </dxf>
  </rfmt>
  <rfmt sheetId="10" sqref="AN7" start="0" length="0">
    <dxf>
      <font>
        <b val="0"/>
        <sz val="11"/>
        <color theme="1"/>
        <name val="Aptos Narrow"/>
        <family val="2"/>
        <scheme val="minor"/>
      </font>
    </dxf>
  </rfmt>
  <rfmt sheetId="10" sqref="AQ7" start="0" length="0">
    <dxf>
      <border outline="0">
        <right/>
      </border>
    </dxf>
  </rfmt>
  <rcc rId="18803" sId="10">
    <oc r="AR7">
      <f>SUM(AM7:AQ7)</f>
    </oc>
    <nc r="AR7">
      <f>SUM(AM7:AQ7)</f>
    </nc>
  </rcc>
  <rcc rId="18804" sId="10" odxf="1" dxf="1">
    <oc r="AS7" t="inlineStr">
      <is>
        <t>RECESSO</t>
      </is>
    </oc>
    <nc r="AS7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805" sId="10" odxf="1" dxf="1">
    <oc r="AT7" t="inlineStr">
      <is>
        <t>FERIADO</t>
      </is>
    </oc>
    <nc r="AT7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806" sId="10">
    <oc r="AX7">
      <f>SUM(AS7:AW7)</f>
    </oc>
    <nc r="AX7">
      <f>SUM(AS7:AW7)</f>
    </nc>
  </rcc>
  <rcc rId="18807" sId="10" odxf="1" dxf="1">
    <nc r="BA7">
      <f>SUM(AY7:AZ7)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808" sId="10">
    <oc r="H8">
      <f>SUM(C8:G8)</f>
    </oc>
    <nc r="H8">
      <f>SUM(C8:G8)</f>
    </nc>
  </rcc>
  <rcc rId="18809" sId="10">
    <oc r="N8">
      <f>SUM(I8:M8)</f>
    </oc>
    <nc r="N8">
      <f>SUM(I8:M8)</f>
    </nc>
  </rcc>
  <rcc rId="18810" sId="10">
    <oc r="T8">
      <f>SUM(O8:S8)</f>
    </oc>
    <nc r="T8">
      <f>SUM(O8:S8)</f>
    </nc>
  </rcc>
  <rcc rId="18811" sId="10">
    <oc r="Z8">
      <f>SUM(U8:Y8)</f>
    </oc>
    <nc r="Z8">
      <f>SUM(U8:Y8)</f>
    </nc>
  </rcc>
  <rcc rId="18812" sId="10">
    <oc r="AF8">
      <f>SUM(AA8:AE8)</f>
    </oc>
    <nc r="AF8">
      <f>SUM(AA8:AE8)</f>
    </nc>
  </rcc>
  <rfmt sheetId="10" sqref="AG8" start="0" length="0">
    <dxf>
      <border outline="0">
        <left/>
      </border>
    </dxf>
  </rfmt>
  <rfmt sheetId="10" sqref="AK8" start="0" length="0">
    <dxf>
      <border outline="0">
        <right/>
      </border>
    </dxf>
  </rfmt>
  <rcc rId="18813" sId="10">
    <oc r="AL8">
      <f>SUM(AG8:AK8)</f>
    </oc>
    <nc r="AL8">
      <f>SUM(AG8:AK8)</f>
    </nc>
  </rcc>
  <rfmt sheetId="10" sqref="AM8" start="0" length="0">
    <dxf>
      <font>
        <b val="0"/>
        <sz val="11"/>
        <color theme="1"/>
        <name val="Aptos Narrow"/>
        <family val="2"/>
        <scheme val="minor"/>
      </font>
    </dxf>
  </rfmt>
  <rfmt sheetId="10" sqref="AN8" start="0" length="0">
    <dxf>
      <font>
        <b val="0"/>
        <sz val="11"/>
        <color theme="1"/>
        <name val="Aptos Narrow"/>
        <family val="2"/>
        <scheme val="minor"/>
      </font>
    </dxf>
  </rfmt>
  <rfmt sheetId="10" sqref="AQ8" start="0" length="0">
    <dxf>
      <border outline="0">
        <right/>
      </border>
    </dxf>
  </rfmt>
  <rcc rId="18814" sId="10">
    <oc r="AR8">
      <f>SUM(AM8:AQ8)</f>
    </oc>
    <nc r="AR8">
      <f>SUM(AM8:AQ8)</f>
    </nc>
  </rcc>
  <rcc rId="18815" sId="10" odxf="1" dxf="1">
    <oc r="AS8" t="inlineStr">
      <is>
        <t>RECESSO</t>
      </is>
    </oc>
    <nc r="AS8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816" sId="10" odxf="1" dxf="1">
    <oc r="AT8" t="inlineStr">
      <is>
        <t>FERIADO</t>
      </is>
    </oc>
    <nc r="AT8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817" sId="10">
    <oc r="AX8">
      <f>SUM(AS8:AW8)</f>
    </oc>
    <nc r="AX8">
      <f>SUM(AS8:AW8)</f>
    </nc>
  </rcc>
  <rcc rId="18818" sId="10" odxf="1" dxf="1">
    <nc r="BA8">
      <f>SUM(AY8:AZ8)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819" sId="10">
    <oc r="H9">
      <f>SUM(C9:G9)</f>
    </oc>
    <nc r="H9">
      <f>SUM(C9:G9)</f>
    </nc>
  </rcc>
  <rcc rId="18820" sId="10">
    <oc r="N9">
      <f>SUM(I9:M9)</f>
    </oc>
    <nc r="N9">
      <f>SUM(I9:M9)</f>
    </nc>
  </rcc>
  <rcc rId="18821" sId="10">
    <oc r="T9">
      <f>SUM(O9:S9)</f>
    </oc>
    <nc r="T9">
      <f>SUM(O9:S9)</f>
    </nc>
  </rcc>
  <rcc rId="18822" sId="10">
    <oc r="Z9">
      <f>SUM(U9:Y9)</f>
    </oc>
    <nc r="Z9">
      <f>SUM(U9:Y9)</f>
    </nc>
  </rcc>
  <rcc rId="18823" sId="10">
    <oc r="AF9">
      <f>SUM(AA9:AE9)</f>
    </oc>
    <nc r="AF9">
      <f>SUM(AA9:AE9)</f>
    </nc>
  </rcc>
  <rfmt sheetId="10" sqref="AG9" start="0" length="0">
    <dxf>
      <border outline="0">
        <left/>
      </border>
    </dxf>
  </rfmt>
  <rfmt sheetId="10" sqref="AK9" start="0" length="0">
    <dxf>
      <border outline="0">
        <right/>
      </border>
    </dxf>
  </rfmt>
  <rcc rId="18824" sId="10">
    <oc r="AL9">
      <f>SUM(AG9:AK9)</f>
    </oc>
    <nc r="AL9">
      <f>SUM(AG9:AK9)</f>
    </nc>
  </rcc>
  <rfmt sheetId="10" sqref="AM9" start="0" length="0">
    <dxf>
      <font>
        <b val="0"/>
        <sz val="11"/>
        <color theme="1"/>
        <name val="Aptos Narrow"/>
        <family val="2"/>
        <scheme val="minor"/>
      </font>
    </dxf>
  </rfmt>
  <rfmt sheetId="10" sqref="AN9" start="0" length="0">
    <dxf>
      <font>
        <b val="0"/>
        <sz val="11"/>
        <color theme="1"/>
        <name val="Aptos Narrow"/>
        <family val="2"/>
        <scheme val="minor"/>
      </font>
    </dxf>
  </rfmt>
  <rfmt sheetId="10" sqref="AQ9" start="0" length="0">
    <dxf>
      <border outline="0">
        <right/>
      </border>
    </dxf>
  </rfmt>
  <rcc rId="18825" sId="10">
    <oc r="AR9">
      <f>SUM(AM9:AQ9)</f>
    </oc>
    <nc r="AR9">
      <f>SUM(AM9:AQ9)</f>
    </nc>
  </rcc>
  <rcc rId="18826" sId="10" odxf="1" dxf="1">
    <oc r="AS9" t="inlineStr">
      <is>
        <t>RECESSO</t>
      </is>
    </oc>
    <nc r="AS9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827" sId="10" odxf="1" dxf="1">
    <oc r="AT9" t="inlineStr">
      <is>
        <t>FERIADO</t>
      </is>
    </oc>
    <nc r="AT9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828" sId="10">
    <oc r="AX9">
      <f>SUM(AS9:AW9)</f>
    </oc>
    <nc r="AX9">
      <f>SUM(AS9:AW9)</f>
    </nc>
  </rcc>
  <rcc rId="18829" sId="10" odxf="1" dxf="1">
    <nc r="BA9">
      <f>SUM(AY9:AZ9)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830" sId="10">
    <oc r="H10">
      <f>SUM(C10:G10)</f>
    </oc>
    <nc r="H10">
      <f>SUM(C10:G10)</f>
    </nc>
  </rcc>
  <rcc rId="18831" sId="10">
    <oc r="N10">
      <f>SUM(I10:M10)</f>
    </oc>
    <nc r="N10">
      <f>SUM(I10:M10)</f>
    </nc>
  </rcc>
  <rcc rId="18832" sId="10">
    <oc r="T10">
      <f>SUM(O10:S10)</f>
    </oc>
    <nc r="T10">
      <f>SUM(O10:S10)</f>
    </nc>
  </rcc>
  <rcc rId="18833" sId="10">
    <oc r="Z10">
      <f>SUM(U10:Y10)</f>
    </oc>
    <nc r="Z10">
      <f>SUM(U10:Y10)</f>
    </nc>
  </rcc>
  <rcc rId="18834" sId="10">
    <oc r="AF10">
      <f>SUM(AA10:AE10)</f>
    </oc>
    <nc r="AF10">
      <f>SUM(AA10:AE10)</f>
    </nc>
  </rcc>
  <rfmt sheetId="10" sqref="AG10" start="0" length="0">
    <dxf>
      <border outline="0">
        <left/>
      </border>
    </dxf>
  </rfmt>
  <rfmt sheetId="10" sqref="AK10" start="0" length="0">
    <dxf>
      <border outline="0">
        <right/>
      </border>
    </dxf>
  </rfmt>
  <rcc rId="18835" sId="10">
    <oc r="AL10">
      <f>SUM(AG10:AK10)</f>
    </oc>
    <nc r="AL10">
      <f>SUM(AG10:AK10)</f>
    </nc>
  </rcc>
  <rfmt sheetId="10" sqref="AM10" start="0" length="0">
    <dxf>
      <font>
        <b val="0"/>
        <sz val="11"/>
        <color theme="1"/>
        <name val="Aptos Narrow"/>
        <family val="2"/>
        <scheme val="minor"/>
      </font>
    </dxf>
  </rfmt>
  <rfmt sheetId="10" sqref="AN10" start="0" length="0">
    <dxf>
      <font>
        <b val="0"/>
        <sz val="11"/>
        <color theme="1"/>
        <name val="Aptos Narrow"/>
        <family val="2"/>
        <scheme val="minor"/>
      </font>
    </dxf>
  </rfmt>
  <rfmt sheetId="10" sqref="AQ10" start="0" length="0">
    <dxf>
      <border outline="0">
        <right/>
      </border>
    </dxf>
  </rfmt>
  <rcc rId="18836" sId="10">
    <oc r="AR10">
      <f>SUM(AM10:AQ10)</f>
    </oc>
    <nc r="AR10">
      <f>SUM(AM10:AQ10)</f>
    </nc>
  </rcc>
  <rcc rId="18837" sId="10" odxf="1" dxf="1">
    <oc r="AS10" t="inlineStr">
      <is>
        <t>RECESSO</t>
      </is>
    </oc>
    <nc r="AS10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838" sId="10" odxf="1" dxf="1">
    <oc r="AT10" t="inlineStr">
      <is>
        <t>FERIADO</t>
      </is>
    </oc>
    <nc r="AT10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839" sId="10">
    <oc r="AX10">
      <f>SUM(AS10:AW10)</f>
    </oc>
    <nc r="AX10">
      <f>SUM(AS10:AW10)</f>
    </nc>
  </rcc>
  <rcc rId="18840" sId="10" odxf="1" dxf="1">
    <nc r="BA10">
      <f>SUM(AY10:AZ10)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841" sId="10">
    <oc r="H11">
      <f>SUM(C11:G11)</f>
    </oc>
    <nc r="H11">
      <f>SUM(C11:G11)</f>
    </nc>
  </rcc>
  <rcc rId="18842" sId="10">
    <oc r="N11">
      <f>SUM(I11:M11)</f>
    </oc>
    <nc r="N11">
      <f>SUM(I11:M11)</f>
    </nc>
  </rcc>
  <rcc rId="18843" sId="10">
    <oc r="O11">
      <v>2</v>
    </oc>
    <nc r="O11"/>
  </rcc>
  <rcc rId="18844" sId="10">
    <oc r="P11">
      <v>11</v>
    </oc>
    <nc r="P11"/>
  </rcc>
  <rcc rId="18845" sId="10">
    <oc r="Q11">
      <v>2</v>
    </oc>
    <nc r="Q11"/>
  </rcc>
  <rcc rId="18846" sId="10">
    <oc r="R11">
      <v>7</v>
    </oc>
    <nc r="R11"/>
  </rcc>
  <rcc rId="18847" sId="10">
    <oc r="S11">
      <v>8</v>
    </oc>
    <nc r="S11"/>
  </rcc>
  <rcc rId="18848" sId="10">
    <oc r="T11">
      <f>SUM(O11:S11)</f>
    </oc>
    <nc r="T11">
      <f>SUM(O11:S11)</f>
    </nc>
  </rcc>
  <rcc rId="18849" sId="10">
    <oc r="U11">
      <v>2</v>
    </oc>
    <nc r="U11"/>
  </rcc>
  <rcc rId="18850" sId="10">
    <oc r="Z11">
      <f>SUM(U11:Y11)</f>
    </oc>
    <nc r="Z11">
      <f>SUM(U11:Y11)</f>
    </nc>
  </rcc>
  <rcc rId="18851" sId="10">
    <oc r="AF11">
      <f>SUM(AA11:AE11)</f>
    </oc>
    <nc r="AF11">
      <f>SUM(AA11:AE11)</f>
    </nc>
  </rcc>
  <rcc rId="18852" sId="10" odxf="1" dxf="1">
    <oc r="AG11">
      <v>6</v>
    </oc>
    <nc r="AG11"/>
    <odxf>
      <border outline="0">
        <left style="thin">
          <color indexed="64"/>
        </left>
      </border>
    </odxf>
    <ndxf>
      <border outline="0">
        <left/>
      </border>
    </ndxf>
  </rcc>
  <rcc rId="18853" sId="10">
    <oc r="AH11">
      <v>6</v>
    </oc>
    <nc r="AH11"/>
  </rcc>
  <rcc rId="18854" sId="10">
    <oc r="AI11">
      <v>10</v>
    </oc>
    <nc r="AI11"/>
  </rcc>
  <rcc rId="18855" sId="10">
    <oc r="AJ11">
      <v>7</v>
    </oc>
    <nc r="AJ11"/>
  </rcc>
  <rcc rId="18856" sId="10" odxf="1" dxf="1">
    <oc r="AK11">
      <v>8</v>
    </oc>
    <nc r="AK11"/>
    <odxf>
      <border outline="0">
        <right style="thin">
          <color indexed="64"/>
        </right>
      </border>
    </odxf>
    <ndxf>
      <border outline="0">
        <right/>
      </border>
    </ndxf>
  </rcc>
  <rcc rId="18857" sId="10">
    <oc r="AL11">
      <f>SUM(AG11:AK11)</f>
    </oc>
    <nc r="AL11">
      <f>SUM(AG11:AK11)</f>
    </nc>
  </rcc>
  <rfmt sheetId="10" sqref="AM11" start="0" length="0">
    <dxf>
      <font>
        <b val="0"/>
        <sz val="11"/>
        <color theme="1"/>
        <name val="Aptos Narrow"/>
        <family val="2"/>
        <scheme val="minor"/>
      </font>
    </dxf>
  </rfmt>
  <rfmt sheetId="10" sqref="AN11" start="0" length="0">
    <dxf>
      <font>
        <b val="0"/>
        <sz val="11"/>
        <color theme="1"/>
        <name val="Aptos Narrow"/>
        <family val="2"/>
        <scheme val="minor"/>
      </font>
    </dxf>
  </rfmt>
  <rcc rId="18858" sId="10">
    <oc r="AO11">
      <v>9</v>
    </oc>
    <nc r="AO11"/>
  </rcc>
  <rcc rId="18859" sId="10">
    <oc r="AP11">
      <v>6</v>
    </oc>
    <nc r="AP11"/>
  </rcc>
  <rcc rId="18860" sId="10" odxf="1" dxf="1">
    <oc r="AQ11">
      <v>9</v>
    </oc>
    <nc r="AQ11"/>
    <odxf>
      <border outline="0">
        <right style="thin">
          <color indexed="64"/>
        </right>
      </border>
    </odxf>
    <ndxf>
      <border outline="0">
        <right/>
      </border>
    </ndxf>
  </rcc>
  <rcc rId="18861" sId="10">
    <oc r="AR11">
      <f>SUM(AM11:AQ11)</f>
    </oc>
    <nc r="AR11">
      <f>SUM(AM11:AQ11)</f>
    </nc>
  </rcc>
  <rcc rId="18862" sId="10" odxf="1" dxf="1">
    <oc r="AS11" t="inlineStr">
      <is>
        <t>RECESSO</t>
      </is>
    </oc>
    <nc r="AS11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863" sId="10" odxf="1" dxf="1">
    <oc r="AT11" t="inlineStr">
      <is>
        <t>FERIADO</t>
      </is>
    </oc>
    <nc r="AT11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864" sId="10">
    <oc r="AX11">
      <f>SUM(AS11:AW11)</f>
    </oc>
    <nc r="AX11">
      <f>SUM(AS11:AW11)</f>
    </nc>
  </rcc>
  <rcc rId="18865" sId="10" odxf="1" dxf="1">
    <nc r="BA11">
      <f>SUM(AY11:AZ11)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866" sId="10">
    <oc r="H12">
      <f>SUM(C12:G12)</f>
    </oc>
    <nc r="H12">
      <f>SUM(C12:G12)</f>
    </nc>
  </rcc>
  <rcc rId="18867" sId="10">
    <oc r="N12">
      <f>SUM(I12:M12)</f>
    </oc>
    <nc r="N12">
      <f>SUM(I12:M12)</f>
    </nc>
  </rcc>
  <rcc rId="18868" sId="10">
    <oc r="T12">
      <f>SUM(O12:S12)</f>
    </oc>
    <nc r="T12">
      <f>SUM(O12:S12)</f>
    </nc>
  </rcc>
  <rcc rId="18869" sId="10">
    <oc r="Z12">
      <f>SUM(U12:Y12)</f>
    </oc>
    <nc r="Z12">
      <f>SUM(U12:Y12)</f>
    </nc>
  </rcc>
  <rcc rId="18870" sId="10">
    <oc r="AF12">
      <f>SUM(AA12:AE12)</f>
    </oc>
    <nc r="AF12">
      <f>SUM(AA12:AE12)</f>
    </nc>
  </rcc>
  <rcc rId="18871" sId="10" odxf="1" dxf="1">
    <oc r="AG12">
      <v>44</v>
    </oc>
    <nc r="AG12"/>
    <odxf>
      <border outline="0">
        <left style="thin">
          <color indexed="64"/>
        </left>
      </border>
    </odxf>
    <ndxf>
      <border outline="0">
        <left/>
      </border>
    </ndxf>
  </rcc>
  <rcc rId="18872" sId="10">
    <oc r="AH12">
      <v>35</v>
    </oc>
    <nc r="AH12"/>
  </rcc>
  <rcc rId="18873" sId="10">
    <oc r="AI12">
      <v>56</v>
    </oc>
    <nc r="AI12"/>
  </rcc>
  <rcc rId="18874" sId="10">
    <oc r="AJ12">
      <v>39</v>
    </oc>
    <nc r="AJ12"/>
  </rcc>
  <rcc rId="18875" sId="10" odxf="1" dxf="1">
    <oc r="AK12">
      <v>27</v>
    </oc>
    <nc r="AK12"/>
    <odxf>
      <border outline="0">
        <right style="thin">
          <color indexed="64"/>
        </right>
      </border>
    </odxf>
    <ndxf>
      <border outline="0">
        <right/>
      </border>
    </ndxf>
  </rcc>
  <rcc rId="18876" sId="10">
    <oc r="AL12">
      <f>SUM(AG12:AK12)</f>
    </oc>
    <nc r="AL12">
      <f>SUM(AG12:AK12)</f>
    </nc>
  </rcc>
  <rfmt sheetId="10" sqref="AM12" start="0" length="0">
    <dxf>
      <font>
        <b val="0"/>
        <sz val="11"/>
        <color theme="1"/>
        <name val="Aptos Narrow"/>
        <family val="2"/>
        <scheme val="minor"/>
      </font>
    </dxf>
  </rfmt>
  <rfmt sheetId="10" sqref="AN12" start="0" length="0">
    <dxf>
      <font>
        <b val="0"/>
        <sz val="11"/>
        <color theme="1"/>
        <name val="Aptos Narrow"/>
        <family val="2"/>
        <scheme val="minor"/>
      </font>
    </dxf>
  </rfmt>
  <rcc rId="18877" sId="10">
    <oc r="AO12">
      <v>64</v>
    </oc>
    <nc r="AO12"/>
  </rcc>
  <rcc rId="18878" sId="10">
    <oc r="AP12">
      <v>41</v>
    </oc>
    <nc r="AP12"/>
  </rcc>
  <rcc rId="18879" sId="10" odxf="1" dxf="1">
    <oc r="AQ12">
      <v>61</v>
    </oc>
    <nc r="AQ12"/>
    <odxf>
      <border outline="0">
        <right style="thin">
          <color indexed="64"/>
        </right>
      </border>
    </odxf>
    <ndxf>
      <border outline="0">
        <right/>
      </border>
    </ndxf>
  </rcc>
  <rcc rId="18880" sId="10">
    <oc r="AR12">
      <f>SUM(AM12:AQ12)</f>
    </oc>
    <nc r="AR12">
      <f>SUM(AM12:AQ12)</f>
    </nc>
  </rcc>
  <rcc rId="18881" sId="10" odxf="1" dxf="1">
    <oc r="AS12" t="inlineStr">
      <is>
        <t>RECESSO</t>
      </is>
    </oc>
    <nc r="AS12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882" sId="10" odxf="1" dxf="1">
    <oc r="AT12" t="inlineStr">
      <is>
        <t>FERIADO</t>
      </is>
    </oc>
    <nc r="AT12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883" sId="10">
    <oc r="AX12">
      <f>SUM(AS12:AW12)</f>
    </oc>
    <nc r="AX12">
      <f>SUM(AS12:AW12)</f>
    </nc>
  </rcc>
  <rcc rId="18884" sId="10" odxf="1" dxf="1">
    <nc r="BA12">
      <f>SUM(AY12:AZ12)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885" sId="10">
    <oc r="H13">
      <f>SUM(C13:G13)</f>
    </oc>
    <nc r="H13">
      <f>SUM(C13:G13)</f>
    </nc>
  </rcc>
  <rcc rId="18886" sId="10">
    <oc r="N13">
      <f>SUM(I13:M13)</f>
    </oc>
    <nc r="N13">
      <f>SUM(I13:M13)</f>
    </nc>
  </rcc>
  <rcc rId="18887" sId="10">
    <oc r="T13">
      <f>SUM(O13:S13)</f>
    </oc>
    <nc r="T13">
      <f>SUM(O13:S13)</f>
    </nc>
  </rcc>
  <rcc rId="18888" sId="10">
    <oc r="Z13">
      <f>SUM(U13:Y13)</f>
    </oc>
    <nc r="Z13">
      <f>SUM(U13:Y13)</f>
    </nc>
  </rcc>
  <rcc rId="18889" sId="10">
    <oc r="AF13">
      <f>SUM(AA13:AE13)</f>
    </oc>
    <nc r="AF13">
      <f>SUM(AA13:AE13)</f>
    </nc>
  </rcc>
  <rfmt sheetId="10" sqref="AG13" start="0" length="0">
    <dxf>
      <border outline="0">
        <left/>
      </border>
    </dxf>
  </rfmt>
  <rcc rId="18890" sId="10">
    <oc r="AI13">
      <v>1</v>
    </oc>
    <nc r="AI13"/>
  </rcc>
  <rcc rId="18891" sId="10">
    <oc r="AJ13">
      <v>1</v>
    </oc>
    <nc r="AJ13"/>
  </rcc>
  <rfmt sheetId="10" sqref="AK13" start="0" length="0">
    <dxf>
      <border outline="0">
        <right/>
      </border>
    </dxf>
  </rfmt>
  <rcc rId="18892" sId="10">
    <oc r="AL13">
      <f>SUM(AG13:AK13)</f>
    </oc>
    <nc r="AL13">
      <f>SUM(AG13:AK13)</f>
    </nc>
  </rcc>
  <rfmt sheetId="10" sqref="AM13" start="0" length="0">
    <dxf>
      <font>
        <b val="0"/>
        <sz val="11"/>
        <color theme="1"/>
        <name val="Aptos Narrow"/>
        <family val="2"/>
        <scheme val="minor"/>
      </font>
    </dxf>
  </rfmt>
  <rfmt sheetId="10" sqref="AN13" start="0" length="0">
    <dxf>
      <font>
        <b val="0"/>
        <sz val="11"/>
        <color theme="1"/>
        <name val="Aptos Narrow"/>
        <family val="2"/>
        <scheme val="minor"/>
      </font>
    </dxf>
  </rfmt>
  <rfmt sheetId="10" sqref="AQ13" start="0" length="0">
    <dxf>
      <border outline="0">
        <right/>
      </border>
    </dxf>
  </rfmt>
  <rcc rId="18893" sId="10">
    <oc r="AR13">
      <f>SUM(AM13:AQ13)</f>
    </oc>
    <nc r="AR13">
      <f>SUM(AM13:AQ13)</f>
    </nc>
  </rcc>
  <rcc rId="18894" sId="10" odxf="1" dxf="1">
    <oc r="AS13" t="inlineStr">
      <is>
        <t>RECESSO</t>
      </is>
    </oc>
    <nc r="AS13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895" sId="10" odxf="1" dxf="1">
    <oc r="AT13" t="inlineStr">
      <is>
        <t>FERIADO</t>
      </is>
    </oc>
    <nc r="AT13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896" sId="10">
    <oc r="AX13">
      <f>SUM(AS13:AW13)</f>
    </oc>
    <nc r="AX13">
      <f>SUM(AS13:AW13)</f>
    </nc>
  </rcc>
  <rcc rId="18897" sId="10" odxf="1" dxf="1">
    <nc r="BA13">
      <f>SUM(AY13:AZ13)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898" sId="10">
    <oc r="H14">
      <f>SUM(C14:G14)</f>
    </oc>
    <nc r="H14">
      <f>SUM(C14:G14)</f>
    </nc>
  </rcc>
  <rcc rId="18899" sId="10">
    <oc r="N14">
      <f>SUM(I14:M14)</f>
    </oc>
    <nc r="N14">
      <f>SUM(I14:M14)</f>
    </nc>
  </rcc>
  <rcc rId="18900" sId="10">
    <oc r="T14">
      <f>SUM(O14:S14)</f>
    </oc>
    <nc r="T14">
      <f>SUM(O14:S14)</f>
    </nc>
  </rcc>
  <rcc rId="18901" sId="10">
    <oc r="Z14">
      <f>SUM(U14:Y14)</f>
    </oc>
    <nc r="Z14">
      <f>SUM(U14:Y14)</f>
    </nc>
  </rcc>
  <rcc rId="18902" sId="10">
    <oc r="AF14">
      <f>SUM(AA14:AE14)</f>
    </oc>
    <nc r="AF14">
      <f>SUM(AA14:AE14)</f>
    </nc>
  </rcc>
  <rfmt sheetId="10" sqref="AG14" start="0" length="0">
    <dxf>
      <border outline="0">
        <left/>
      </border>
    </dxf>
  </rfmt>
  <rfmt sheetId="10" sqref="AK14" start="0" length="0">
    <dxf>
      <border outline="0">
        <right/>
      </border>
    </dxf>
  </rfmt>
  <rcc rId="18903" sId="10">
    <oc r="AL14">
      <f>SUM(AG14:AK14)</f>
    </oc>
    <nc r="AL14">
      <f>SUM(AG14:AK14)</f>
    </nc>
  </rcc>
  <rfmt sheetId="10" sqref="AM14" start="0" length="0">
    <dxf>
      <font>
        <b val="0"/>
        <sz val="11"/>
        <color theme="1"/>
        <name val="Aptos Narrow"/>
        <family val="2"/>
        <scheme val="minor"/>
      </font>
    </dxf>
  </rfmt>
  <rfmt sheetId="10" sqref="AN14" start="0" length="0">
    <dxf>
      <font>
        <b val="0"/>
        <sz val="11"/>
        <color theme="1"/>
        <name val="Aptos Narrow"/>
        <family val="2"/>
        <scheme val="minor"/>
      </font>
    </dxf>
  </rfmt>
  <rfmt sheetId="10" sqref="AQ14" start="0" length="0">
    <dxf>
      <border outline="0">
        <right/>
      </border>
    </dxf>
  </rfmt>
  <rcc rId="18904" sId="10">
    <oc r="AR14">
      <f>SUM(AM14:AQ14)</f>
    </oc>
    <nc r="AR14">
      <f>SUM(AM14:AQ14)</f>
    </nc>
  </rcc>
  <rcc rId="18905" sId="10" odxf="1" dxf="1">
    <oc r="AS14" t="inlineStr">
      <is>
        <t>RECESSO</t>
      </is>
    </oc>
    <nc r="AS14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906" sId="10" odxf="1" dxf="1">
    <oc r="AT14" t="inlineStr">
      <is>
        <t>FERIADO</t>
      </is>
    </oc>
    <nc r="AT14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907" sId="10">
    <oc r="AX14">
      <f>SUM(AS14:AW14)</f>
    </oc>
    <nc r="AX14">
      <f>SUM(AS14:AW14)</f>
    </nc>
  </rcc>
  <rcc rId="18908" sId="10" odxf="1" dxf="1">
    <nc r="BA14">
      <f>SUM(AY14:AZ14)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909" sId="10">
    <oc r="H15">
      <f>SUM(C15:G15)</f>
    </oc>
    <nc r="H15">
      <f>SUM(C15:G15)</f>
    </nc>
  </rcc>
  <rcc rId="18910" sId="10">
    <oc r="N15">
      <f>SUM(I15:M15)</f>
    </oc>
    <nc r="N15">
      <f>SUM(I15:M15)</f>
    </nc>
  </rcc>
  <rcc rId="18911" sId="10">
    <oc r="T15">
      <f>SUM(O15:S15)</f>
    </oc>
    <nc r="T15">
      <f>SUM(O15:S15)</f>
    </nc>
  </rcc>
  <rcc rId="18912" sId="10">
    <oc r="Z15">
      <f>SUM(U15:Y15)</f>
    </oc>
    <nc r="Z15">
      <f>SUM(U15:Y15)</f>
    </nc>
  </rcc>
  <rcc rId="18913" sId="10">
    <oc r="AF15">
      <f>SUM(AA15:AE15)</f>
    </oc>
    <nc r="AF15">
      <f>SUM(AA15:AE15)</f>
    </nc>
  </rcc>
  <rfmt sheetId="10" sqref="AG15" start="0" length="0">
    <dxf>
      <border outline="0">
        <left/>
      </border>
    </dxf>
  </rfmt>
  <rfmt sheetId="10" sqref="AK15" start="0" length="0">
    <dxf>
      <border outline="0">
        <right/>
      </border>
    </dxf>
  </rfmt>
  <rcc rId="18914" sId="10">
    <oc r="AL15">
      <f>SUM(AG15:AK15)</f>
    </oc>
    <nc r="AL15">
      <f>SUM(AG15:AK15)</f>
    </nc>
  </rcc>
  <rfmt sheetId="10" sqref="AM15" start="0" length="0">
    <dxf>
      <font>
        <b val="0"/>
        <sz val="11"/>
        <color theme="1"/>
        <name val="Aptos Narrow"/>
        <family val="2"/>
        <scheme val="minor"/>
      </font>
    </dxf>
  </rfmt>
  <rfmt sheetId="10" sqref="AN15" start="0" length="0">
    <dxf>
      <font>
        <b val="0"/>
        <sz val="11"/>
        <color theme="1"/>
        <name val="Aptos Narrow"/>
        <family val="2"/>
        <scheme val="minor"/>
      </font>
    </dxf>
  </rfmt>
  <rfmt sheetId="10" sqref="AQ15" start="0" length="0">
    <dxf>
      <border outline="0">
        <right/>
      </border>
    </dxf>
  </rfmt>
  <rcc rId="18915" sId="10">
    <oc r="AR15">
      <f>SUM(AM15:AQ15)</f>
    </oc>
    <nc r="AR15">
      <f>SUM(AM15:AQ15)</f>
    </nc>
  </rcc>
  <rcc rId="18916" sId="10" odxf="1" dxf="1">
    <oc r="AS15" t="inlineStr">
      <is>
        <t>RECESSO</t>
      </is>
    </oc>
    <nc r="AS15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917" sId="10" odxf="1" dxf="1">
    <oc r="AT15" t="inlineStr">
      <is>
        <t>FERIADO</t>
      </is>
    </oc>
    <nc r="AT15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918" sId="10">
    <oc r="AX15">
      <f>SUM(AS15:AW15)</f>
    </oc>
    <nc r="AX15">
      <f>SUM(AS15:AW15)</f>
    </nc>
  </rcc>
  <rcc rId="18919" sId="10" odxf="1" dxf="1">
    <nc r="BA15">
      <f>SUM(AY15:AZ15)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920" sId="10">
    <oc r="H16">
      <f>SUM(C16:G16)</f>
    </oc>
    <nc r="H16">
      <f>SUM(C16:G16)</f>
    </nc>
  </rcc>
  <rcc rId="18921" sId="10">
    <oc r="N16">
      <f>SUM(I16:M16)</f>
    </oc>
    <nc r="N16">
      <f>SUM(I16:M16)</f>
    </nc>
  </rcc>
  <rcc rId="18922" sId="10">
    <oc r="T16">
      <f>SUM(O16:S16)</f>
    </oc>
    <nc r="T16">
      <f>SUM(O16:S16)</f>
    </nc>
  </rcc>
  <rcc rId="18923" sId="10">
    <oc r="Z16">
      <f>SUM(U16:Y16)</f>
    </oc>
    <nc r="Z16">
      <f>SUM(U16:Y16)</f>
    </nc>
  </rcc>
  <rcc rId="18924" sId="10">
    <oc r="AF16">
      <f>SUM(AA16:AE16)</f>
    </oc>
    <nc r="AF16">
      <f>SUM(AA16:AE16)</f>
    </nc>
  </rcc>
  <rfmt sheetId="10" sqref="AG16" start="0" length="0">
    <dxf>
      <border outline="0">
        <left/>
      </border>
    </dxf>
  </rfmt>
  <rfmt sheetId="10" sqref="AK16" start="0" length="0">
    <dxf>
      <border outline="0">
        <right/>
      </border>
    </dxf>
  </rfmt>
  <rcc rId="18925" sId="10">
    <oc r="AL16">
      <f>SUM(AG16:AK16)</f>
    </oc>
    <nc r="AL16">
      <f>SUM(AG16:AK16)</f>
    </nc>
  </rcc>
  <rfmt sheetId="10" sqref="AM16" start="0" length="0">
    <dxf>
      <font>
        <b val="0"/>
        <sz val="11"/>
        <color theme="1"/>
        <name val="Aptos Narrow"/>
        <family val="2"/>
        <scheme val="minor"/>
      </font>
    </dxf>
  </rfmt>
  <rfmt sheetId="10" sqref="AN16" start="0" length="0">
    <dxf>
      <font>
        <b val="0"/>
        <sz val="11"/>
        <color theme="1"/>
        <name val="Aptos Narrow"/>
        <family val="2"/>
        <scheme val="minor"/>
      </font>
    </dxf>
  </rfmt>
  <rfmt sheetId="10" sqref="AQ16" start="0" length="0">
    <dxf>
      <border outline="0">
        <right/>
      </border>
    </dxf>
  </rfmt>
  <rcc rId="18926" sId="10">
    <oc r="AR16">
      <f>SUM(AM16:AQ16)</f>
    </oc>
    <nc r="AR16">
      <f>SUM(AM16:AQ16)</f>
    </nc>
  </rcc>
  <rcc rId="18927" sId="10" odxf="1" dxf="1">
    <oc r="AS16" t="inlineStr">
      <is>
        <t>RECESSO</t>
      </is>
    </oc>
    <nc r="AS16"/>
    <odxf>
      <font>
        <b/>
      </font>
      <numFmt numFmtId="21" formatCode="dd/mmm"/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numFmt numFmtId="0" formatCode="General"/>
      <fill>
        <patternFill patternType="none">
          <bgColor indexed="65"/>
        </patternFill>
      </fill>
    </ndxf>
  </rcc>
  <rcc rId="18928" sId="10" odxf="1" dxf="1">
    <oc r="AT16" t="inlineStr">
      <is>
        <t>FERIADO</t>
      </is>
    </oc>
    <nc r="AT16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929" sId="10">
    <oc r="AX16">
      <f>SUM(AS16:AW16)</f>
    </oc>
    <nc r="AX16">
      <f>SUM(AS16:AW16)</f>
    </nc>
  </rcc>
  <rcc rId="18930" sId="10" odxf="1" dxf="1">
    <nc r="BA16">
      <f>SUM(AY16:AZ16)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cc rId="18931" sId="10">
    <oc r="H17">
      <f>SUM(C17:G17)</f>
    </oc>
    <nc r="H17">
      <f>SUM(C17:G17)</f>
    </nc>
  </rcc>
  <rcc rId="18932" sId="10">
    <oc r="N17">
      <f>SUM(I17:M17)</f>
    </oc>
    <nc r="N17">
      <f>SUM(I17:M17)</f>
    </nc>
  </rcc>
  <rcc rId="18933" sId="10">
    <oc r="T17">
      <f>SUM(O17:S17)</f>
    </oc>
    <nc r="T17">
      <f>SUM(O17:S17)</f>
    </nc>
  </rcc>
  <rcc rId="18934" sId="10">
    <oc r="Z17">
      <f>SUM(U17:Y17)</f>
    </oc>
    <nc r="Z17">
      <f>SUM(U17:Y17)</f>
    </nc>
  </rcc>
  <rcc rId="18935" sId="10">
    <oc r="AF17">
      <f>SUM(AA17:AE17)</f>
    </oc>
    <nc r="AF17">
      <f>SUM(AA17:AE17)</f>
    </nc>
  </rcc>
  <rfmt sheetId="10" sqref="AG17" start="0" length="0">
    <dxf>
      <border outline="0">
        <left/>
      </border>
    </dxf>
  </rfmt>
  <rfmt sheetId="10" sqref="AK17" start="0" length="0">
    <dxf>
      <border outline="0">
        <right/>
      </border>
    </dxf>
  </rfmt>
  <rcc rId="18936" sId="10">
    <oc r="AL17">
      <f>SUM(AG17:AK17)</f>
    </oc>
    <nc r="AL17">
      <f>SUM(AG17:AK17)</f>
    </nc>
  </rcc>
  <rfmt sheetId="10" sqref="AM17" start="0" length="0">
    <dxf>
      <font>
        <b val="0"/>
        <sz val="11"/>
        <color theme="1"/>
        <name val="Aptos Narrow"/>
        <family val="2"/>
        <scheme val="minor"/>
      </font>
    </dxf>
  </rfmt>
  <rfmt sheetId="10" sqref="AN17" start="0" length="0">
    <dxf>
      <font>
        <b val="0"/>
        <sz val="11"/>
        <color theme="1"/>
        <name val="Aptos Narrow"/>
        <family val="2"/>
        <scheme val="minor"/>
      </font>
    </dxf>
  </rfmt>
  <rfmt sheetId="10" sqref="AQ17" start="0" length="0">
    <dxf>
      <border outline="0">
        <right/>
      </border>
    </dxf>
  </rfmt>
  <rcc rId="18937" sId="10">
    <oc r="AR17">
      <f>SUM(AM17:AQ17)</f>
    </oc>
    <nc r="AR17">
      <f>SUM(AM17:AQ17)</f>
    </nc>
  </rcc>
  <rcc rId="18938" sId="10" odxf="1" dxf="1">
    <oc r="AS17" t="inlineStr">
      <is>
        <t>RECESSO</t>
      </is>
    </oc>
    <nc r="AS17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939" sId="10" odxf="1" dxf="1">
    <oc r="AT17" t="inlineStr">
      <is>
        <t>FERIADO</t>
      </is>
    </oc>
    <nc r="AT17"/>
    <odxf>
      <font>
        <b/>
      </font>
      <fill>
        <patternFill patternType="solid">
          <bgColor theme="9" tint="0.79998168889431442"/>
        </patternFill>
      </fill>
    </odxf>
    <ndxf>
      <font>
        <b val="0"/>
        <sz val="11"/>
        <color theme="1"/>
        <name val="Aptos Narrow"/>
        <family val="2"/>
        <scheme val="minor"/>
      </font>
      <fill>
        <patternFill patternType="none">
          <bgColor indexed="65"/>
        </patternFill>
      </fill>
    </ndxf>
  </rcc>
  <rcc rId="18940" sId="10">
    <oc r="AX17">
      <f>SUM(AS17:AW17)</f>
    </oc>
    <nc r="AX17">
      <f>SUM(AS17:AW17)</f>
    </nc>
  </rcc>
  <rcc rId="18941" sId="10" odxf="1" dxf="1">
    <nc r="BA17">
      <f>SUM(AY17:AZ17)</f>
    </nc>
    <odxf>
      <fill>
        <patternFill patternType="none">
          <bgColor indexed="65"/>
        </patternFill>
      </fill>
      <border outline="0">
        <left/>
        <right/>
      </border>
    </odxf>
    <ndxf>
      <fill>
        <patternFill patternType="solid"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</border>
    </ndxf>
  </rcc>
  <rrc rId="18942" sId="10" ref="BB1:BB1048576" action="deleteCol">
    <rfmt sheetId="10" xfDxf="1" sqref="BB1:BB1048576" start="0" length="0">
      <dxf>
        <alignment horizontal="center" vertical="center"/>
      </dxf>
    </rfmt>
    <rcc rId="0" sId="10" dxf="1" numFmtId="21">
      <nc r="BB1">
        <v>46142</v>
      </nc>
      <ndxf>
        <numFmt numFmtId="21" formatCode="dd/mmm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0" sqref="BB17" start="0" length="0">
      <dxf>
        <border outline="0">
          <bottom style="thin">
            <color indexed="64"/>
          </bottom>
        </border>
      </dxf>
    </rfmt>
  </rrc>
  <rrc rId="18943" sId="10" ref="BB1:BB1048576" action="deleteCol">
    <undo index="65535" exp="area" dr="AY17:BB17" r="BC17" sId="10"/>
    <undo index="65535" exp="area" dr="AY16:BB16" r="BC16" sId="10"/>
    <undo index="65535" exp="area" dr="AY15:BB15" r="BC15" sId="10"/>
    <undo index="65535" exp="area" dr="AY14:BB14" r="BC14" sId="10"/>
    <undo index="65535" exp="area" dr="AY13:BB13" r="BC13" sId="10"/>
    <undo index="65535" exp="area" dr="AY12:BB12" r="BC12" sId="10"/>
    <undo index="65535" exp="area" dr="AY11:BB11" r="BC11" sId="10"/>
    <undo index="65535" exp="area" dr="AY10:BB10" r="BC10" sId="10"/>
    <undo index="65535" exp="area" dr="AY9:BB9" r="BC9" sId="10"/>
    <undo index="65535" exp="area" dr="AY8:BB8" r="BC8" sId="10"/>
    <undo index="65535" exp="area" dr="AY7:BB7" r="BC7" sId="10"/>
    <undo index="65535" exp="area" dr="AY6:BB6" r="BC6" sId="10"/>
    <undo index="65535" exp="area" dr="AY5:BB5" r="BC5" sId="10"/>
    <undo index="65535" exp="area" dr="AY4:BB4" r="BC4" sId="10"/>
    <undo index="65535" exp="area" dr="AY3:BB3" r="BC3" sId="10"/>
    <undo index="65535" exp="area" dr="AY2:BB2" r="BC2" sId="10"/>
    <rfmt sheetId="10" xfDxf="1" sqref="BB1:BB1048576" start="0" length="0">
      <dxf>
        <alignment horizontal="center" vertical="center"/>
      </dxf>
    </rfmt>
    <rcc rId="0" sId="10" dxf="1" numFmtId="21">
      <nc r="BB1">
        <v>46143</v>
      </nc>
      <ndxf>
        <numFmt numFmtId="21" formatCode="dd/mmm"/>
        <border outline="0">
          <left style="thin">
            <color indexed="64"/>
          </left>
          <top style="thin">
            <color indexed="64"/>
          </top>
          <bottom style="thin">
            <color indexed="64"/>
          </bottom>
        </border>
      </ndxf>
    </rcc>
    <rfmt sheetId="10" sqref="BB17" start="0" length="0">
      <dxf>
        <border outline="0">
          <bottom style="thin">
            <color indexed="64"/>
          </bottom>
        </border>
      </dxf>
    </rfmt>
  </rrc>
  <rrc rId="18944" sId="10" ref="BB1:BB1048576" action="deleteCol">
    <undo index="65535" exp="ref" ref3D="1" v="1" dr="BB17" r="K17" sId="3"/>
    <undo index="65535" exp="ref" ref3D="1" v="1" dr="BB16" r="K16" sId="3"/>
    <undo index="65535" exp="ref" ref3D="1" v="1" dr="BB15" r="K15" sId="3"/>
    <undo index="65535" exp="ref" ref3D="1" v="1" dr="BB14" r="K14" sId="3"/>
    <undo index="65535" exp="ref" ref3D="1" v="1" dr="BB13" r="K13" sId="3"/>
    <undo index="65535" exp="ref" ref3D="1" v="1" dr="BB12" r="K12" sId="3"/>
    <undo index="65535" exp="ref" ref3D="1" v="1" dr="BB11" r="K11" sId="3"/>
    <undo index="65535" exp="ref" ref3D="1" v="1" dr="BB10" r="K10" sId="3"/>
    <undo index="65535" exp="ref" ref3D="1" v="1" dr="BB9" r="K9" sId="3"/>
    <undo index="65535" exp="ref" ref3D="1" v="1" dr="BB8" r="K8" sId="3"/>
    <undo index="65535" exp="ref" ref3D="1" v="1" dr="BB7" r="K7" sId="3"/>
    <undo index="65535" exp="ref" ref3D="1" v="1" dr="BB6" r="K6" sId="3"/>
    <undo index="65535" exp="ref" ref3D="1" v="1" dr="BB5" r="K5" sId="3"/>
    <undo index="65535" exp="ref" ref3D="1" v="1" dr="BB4" r="K4" sId="3"/>
    <undo index="65535" exp="ref" ref3D="1" v="1" dr="BB3" r="K3" sId="3"/>
    <undo index="65535" exp="ref" ref3D="1" v="1" dr="BB2" r="K2" sId="3"/>
    <rfmt sheetId="10" xfDxf="1" sqref="BB1:BB1048576" start="0" length="0">
      <dxf>
        <alignment horizontal="center" vertical="center"/>
      </dxf>
    </rfmt>
    <rcc rId="0" sId="10" dxf="1">
      <nc r="BB1" t="inlineStr">
        <is>
          <t>TOTAL SEMANA</t>
        </is>
      </nc>
      <ndxf>
        <fill>
          <patternFill patternType="solid">
            <bgColor theme="0" tint="-0.14999847407452621"/>
          </patternFill>
        </fill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0" dxf="1">
      <nc r="BB2">
        <f>SUM(AY2:BA2)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3">
        <f>SUM(AY3:BA3)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4">
        <f>SUM(AY4:BA4)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5">
        <f>SUM(AY5:BA5)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6">
        <f>SUM(AY6:BA6)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7">
        <f>SUM(AY7:BA7)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8">
        <f>SUM(AY8:BA8)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9">
        <f>SUM(AY9:BA9)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10">
        <f>SUM(AY10:BA10)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11">
        <f>SUM(AY11:BA11)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12">
        <f>SUM(AY12:BA12)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13">
        <f>SUM(AY13:BA13)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14">
        <f>SUM(AY14:BA14)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15">
        <f>SUM(AY15:BA15)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16">
        <f>SUM(AY16:BA16)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</border>
      </ndxf>
    </rcc>
    <rcc rId="0" sId="10" dxf="1">
      <nc r="BB17">
        <f>SUM(AY17:BA17)</f>
      </nc>
      <ndxf>
        <fill>
          <patternFill patternType="solid">
            <bgColor theme="0" tint="-0.14999847407452621"/>
          </patternFill>
        </fill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ndxf>
    </rcc>
  </rrc>
  <rrc rId="18945" sId="10" ref="BB1:BB1048576" action="deleteCol">
    <rfmt sheetId="10" xfDxf="1" sqref="BB1:BB1048576" start="0" length="0">
      <dxf>
        <alignment horizontal="center" vertical="center"/>
      </dxf>
    </rfmt>
  </rr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956" sId="9">
    <oc r="H2">
      <f>SUM(C2:G2)</f>
    </oc>
    <nc r="H2">
      <f>SUM(C2:G2)</f>
    </nc>
  </rcc>
  <rcc rId="18957" sId="9">
    <oc r="N2">
      <f>SUM(I2:M2)</f>
    </oc>
    <nc r="N2">
      <f>SUM(I2:M2)</f>
    </nc>
  </rcc>
  <rcc rId="18958" sId="9">
    <oc r="T2">
      <f>SUM(O2:S2)</f>
    </oc>
    <nc r="T2">
      <f>SUM(O2:S2)</f>
    </nc>
  </rcc>
  <rcc rId="18959" sId="9">
    <oc r="Z2">
      <f>SUM(U2:Y2)</f>
    </oc>
    <nc r="Z2">
      <f>SUM(U2:Y2)</f>
    </nc>
  </rcc>
  <rcc rId="18960" sId="9">
    <oc r="AF2">
      <f>SUM(AA2:AE2)</f>
    </oc>
    <nc r="AF2">
      <f>SUM(AA2:AE2)</f>
    </nc>
  </rcc>
  <rcc rId="18961" sId="9">
    <oc r="AL2">
      <f>SUM(AG2:AK2)</f>
    </oc>
    <nc r="AL2">
      <f>SUM(AG2:AK2)</f>
    </nc>
  </rcc>
  <rcc rId="18962" sId="9">
    <oc r="AR2">
      <f>SUM(AM2:AQ2)</f>
    </oc>
    <nc r="AR2">
      <f>SUM(AM2:AQ2)</f>
    </nc>
  </rcc>
  <rcc rId="18963" sId="9">
    <oc r="AX2">
      <f>SUM(AS2:AW2)</f>
    </oc>
    <nc r="AX2">
      <f>SUM(AS2:AW2)</f>
    </nc>
  </rcc>
  <rcc rId="18964" sId="9">
    <oc r="BA2">
      <f>SUM(AY2:AZ2)</f>
    </oc>
    <nc r="BA2">
      <f>SUM(AY2:AZ2)</f>
    </nc>
  </rcc>
  <rcc rId="18965" sId="9">
    <oc r="H3">
      <f>SUM(C3:G3)</f>
    </oc>
    <nc r="H3">
      <f>SUM(C3:G3)</f>
    </nc>
  </rcc>
  <rcc rId="18966" sId="9">
    <oc r="N3">
      <f>SUM(I3:M3)</f>
    </oc>
    <nc r="N3">
      <f>SUM(I3:M3)</f>
    </nc>
  </rcc>
  <rcc rId="18967" sId="9">
    <oc r="T3">
      <f>SUM(O3:S3)</f>
    </oc>
    <nc r="T3">
      <f>SUM(O3:S3)</f>
    </nc>
  </rcc>
  <rcc rId="18968" sId="9">
    <oc r="Z3">
      <f>SUM(U3:Y3)</f>
    </oc>
    <nc r="Z3">
      <f>SUM(U3:Y3)</f>
    </nc>
  </rcc>
  <rcc rId="18969" sId="9">
    <oc r="AF3">
      <f>SUM(AA3:AE3)</f>
    </oc>
    <nc r="AF3">
      <f>SUM(AA3:AE3)</f>
    </nc>
  </rcc>
  <rcc rId="18970" sId="9">
    <oc r="AL3">
      <f>SUM(AG3:AK3)</f>
    </oc>
    <nc r="AL3">
      <f>SUM(AG3:AK3)</f>
    </nc>
  </rcc>
  <rcc rId="18971" sId="9">
    <oc r="AR3">
      <f>SUM(AM3:AQ3)</f>
    </oc>
    <nc r="AR3">
      <f>SUM(AM3:AQ3)</f>
    </nc>
  </rcc>
  <rcc rId="18972" sId="9">
    <oc r="AX3">
      <f>SUM(AS3:AW3)</f>
    </oc>
    <nc r="AX3">
      <f>SUM(AS3:AW3)</f>
    </nc>
  </rcc>
  <rcc rId="18973" sId="9">
    <oc r="BA3">
      <f>SUM(AY3:AZ3)</f>
    </oc>
    <nc r="BA3">
      <f>SUM(AY3:AZ3)</f>
    </nc>
  </rcc>
  <rcc rId="18974" sId="9">
    <oc r="H4">
      <f>SUM(C4:G4)</f>
    </oc>
    <nc r="H4">
      <f>SUM(C4:G4)</f>
    </nc>
  </rcc>
  <rcc rId="18975" sId="9">
    <oc r="N4">
      <f>SUM(I4:M4)</f>
    </oc>
    <nc r="N4">
      <f>SUM(I4:M4)</f>
    </nc>
  </rcc>
  <rcc rId="18976" sId="9">
    <oc r="T4">
      <f>SUM(O4:S4)</f>
    </oc>
    <nc r="T4">
      <f>SUM(O4:S4)</f>
    </nc>
  </rcc>
  <rcc rId="18977" sId="9">
    <oc r="Z4">
      <f>SUM(U4:Y4)</f>
    </oc>
    <nc r="Z4">
      <f>SUM(U4:Y4)</f>
    </nc>
  </rcc>
  <rcc rId="18978" sId="9">
    <oc r="AF4">
      <f>SUM(AA4:AE4)</f>
    </oc>
    <nc r="AF4">
      <f>SUM(AA4:AE4)</f>
    </nc>
  </rcc>
  <rcc rId="18979" sId="9">
    <oc r="AL4">
      <f>SUM(AG4:AK4)</f>
    </oc>
    <nc r="AL4">
      <f>SUM(AG4:AK4)</f>
    </nc>
  </rcc>
  <rcc rId="18980" sId="9">
    <oc r="AR4">
      <f>SUM(AM4:AQ4)</f>
    </oc>
    <nc r="AR4">
      <f>SUM(AM4:AQ4)</f>
    </nc>
  </rcc>
  <rcc rId="18981" sId="9">
    <oc r="AX4">
      <f>SUM(AS4:AW4)</f>
    </oc>
    <nc r="AX4">
      <f>SUM(AS4:AW4)</f>
    </nc>
  </rcc>
  <rcc rId="18982" sId="9">
    <oc r="BA4">
      <f>SUM(AY4:AZ4)</f>
    </oc>
    <nc r="BA4">
      <f>SUM(AY4:AZ4)</f>
    </nc>
  </rcc>
  <rcc rId="18983" sId="9">
    <oc r="H5">
      <f>SUM(C5:G5)</f>
    </oc>
    <nc r="H5">
      <f>SUM(C5:G5)</f>
    </nc>
  </rcc>
  <rcc rId="18984" sId="9">
    <oc r="N5">
      <f>SUM(I5:M5)</f>
    </oc>
    <nc r="N5">
      <f>SUM(I5:M5)</f>
    </nc>
  </rcc>
  <rcc rId="18985" sId="9">
    <oc r="T5">
      <f>SUM(O5:S5)</f>
    </oc>
    <nc r="T5">
      <f>SUM(O5:S5)</f>
    </nc>
  </rcc>
  <rcc rId="18986" sId="9">
    <oc r="Z5">
      <f>SUM(U5:Y5)</f>
    </oc>
    <nc r="Z5">
      <f>SUM(U5:Y5)</f>
    </nc>
  </rcc>
  <rcc rId="18987" sId="9">
    <oc r="AF5">
      <f>SUM(AA5:AE5)</f>
    </oc>
    <nc r="AF5">
      <f>SUM(AA5:AE5)</f>
    </nc>
  </rcc>
  <rcc rId="18988" sId="9">
    <oc r="AL5">
      <f>SUM(AG5:AK5)</f>
    </oc>
    <nc r="AL5">
      <f>SUM(AG5:AK5)</f>
    </nc>
  </rcc>
  <rcc rId="18989" sId="9">
    <oc r="AR5">
      <f>SUM(AM5:AQ5)</f>
    </oc>
    <nc r="AR5">
      <f>SUM(AM5:AQ5)</f>
    </nc>
  </rcc>
  <rcc rId="18990" sId="9">
    <oc r="AX5">
      <f>SUM(AS5:AW5)</f>
    </oc>
    <nc r="AX5">
      <f>SUM(AS5:AW5)</f>
    </nc>
  </rcc>
  <rcc rId="18991" sId="9">
    <oc r="BA5">
      <f>SUM(AY5:AZ5)</f>
    </oc>
    <nc r="BA5">
      <f>SUM(AY5:AZ5)</f>
    </nc>
  </rcc>
  <rcc rId="18992" sId="9">
    <oc r="H6">
      <f>SUM(C6:G6)</f>
    </oc>
    <nc r="H6">
      <f>SUM(C6:G6)</f>
    </nc>
  </rcc>
  <rcc rId="18993" sId="9">
    <oc r="N6">
      <f>SUM(I6:M6)</f>
    </oc>
    <nc r="N6">
      <f>SUM(I6:M6)</f>
    </nc>
  </rcc>
  <rcc rId="18994" sId="9">
    <oc r="T6">
      <f>SUM(O6:S6)</f>
    </oc>
    <nc r="T6">
      <f>SUM(O6:S6)</f>
    </nc>
  </rcc>
  <rcc rId="18995" sId="9">
    <oc r="Z6">
      <f>SUM(U6:Y6)</f>
    </oc>
    <nc r="Z6">
      <f>SUM(U6:Y6)</f>
    </nc>
  </rcc>
  <rcc rId="18996" sId="9">
    <oc r="AF6">
      <f>SUM(AA6:AE6)</f>
    </oc>
    <nc r="AF6">
      <f>SUM(AA6:AE6)</f>
    </nc>
  </rcc>
  <rcc rId="18997" sId="9">
    <oc r="AL6">
      <f>SUM(AG6:AK6)</f>
    </oc>
    <nc r="AL6">
      <f>SUM(AG6:AK6)</f>
    </nc>
  </rcc>
  <rcc rId="18998" sId="9">
    <oc r="AR6">
      <f>SUM(AM6:AQ6)</f>
    </oc>
    <nc r="AR6">
      <f>SUM(AM6:AQ6)</f>
    </nc>
  </rcc>
  <rcc rId="18999" sId="9">
    <oc r="AX6">
      <f>SUM(AS6:AW6)</f>
    </oc>
    <nc r="AX6">
      <f>SUM(AS6:AW6)</f>
    </nc>
  </rcc>
  <rcc rId="19000" sId="9">
    <oc r="BA6">
      <f>SUM(AY6:AZ6)</f>
    </oc>
    <nc r="BA6">
      <f>SUM(AY6:AZ6)</f>
    </nc>
  </rcc>
  <rcc rId="19001" sId="9">
    <oc r="H7">
      <f>SUM(C7:G7)</f>
    </oc>
    <nc r="H7">
      <f>SUM(C7:G7)</f>
    </nc>
  </rcc>
  <rcc rId="19002" sId="9">
    <oc r="N7">
      <f>SUM(I7:M7)</f>
    </oc>
    <nc r="N7">
      <f>SUM(I7:M7)</f>
    </nc>
  </rcc>
  <rcc rId="19003" sId="9">
    <oc r="T7">
      <f>SUM(O7:S7)</f>
    </oc>
    <nc r="T7">
      <f>SUM(O7:S7)</f>
    </nc>
  </rcc>
  <rcc rId="19004" sId="9">
    <oc r="Z7">
      <f>SUM(U7:Y7)</f>
    </oc>
    <nc r="Z7">
      <f>SUM(U7:Y7)</f>
    </nc>
  </rcc>
  <rcc rId="19005" sId="9">
    <oc r="AF7">
      <f>SUM(AA7:AE7)</f>
    </oc>
    <nc r="AF7">
      <f>SUM(AA7:AE7)</f>
    </nc>
  </rcc>
  <rcc rId="19006" sId="9">
    <oc r="AL7">
      <f>SUM(AG7:AK7)</f>
    </oc>
    <nc r="AL7">
      <f>SUM(AG7:AK7)</f>
    </nc>
  </rcc>
  <rcc rId="19007" sId="9">
    <oc r="AR7">
      <f>SUM(AM7:AQ7)</f>
    </oc>
    <nc r="AR7">
      <f>SUM(AM7:AQ7)</f>
    </nc>
  </rcc>
  <rcc rId="19008" sId="9">
    <oc r="AX7">
      <f>SUM(AS7:AW7)</f>
    </oc>
    <nc r="AX7">
      <f>SUM(AS7:AW7)</f>
    </nc>
  </rcc>
  <rcc rId="19009" sId="9">
    <oc r="BA7">
      <f>SUM(AY7:AZ7)</f>
    </oc>
    <nc r="BA7">
      <f>SUM(AY7:AZ7)</f>
    </nc>
  </rcc>
  <rcc rId="19010" sId="9">
    <oc r="H8">
      <f>SUM(C8:G8)</f>
    </oc>
    <nc r="H8">
      <f>SUM(C8:G8)</f>
    </nc>
  </rcc>
  <rcc rId="19011" sId="9">
    <oc r="N8">
      <f>SUM(I8:M8)</f>
    </oc>
    <nc r="N8">
      <f>SUM(I8:M8)</f>
    </nc>
  </rcc>
  <rcc rId="19012" sId="9">
    <oc r="T8">
      <f>SUM(O8:S8)</f>
    </oc>
    <nc r="T8">
      <f>SUM(O8:S8)</f>
    </nc>
  </rcc>
  <rcc rId="19013" sId="9">
    <oc r="Z8">
      <f>SUM(U8:Y8)</f>
    </oc>
    <nc r="Z8">
      <f>SUM(U8:Y8)</f>
    </nc>
  </rcc>
  <rcc rId="19014" sId="9">
    <oc r="AF8">
      <f>SUM(AA8:AE8)</f>
    </oc>
    <nc r="AF8">
      <f>SUM(AA8:AE8)</f>
    </nc>
  </rcc>
  <rcc rId="19015" sId="9">
    <oc r="AL8">
      <f>SUM(AG8:AK8)</f>
    </oc>
    <nc r="AL8">
      <f>SUM(AG8:AK8)</f>
    </nc>
  </rcc>
  <rcc rId="19016" sId="9">
    <oc r="AR8">
      <f>SUM(AM8:AQ8)</f>
    </oc>
    <nc r="AR8">
      <f>SUM(AM8:AQ8)</f>
    </nc>
  </rcc>
  <rcc rId="19017" sId="9">
    <oc r="AX8">
      <f>SUM(AS8:AW8)</f>
    </oc>
    <nc r="AX8">
      <f>SUM(AS8:AW8)</f>
    </nc>
  </rcc>
  <rcc rId="19018" sId="9">
    <oc r="BA8">
      <f>SUM(AY8:AZ8)</f>
    </oc>
    <nc r="BA8">
      <f>SUM(AY8:AZ8)</f>
    </nc>
  </rcc>
  <rcc rId="19019" sId="9">
    <oc r="H9">
      <f>SUM(C9:G9)</f>
    </oc>
    <nc r="H9">
      <f>SUM(C9:G9)</f>
    </nc>
  </rcc>
  <rcc rId="19020" sId="9">
    <oc r="N9">
      <f>SUM(I9:M9)</f>
    </oc>
    <nc r="N9">
      <f>SUM(I9:M9)</f>
    </nc>
  </rcc>
  <rcc rId="19021" sId="9">
    <oc r="T9">
      <f>SUM(O9:S9)</f>
    </oc>
    <nc r="T9">
      <f>SUM(O9:S9)</f>
    </nc>
  </rcc>
  <rcc rId="19022" sId="9">
    <oc r="Z9">
      <f>SUM(U9:Y9)</f>
    </oc>
    <nc r="Z9">
      <f>SUM(U9:Y9)</f>
    </nc>
  </rcc>
  <rcc rId="19023" sId="9">
    <oc r="AF9">
      <f>SUM(AA9:AE9)</f>
    </oc>
    <nc r="AF9">
      <f>SUM(AA9:AE9)</f>
    </nc>
  </rcc>
  <rcc rId="19024" sId="9">
    <oc r="AL9">
      <f>SUM(AG9:AK9)</f>
    </oc>
    <nc r="AL9">
      <f>SUM(AG9:AK9)</f>
    </nc>
  </rcc>
  <rcc rId="19025" sId="9">
    <oc r="AR9">
      <f>SUM(AM9:AQ9)</f>
    </oc>
    <nc r="AR9">
      <f>SUM(AM9:AQ9)</f>
    </nc>
  </rcc>
  <rcc rId="19026" sId="9">
    <oc r="AX9">
      <f>SUM(AS9:AW9)</f>
    </oc>
    <nc r="AX9">
      <f>SUM(AS9:AW9)</f>
    </nc>
  </rcc>
  <rcc rId="19027" sId="9">
    <oc r="BA9">
      <f>SUM(AY9:AZ9)</f>
    </oc>
    <nc r="BA9">
      <f>SUM(AY9:AZ9)</f>
    </nc>
  </rcc>
  <rcc rId="19028" sId="9">
    <oc r="H10">
      <f>SUM(C10:G10)</f>
    </oc>
    <nc r="H10">
      <f>SUM(C10:G10)</f>
    </nc>
  </rcc>
  <rcc rId="19029" sId="9">
    <oc r="N10">
      <f>SUM(I10:M10)</f>
    </oc>
    <nc r="N10">
      <f>SUM(I10:M10)</f>
    </nc>
  </rcc>
  <rcc rId="19030" sId="9">
    <oc r="T10">
      <f>SUM(O10:S10)</f>
    </oc>
    <nc r="T10">
      <f>SUM(O10:S10)</f>
    </nc>
  </rcc>
  <rcc rId="19031" sId="9">
    <oc r="Z10">
      <f>SUM(U10:Y10)</f>
    </oc>
    <nc r="Z10">
      <f>SUM(U10:Y10)</f>
    </nc>
  </rcc>
  <rcc rId="19032" sId="9">
    <oc r="AF10">
      <f>SUM(AA10:AE10)</f>
    </oc>
    <nc r="AF10">
      <f>SUM(AA10:AE10)</f>
    </nc>
  </rcc>
  <rcc rId="19033" sId="9">
    <oc r="AL10">
      <f>SUM(AG10:AK10)</f>
    </oc>
    <nc r="AL10">
      <f>SUM(AG10:AK10)</f>
    </nc>
  </rcc>
  <rcc rId="19034" sId="9">
    <oc r="AR10">
      <f>SUM(AM10:AQ10)</f>
    </oc>
    <nc r="AR10">
      <f>SUM(AM10:AQ10)</f>
    </nc>
  </rcc>
  <rcc rId="19035" sId="9">
    <oc r="AX10">
      <f>SUM(AS10:AW10)</f>
    </oc>
    <nc r="AX10">
      <f>SUM(AS10:AW10)</f>
    </nc>
  </rcc>
  <rcc rId="19036" sId="9">
    <oc r="BA10">
      <f>SUM(AY10:AZ10)</f>
    </oc>
    <nc r="BA10">
      <f>SUM(AY10:AZ10)</f>
    </nc>
  </rcc>
  <rcc rId="19037" sId="9">
    <oc r="H11">
      <f>SUM(C11:G11)</f>
    </oc>
    <nc r="H11">
      <f>SUM(C11:G11)</f>
    </nc>
  </rcc>
  <rcc rId="19038" sId="9">
    <oc r="N11">
      <f>SUM(I11:M11)</f>
    </oc>
    <nc r="N11">
      <f>SUM(I11:M11)</f>
    </nc>
  </rcc>
  <rcc rId="19039" sId="9">
    <oc r="T11">
      <f>SUM(O11:S11)</f>
    </oc>
    <nc r="T11">
      <f>SUM(O11:S11)</f>
    </nc>
  </rcc>
  <rcc rId="19040" sId="9">
    <oc r="Z11">
      <f>SUM(U11:Y11)</f>
    </oc>
    <nc r="Z11">
      <f>SUM(U11:Y11)</f>
    </nc>
  </rcc>
  <rcc rId="19041" sId="9">
    <oc r="AF11">
      <f>SUM(AA11:AE11)</f>
    </oc>
    <nc r="AF11">
      <f>SUM(AA11:AE11)</f>
    </nc>
  </rcc>
  <rcc rId="19042" sId="9">
    <oc r="AL11">
      <f>SUM(AG11:AK11)</f>
    </oc>
    <nc r="AL11">
      <f>SUM(AG11:AK11)</f>
    </nc>
  </rcc>
  <rcc rId="19043" sId="9">
    <oc r="AR11">
      <f>SUM(AM11:AQ11)</f>
    </oc>
    <nc r="AR11">
      <f>SUM(AM11:AQ11)</f>
    </nc>
  </rcc>
  <rcc rId="19044" sId="9">
    <oc r="AX11">
      <f>SUM(AS11:AW11)</f>
    </oc>
    <nc r="AX11">
      <f>SUM(AS11:AW11)</f>
    </nc>
  </rcc>
  <rcc rId="19045" sId="9">
    <oc r="BA11">
      <f>SUM(AY11:AZ11)</f>
    </oc>
    <nc r="BA11">
      <f>SUM(AY11:AZ11)</f>
    </nc>
  </rcc>
  <rcc rId="19046" sId="9">
    <oc r="H12">
      <f>SUM(C12:G12)</f>
    </oc>
    <nc r="H12">
      <f>SUM(C12:G12)</f>
    </nc>
  </rcc>
  <rcc rId="19047" sId="9">
    <oc r="N12">
      <f>SUM(I12:M12)</f>
    </oc>
    <nc r="N12">
      <f>SUM(I12:M12)</f>
    </nc>
  </rcc>
  <rcc rId="19048" sId="9">
    <oc r="T12">
      <f>SUM(O12:S12)</f>
    </oc>
    <nc r="T12">
      <f>SUM(O12:S12)</f>
    </nc>
  </rcc>
  <rcc rId="19049" sId="9">
    <oc r="Z12">
      <f>SUM(U12:Y12)</f>
    </oc>
    <nc r="Z12">
      <f>SUM(U12:Y12)</f>
    </nc>
  </rcc>
  <rcc rId="19050" sId="9">
    <oc r="AF12">
      <f>SUM(AA12:AE12)</f>
    </oc>
    <nc r="AF12">
      <f>SUM(AA12:AE12)</f>
    </nc>
  </rcc>
  <rcc rId="19051" sId="9">
    <oc r="AL12">
      <f>SUM(AG12:AK12)</f>
    </oc>
    <nc r="AL12">
      <f>SUM(AG12:AK12)</f>
    </nc>
  </rcc>
  <rcc rId="19052" sId="9">
    <oc r="AR12">
      <f>SUM(AM12:AQ12)</f>
    </oc>
    <nc r="AR12">
      <f>SUM(AM12:AQ12)</f>
    </nc>
  </rcc>
  <rcc rId="19053" sId="9">
    <oc r="AX12">
      <f>SUM(AS12:AW12)</f>
    </oc>
    <nc r="AX12">
      <f>SUM(AS12:AW12)</f>
    </nc>
  </rcc>
  <rcc rId="19054" sId="9">
    <oc r="BA12">
      <f>SUM(AY12:AZ12)</f>
    </oc>
    <nc r="BA12">
      <f>SUM(AY12:AZ12)</f>
    </nc>
  </rcc>
  <rcc rId="19055" sId="9">
    <oc r="H13">
      <f>SUM(C13:G13)</f>
    </oc>
    <nc r="H13">
      <f>SUM(C13:G13)</f>
    </nc>
  </rcc>
  <rcc rId="19056" sId="9">
    <oc r="N13">
      <f>SUM(I13:M13)</f>
    </oc>
    <nc r="N13">
      <f>SUM(I13:M13)</f>
    </nc>
  </rcc>
  <rcc rId="19057" sId="9">
    <oc r="T13">
      <f>SUM(O13:S13)</f>
    </oc>
    <nc r="T13">
      <f>SUM(O13:S13)</f>
    </nc>
  </rcc>
  <rcc rId="19058" sId="9">
    <oc r="Z13">
      <f>SUM(U13:Y13)</f>
    </oc>
    <nc r="Z13">
      <f>SUM(U13:Y13)</f>
    </nc>
  </rcc>
  <rcc rId="19059" sId="9">
    <oc r="AF13">
      <f>SUM(AA13:AE13)</f>
    </oc>
    <nc r="AF13">
      <f>SUM(AA13:AE13)</f>
    </nc>
  </rcc>
  <rcc rId="19060" sId="9">
    <oc r="AL13">
      <f>SUM(AG13:AK13)</f>
    </oc>
    <nc r="AL13">
      <f>SUM(AG13:AK13)</f>
    </nc>
  </rcc>
  <rcc rId="19061" sId="9">
    <oc r="AR13">
      <f>SUM(AM13:AQ13)</f>
    </oc>
    <nc r="AR13">
      <f>SUM(AM13:AQ13)</f>
    </nc>
  </rcc>
  <rcc rId="19062" sId="9">
    <oc r="AX13">
      <f>SUM(AS13:AW13)</f>
    </oc>
    <nc r="AX13">
      <f>SUM(AS13:AW13)</f>
    </nc>
  </rcc>
  <rcc rId="19063" sId="9">
    <oc r="BA13">
      <f>SUM(AY13:AZ13)</f>
    </oc>
    <nc r="BA13">
      <f>SUM(AY13:AZ13)</f>
    </nc>
  </rcc>
  <rcc rId="19064" sId="9">
    <oc r="H14">
      <f>SUM(C14:G14)</f>
    </oc>
    <nc r="H14">
      <f>SUM(C14:G14)</f>
    </nc>
  </rcc>
  <rcc rId="19065" sId="9">
    <oc r="N14">
      <f>SUM(I14:M14)</f>
    </oc>
    <nc r="N14">
      <f>SUM(I14:M14)</f>
    </nc>
  </rcc>
  <rcc rId="19066" sId="9">
    <oc r="T14">
      <f>SUM(O14:S14)</f>
    </oc>
    <nc r="T14">
      <f>SUM(O14:S14)</f>
    </nc>
  </rcc>
  <rcc rId="19067" sId="9">
    <oc r="Z14">
      <f>SUM(U14:Y14)</f>
    </oc>
    <nc r="Z14">
      <f>SUM(U14:Y14)</f>
    </nc>
  </rcc>
  <rcc rId="19068" sId="9">
    <oc r="AF14">
      <f>SUM(AA14:AE14)</f>
    </oc>
    <nc r="AF14">
      <f>SUM(AA14:AE14)</f>
    </nc>
  </rcc>
  <rcc rId="19069" sId="9">
    <oc r="AL14">
      <f>SUM(AG14:AK14)</f>
    </oc>
    <nc r="AL14">
      <f>SUM(AG14:AK14)</f>
    </nc>
  </rcc>
  <rcc rId="19070" sId="9">
    <oc r="AR14">
      <f>SUM(AM14:AQ14)</f>
    </oc>
    <nc r="AR14">
      <f>SUM(AM14:AQ14)</f>
    </nc>
  </rcc>
  <rcc rId="19071" sId="9">
    <oc r="AX14">
      <f>SUM(AS14:AW14)</f>
    </oc>
    <nc r="AX14">
      <f>SUM(AS14:AW14)</f>
    </nc>
  </rcc>
  <rcc rId="19072" sId="9">
    <oc r="BA14">
      <f>SUM(AY14:AZ14)</f>
    </oc>
    <nc r="BA14">
      <f>SUM(AY14:AZ14)</f>
    </nc>
  </rcc>
  <rcc rId="19073" sId="9">
    <oc r="H15">
      <f>SUM(C15:G15)</f>
    </oc>
    <nc r="H15">
      <f>SUM(C15:G15)</f>
    </nc>
  </rcc>
  <rcc rId="19074" sId="9">
    <oc r="N15">
      <f>SUM(I15:M15)</f>
    </oc>
    <nc r="N15">
      <f>SUM(I15:M15)</f>
    </nc>
  </rcc>
  <rcc rId="19075" sId="9">
    <oc r="T15">
      <f>SUM(O15:S15)</f>
    </oc>
    <nc r="T15">
      <f>SUM(O15:S15)</f>
    </nc>
  </rcc>
  <rcc rId="19076" sId="9">
    <oc r="Z15">
      <f>SUM(U15:Y15)</f>
    </oc>
    <nc r="Z15">
      <f>SUM(U15:Y15)</f>
    </nc>
  </rcc>
  <rcc rId="19077" sId="9">
    <oc r="AF15">
      <f>SUM(AA15:AE15)</f>
    </oc>
    <nc r="AF15">
      <f>SUM(AA15:AE15)</f>
    </nc>
  </rcc>
  <rcc rId="19078" sId="9">
    <oc r="AL15">
      <f>SUM(AG15:AK15)</f>
    </oc>
    <nc r="AL15">
      <f>SUM(AG15:AK15)</f>
    </nc>
  </rcc>
  <rcc rId="19079" sId="9">
    <oc r="AR15">
      <f>SUM(AM15:AQ15)</f>
    </oc>
    <nc r="AR15">
      <f>SUM(AM15:AQ15)</f>
    </nc>
  </rcc>
  <rcc rId="19080" sId="9">
    <oc r="AX15">
      <f>SUM(AS15:AW15)</f>
    </oc>
    <nc r="AX15">
      <f>SUM(AS15:AW15)</f>
    </nc>
  </rcc>
  <rcc rId="19081" sId="9">
    <oc r="BA15">
      <f>SUM(AY15:AZ15)</f>
    </oc>
    <nc r="BA15">
      <f>SUM(AY15:AZ15)</f>
    </nc>
  </rcc>
  <rcc rId="19082" sId="9">
    <oc r="H16">
      <f>SUM(C16:G16)</f>
    </oc>
    <nc r="H16">
      <f>SUM(C16:G16)</f>
    </nc>
  </rcc>
  <rcc rId="19083" sId="9">
    <oc r="N16">
      <f>SUM(I16:M16)</f>
    </oc>
    <nc r="N16">
      <f>SUM(I16:M16)</f>
    </nc>
  </rcc>
  <rcc rId="19084" sId="9">
    <oc r="T16">
      <f>SUM(O16:S16)</f>
    </oc>
    <nc r="T16">
      <f>SUM(O16:S16)</f>
    </nc>
  </rcc>
  <rcc rId="19085" sId="9">
    <oc r="Z16">
      <f>SUM(U16:Y16)</f>
    </oc>
    <nc r="Z16">
      <f>SUM(U16:Y16)</f>
    </nc>
  </rcc>
  <rcc rId="19086" sId="9">
    <oc r="AF16">
      <f>SUM(AA16:AE16)</f>
    </oc>
    <nc r="AF16">
      <f>SUM(AA16:AE16)</f>
    </nc>
  </rcc>
  <rcc rId="19087" sId="9">
    <oc r="AL16">
      <f>SUM(AG16:AK16)</f>
    </oc>
    <nc r="AL16">
      <f>SUM(AG16:AK16)</f>
    </nc>
  </rcc>
  <rcc rId="19088" sId="9">
    <oc r="AR16">
      <f>SUM(AM16:AQ16)</f>
    </oc>
    <nc r="AR16">
      <f>SUM(AM16:AQ16)</f>
    </nc>
  </rcc>
  <rcc rId="19089" sId="9">
    <oc r="AX16">
      <f>SUM(AS16:AW16)</f>
    </oc>
    <nc r="AX16">
      <f>SUM(AS16:AW16)</f>
    </nc>
  </rcc>
  <rcc rId="19090" sId="9">
    <oc r="BA16">
      <f>SUM(AY16:AZ16)</f>
    </oc>
    <nc r="BA16">
      <f>SUM(AY16:AZ16)</f>
    </nc>
  </rcc>
  <rcc rId="19091" sId="9">
    <oc r="H17">
      <f>SUM(C17:G17)</f>
    </oc>
    <nc r="H17">
      <f>SUM(C17:G17)</f>
    </nc>
  </rcc>
  <rcc rId="19092" sId="9">
    <oc r="N17">
      <f>SUM(I17:M17)</f>
    </oc>
    <nc r="N17">
      <f>SUM(I17:M17)</f>
    </nc>
  </rcc>
  <rcc rId="19093" sId="9">
    <oc r="T17">
      <f>SUM(O17:S17)</f>
    </oc>
    <nc r="T17">
      <f>SUM(O17:S17)</f>
    </nc>
  </rcc>
  <rcc rId="19094" sId="9">
    <oc r="Z17">
      <f>SUM(U17:Y17)</f>
    </oc>
    <nc r="Z17">
      <f>SUM(U17:Y17)</f>
    </nc>
  </rcc>
  <rcc rId="19095" sId="9">
    <oc r="AF17">
      <f>SUM(AA17:AE17)</f>
    </oc>
    <nc r="AF17">
      <f>SUM(AA17:AE17)</f>
    </nc>
  </rcc>
  <rcc rId="19096" sId="9">
    <oc r="AL17">
      <f>SUM(AG17:AK17)</f>
    </oc>
    <nc r="AL17">
      <f>SUM(AG17:AK17)</f>
    </nc>
  </rcc>
  <rcc rId="19097" sId="9">
    <oc r="AR17">
      <f>SUM(AM17:AQ17)</f>
    </oc>
    <nc r="AR17">
      <f>SUM(AM17:AQ17)</f>
    </nc>
  </rcc>
  <rcc rId="19098" sId="9">
    <oc r="AX17">
      <f>SUM(AS17:AW17)</f>
    </oc>
    <nc r="AX17">
      <f>SUM(AS17:AW17)</f>
    </nc>
  </rcc>
  <rcc rId="19099" sId="9">
    <oc r="BA17">
      <f>SUM(AY17:AZ17)</f>
    </oc>
    <nc r="BA17">
      <f>SUM(AY17:AZ17)</f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00" sId="4">
    <nc r="C2">
      <v>1</v>
    </nc>
  </rcc>
  <rcc rId="19101" sId="5">
    <nc r="C2">
      <v>1</v>
    </nc>
  </rcc>
  <rcc rId="19102" sId="3">
    <oc r="C1" t="inlineStr">
      <is>
        <t>02/03 a 06/03/2026</t>
      </is>
    </oc>
    <nc r="C1" t="inlineStr">
      <is>
        <t>04/05 a 08/05/2026</t>
      </is>
    </nc>
  </rcc>
  <rcc rId="19103" sId="3">
    <oc r="D1" t="inlineStr">
      <is>
        <t>09/03 a 13/03/2026</t>
      </is>
    </oc>
    <nc r="D1" t="inlineStr">
      <is>
        <t>11/05 a 15/05/2026</t>
      </is>
    </nc>
  </rcc>
  <rcc rId="19104" sId="3">
    <oc r="E1" t="inlineStr">
      <is>
        <t>16/03 a 20/03/2026</t>
      </is>
    </oc>
    <nc r="E1" t="inlineStr">
      <is>
        <t>18/05 a 22/05/2026</t>
      </is>
    </nc>
  </rcc>
  <rcc rId="19105" sId="3">
    <oc r="F1" t="inlineStr">
      <is>
        <t>23/03 a 27/03/2026</t>
      </is>
    </oc>
    <nc r="F1" t="inlineStr">
      <is>
        <t>25/05 a 29/05/2026</t>
      </is>
    </nc>
  </rcc>
  <rcc rId="19106" sId="3">
    <oc r="G1" t="inlineStr">
      <is>
        <t>30/03 a 03/04/2026</t>
      </is>
    </oc>
    <nc r="G1" t="inlineStr">
      <is>
        <t>01/06 a 05/06/2026</t>
      </is>
    </nc>
  </rcc>
  <rcc rId="19107" sId="3">
    <oc r="H1" t="inlineStr">
      <is>
        <t>06/04 a 10/04/2026</t>
      </is>
    </oc>
    <nc r="H1" t="inlineStr">
      <is>
        <t>08/06 a 12/06/2026</t>
      </is>
    </nc>
  </rcc>
  <rfmt sheetId="3" sqref="I1" start="0" length="0">
    <dxf>
      <numFmt numFmtId="19" formatCode="dd/mm/yyyy"/>
    </dxf>
  </rfmt>
  <rcc rId="19108" sId="3" numFmtId="19">
    <oc r="I1" t="inlineStr">
      <is>
        <t>13/04 a 17/04/2026</t>
      </is>
    </oc>
    <nc r="I1" t="inlineStr">
      <is>
        <t>15/06 a 19/06/2026</t>
      </is>
    </nc>
  </rcc>
  <rcc rId="19109" sId="3">
    <oc r="J1" t="inlineStr">
      <is>
        <t>20/04 a 24/04/2026</t>
      </is>
    </oc>
    <nc r="J1" t="inlineStr">
      <is>
        <t>22/06 a 26/06/2026</t>
      </is>
    </nc>
  </rcc>
  <rcc rId="19110" sId="3">
    <oc r="K1" t="inlineStr">
      <is>
        <t>27/04 a 31/04/2026</t>
      </is>
    </oc>
    <nc r="K1" t="inlineStr">
      <is>
        <t>29/06 a 30/06/2026</t>
      </is>
    </nc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21" sId="4">
    <oc r="AA19" t="inlineStr">
      <is>
        <t>Pesquisa e busca
Documentos referente ao Plano de Saúde de servidores.</t>
      </is>
    </oc>
    <nc r="AA19"/>
  </rcc>
  <rcc rId="19122" sId="4">
    <oc r="AB19" t="inlineStr">
      <is>
        <t>Pesquisa e busca
Documentos referente ao Plano de Saúde de servidores.</t>
      </is>
    </oc>
    <nc r="AB19"/>
  </rcc>
  <rcc rId="19123" sId="4">
    <oc r="AG19" t="inlineStr">
      <is>
        <t xml:space="preserve">GUARDANDO AS CAIXAS DA CGCEB </t>
      </is>
    </oc>
    <nc r="AG19"/>
  </rcc>
  <rcc rId="19124" sId="4">
    <oc r="AH19" t="inlineStr">
      <is>
        <t xml:space="preserve">PROCURANDO PASTAS FUNCIONAIS </t>
      </is>
    </oc>
    <nc r="AH19"/>
  </rcc>
  <rcc rId="19125" sId="4">
    <oc r="AK19" t="inlineStr">
      <is>
        <t>GUARDADANDO PROCESSOS CGCEB</t>
      </is>
    </oc>
    <nc r="AK19"/>
  </rcc>
  <rcc rId="19126" sId="4">
    <oc r="AO19" t="inlineStr">
      <is>
        <t>GUARDADANDO PROCESSOS CGCEB</t>
      </is>
    </oc>
    <nc r="AO19"/>
  </rcc>
  <rfmt sheetId="4" sqref="AA19:BA19" start="0" length="0">
    <dxf>
      <border>
        <bottom style="thin">
          <color indexed="64"/>
        </bottom>
      </border>
    </dxf>
  </rfmt>
  <rfmt sheetId="4" sqref="AA19" start="0" length="0">
    <dxf>
      <border>
        <left/>
      </border>
    </dxf>
  </rfmt>
  <rfmt sheetId="4" sqref="AA19:BA19" start="0" length="0">
    <dxf>
      <border>
        <top/>
      </border>
    </dxf>
  </rfmt>
  <rfmt sheetId="4" sqref="AA19:BA19" start="0" length="0">
    <dxf>
      <border>
        <bottom/>
      </border>
    </dxf>
  </rfmt>
  <rfmt sheetId="4" sqref="AA19:BA19">
    <dxf>
      <border>
        <left/>
        <right/>
        <vertical/>
      </border>
    </dxf>
  </rfmt>
  <rcc rId="19127" sId="4">
    <oc r="D19" t="inlineStr">
      <is>
        <t>procurando caixas da cgeof/senarc</t>
      </is>
    </oc>
    <nc r="D19"/>
  </rcc>
  <rcc rId="19128" sId="4">
    <oc r="E19" t="inlineStr">
      <is>
        <t>procurando caixas da cgeof/senarc</t>
      </is>
    </oc>
    <nc r="E19"/>
  </rcc>
  <rcc rId="19129" sId="4">
    <oc r="F19" t="inlineStr">
      <is>
        <t>procurando caixas da cgeof/senarc</t>
      </is>
    </oc>
    <nc r="F19"/>
  </rcc>
  <rcc rId="19130" sId="4">
    <oc r="J19" t="inlineStr">
      <is>
        <t xml:space="preserve">Reunião da equipe pela parte da tarde </t>
      </is>
    </oc>
    <nc r="J19"/>
  </rcc>
  <rcc rId="19131" sId="4">
    <oc r="Q19" t="inlineStr">
      <is>
        <t xml:space="preserve">procurando caixas , organizando os pedidos do sei,pegando numeração de caixas dos processos </t>
      </is>
    </oc>
    <nc r="Q19"/>
  </rcc>
  <rcc rId="19132" sId="4">
    <oc r="R19" t="inlineStr">
      <is>
        <t>Pesquisa e busca
Documentos referente ao Plano de Saúde de servidores.</t>
      </is>
    </oc>
    <nc r="R19"/>
  </rcc>
  <rcc rId="19133" sId="4">
    <oc r="Q20" t="inlineStr">
      <is>
        <t xml:space="preserve">orientação sobre as caixas de eliminação </t>
      </is>
    </oc>
    <nc r="Q20"/>
  </rcc>
  <rfmt sheetId="4" sqref="C18:BA18" start="0" length="0">
    <dxf>
      <border>
        <top/>
      </border>
    </dxf>
  </rfmt>
  <rfmt sheetId="4" sqref="C18:BA18" start="0" length="0">
    <dxf>
      <border>
        <top style="thin">
          <color indexed="64"/>
        </top>
      </border>
    </dxf>
  </rfmt>
  <rcc rId="19134" sId="4">
    <oc r="C2">
      <v>1</v>
    </oc>
    <nc r="C2"/>
  </rcc>
  <rcc rId="19135" sId="5">
    <oc r="C18" t="inlineStr">
      <is>
        <t xml:space="preserve"> Pesquisa localização de 14 processos vindo da DIPRO mais 1 CD.
Os processos são cópias, ver se existe o original.</t>
      </is>
    </oc>
    <nc r="C18"/>
  </rcc>
  <rcc rId="19136" sId="5">
    <oc r="D18" t="inlineStr">
      <is>
        <t xml:space="preserve"> Pesquisa localização de 14 processos vindo da DIPRO mais 1 CD.
Os processos são cópias, ver se existe o original.</t>
      </is>
    </oc>
    <nc r="D18"/>
  </rcc>
  <rcc rId="19137" sId="5">
    <oc r="E18" t="inlineStr">
      <is>
        <r>
          <t xml:space="preserve"> Pesquisa localização de 14 processos vindo da DIPRO mais 1 CD.
Os processos são cópias, ver se existe o original.
</t>
        </r>
        <r>
          <rPr>
            <sz val="11"/>
            <color rgb="FFFF0000"/>
            <rFont val="Aptos Narrow"/>
            <family val="2"/>
          </rPr>
          <t>Todos os processos cópias, verificamos e existe o original, somente o CD que não possui caixa.
Estes processos cópias foram triturados à pedido da chefe Patrícia.</t>
        </r>
      </is>
    </oc>
    <nc r="E18"/>
  </rcc>
  <rcc rId="19138" sId="5">
    <oc r="F18" t="inlineStr">
      <is>
        <t xml:space="preserve"> 1. Troca de caixa e espelho.
Total 5 caixas.
2. Pesquisa sobre se realmente 3 demandas foram finalizadas.
</t>
      </is>
    </oc>
    <nc r="F18"/>
  </rcc>
  <rcc rId="19139" sId="5">
    <oc r="G18" t="inlineStr">
      <is>
        <t xml:space="preserve"> Relatório - Planilha Controle Desarquivamento 
e Arquivamento.</t>
      </is>
    </oc>
    <nc r="G18"/>
  </rcc>
  <rcc rId="19140" sId="5">
    <oc r="I18" t="inlineStr">
      <is>
        <t xml:space="preserve"> 1. Pela manhã, aguardando reunião com a chefe Patrícia e Leonardo.
Reunião cancelada.
2. À tarde reunião com Pedro da CGLA.
Reunião sobre o sistema CGLA.
Obs.: Mas como iniciou perto de 16h eu tive que ir embora pegar minha filha.</t>
      </is>
    </oc>
    <nc r="I18"/>
  </rcc>
  <rcc rId="19141" sId="5">
    <oc r="J18" t="inlineStr">
      <is>
        <t>1. Pela manhã, aguardando reunião com a chefe Patrícia e Leonardo.
Reunião cancelada.
2. À tarde, reunião com a chefe Patrícia e Leonardo.</t>
      </is>
    </oc>
    <nc r="J18"/>
  </rcc>
  <rcc rId="19142" sId="5">
    <oc r="K18" t="inlineStr">
      <is>
        <t xml:space="preserve"> 1. Troca de caixa e espelho.
Total 5 caixas.
2. À tarde fui para o Bloco A, com o a Alessandro, para realocar uma caixa do Esporte que estava na G-15.
Processo no SEI foi finalizado com Despacho com a localização correta.</t>
      </is>
    </oc>
    <nc r="K18"/>
  </rcc>
  <rcc rId="19143" sId="5">
    <oc r="L18" t="inlineStr">
      <is>
        <t>Troca de caixa e espelho.
Total 7 caixas.</t>
      </is>
    </oc>
    <nc r="L18"/>
  </rcc>
  <rcc rId="19144" sId="5">
    <oc r="M18" t="inlineStr">
      <is>
        <t>Troca de caixa e espelho.
Total 10 caixas.</t>
      </is>
    </oc>
    <nc r="M18"/>
  </rcc>
  <rcc rId="19145" sId="5">
    <oc r="O18" t="inlineStr">
      <is>
        <t>Inventário - 7 caixas</t>
      </is>
    </oc>
    <nc r="O18"/>
  </rcc>
  <rcc rId="19146" sId="5">
    <oc r="P18" t="inlineStr">
      <is>
        <t>Inventário - 7 caixas</t>
      </is>
    </oc>
    <nc r="P18"/>
  </rcc>
  <rcc rId="19147" sId="5">
    <oc r="Q18" t="inlineStr">
      <is>
        <t>Inventário - 4 caixas</t>
      </is>
    </oc>
    <nc r="Q18"/>
  </rcc>
  <rcc rId="19148" sId="5">
    <oc r="R18" t="inlineStr">
      <is>
        <t>Inventário - 7 caixas</t>
      </is>
    </oc>
    <nc r="R18"/>
  </rcc>
  <rcc rId="19149" sId="5">
    <oc r="S18" t="inlineStr">
      <is>
        <t>Pesquisa e busca
Documentos referente ao Plano de Saúde de servidores.</t>
      </is>
    </oc>
    <nc r="S18"/>
  </rcc>
  <rcc rId="19150" sId="5">
    <oc r="U18" t="inlineStr">
      <is>
        <t xml:space="preserve"> Pesquisa e busca
Documentos referente ao Plano de 
Saúde de servidores.</t>
      </is>
    </oc>
    <nc r="U18"/>
  </rcc>
  <rcc rId="19151" sId="5">
    <oc r="V18" t="inlineStr">
      <is>
        <t>1. Arquivamento DEFNAS.
2.  Pesquisa e busca
Documentos referente ao Plano de 
Saúde de servidores.</t>
      </is>
    </oc>
    <nc r="V18"/>
  </rcc>
  <rcc rId="19152" sId="5">
    <oc r="W18" t="inlineStr">
      <is>
        <t>Pesquisa e busca
Documentos referente ao Plano de Saúde de servidores.</t>
      </is>
    </oc>
    <nc r="W18"/>
  </rcc>
  <rcc rId="19153" sId="5">
    <oc r="X18" t="inlineStr">
      <is>
        <t>Pesquisa e busca
Documentos referente ao Plano de Saúde de servidores.</t>
      </is>
    </oc>
    <nc r="X18"/>
  </rcc>
  <rcc rId="19154" sId="5">
    <oc r="Y18" t="inlineStr">
      <is>
        <r>
          <t xml:space="preserve"> Contagem caixas da LBA - Bloco A sala G-15.
</t>
        </r>
        <r>
          <rPr>
            <b/>
            <u/>
            <sz val="11"/>
            <color theme="1"/>
            <rFont val="Aptos Narrow"/>
            <family val="2"/>
          </rPr>
          <t>Total: 2.157 caixas</t>
        </r>
        <r>
          <rPr>
            <sz val="11"/>
            <color theme="1"/>
            <rFont val="Aptos Narrow"/>
            <family val="2"/>
          </rPr>
          <t>.</t>
        </r>
      </is>
    </oc>
    <nc r="Y18"/>
  </rcc>
  <rcc rId="19155" sId="5">
    <oc r="AA18" t="inlineStr">
      <is>
        <t>Pesquisa e busca
Documentos referente ao Plano de Saúde de servidores.</t>
      </is>
    </oc>
    <nc r="AA18"/>
  </rcc>
  <rcc rId="19156" sId="5">
    <oc r="AB18" t="inlineStr">
      <is>
        <t>Pesquisa e busca
Documentos referente ao Plano de Saúde de servidores.</t>
      </is>
    </oc>
    <nc r="AB18"/>
  </rcc>
  <rcc rId="19157" sId="5">
    <oc r="AC18" t="inlineStr">
      <is>
        <t>Pesquisa e busca
Documentos referente ao Plano de Saúde de servidores.</t>
      </is>
    </oc>
    <nc r="AC18"/>
  </rcc>
  <rcc rId="19158" sId="5">
    <oc r="AD18" t="inlineStr">
      <is>
        <t>Desarquivadas 23 pastas funcionais.</t>
      </is>
    </oc>
    <nc r="AD18"/>
  </rcc>
  <rcc rId="19159" sId="5">
    <oc r="AE18" t="inlineStr">
      <is>
        <t>Inventário de caixas da
 CGCEB</t>
      </is>
    </oc>
    <nc r="AE18"/>
  </rcc>
  <rcc rId="19160" sId="5">
    <oc r="AG18" t="inlineStr">
      <is>
        <t xml:space="preserve"> 1. Busca pelas caixas da CGCEB e acompanhamento dos carregadores.
2. Pesquisa e busca pastas funcionais COAP.</t>
      </is>
    </oc>
    <nc r="AG18"/>
  </rcc>
  <rcc rId="19161" sId="5">
    <oc r="AH18" t="inlineStr">
      <is>
        <t>Pesquisa e busca pastas funcionais COAP.</t>
      </is>
    </oc>
    <nc r="AH18"/>
  </rcc>
  <rcc rId="19162" sId="5">
    <oc r="AI18" t="inlineStr">
      <is>
        <t xml:space="preserve"> Inventário de caixas CGCEB
Total: 8 caixas e
60 processos</t>
      </is>
    </oc>
    <nc r="AI18"/>
  </rcc>
  <rcc rId="19163" sId="5">
    <oc r="AJ18" t="inlineStr">
      <is>
        <t>Inventário de caixas CGCEB
Total: 6 caixas e
39 processos</t>
      </is>
    </oc>
    <nc r="AJ18"/>
  </rcc>
  <rcc rId="19164" sId="5">
    <oc r="AK18" t="inlineStr">
      <is>
        <t>Atestado Médico</t>
      </is>
    </oc>
    <nc r="AK18"/>
  </rcc>
  <rcc rId="19165" sId="5">
    <oc r="AM18" t="inlineStr">
      <is>
        <t>Inventário de caixas CGCEB
Total: 6 caixas e
 27 processos</t>
      </is>
    </oc>
    <nc r="AM18"/>
  </rcc>
  <rcc rId="19166" sId="5">
    <oc r="AN18" t="inlineStr">
      <is>
        <t>Procurando e movimentando caixas da CGCEB
92 caixas.</t>
      </is>
    </oc>
    <nc r="AN18"/>
  </rcc>
  <rcc rId="19167" sId="5">
    <oc r="AO18" t="inlineStr">
      <is>
        <t>Pesquisa e busca
processo 23132.000438/95-22, convênio nº 214/95, SIAFI nº 138116, Fundação de Desporto e
 Lazer de Mato Grosso</t>
      </is>
    </oc>
    <nc r="AO18"/>
  </rcc>
  <rcc rId="19168" sId="5">
    <oc r="AP18" t="inlineStr">
      <is>
        <t>Pesquisa e busca
processo 23132.000438/95-22, convênio nº 214/95, SIAFI nº 138116, Fundação de Desporto e
 Lazer de Mato Grosso</t>
      </is>
    </oc>
    <nc r="AP18"/>
  </rcc>
  <rcc rId="19169" sId="5">
    <oc r="AQ18" t="inlineStr">
      <is>
        <t>Pesquisa e busca
processo 23132.000438/95-22, convênio nº 214/95, SIAFI nº 138116, Fundação de Desporto e
 Lazer de Mato Grosso</t>
      </is>
    </oc>
    <nc r="AQ18"/>
  </rcc>
  <rcc rId="19170" sId="5">
    <oc r="AS18" t="inlineStr">
      <is>
        <t>PONTO FACULTATIVO</t>
      </is>
    </oc>
    <nc r="AS18"/>
  </rcc>
  <rcc rId="19171" sId="5">
    <oc r="AT18" t="inlineStr">
      <is>
        <t>FERIADO
(Aniversário de Brasília)</t>
      </is>
    </oc>
    <nc r="AT18"/>
  </rcc>
  <rcc rId="19172" sId="5">
    <oc r="AU18" t="inlineStr">
      <is>
        <t>Pesquisa e busca
processo 23132.000438/95-22, convênio nº 214/95, SIAFI nº 138116, Fundação de Desporto e
 Lazer de Mato Grosso</t>
      </is>
    </oc>
    <nc r="AU18"/>
  </rcc>
  <rcc rId="19173" sId="5">
    <oc r="AV18" t="inlineStr">
      <is>
        <t>Pesquisa e busca
processo 23132.000438/95-22, convênio nº 214/95, SIAFI nº 138116, Fundação de Desporto e
 Lazer de Mato Grosso</t>
      </is>
    </oc>
    <nc r="AV18"/>
  </rcc>
  <rcc rId="19174" sId="5">
    <oc r="AW18" t="inlineStr">
      <is>
        <t>Pesquisa e busca
processo 23132.000438/95-22, convênio nº 214/95, SIAFI nº 138116, Fundação de Desporto e
 Lazer de Mato Grosso</t>
      </is>
    </oc>
    <nc r="AW18"/>
  </rcc>
  <rfmt sheetId="5" sqref="C18:BA18" start="0" length="0">
    <dxf>
      <border>
        <top/>
      </border>
    </dxf>
  </rfmt>
  <rfmt sheetId="5" sqref="C18:BA18" start="0" length="0">
    <dxf>
      <border>
        <top style="thin">
          <color indexed="64"/>
        </top>
      </border>
    </dxf>
  </rfmt>
  <rfmt sheetId="5" sqref="C18:BA40">
    <dxf>
      <fill>
        <patternFill>
          <bgColor theme="0"/>
        </patternFill>
      </fill>
    </dxf>
  </rfmt>
  <rcc rId="19175" sId="6">
    <oc r="C18" t="inlineStr">
      <is>
        <t xml:space="preserve">trocando as caixas </t>
      </is>
    </oc>
    <nc r="C18"/>
  </rcc>
  <rcc rId="19176" sId="6">
    <oc r="D18" t="inlineStr">
      <is>
        <t xml:space="preserve">trocando as caixas </t>
      </is>
    </oc>
    <nc r="D18"/>
  </rcc>
  <rcc rId="19177" sId="6">
    <oc r="E18" t="inlineStr">
      <is>
        <t xml:space="preserve">trocando as caixas </t>
      </is>
    </oc>
    <nc r="E18"/>
  </rcc>
  <rcc rId="19178" sId="6">
    <oc r="F18" t="inlineStr">
      <is>
        <t xml:space="preserve">trocando as caixas </t>
      </is>
    </oc>
    <nc r="F18"/>
  </rcc>
  <rcc rId="19179" sId="6">
    <oc r="G18" t="inlineStr">
      <is>
        <t xml:space="preserve">trocando as caixas </t>
      </is>
    </oc>
    <nc r="G18"/>
  </rcc>
  <rcc rId="19180" sId="6">
    <oc r="I18" t="inlineStr">
      <is>
        <t xml:space="preserve">reunião com o Pedro </t>
      </is>
    </oc>
    <nc r="I18"/>
  </rcc>
  <rcc rId="19181" sId="6">
    <oc r="J18" t="inlineStr">
      <is>
        <t>reunião de equipe</t>
      </is>
    </oc>
    <nc r="J18"/>
  </rcc>
  <rcc rId="19182" sId="6">
    <oc r="K18" t="inlineStr">
      <is>
        <t xml:space="preserve">trocando as caixas </t>
      </is>
    </oc>
    <nc r="K18"/>
  </rcc>
  <rcc rId="19183" sId="6">
    <oc r="L18" t="inlineStr">
      <is>
        <t xml:space="preserve">trocando as caixas </t>
      </is>
    </oc>
    <nc r="L18"/>
  </rcc>
  <rcc rId="19184" sId="6">
    <oc r="Q18" t="inlineStr">
      <is>
        <t xml:space="preserve">descendo e subindo caixas do 1 subsolo para o 2 andar </t>
      </is>
    </oc>
    <nc r="Q18"/>
  </rcc>
  <rcc rId="19185" sId="6">
    <oc r="R18" t="inlineStr">
      <is>
        <t xml:space="preserve">descendo e subindo caixas do 1 subsolo para o 2 andar </t>
      </is>
    </oc>
    <nc r="R18"/>
  </rcc>
  <rcc rId="19186" sId="6">
    <oc r="U18" t="inlineStr">
      <is>
        <t xml:space="preserve">MEXENDO NO NOVO SISTEMA </t>
      </is>
    </oc>
    <nc r="U18"/>
  </rcc>
  <rcc rId="19187" sId="6">
    <oc r="V18" t="inlineStr">
      <is>
        <t xml:space="preserve">MEXENDO NO NOVO SISTEMA </t>
      </is>
    </oc>
    <nc r="V18"/>
  </rcc>
  <rcc rId="19188" sId="6">
    <oc r="W18" t="inlineStr">
      <is>
        <t>ATESTADO</t>
      </is>
    </oc>
    <nc r="W18"/>
  </rcc>
  <rcc rId="19189" sId="6">
    <oc r="X18" t="inlineStr">
      <is>
        <t xml:space="preserve">MEXENDO NO NOVO SISTEMA </t>
      </is>
    </oc>
    <nc r="X18"/>
  </rcc>
  <rcc rId="19190" sId="6">
    <oc r="Y18" t="inlineStr">
      <is>
        <t xml:space="preserve">MEXENDO NO NOVO SISTEMA </t>
      </is>
    </oc>
    <nc r="Y18"/>
  </rcc>
  <rcc rId="19191" sId="6">
    <oc r="AA18" t="inlineStr">
      <is>
        <t xml:space="preserve">MEXENDO NO NOVO SISTEMA </t>
      </is>
    </oc>
    <nc r="AA18"/>
  </rcc>
  <rcc rId="19192" sId="6">
    <oc r="AB18" t="inlineStr">
      <is>
        <t xml:space="preserve">MEXENDO NO NOVO SISTEMA </t>
      </is>
    </oc>
    <nc r="AB18"/>
  </rcc>
  <rcc rId="19193" sId="6">
    <oc r="AC18" t="inlineStr">
      <is>
        <t xml:space="preserve">MEXENDO NO NOVO SISTEMA </t>
      </is>
    </oc>
    <nc r="AC18"/>
  </rcc>
  <rcc rId="19194" sId="6">
    <oc r="AD18" t="inlineStr">
      <is>
        <t xml:space="preserve">MEXENDO NO NOVO SISTEMA </t>
      </is>
    </oc>
    <nc r="AD18"/>
  </rcc>
  <rcc rId="19195" sId="6">
    <oc r="AE18" t="inlineStr">
      <is>
        <t xml:space="preserve">MEXENDO NO NOVO SISTEMA </t>
      </is>
    </oc>
    <nc r="AE18"/>
  </rcc>
  <rcc rId="19196" sId="6">
    <oc r="AG18" t="inlineStr">
      <is>
        <t xml:space="preserve">MEXENDO NO NOVO SISTEMA </t>
      </is>
    </oc>
    <nc r="AG18"/>
  </rcc>
  <rcc rId="19197" sId="6">
    <oc r="AH18" t="inlineStr">
      <is>
        <t xml:space="preserve">MEXENDO NO NOVO SISTEMA </t>
      </is>
    </oc>
    <nc r="AH18"/>
  </rcc>
  <rcc rId="19198" sId="6">
    <oc r="AI18" t="inlineStr">
      <is>
        <t xml:space="preserve">MEXENDO NO NOVO SISTEMA </t>
      </is>
    </oc>
    <nc r="AI18"/>
  </rcc>
  <rcc rId="19199" sId="6">
    <oc r="AJ18" t="inlineStr">
      <is>
        <t xml:space="preserve">MEXENDO NO NOVO SISTEMA </t>
      </is>
    </oc>
    <nc r="AJ18"/>
  </rcc>
  <rcc rId="19200" sId="6">
    <oc r="AK18" t="inlineStr">
      <is>
        <t xml:space="preserve">MEXENDO NO NOVO SISTEMA </t>
      </is>
    </oc>
    <nc r="AK18"/>
  </rcc>
  <rcc rId="19201" sId="6">
    <oc r="D19" t="inlineStr">
      <is>
        <t>procurando caixas da cgeof/senarc</t>
      </is>
    </oc>
    <nc r="D19"/>
  </rcc>
  <rcc rId="19202" sId="6">
    <oc r="E19" t="inlineStr">
      <is>
        <t>procurando caixas da cgeof/senarc</t>
      </is>
    </oc>
    <nc r="E19"/>
  </rcc>
  <rcc rId="19203" sId="6">
    <oc r="F19" t="inlineStr">
      <is>
        <t xml:space="preserve">ajudando o Danilo em um despacho de arquivamento </t>
      </is>
    </oc>
    <nc r="F19"/>
  </rcc>
  <rcc rId="19204" sId="6">
    <oc r="G19" t="inlineStr">
      <is>
        <t xml:space="preserve">almoço em comemoração ao aniversario da Patricia, e fomo liberados mais cedo </t>
      </is>
    </oc>
    <nc r="G19"/>
  </rcc>
  <rcc rId="19205" sId="6">
    <oc r="I19" t="inlineStr">
      <is>
        <t xml:space="preserve">trocando as caixas </t>
      </is>
    </oc>
    <nc r="I19"/>
  </rcc>
  <rcc rId="19206" sId="6">
    <oc r="Q19" t="inlineStr">
      <is>
        <t>ajudando no despacho do processo 71000.009222/2026-83</t>
      </is>
    </oc>
    <nc r="Q19"/>
  </rcc>
  <rcc rId="19207" sId="7">
    <oc r="C18" t="inlineStr">
      <is>
        <t xml:space="preserve">trocando as caixas </t>
      </is>
    </oc>
    <nc r="C18"/>
  </rcc>
  <rcc rId="19208" sId="7">
    <oc r="D18" t="inlineStr">
      <is>
        <t xml:space="preserve">trocando as caixas </t>
      </is>
    </oc>
    <nc r="D18"/>
  </rcc>
  <rcc rId="19209" sId="7">
    <oc r="E18" t="inlineStr">
      <is>
        <t xml:space="preserve">trocando as caixas </t>
      </is>
    </oc>
    <nc r="E18"/>
  </rcc>
  <rcc rId="19210" sId="7">
    <oc r="F18" t="inlineStr">
      <is>
        <t xml:space="preserve">trocando as caixas </t>
      </is>
    </oc>
    <nc r="F18"/>
  </rcc>
  <rcc rId="19211" sId="7">
    <oc r="G18" t="inlineStr">
      <is>
        <t xml:space="preserve">trocando as caixas </t>
      </is>
    </oc>
    <nc r="G18"/>
  </rcc>
  <rcc rId="19212" sId="7">
    <oc r="I18" t="inlineStr">
      <is>
        <t xml:space="preserve">reunião com o Pedro </t>
      </is>
    </oc>
    <nc r="I18"/>
  </rcc>
  <rcc rId="19213" sId="7">
    <oc r="J18" t="inlineStr">
      <is>
        <t>reunião de equipe</t>
      </is>
    </oc>
    <nc r="J18"/>
  </rcc>
  <rcc rId="19214" sId="7">
    <oc r="K18" t="inlineStr">
      <is>
        <t xml:space="preserve">trocando as caixas e espelho </t>
      </is>
    </oc>
    <nc r="K18"/>
  </rcc>
  <rcc rId="19215" sId="7">
    <oc r="L18" t="inlineStr">
      <is>
        <t xml:space="preserve">trocando as caixas e espelho </t>
      </is>
    </oc>
    <nc r="L18"/>
  </rcc>
  <rcc rId="19216" sId="7">
    <oc r="M18" t="inlineStr">
      <is>
        <t xml:space="preserve">trocando as caixas e espelho </t>
      </is>
    </oc>
    <nc r="M18"/>
  </rcc>
  <rcc rId="19217" sId="7">
    <oc r="U18" t="inlineStr">
      <is>
        <t xml:space="preserve"> Pesquisa e busca
Documentos referente ao Plano de 
Saúde de servidores.</t>
      </is>
    </oc>
    <nc r="U18"/>
  </rcc>
  <rcc rId="19218" sId="7">
    <oc r="V18" t="inlineStr">
      <is>
        <t>1. Arquivamento DEFNAS.
2.  Pesquisa e busca
Documentos referente ao Plano de 
Saúde de servidores.</t>
      </is>
    </oc>
    <nc r="V18"/>
  </rcc>
  <rcc rId="19219" sId="7">
    <oc r="W18" t="inlineStr">
      <is>
        <t>Pesquisa e busca
Documentos referente ao Plano de Saúde de servidores.</t>
      </is>
    </oc>
    <nc r="W18"/>
  </rcc>
  <rcc rId="19220" sId="7">
    <oc r="X18" t="inlineStr">
      <is>
        <t>Pesquisa e busca
Documentos referente ao Plano de Saúde de servidores.</t>
      </is>
    </oc>
    <nc r="X18"/>
  </rcc>
  <rcc rId="19221" sId="7">
    <oc r="Y18" t="inlineStr">
      <is>
        <t>Pesquisa e busca
Documentos referente ao Plano de Saúde de servidores.</t>
      </is>
    </oc>
    <nc r="Y18"/>
  </rcc>
  <rcc rId="19222" sId="7">
    <oc r="AA18" t="inlineStr">
      <is>
        <t>Pesquisa e busca
Documentos referente ao Plano de Saúde de servidores.</t>
      </is>
    </oc>
    <nc r="AA18"/>
  </rcc>
  <rcc rId="19223" sId="7">
    <oc r="AB18" t="inlineStr">
      <is>
        <t>Pesquisa e busca
Documentos referente ao Plano de Saúde de servidores.</t>
      </is>
    </oc>
    <nc r="AB18"/>
  </rcc>
  <rcc rId="19224" sId="7">
    <oc r="AC18" t="inlineStr">
      <is>
        <t>Pesquisa e busca
Documentos referente ao Plano de Saúde de servidores.</t>
      </is>
    </oc>
    <nc r="AC18"/>
  </rcc>
  <rcc rId="19225" sId="7">
    <oc r="AD18" t="inlineStr">
      <is>
        <t>Desarquivadas 23 pastas funcionais.</t>
      </is>
    </oc>
    <nc r="AD18"/>
  </rcc>
  <rcc rId="19226" sId="7">
    <oc r="AE18" t="inlineStr">
      <is>
        <t>AJUSTE DO SISTEMA DE GESTAÇÃO DO ARQUIVO DA DIARQ</t>
      </is>
    </oc>
    <nc r="AE18"/>
  </rcc>
  <rcc rId="19227" sId="7">
    <oc r="AG18" t="inlineStr">
      <is>
        <t>AJUTE NO SISTEMA DE GESTÃO DE DOCUMENTOS</t>
      </is>
    </oc>
    <nc r="AG18"/>
  </rcc>
  <rcc rId="19228" sId="7">
    <oc r="AK18" t="inlineStr">
      <is>
        <t>ATENDENDO A DEMANDA SEI NUP Nº 71000.027931/2026-41</t>
      </is>
    </oc>
    <nc r="AK18"/>
  </rcc>
  <rcc rId="19229" sId="7">
    <oc r="AM18" t="inlineStr">
      <is>
        <t>ORGANIZAÇÃO DAS CAIXAS INVENTARIADAS.</t>
      </is>
    </oc>
    <nc r="AM18"/>
  </rcc>
  <rcc rId="19230" sId="7">
    <oc r="AN18" t="inlineStr">
      <is>
        <t>ELABORAÇÃO DO DESPACHO 37 (SEI N  18519857)</t>
      </is>
    </oc>
    <nc r="AN18"/>
  </rcc>
  <rcc rId="19231" sId="7">
    <oc r="AO18" t="inlineStr">
      <is>
        <t>AUXILIANDO NO SISTEMA DE UNIFICADO DE ARQUIVAMENTO</t>
      </is>
    </oc>
    <nc r="AO18"/>
  </rcc>
  <rcc rId="19232" sId="7">
    <oc r="AP18" t="inlineStr">
      <is>
        <t>RESOLVENDO ASSUNTOS PESSOAIS DURANTE O DIA</t>
      </is>
    </oc>
    <nc r="AP18"/>
  </rcc>
  <rcc rId="19233" sId="7">
    <oc r="D19" t="inlineStr">
      <is>
        <t>procurando caixas da cgeof/senarc</t>
      </is>
    </oc>
    <nc r="D19"/>
  </rcc>
  <rcc rId="19234" sId="7">
    <oc r="E19" t="inlineStr">
      <is>
        <t>procurando caixas da cgeof/senarc</t>
      </is>
    </oc>
    <nc r="E19"/>
  </rcc>
  <rcc rId="19235" sId="7">
    <oc r="F19" t="inlineStr">
      <is>
        <t xml:space="preserve"> despacho de arquivamento </t>
      </is>
    </oc>
    <nc r="F19"/>
  </rcc>
  <rcc rId="19236" sId="7">
    <oc r="G19" t="inlineStr">
      <is>
        <t xml:space="preserve">almoço em comemoração ao aniversario da Patricia, e fomo liberados mais cedo </t>
      </is>
    </oc>
    <nc r="G19"/>
  </rcc>
  <rcc rId="19237" sId="7">
    <oc r="I19" t="inlineStr">
      <is>
        <t xml:space="preserve">trocando as caixas e espelho </t>
      </is>
    </oc>
    <nc r="I19"/>
  </rcc>
  <rcc rId="19238" sId="7">
    <oc r="J19" t="inlineStr">
      <is>
        <t xml:space="preserve">trocando as caixas e espelho </t>
      </is>
    </oc>
    <nc r="J19"/>
  </rcc>
  <rcc rId="19239" sId="7">
    <oc r="S19" t="inlineStr">
      <is>
        <t>Pequisa e desarquivamento de 31 pastas funcionais 71000.022140/2026-24</t>
      </is>
    </oc>
    <nc r="S19"/>
  </rcc>
  <rcc rId="19240" sId="7">
    <oc r="AU19" t="inlineStr">
      <is>
        <t>REMANEJAMENTO DE 175 CAIXAS, TENDO EM VISTA DO  ENVIO DE APENAS UM CARREGADOR  PELO SETOR RESPONSAVEL</t>
      </is>
    </oc>
    <nc r="AU19"/>
  </rcc>
  <rcc rId="19241" sId="8">
    <oc r="C18" t="inlineStr">
      <is>
        <t xml:space="preserve">TROCA DE CAIXAS DE PLÁSTICO </t>
      </is>
    </oc>
    <nc r="C18"/>
  </rcc>
  <rcc rId="19242" sId="8">
    <oc r="E18" t="inlineStr">
      <is>
        <t xml:space="preserve">TROCA DE CAIXAS DE PLÁSTICO </t>
      </is>
    </oc>
    <nc r="E18"/>
  </rcc>
  <rcc rId="19243" sId="8">
    <oc r="F18" t="inlineStr">
      <is>
        <t xml:space="preserve">TROCA DE CAIXAS DE PLÁSTICO </t>
      </is>
    </oc>
    <nc r="F18"/>
  </rcc>
  <rcc rId="19244" sId="8">
    <oc r="G18" t="inlineStr">
      <is>
        <t xml:space="preserve">TROCA DE CAIXAS DE PLÁSTICO </t>
      </is>
    </oc>
    <nc r="G18"/>
  </rcc>
  <rcc rId="19245" sId="8">
    <oc r="I18" t="inlineStr">
      <is>
        <t>REÚNIÃO COM PEDRO</t>
      </is>
    </oc>
    <nc r="I18"/>
  </rcc>
  <rcc rId="19246" sId="8">
    <oc r="J18" t="inlineStr">
      <is>
        <t>REÚNIÃO PARA ORIENTAÇÕES DE PONTO E SERVIÇOS</t>
      </is>
    </oc>
    <nc r="J18"/>
  </rcc>
  <rcc rId="19247" sId="8">
    <oc r="K18" t="inlineStr">
      <is>
        <t xml:space="preserve">TROCA DE CAIXAS DE PLÁSTICO </t>
      </is>
    </oc>
    <nc r="K18"/>
  </rcc>
  <rcc rId="19248" sId="8">
    <oc r="L18" t="inlineStr">
      <is>
        <t xml:space="preserve">TROCA DE CAIXAS DE PLÁSTICO </t>
      </is>
    </oc>
    <nc r="L18"/>
  </rcc>
  <rcc rId="19249" sId="8">
    <oc r="M18" t="inlineStr">
      <is>
        <t xml:space="preserve">TROCA DE CAIXAS DE PLÁSTICO </t>
      </is>
    </oc>
    <nc r="M18"/>
  </rcc>
  <rcc rId="19250" sId="8">
    <oc r="O18" t="inlineStr">
      <is>
        <t>CAIXAS PARA ELIMINAÇÃO</t>
      </is>
    </oc>
    <nc r="O18"/>
  </rcc>
  <rcc rId="19251" sId="8">
    <oc r="P18" t="inlineStr">
      <is>
        <t>CAIXAS PARA ELIMINAÇÃO</t>
      </is>
    </oc>
    <nc r="P18"/>
  </rcc>
  <rcc rId="19252" sId="8">
    <oc r="Q18" t="inlineStr">
      <is>
        <t>CAIXAS PARA ELIMINAÇÃO</t>
      </is>
    </oc>
    <nc r="Q18"/>
  </rcc>
  <rcc rId="19253" sId="8">
    <oc r="R18" t="inlineStr">
      <is>
        <t>CAIXAS PARA ELIMINAÇÃO</t>
      </is>
    </oc>
    <nc r="R18"/>
  </rcc>
  <rcc rId="19254" sId="8">
    <oc r="S18" t="inlineStr">
      <is>
        <t>Pesquisa e busca
Documentos referente ao Plano de Saúde de servidores.</t>
      </is>
    </oc>
    <nc r="S18"/>
  </rcc>
  <rcc rId="19255" sId="8">
    <oc r="U18" t="inlineStr">
      <is>
        <t>Pesquisa e busca
Documentos referente ao Plano de Saúde de servidores.</t>
      </is>
    </oc>
    <nc r="U18"/>
  </rcc>
  <rcc rId="19256" sId="8">
    <oc r="V18" t="inlineStr">
      <is>
        <t>Pesquisa e busca
Documentos referente ao Plano de Saúde de servidores.</t>
      </is>
    </oc>
    <nc r="V18"/>
  </rcc>
  <rcc rId="19257" sId="8">
    <oc r="W18" t="inlineStr">
      <is>
        <t>Pesquisa e busca
Documentos referente ao Plano de Saúde de servidores.</t>
      </is>
    </oc>
    <nc r="W18"/>
  </rcc>
  <rcc rId="19258" sId="8">
    <oc r="X18" t="inlineStr">
      <is>
        <t>Pesquisa e busca
Documentos referente ao Plano de Saúde de servidores.</t>
      </is>
    </oc>
    <nc r="X18"/>
  </rcc>
  <rcc rId="19259" sId="8">
    <oc r="Y18" t="inlineStr">
      <is>
        <t>REMANGEMENTO DE CAIXAS PARA ELIMINAÇÃO</t>
      </is>
    </oc>
    <nc r="Y18"/>
  </rcc>
  <rcc rId="19260" sId="8">
    <oc r="AA18" t="inlineStr">
      <is>
        <t>Pesquisa e busca
Documentos referente ao Plano de Saúde de servidores. Reúniaõ de equipe com chefia</t>
      </is>
    </oc>
    <nc r="AA18"/>
  </rcc>
  <rcc rId="19261" sId="8">
    <oc r="AB18" t="inlineStr">
      <is>
        <t>Pesquisa e busca
Documentos referente ao Plano de Saúde de servidores.</t>
      </is>
    </oc>
    <nc r="AB18"/>
  </rcc>
  <rcc rId="19262" sId="8">
    <oc r="AC18" t="inlineStr">
      <is>
        <t>REMANGEMENTO DE CAIXAS PARA ELIMINAÇÃO</t>
      </is>
    </oc>
    <nc r="AC18"/>
  </rcc>
  <rcc rId="19263" sId="8">
    <oc r="AD18" t="inlineStr">
      <is>
        <t>CAIXAS INVETARIADAS SNAS/CGCEB</t>
      </is>
    </oc>
    <nc r="AD18"/>
  </rcc>
  <rcc rId="19264" sId="8">
    <oc r="AE18" t="inlineStr">
      <is>
        <t>FERIADO</t>
      </is>
    </oc>
    <nc r="AE18"/>
  </rcc>
  <rcc rId="19265" sId="8">
    <oc r="AG18" t="inlineStr">
      <is>
        <t xml:space="preserve">REMANEJAMENTO DE 52 DESCENDO E 99 CAIXAS SUBINDO SNAS/CGCEB </t>
      </is>
    </oc>
    <nc r="AG18"/>
  </rcc>
  <rcc rId="19266" sId="8">
    <oc r="AH18" t="inlineStr">
      <is>
        <t>CAIXAS INVETARIADAS SNAS/CGCEB</t>
      </is>
    </oc>
    <nc r="AH18"/>
  </rcc>
  <rcc rId="19267" sId="8">
    <oc r="AI18" t="inlineStr">
      <is>
        <t>CAIXAS INVETARIADAS SNAS/CGCEB</t>
      </is>
    </oc>
    <nc r="AI18"/>
  </rcc>
  <rcc rId="19268" sId="8">
    <oc r="AJ18" t="inlineStr">
      <is>
        <t>CAIXAS INVETARIADAS SNAS/CGCEB</t>
      </is>
    </oc>
    <nc r="AJ18"/>
  </rcc>
  <rcc rId="19269" sId="8">
    <oc r="AK18" t="inlineStr">
      <is>
        <t>REMANEJAMENTO DE 101 DESCENDO E 49 CAIXAS SUBINDO SNAS/CGCEB</t>
      </is>
    </oc>
    <nc r="AK18"/>
  </rcc>
  <rcc rId="19270" sId="8">
    <oc r="AM18" t="inlineStr">
      <is>
        <t>CAIXAS INVETARIADAS SNAS/CGCEB</t>
      </is>
    </oc>
    <nc r="AM18"/>
  </rcc>
  <rcc rId="19271" sId="8">
    <oc r="AN18" t="inlineStr">
      <is>
        <t>REMANEJAMENTO DE 49 DESCENDO E 42 CAIXAS SUBINDO SNAS/CGCEB, ARQUIVAMENTO DE 13 PROCESSOS DA CGRH</t>
      </is>
    </oc>
    <nc r="AN18"/>
  </rcc>
  <rcc rId="19272" sId="8">
    <oc r="AO18" t="inlineStr">
      <is>
        <t>CAIXAS INVETARIADAS SNAS/CGCEB</t>
      </is>
    </oc>
    <nc r="AO18"/>
  </rcc>
  <rcc rId="19273" sId="8">
    <oc r="AP18" t="inlineStr">
      <is>
        <t>CAIXAS INVETARIADAS SNAS/CGCEB</t>
      </is>
    </oc>
    <nc r="AP18"/>
  </rcc>
  <rcc rId="19274" sId="8">
    <oc r="AQ18" t="inlineStr">
      <is>
        <t xml:space="preserve"> DOAÇÃO DE SANGUE (ATESTADO)</t>
      </is>
    </oc>
    <nc r="AQ18"/>
  </rcc>
  <rcc rId="19275" sId="8">
    <oc r="AV18" t="inlineStr">
      <is>
        <t>CAIXAS INVETARIADAS SNAS/CGCEB</t>
      </is>
    </oc>
    <nc r="AV18"/>
  </rcc>
  <rcc rId="19276" sId="8">
    <oc r="AW18" t="inlineStr">
      <is>
        <t>CAIXAS INVETARIADAS SNAS/CGCEB</t>
      </is>
    </oc>
    <nc r="AW18"/>
  </rcc>
  <rcc rId="19277" sId="8">
    <oc r="Q19" t="inlineStr">
      <is>
        <t xml:space="preserve">procurando caixas , organizando os pedidos do sei,pegando numeração de caixas dos processos </t>
      </is>
    </oc>
    <nc r="Q19"/>
  </rcc>
  <rcc rId="19278" sId="8">
    <oc r="AS19" t="inlineStr">
      <is>
        <t>PONTO FACULTATIVO</t>
      </is>
    </oc>
    <nc r="AS19"/>
  </rcc>
  <rcc rId="19279" sId="8">
    <oc r="AT19" t="inlineStr">
      <is>
        <t xml:space="preserve">FERIADO NACIONAL </t>
      </is>
    </oc>
    <nc r="AT19"/>
  </rcc>
  <rcc rId="19280" sId="8">
    <oc r="AU19" t="inlineStr">
      <is>
        <t>REMANEJAMENTO DE 175 CAIXAS DA SNAS/CGCEB, TENDO EM VISTA DO  ENVIO DE APENAS UM CARREGADOR  PELO SETOR RESPONSAVEL</t>
      </is>
    </oc>
    <nc r="AU19"/>
  </rcc>
  <rcc rId="19281" sId="8">
    <oc r="Q20" t="inlineStr">
      <is>
        <t xml:space="preserve">orientação sobre as caixas de eliminação </t>
      </is>
    </oc>
    <nc r="Q20"/>
  </rcc>
  <rcc rId="19282" sId="8">
    <oc r="V20" t="inlineStr">
      <is>
        <t>ENVIANDO 104 PROCESSOS PARA BLOCO A</t>
      </is>
    </oc>
    <nc r="V20"/>
  </rcc>
  <rfmt sheetId="8" sqref="C18:BA18" start="0" length="0">
    <dxf>
      <border>
        <top/>
      </border>
    </dxf>
  </rfmt>
  <rfmt sheetId="8" sqref="C18:BA18" start="0" length="0">
    <dxf>
      <border>
        <top style="thin">
          <color indexed="64"/>
        </top>
      </border>
    </dxf>
  </rfmt>
  <rcc rId="19283" sId="10">
    <oc r="C18" t="inlineStr">
      <is>
        <t>Alimentação de planilha de controle de atividades (Gustavo)</t>
      </is>
    </oc>
    <nc r="C18"/>
  </rcc>
  <rcc rId="19284" sId="10">
    <oc r="D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D18"/>
  </rcc>
  <rcc rId="19285" sId="10">
    <oc r="E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E18"/>
  </rcc>
  <rcc rId="19286" sId="10">
    <oc r="F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F18"/>
  </rcc>
  <rcc rId="19287" sId="10">
    <oc r="G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G18"/>
  </rcc>
  <rcc rId="19288" sId="10">
    <oc r="I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I18"/>
  </rcc>
  <rcc rId="19289" sId="10">
    <oc r="J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J18"/>
  </rcc>
  <rcc rId="19290" sId="10">
    <oc r="K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K18"/>
  </rcc>
  <rcc rId="19291" sId="10">
    <oc r="L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L18"/>
  </rcc>
  <rcc rId="19292" sId="10">
    <oc r="M18" t="inlineStr">
      <is>
        <t>Separação de caixas para eliminação sala 4.47</t>
      </is>
    </oc>
    <nc r="M18"/>
  </rcc>
  <rcc rId="19293" sId="10">
    <oc r="U18" t="inlineStr">
      <is>
        <t>Alimentação de planilha de controle de atividades (Gustavo)</t>
      </is>
    </oc>
    <nc r="U18"/>
  </rcc>
  <rcc rId="19294" sId="10">
    <oc r="V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V18"/>
  </rcc>
  <rcc rId="19295" sId="10">
    <oc r="W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W18"/>
  </rcc>
  <rcc rId="19296" sId="10">
    <oc r="X18" t="inlineStr">
      <is>
        <r>
          <t xml:space="preserve">Finalizando planilha de </t>
        </r>
        <r>
          <rPr>
            <b/>
            <sz val="11"/>
            <color rgb="FFFF0000"/>
            <rFont val="Aptos Narrow"/>
            <family val="2"/>
          </rPr>
          <t xml:space="preserve">Demandas </t>
        </r>
        <r>
          <rPr>
            <b/>
            <sz val="11"/>
            <rFont val="Aptos Narrow"/>
            <family val="2"/>
          </rPr>
          <t>2024/2025/</t>
        </r>
        <r>
          <rPr>
            <b/>
            <sz val="14"/>
            <color rgb="FFFF0000"/>
            <rFont val="Aptos Narrow"/>
            <family val="2"/>
          </rPr>
          <t>2026</t>
        </r>
      </is>
    </oc>
    <nc r="X18"/>
  </rcc>
  <rcc rId="19297" sId="10">
    <oc r="AA18" t="inlineStr">
      <is>
        <t>Alimentação de planilha de controle de atividades (Gustavo)</t>
      </is>
    </oc>
    <nc r="AA18"/>
  </rcc>
  <rcc rId="19298" sId="10">
    <oc r="AB18" t="inlineStr">
      <is>
        <r>
          <t xml:space="preserve">Preenchimento/atualização de cadastro no </t>
        </r>
        <r>
          <rPr>
            <b/>
            <sz val="11"/>
            <color rgb="FFFF0000"/>
            <rFont val="Aptos Narrow"/>
            <family val="2"/>
          </rPr>
          <t>Sistema CGLA</t>
        </r>
      </is>
    </oc>
    <nc r="AB18"/>
  </rcc>
  <rcc rId="19299" sId="10">
    <oc r="AC18" t="inlineStr">
      <is>
        <r>
          <t xml:space="preserve">Preenchimento/atualização de cadastro no </t>
        </r>
        <r>
          <rPr>
            <b/>
            <sz val="11"/>
            <color rgb="FFFF0000"/>
            <rFont val="Aptos Narrow"/>
            <family val="2"/>
          </rPr>
          <t>Sistema CGLA</t>
        </r>
      </is>
    </oc>
    <nc r="AC18"/>
  </rcc>
  <rcc rId="19300" sId="10">
    <oc r="AD18" t="inlineStr">
      <is>
        <r>
          <t xml:space="preserve">Preenchimento/atualização de cadastro no </t>
        </r>
        <r>
          <rPr>
            <b/>
            <sz val="11"/>
            <color rgb="FFFF0000"/>
            <rFont val="Aptos Narrow"/>
            <family val="2"/>
          </rPr>
          <t>Sistema CGLA</t>
        </r>
      </is>
    </oc>
    <nc r="AD18"/>
  </rcc>
  <rcc rId="19301" sId="10">
    <oc r="AG18" t="inlineStr">
      <is>
        <t>Pesquisa e busca pastas funcionais COAP.</t>
      </is>
    </oc>
    <nc r="AG18"/>
  </rcc>
  <rcc rId="19302" sId="10">
    <oc r="AH18" t="inlineStr">
      <is>
        <t>Alimentação de planilha de controle de atividades (Gustavo)</t>
      </is>
    </oc>
    <nc r="AH18"/>
  </rcc>
  <rcc rId="19303" sId="10">
    <oc r="AI18" t="inlineStr">
      <is>
        <t>Pesquisa e busca pastas funcionais COAP.</t>
      </is>
    </oc>
    <nc r="AI18"/>
  </rcc>
  <rcc rId="19304" sId="10">
    <oc r="AK18" t="inlineStr">
      <is>
        <r>
          <t xml:space="preserve">Preenchimento/atualização de cadastro no </t>
        </r>
        <r>
          <rPr>
            <b/>
            <sz val="11"/>
            <color rgb="FFFF0000"/>
            <rFont val="Aptos Narrow"/>
            <family val="2"/>
          </rPr>
          <t>Sistema CGLA</t>
        </r>
      </is>
    </oc>
    <nc r="AK18"/>
  </rcc>
  <rcc rId="19305" sId="10">
    <oc r="AM18" t="inlineStr">
      <is>
        <t>Alimentação de planilha de controle de atividades (Gustavo)</t>
      </is>
    </oc>
    <nc r="AM18"/>
  </rcc>
  <rcc rId="19306" sId="10">
    <oc r="AN18" t="inlineStr">
      <is>
        <r>
          <t xml:space="preserve">Preenchimento/atualização de cadastro no </t>
        </r>
        <r>
          <rPr>
            <b/>
            <sz val="11"/>
            <color rgb="FFFF0000"/>
            <rFont val="Aptos Narrow"/>
            <family val="2"/>
          </rPr>
          <t>Sistema CGLA</t>
        </r>
      </is>
    </oc>
    <nc r="AN18"/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07" sId="5">
    <oc r="C2">
      <v>1</v>
    </oc>
    <nc r="C2"/>
  </rcc>
  <rcc rId="19308" sId="3">
    <oc r="K2">
      <f>Diego!#REF!+Aelton!#REF!+Leonam!#REF!+Danilo!#REF!+Marcos!#REF!+Alessandro!#REF!+Carlos!BA2</f>
    </oc>
    <nc r="K2">
      <f>Diego!BA2+Aelton!BA2+Leonam!BA2+Danilo!BA2+Marcos!BA2+Alessandro!BA2+Carlos!BA2</f>
    </nc>
  </rcc>
  <rfmt sheetId="3" sqref="K6" start="0" length="0">
    <dxf>
      <fill>
        <patternFill>
          <bgColor theme="0"/>
        </patternFill>
      </fill>
    </dxf>
  </rfmt>
  <rcc rId="19309" sId="3" odxf="1" dxf="1">
    <oc r="K3">
      <f>Diego!#REF!+Aelton!#REF!+Leonam!#REF!+Danilo!#REF!+Marcos!#REF!+Alessandro!#REF!+Carlos!BA3</f>
    </oc>
    <nc r="K3">
      <f>Diego!BA3+Aelton!BA3+Leonam!BA3+Danilo!BA3+Marcos!BA3+Alessandro!BA3+Carlos!BA3</f>
    </nc>
    <ndxf>
      <fill>
        <patternFill>
          <bgColor rgb="FFFFFF00"/>
        </patternFill>
      </fill>
    </ndxf>
  </rcc>
  <rcc rId="19310" sId="3">
    <oc r="K4">
      <f>Diego!#REF!+Aelton!#REF!+Leonam!#REF!+Danilo!#REF!+Marcos!#REF!+Alessandro!#REF!+Carlos!BA4</f>
    </oc>
    <nc r="K4">
      <f>Diego!BA4+Aelton!BA4+Leonam!BA4+Danilo!BA4+Marcos!BA4+Alessandro!BA4+Carlos!BA4</f>
    </nc>
  </rcc>
  <rcc rId="19311" sId="3" odxf="1" dxf="1">
    <oc r="K5">
      <f>Diego!#REF!+Aelton!#REF!+Leonam!#REF!+Danilo!#REF!+Marcos!#REF!+Alessandro!#REF!+Carlos!BA5</f>
    </oc>
    <nc r="K5">
      <f>Diego!BA5+Aelton!BA5+Leonam!BA5+Danilo!BA5+Marcos!BA5+Alessandro!BA5+Carlos!BA5</f>
    </nc>
    <ndxf>
      <fill>
        <patternFill>
          <bgColor rgb="FFFFFF00"/>
        </patternFill>
      </fill>
    </ndxf>
  </rcc>
  <rcc rId="19312" sId="3" odxf="1" dxf="1">
    <oc r="K6">
      <f>Diego!#REF!+Aelton!#REF!+Leonam!#REF!+Danilo!#REF!+Marcos!#REF!+Alessandro!#REF!+Carlos!BA6</f>
    </oc>
    <nc r="K6">
      <f>Diego!BA6+Aelton!BA6+Leonam!BA6+Danilo!BA6+Marcos!BA6+Alessandro!BA6+Carlos!BA6</f>
    </nc>
    <ndxf>
      <fill>
        <patternFill>
          <bgColor rgb="FFFFFF00"/>
        </patternFill>
      </fill>
    </ndxf>
  </rcc>
  <rcc rId="19313" sId="3" odxf="1" dxf="1">
    <oc r="K7">
      <f>Diego!#REF!+Aelton!#REF!+Leonam!#REF!+Danilo!#REF!+Marcos!#REF!+Alessandro!#REF!+Carlos!BA7</f>
    </oc>
    <nc r="K7">
      <f>Diego!BA7+Aelton!BA7+Leonam!BA7+Danilo!BA7+Marcos!BA7+Alessandro!BA7+Carlos!BA7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9314" sId="3">
    <oc r="K8">
      <f>Diego!#REF!+Aelton!#REF!+Leonam!#REF!+Danilo!#REF!+Marcos!#REF!+Alessandro!#REF!+Carlos!BA8</f>
    </oc>
    <nc r="K8">
      <f>Diego!BA8+Aelton!BA8+Leonam!BA8+Danilo!BA8+Marcos!BA8+Alessandro!BA8+Carlos!BA8</f>
    </nc>
  </rcc>
  <rcc rId="19315" sId="3" odxf="1" dxf="1">
    <oc r="K9">
      <f>Diego!#REF!+Aelton!#REF!+Leonam!#REF!+Danilo!#REF!+Marcos!#REF!+Alessandro!#REF!+Carlos!BA9</f>
    </oc>
    <nc r="K9">
      <f>Diego!BA9+Aelton!BA9+Leonam!BA9+Danilo!BA9+Marcos!BA9+Alessandro!BA9+Carlos!BA9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9316" sId="3">
    <oc r="K10">
      <f>Diego!#REF!+Aelton!#REF!+Leonam!#REF!+Danilo!#REF!+Marcos!#REF!+Alessandro!#REF!+Carlos!BA10</f>
    </oc>
    <nc r="K10">
      <f>Diego!BA10+Aelton!BA10+Leonam!BA10+Danilo!BA10+Marcos!BA10+Alessandro!BA10+Carlos!BA10</f>
    </nc>
  </rcc>
  <rcc rId="19317" sId="3" odxf="1" dxf="1">
    <oc r="K11">
      <f>Diego!#REF!+Aelton!#REF!+Leonam!#REF!+Danilo!#REF!+Marcos!#REF!+Alessandro!#REF!+Carlos!BA11</f>
    </oc>
    <nc r="K11">
      <f>Diego!BA11+Aelton!BA11+Leonam!BA11+Danilo!BA11+Marcos!BA11+Alessandro!BA11+Carlos!BA11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9318" sId="3">
    <oc r="K12">
      <f>Diego!#REF!+Aelton!#REF!+Leonam!#REF!+Danilo!#REF!+Marcos!#REF!+Alessandro!#REF!+Carlos!BA12</f>
    </oc>
    <nc r="K12">
      <f>Diego!BA12+Aelton!BA12+Leonam!BA12+Danilo!BA12+Marcos!BA12+Alessandro!BA12+Carlos!BA12</f>
    </nc>
  </rcc>
  <rcc rId="19319" sId="3" odxf="1" dxf="1">
    <oc r="K13">
      <f>Diego!#REF!+Aelton!#REF!+Leonam!#REF!+Danilo!#REF!+Marcos!#REF!+Alessandro!#REF!+Carlos!BA13</f>
    </oc>
    <nc r="K13">
      <f>Diego!BA13+Aelton!BA13+Leonam!BA13+Danilo!BA13+Marcos!BA13+Alessandro!BA13+Carlos!BA13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9320" sId="3">
    <oc r="K14">
      <f>Diego!#REF!+Aelton!#REF!+Leonam!#REF!+Danilo!#REF!+Marcos!#REF!+Alessandro!#REF!+Carlos!BA14</f>
    </oc>
    <nc r="K14">
      <f>Diego!BA14+Aelton!BA14+Leonam!BA14+Danilo!BA14+Marcos!BA14+Alessandro!BA14+Carlos!BA14</f>
    </nc>
  </rcc>
  <rcc rId="19321" sId="3" odxf="1" dxf="1">
    <oc r="K15">
      <f>Diego!#REF!+Aelton!#REF!+Leonam!#REF!+Danilo!#REF!+Marcos!#REF!+Alessandro!#REF!+Carlos!BA15</f>
    </oc>
    <nc r="K15">
      <f>Diego!BA15+Aelton!BA15+Leonam!BA15+Danilo!BA15+Marcos!BA15+Alessandro!BA15+Carlos!BA15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cc rId="19322" sId="3">
    <oc r="K16">
      <f>Diego!#REF!+Aelton!#REF!+Leonam!#REF!+Danilo!#REF!+Marcos!#REF!+Alessandro!#REF!+Carlos!BA16</f>
    </oc>
    <nc r="K16">
      <f>Diego!BA16+Aelton!BA16+Leonam!BA16+Danilo!BA16+Marcos!BA16+Alessandro!BA16+Carlos!BA16</f>
    </nc>
  </rcc>
  <rcc rId="19323" sId="3" odxf="1" dxf="1">
    <oc r="K17">
      <f>Diego!#REF!+Aelton!#REF!+Leonam!#REF!+Danilo!#REF!+Marcos!#REF!+Alessandro!#REF!+Carlos!BA17</f>
    </oc>
    <nc r="K17">
      <f>Diego!BA17+Aelton!BA17+Leonam!BA17+Danilo!BA17+Marcos!BA17+Alessandro!BA17+Carlos!BA17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fmt sheetId="3" sqref="K3">
    <dxf>
      <fill>
        <patternFill>
          <bgColor theme="0"/>
        </patternFill>
      </fill>
    </dxf>
  </rfmt>
  <rfmt sheetId="3" sqref="K5">
    <dxf>
      <fill>
        <patternFill>
          <bgColor theme="0"/>
        </patternFill>
      </fill>
    </dxf>
  </rfmt>
  <rfmt sheetId="3" sqref="K7">
    <dxf>
      <fill>
        <patternFill>
          <bgColor theme="0"/>
        </patternFill>
      </fill>
    </dxf>
  </rfmt>
  <rfmt sheetId="3" sqref="K9">
    <dxf>
      <fill>
        <patternFill>
          <bgColor theme="0"/>
        </patternFill>
      </fill>
    </dxf>
  </rfmt>
  <rfmt sheetId="3" sqref="K11">
    <dxf>
      <fill>
        <patternFill>
          <bgColor theme="0"/>
        </patternFill>
      </fill>
    </dxf>
  </rfmt>
  <rfmt sheetId="3" sqref="K13">
    <dxf>
      <fill>
        <patternFill>
          <bgColor theme="0"/>
        </patternFill>
      </fill>
    </dxf>
  </rfmt>
  <rfmt sheetId="3" sqref="K15">
    <dxf>
      <fill>
        <patternFill>
          <bgColor theme="0"/>
        </patternFill>
      </fill>
    </dxf>
  </rfmt>
  <rfmt sheetId="3" sqref="K17">
    <dxf>
      <fill>
        <patternFill>
          <bgColor theme="0"/>
        </patternFill>
      </fill>
    </dxf>
  </rfmt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24" sId="8">
    <nc r="C18" t="inlineStr">
      <is>
        <t xml:space="preserve">acompanhamento da limpesa das estantes do Bloco A no período da manhã 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35" sId="8">
    <oc r="C18" t="inlineStr">
      <is>
        <t xml:space="preserve">acompanhamento da limpesa das estantes do Bloco A no período da manhã </t>
      </is>
    </oc>
    <nc r="C18" t="inlineStr">
      <is>
        <t>ACOMPANHAMENTO DA LIMPESA DAS ESTANTES E CAIXAS DO BLOCO A E CONFERÊNCIA DE 06 CAIXAS SNAS/DNIT</t>
      </is>
    </nc>
  </rcc>
  <rcc rId="19336" sId="8">
    <nc r="C6">
      <v>6</v>
    </nc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37" sId="8">
    <oc r="C6">
      <v>6</v>
    </oc>
    <nc r="C6"/>
  </rcc>
  <rcc rId="19338" sId="8">
    <nc r="C16">
      <v>6</v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39" sId="8">
    <nc r="D18" t="inlineStr">
      <is>
        <t xml:space="preserve">ACOMPANHAMENTO DA LIMPESA DAS ESTANTES E CAIXAS DO BLOCO A 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40" sId="8">
    <oc r="D18" t="inlineStr">
      <is>
        <t xml:space="preserve">ACOMPANHAMENTO DA LIMPESA DAS ESTANTES E CAIXAS DO BLOCO A </t>
      </is>
    </oc>
    <nc r="D18" t="inlineStr">
      <is>
        <t>ACOMPANHAMENTO DA LIMPESA DAS ESTANTES E CAIXAS DO BLOCO A E CONFERÊNCIA DE 05 CAIXAS SNAS/DNIT</t>
      </is>
    </nc>
  </rcc>
  <rcc rId="19341" sId="8">
    <nc r="D16">
      <v>5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42" sId="8" xfDxf="1" dxf="1">
    <nc r="E18" t="inlineStr">
      <is>
        <t>ACOMPANHAMENTO DA LIMPESA DAS ESTANTES E CAIXAS DO BLOCO A</t>
      </is>
    </nc>
    <ndxf>
      <alignment horizontal="center" vertical="center" wrapText="1"/>
      <border outline="0">
        <top style="thin">
          <color indexed="64"/>
        </top>
      </border>
    </ndxf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43" sId="10">
    <nc r="C18" t="inlineStr">
      <is>
        <t>Pesquisa de contatos de empresas de manutenção de deslizantes e confirmação de e-mails enviados</t>
      </is>
    </nc>
  </rcc>
  <rfmt sheetId="10" sqref="C18" start="0" length="2147483647">
    <dxf>
      <font>
        <b val="0"/>
      </font>
    </dxf>
  </rfmt>
  <rcc rId="19344" sId="10">
    <nc r="D16">
      <v>11</v>
    </nc>
  </rcc>
  <rcc rId="19345" sId="8">
    <oc r="C18" t="inlineStr">
      <is>
        <t>ACOMPANHAMENTO DA LIMPESA DAS ESTANTES E CAIXAS DO BLOCO A E CONFERÊNCIA DE 06 CAIXAS SNAS/DNIT</t>
      </is>
    </oc>
    <nc r="C18" t="inlineStr">
      <is>
        <t>ACOMPANHAMENTO DA LIMPEZA DAS ESTANTES E CAIXAS DO BLOCO A E CONFERÊNCIA DE 06 CAIXAS SNAS/DNIT</t>
      </is>
    </nc>
  </rcc>
  <rcc rId="19346" sId="8">
    <oc r="D18" t="inlineStr">
      <is>
        <t>ACOMPANHAMENTO DA LIMPESA DAS ESTANTES E CAIXAS DO BLOCO A E CONFERÊNCIA DE 05 CAIXAS SNAS/DNIT</t>
      </is>
    </oc>
    <nc r="D18" t="inlineStr">
      <is>
        <t>ACOMPANHAMENTO DA LIMPEZA DAS ESTANTES E CAIXAS DO BLOCO A E CONFERÊNCIA DE 05 CAIXAS SNAS/DNIT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47" sId="8">
    <oc r="E18" t="inlineStr">
      <is>
        <t>ACOMPANHAMENTO DA LIMPESA DAS ESTANTES E CAIXAS DO BLOCO A</t>
      </is>
    </oc>
    <nc r="E18" t="inlineStr">
      <is>
        <t>ACOMPANHAMENTO DA LIMPESA DAS ESTANTES E CAIXAS DO BLOCO A E RECEBIMENTO DE 50 CAIXAS E ENVIO DE 50 CAIXAS DO FNAS/CGCPC</t>
      </is>
    </nc>
  </rcc>
  <rcc rId="19348" sId="8">
    <nc r="E15">
      <v>100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59" sId="7">
    <nc r="C16">
      <v>10</v>
    </nc>
  </rcc>
  <rcc rId="19360" sId="7">
    <nc r="D16">
      <v>10</v>
    </nc>
  </rcc>
  <rcc rId="19361" sId="7">
    <nc r="F18" t="inlineStr">
      <is>
        <t xml:space="preserve">ORGANIZAÇÃO DE 50 CAIXAS PARA CONFERENCIA </t>
      </is>
    </nc>
  </rcc>
  <rcc rId="19362" sId="7">
    <nc r="F4">
      <v>7</v>
    </nc>
  </rcc>
  <rcc rId="19363" sId="7">
    <nc r="E4">
      <v>50</v>
    </nc>
  </rcc>
  <rcc rId="19364" sId="7">
    <nc r="E18" t="inlineStr">
      <is>
        <t>ORGANIZAÃO DE 50 CAIXA PARA O LOCAL DE ORIGEM, APÓS RETORNO DE DESARQUIVAMENTO</t>
      </is>
    </nc>
  </rcc>
  <rcv guid="{B3CDE377-BA5D-4E06-91D9-3A48E1959BA5}" action="delete"/>
  <rdn rId="0" localSheetId="1" customView="1" name="Z_B3CDE377_BA5D_4E06_91D9_3A48E1959BA5_.wvu.FilterData" hidden="1" oldHidden="1">
    <formula>Patrícia!$A$1:$A$5</formula>
    <oldFormula>Patrícia!$A$1:$A$5</oldFormula>
  </rdn>
  <rdn rId="0" localSheetId="2" customView="1" name="Z_B3CDE377_BA5D_4E06_91D9_3A48E1959BA5_.wvu.FilterData" hidden="1" oldHidden="1">
    <formula>Leonardo!$A$1:$A$5</formula>
    <oldFormula>Leonardo!$A$1:$A$5</oldFormula>
  </rdn>
  <rdn rId="0" localSheetId="3" customView="1" name="Z_B3CDE377_BA5D_4E06_91D9_3A48E1959BA5_.wvu.FilterData" hidden="1" oldHidden="1">
    <formula>TOTAL!$A$1:$J$19</formula>
    <oldFormula>TOTAL!$A$1:$J$19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Leonam!$A$1:$B$19</formula>
    <oldFormula>Leonam!$A$1:$B$19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8" customView="1" name="Z_B3CDE377_BA5D_4E06_91D9_3A48E1959BA5_.wvu.FilterData" hidden="1" oldHidden="1">
    <formula>Marcos!$A$1:$A$20</formula>
    <oldFormula>Marcos!$A$1:$A$20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75" sId="8">
    <oc r="E18" t="inlineStr">
      <is>
        <t>ACOMPANHAMENTO DA LIMPESA DAS ESTANTES E CAIXAS DO BLOCO A E RECEBIMENTO DE 50 CAIXAS E ENVIO DE 50 CAIXAS DO FNAS/CGCPC</t>
      </is>
    </oc>
    <nc r="E18" t="inlineStr">
      <is>
        <t>ACOMPANHAMENTO DA LIMPESA DAS ESTANTES E CAIXAS DO BLOCO A E RECEBIMENTO DE 50 CAIXAS E ENVIO DE 50 CAIXAS DO FNAS/CGCPC E TROCA DE 28 CAIXAS NO BLOCO A</t>
      </is>
    </nc>
  </rcc>
  <rcc rId="19376" sId="8">
    <nc r="E17">
      <v>28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87" sId="8">
    <nc r="F17">
      <v>28</v>
    </nc>
  </rcc>
  <rcc rId="19388" sId="8">
    <oc r="E17">
      <v>28</v>
    </oc>
    <nc r="E17"/>
  </rcc>
  <rcc rId="19389" sId="8">
    <nc r="F18" t="inlineStr">
      <is>
        <t>ACOMPANHAMENTO DA LIMPESA DAS ESTANTES E CAIXAS DO BLOCO A E TROCA DE 28 CAIXAS BLOCO A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90" sId="8" xfDxf="1" dxf="1">
    <nc r="G18" t="inlineStr">
      <is>
        <t>ACOMPANHAMENTO DA LIMPESA DAS ESTANTES E CAIXAS DO BLOCO A</t>
      </is>
    </nc>
    <ndxf>
      <alignment horizontal="center" vertical="center" wrapText="1" readingOrder="0"/>
      <border outline="0">
        <top style="thin">
          <color indexed="64"/>
        </top>
      </border>
    </ndxf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18" start="0" length="0">
    <dxf>
      <border>
        <left style="thin">
          <color indexed="64"/>
        </left>
      </border>
    </dxf>
  </rfmt>
  <rfmt sheetId="5" sqref="A18:XFD18" start="0" length="0">
    <dxf>
      <border>
        <top style="thin">
          <color indexed="64"/>
        </top>
      </border>
    </dxf>
  </rfmt>
  <rfmt sheetId="5" sqref="XFD18" start="0" length="0">
    <dxf>
      <border>
        <right style="thin">
          <color indexed="64"/>
        </right>
      </border>
    </dxf>
  </rfmt>
  <rfmt sheetId="5" sqref="A18:XFD18" start="0" length="0">
    <dxf>
      <border>
        <bottom style="thin">
          <color indexed="64"/>
        </bottom>
      </border>
    </dxf>
  </rfmt>
  <rfmt sheetId="5" sqref="A19" start="0" length="0">
    <dxf>
      <border>
        <left style="thin">
          <color indexed="64"/>
        </left>
      </border>
    </dxf>
  </rfmt>
  <rfmt sheetId="5" sqref="A19:XFD19" start="0" length="0">
    <dxf>
      <border>
        <top style="thin">
          <color indexed="64"/>
        </top>
      </border>
    </dxf>
  </rfmt>
  <rfmt sheetId="5" sqref="XFD19" start="0" length="0">
    <dxf>
      <border>
        <right style="thin">
          <color indexed="64"/>
        </right>
      </border>
    </dxf>
  </rfmt>
  <rfmt sheetId="5" sqref="A19:XFD19" start="0" length="0">
    <dxf>
      <border>
        <bottom style="thin">
          <color indexed="64"/>
        </bottom>
      </border>
    </dxf>
  </rfmt>
  <rfmt sheetId="5" sqref="A18:XFD18 A19:XFD1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9391" sId="5" odxf="1" dxf="1" numFmtId="19">
    <nc r="C2">
      <v>46146</v>
    </nc>
    <odxf>
      <numFmt numFmtId="0" formatCode="General"/>
    </odxf>
    <ndxf>
      <numFmt numFmtId="19" formatCode="dd/mm/yyyy"/>
    </ndxf>
  </rcc>
  <rcc rId="19392" sId="5" odxf="1" dxf="1" numFmtId="19">
    <nc r="D2">
      <v>46147</v>
    </nc>
    <odxf>
      <numFmt numFmtId="0" formatCode="General"/>
    </odxf>
    <ndxf>
      <numFmt numFmtId="19" formatCode="dd/mm/yyyy"/>
    </ndxf>
  </rcc>
  <rcc rId="19393" sId="5" odxf="1" dxf="1" numFmtId="19">
    <nc r="E2">
      <v>46148</v>
    </nc>
    <odxf>
      <numFmt numFmtId="0" formatCode="General"/>
    </odxf>
    <ndxf>
      <numFmt numFmtId="19" formatCode="dd/mm/yyyy"/>
    </ndxf>
  </rcc>
  <rcc rId="19394" sId="5" odxf="1" dxf="1" numFmtId="19">
    <nc r="F2">
      <v>46149</v>
    </nc>
    <odxf>
      <numFmt numFmtId="0" formatCode="General"/>
    </odxf>
    <ndxf>
      <numFmt numFmtId="19" formatCode="dd/mm/yyyy"/>
    </ndxf>
  </rcc>
  <rcc rId="19395" sId="5" odxf="1" dxf="1" numFmtId="19">
    <nc r="G2">
      <v>46150</v>
    </nc>
    <odxf>
      <numFmt numFmtId="0" formatCode="General"/>
    </odxf>
    <ndxf>
      <numFmt numFmtId="19" formatCode="dd/mm/yyyy"/>
    </ndxf>
  </rcc>
  <rfmt sheetId="5" sqref="C18" start="0" length="0">
    <dxf>
      <fill>
        <patternFill patternType="none">
          <bgColor indexed="65"/>
        </patternFill>
      </fill>
      <alignment wrapText="0"/>
      <border outline="0">
        <left/>
        <right/>
        <top/>
        <bottom/>
      </border>
    </dxf>
  </rfmt>
  <rfmt sheetId="5" sqref="D18" start="0" length="0">
    <dxf>
      <fill>
        <patternFill patternType="none">
          <bgColor indexed="65"/>
        </patternFill>
      </fill>
      <alignment wrapText="0"/>
      <border outline="0">
        <left/>
        <right/>
        <top/>
        <bottom/>
      </border>
    </dxf>
  </rfmt>
  <rfmt sheetId="5" sqref="E18" start="0" length="0">
    <dxf>
      <fill>
        <patternFill patternType="none">
          <bgColor indexed="65"/>
        </patternFill>
      </fill>
      <alignment wrapText="0"/>
      <border outline="0">
        <left/>
        <right/>
        <top/>
        <bottom/>
      </border>
    </dxf>
  </rfmt>
  <rfmt sheetId="5" sqref="F18" start="0" length="0">
    <dxf>
      <fill>
        <patternFill patternType="none">
          <bgColor indexed="65"/>
        </patternFill>
      </fill>
      <alignment wrapText="0"/>
      <border outline="0">
        <left/>
        <right/>
        <top/>
        <bottom/>
      </border>
    </dxf>
  </rfmt>
  <rfmt sheetId="5" sqref="G18" start="0" length="0">
    <dxf>
      <fill>
        <patternFill patternType="none">
          <bgColor indexed="65"/>
        </patternFill>
      </fill>
      <alignment wrapText="0"/>
      <border outline="0">
        <left/>
        <right/>
        <top/>
        <bottom/>
      </border>
    </dxf>
  </rfmt>
  <rcc rId="19396" sId="5" odxf="1" dxf="1">
    <nc r="C19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  <alignment wrapText="0"/>
    </odxf>
    <ndxf>
      <fill>
        <patternFill patternType="none">
          <bgColor indexed="65"/>
        </patternFill>
      </fill>
      <alignment wrapText="1"/>
    </ndxf>
  </rcc>
  <rcc rId="19397" sId="5" odxf="1" dxf="1">
    <nc r="D19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  <alignment wrapText="0"/>
    </odxf>
    <ndxf>
      <fill>
        <patternFill patternType="none">
          <bgColor indexed="65"/>
        </patternFill>
      </fill>
      <alignment wrapText="1"/>
    </ndxf>
  </rcc>
  <rcc rId="19398" sId="5" odxf="1" dxf="1">
    <nc r="E19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  <alignment wrapText="0"/>
    </odxf>
    <ndxf>
      <fill>
        <patternFill patternType="none">
          <bgColor indexed="65"/>
        </patternFill>
      </fill>
      <alignment wrapText="1"/>
    </ndxf>
  </rcc>
  <rcc rId="19399" sId="5" odxf="1" dxf="1">
    <nc r="F19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  <alignment wrapText="0"/>
    </odxf>
    <ndxf>
      <fill>
        <patternFill patternType="none">
          <bgColor indexed="65"/>
        </patternFill>
      </fill>
      <alignment wrapText="1"/>
    </ndxf>
  </rcc>
  <rcc rId="19400" sId="5" odxf="1" dxf="1">
    <nc r="G19" t="inlineStr">
      <is>
        <t>Pesquisa e busca
processo 23132.000438/95-22, convênio nº 214/95, SIAFI nº 138116, Fundação de Desporto e
 Lazer de Mato Grosso</t>
      </is>
    </nc>
    <odxf>
      <fill>
        <patternFill patternType="solid">
          <bgColor theme="0"/>
        </patternFill>
      </fill>
      <alignment wrapText="0"/>
    </odxf>
    <ndxf>
      <fill>
        <patternFill patternType="none">
          <bgColor indexed="65"/>
        </patternFill>
      </fill>
      <alignment wrapText="1"/>
    </ndxf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11" sId="5" numFmtId="19">
    <oc r="C2">
      <v>46146</v>
    </oc>
    <nc r="C2"/>
  </rcc>
  <rcc rId="19412" sId="5" numFmtId="19">
    <oc r="D2">
      <v>46147</v>
    </oc>
    <nc r="D2"/>
  </rcc>
  <rcc rId="19413" sId="5" numFmtId="19">
    <oc r="E2">
      <v>46148</v>
    </oc>
    <nc r="E2"/>
  </rcc>
  <rcc rId="19414" sId="5" numFmtId="19">
    <oc r="F2">
      <v>46149</v>
    </oc>
    <nc r="F2"/>
  </rcc>
  <rcc rId="19415" sId="5" numFmtId="19">
    <oc r="G2">
      <v>46150</v>
    </oc>
    <nc r="G2"/>
  </rcc>
  <rcc rId="19416" sId="5">
    <oc r="C19" t="inlineStr">
      <is>
        <t>Pesquisa e busca
processo 23132.000438/95-22, convênio nº 214/95, SIAFI nº 138116, Fundação de Desporto e
 Lazer de Mato Grosso</t>
      </is>
    </oc>
    <nc r="C19"/>
  </rcc>
  <rcc rId="19417" sId="5">
    <oc r="D19" t="inlineStr">
      <is>
        <t>Pesquisa e busca
processo 23132.000438/95-22, convênio nº 214/95, SIAFI nº 138116, Fundação de Desporto e
 Lazer de Mato Grosso</t>
      </is>
    </oc>
    <nc r="D19"/>
  </rcc>
  <rcc rId="19418" sId="5">
    <oc r="E19" t="inlineStr">
      <is>
        <t>Pesquisa e busca
processo 23132.000438/95-22, convênio nº 214/95, SIAFI nº 138116, Fundação de Desporto e
 Lazer de Mato Grosso</t>
      </is>
    </oc>
    <nc r="E19"/>
  </rcc>
  <rcc rId="19419" sId="5">
    <oc r="F19" t="inlineStr">
      <is>
        <t>Pesquisa e busca
processo 23132.000438/95-22, convênio nº 214/95, SIAFI nº 138116, Fundação de Desporto e
 Lazer de Mato Grosso</t>
      </is>
    </oc>
    <nc r="F19"/>
  </rcc>
  <rcc rId="19420" sId="5">
    <oc r="G19" t="inlineStr">
      <is>
        <t>Pesquisa e busca
processo 23132.000438/95-22, convênio nº 214/95, SIAFI nº 138116, Fundação de Desporto e
 Lazer de Mato Grosso</t>
      </is>
    </oc>
    <nc r="G19"/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2" start="0" length="0">
    <dxf>
      <numFmt numFmtId="0" formatCode="General"/>
    </dxf>
  </rfmt>
  <rfmt sheetId="5" sqref="D2" start="0" length="0">
    <dxf>
      <numFmt numFmtId="0" formatCode="General"/>
    </dxf>
  </rfmt>
  <rfmt sheetId="5" sqref="E2" start="0" length="0">
    <dxf>
      <numFmt numFmtId="0" formatCode="General"/>
    </dxf>
  </rfmt>
  <rfmt sheetId="5" sqref="F2" start="0" length="0">
    <dxf>
      <numFmt numFmtId="0" formatCode="General"/>
    </dxf>
  </rfmt>
  <rfmt sheetId="5" sqref="G2" start="0" length="0">
    <dxf>
      <numFmt numFmtId="0" formatCode="General"/>
    </dxf>
  </rfmt>
  <rcc rId="19421" sId="5" odxf="1" dxf="1">
    <nc r="C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9422" sId="5" odxf="1" dxf="1">
    <nc r="D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9423" sId="5" odxf="1" dxf="1">
    <nc r="E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9424" sId="5" odxf="1" dxf="1">
    <nc r="F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9425" sId="5" odxf="1" dxf="1">
    <nc r="G18" t="inlineStr">
      <is>
        <t>Pesquisa e busca
processo 23132.000438/95-22, convênio nº 214/95, SIAFI nº 138116, Fundação de Desporto e
 Lazer de Mato Grosso</t>
      </is>
    </nc>
    <odxf>
      <alignment wrapText="0"/>
      <border outline="0">
        <left/>
        <right/>
        <top/>
        <bottom/>
      </border>
    </odxf>
    <ndxf>
      <alignment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8" xfDxf="1" sqref="I18" start="0" length="0">
    <dxf>
      <alignment horizontal="center" vertical="center" wrapText="1"/>
      <border outline="0">
        <top style="thin">
          <color indexed="64"/>
        </top>
      </border>
    </dxf>
  </rfmt>
  <rcc rId="19426" sId="8">
    <nc r="I18" t="inlineStr">
      <is>
        <t>CONFERÊNCIA DE 06 CAIXAS SNAS/DNIT E ACOMPANHAMENTO LIMPESA SALA 3.11 NO DNIT</t>
      </is>
    </nc>
  </rcc>
  <rcc rId="19427" sId="8">
    <nc r="I16">
      <v>10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438" sId="9">
    <nc r="C12">
      <v>30</v>
    </nc>
  </rcc>
  <rcc rId="19439" sId="9">
    <nc r="C11">
      <v>3</v>
    </nc>
  </rcc>
  <rcc rId="19440" sId="9">
    <nc r="D12">
      <v>29</v>
    </nc>
  </rcc>
  <rcc rId="19441" sId="9">
    <nc r="D11">
      <v>4</v>
    </nc>
  </rcc>
  <rcc rId="19442" sId="9">
    <nc r="E12">
      <v>26</v>
    </nc>
  </rcc>
  <rcc rId="19443" sId="9">
    <nc r="E11">
      <v>5</v>
    </nc>
  </rcc>
  <rcc rId="19444" sId="9">
    <nc r="F12">
      <v>31</v>
    </nc>
  </rcc>
  <rcc rId="19445" sId="9">
    <nc r="F11">
      <v>6</v>
    </nc>
  </rcc>
  <rcc rId="19446" sId="9">
    <nc r="G11">
      <v>2</v>
    </nc>
  </rcc>
  <rcc rId="19447" sId="9">
    <nc r="G12">
      <v>14</v>
    </nc>
  </rcc>
  <rcc rId="19448" sId="3">
    <oc r="D11">
      <f>Diego!N11+Aelton!N11+Leonam!N11+Danilo!N11+Marcos!N11+Alessandro!N11</f>
    </oc>
    <nc r="D11">
      <f>Diego!AT11+Aelton!AT11+Leonam!AT11+Danilo!AT11+Marcos!AT11+Alessandro!AT11+Carlos!AT11</f>
    </nc>
  </rcc>
  <rcc rId="19449" sId="3">
    <oc r="E11">
      <f>Diego!T11+Aelton!T11+Leonam!T11+Danilo!T11+Marcos!T11+Alessandro!T11</f>
    </oc>
    <nc r="E11">
      <f>Diego!AU11+Aelton!AU11+Leonam!AU11+Danilo!AU11+Marcos!AU11+Alessandro!AU11+Carlos!AU11</f>
    </nc>
  </rcc>
  <rcc rId="19450" sId="3">
    <oc r="F11">
      <f>Diego!Z11+Aelton!Z11+Leonam!Z11+Danilo!Z11+Marcos!Z11+Alessandro!Z11</f>
    </oc>
    <nc r="F11">
      <f>Diego!AV11+Aelton!AV11+Leonam!AV11+Danilo!AV11+Marcos!AV11+Alessandro!AV11+Carlos!AV11</f>
    </nc>
  </rcc>
  <rcc rId="19451" sId="3">
    <oc r="G11">
      <f>Diego!AF11+Aelton!AF11+Leonam!AF11+Danilo!AF11+Marcos!AF11+Alessandro!AF11+Carlos!AF11</f>
    </oc>
    <nc r="G11">
      <f>Diego!AW11+Aelton!AW11+Leonam!AW11+Danilo!AW11+Marcos!AW11+Alessandro!AW11+Carlos!AW11</f>
    </nc>
  </rcc>
  <rcc rId="19452" sId="3">
    <oc r="H11">
      <f>Diego!AL11+Aelton!AL11+Leonam!AL11+Danilo!AL11+Marcos!AL11+Alessandro!AL11+Carlos!AL11</f>
    </oc>
    <nc r="H11">
      <f>Diego!AX11+Aelton!AX11+Leonam!AX11+Danilo!AX11+Marcos!AX11+Alessandro!AX11+Carlos!AX11</f>
    </nc>
  </rcc>
  <rcc rId="19453" sId="3">
    <oc r="I11">
      <f>Diego!AR11+Aelton!AR11+Leonam!AR11+Danilo!AR11+Marcos!AR11+Alessandro!AR11+Carlos!AR11</f>
    </oc>
    <nc r="I11">
      <f>Diego!AY11+Aelton!AY11+Leonam!AY11+Danilo!AY11+Marcos!AY11+Alessandro!AY11+Carlos!AY11</f>
    </nc>
  </rcc>
  <rcc rId="19454" sId="3">
    <oc r="J11">
      <f>Diego!AX11+Aelton!AX11+Leonam!AX11+Danilo!AX11+Marcos!AX11+Alessandro!AX11+Carlos!AX11</f>
    </oc>
    <nc r="J11">
      <f>Diego!AZ11+Aelton!AZ11+Leonam!AZ11+Danilo!AZ11+Marcos!AZ11+Alessandro!AZ11+Carlos!AZ11</f>
    </nc>
  </rcc>
  <rfmt sheetId="3" sqref="C12" start="0" length="0">
    <dxf>
      <fill>
        <patternFill>
          <bgColor theme="0"/>
        </patternFill>
      </fill>
    </dxf>
  </rfmt>
  <rfmt sheetId="3" sqref="C12">
    <dxf>
      <fill>
        <patternFill>
          <bgColor rgb="FFFFFF00"/>
        </patternFill>
      </fill>
    </dxf>
  </rfmt>
  <rcc rId="19455" sId="3">
    <oc r="C11">
      <f>Diego!H11+Aelton!H11+Leonam!H11+Danilo!H11+Marcos!H11+Alessandro!H11</f>
    </oc>
    <nc r="C11">
      <f>Diego!H11+Aelton!H11+Leonam!H11+Danilo!H11+Alessandro!H11+Marcos!H11+Carlos!H11</f>
    </nc>
  </rcc>
  <rcc rId="19456" sId="3" odxf="1" dxf="1">
    <oc r="C12">
      <f>Diego!H12+Aelton!H12+Leonam!H12+Danilo!H12+Marcos!H12+Alessandro!H12</f>
    </oc>
    <nc r="C12">
      <f>Diego!H12+Aelton!H12+Leonam!H12+Danilo!H12+Alessandro!H12+Marcos!H12+Carlos!H12</f>
    </nc>
    <ndxf>
      <fill>
        <patternFill>
          <bgColor theme="0"/>
        </patternFill>
      </fill>
    </ndxf>
  </rcc>
  <rfmt sheetId="3" sqref="C12">
    <dxf>
      <fill>
        <patternFill>
          <bgColor rgb="FFFFFF00"/>
        </patternFill>
      </fill>
    </dxf>
  </rfmt>
  <rcc rId="19457" sId="3" odxf="1" dxf="1">
    <oc r="C13">
      <f>Diego!H13+Aelton!H13+Leonam!H13+Danilo!H13+Marcos!H13+Alessandro!H13+Patrícia!H2+Leonardo!H2</f>
    </oc>
    <nc r="C13">
      <f>Diego!H13+Aelton!H13+Leonam!H13+Danilo!H13+Alessandro!H13+Marcos!H13+Carlos!H13</f>
    </nc>
    <odxf>
      <fill>
        <patternFill>
          <bgColor theme="0"/>
        </patternFill>
      </fill>
    </odxf>
    <ndxf>
      <fill>
        <patternFill>
          <bgColor rgb="FFFFFF00"/>
        </patternFill>
      </fill>
    </ndxf>
  </rcc>
  <rfmt sheetId="3" sqref="C13">
    <dxf>
      <fill>
        <patternFill>
          <bgColor theme="0"/>
        </patternFill>
      </fill>
    </dxf>
  </rfmt>
  <rcc rId="19458" sId="6">
    <nc r="C2" t="inlineStr">
      <is>
        <t>Atestado</t>
      </is>
    </nc>
  </rcc>
  <rcc rId="19459" sId="6">
    <nc r="C3" t="inlineStr">
      <is>
        <t>Atestado</t>
      </is>
    </nc>
  </rcc>
  <rcc rId="19460" sId="6">
    <nc r="C4" t="inlineStr">
      <is>
        <t>Atestado</t>
      </is>
    </nc>
  </rcc>
  <rcc rId="19461" sId="6">
    <nc r="C5" t="inlineStr">
      <is>
        <t>Atestado</t>
      </is>
    </nc>
  </rcc>
  <rcc rId="19462" sId="6">
    <nc r="C6" t="inlineStr">
      <is>
        <t>Atestado</t>
      </is>
    </nc>
  </rcc>
  <rcc rId="19463" sId="6">
    <nc r="C7" t="inlineStr">
      <is>
        <t>Atestado</t>
      </is>
    </nc>
  </rcc>
  <rcc rId="19464" sId="6">
    <nc r="C8" t="inlineStr">
      <is>
        <t>Atestado</t>
      </is>
    </nc>
  </rcc>
  <rcc rId="19465" sId="6">
    <nc r="C9" t="inlineStr">
      <is>
        <t>Atestado</t>
      </is>
    </nc>
  </rcc>
  <rcc rId="19466" sId="6">
    <nc r="C10" t="inlineStr">
      <is>
        <t>Atestado</t>
      </is>
    </nc>
  </rcc>
  <rcc rId="19467" sId="6">
    <nc r="C11" t="inlineStr">
      <is>
        <t>Atestado</t>
      </is>
    </nc>
  </rcc>
  <rcc rId="19468" sId="6">
    <nc r="C12" t="inlineStr">
      <is>
        <t>Atestado</t>
      </is>
    </nc>
  </rcc>
  <rcc rId="19469" sId="6">
    <nc r="C13" t="inlineStr">
      <is>
        <t>Atestado</t>
      </is>
    </nc>
  </rcc>
  <rcc rId="19470" sId="6">
    <nc r="C14" t="inlineStr">
      <is>
        <t>Atestado</t>
      </is>
    </nc>
  </rcc>
  <rcc rId="19471" sId="6">
    <nc r="C15" t="inlineStr">
      <is>
        <t>Atestado</t>
      </is>
    </nc>
  </rcc>
  <rcc rId="19472" sId="6">
    <nc r="C16" t="inlineStr">
      <is>
        <t>Atestado</t>
      </is>
    </nc>
  </rcc>
  <rcc rId="19473" sId="6">
    <nc r="C17" t="inlineStr">
      <is>
        <t>Atestado</t>
      </is>
    </nc>
  </rcc>
  <rcc rId="19474" sId="6">
    <nc r="D2" t="inlineStr">
      <is>
        <t>Atestado</t>
      </is>
    </nc>
  </rcc>
  <rcc rId="19475" sId="6">
    <nc r="D3" t="inlineStr">
      <is>
        <t>Atestado</t>
      </is>
    </nc>
  </rcc>
  <rcc rId="19476" sId="6">
    <nc r="D4" t="inlineStr">
      <is>
        <t>Atestado</t>
      </is>
    </nc>
  </rcc>
  <rcc rId="19477" sId="6">
    <nc r="D5" t="inlineStr">
      <is>
        <t>Atestado</t>
      </is>
    </nc>
  </rcc>
  <rcc rId="19478" sId="6">
    <nc r="D6" t="inlineStr">
      <is>
        <t>Atestado</t>
      </is>
    </nc>
  </rcc>
  <rcc rId="19479" sId="6">
    <nc r="D7" t="inlineStr">
      <is>
        <t>Atestado</t>
      </is>
    </nc>
  </rcc>
  <rcc rId="19480" sId="6">
    <nc r="D8" t="inlineStr">
      <is>
        <t>Atestado</t>
      </is>
    </nc>
  </rcc>
  <rcc rId="19481" sId="6">
    <nc r="D9" t="inlineStr">
      <is>
        <t>Atestado</t>
      </is>
    </nc>
  </rcc>
  <rcc rId="19482" sId="6">
    <nc r="D10" t="inlineStr">
      <is>
        <t>Atestado</t>
      </is>
    </nc>
  </rcc>
  <rcc rId="19483" sId="6">
    <nc r="D11" t="inlineStr">
      <is>
        <t>Atestado</t>
      </is>
    </nc>
  </rcc>
  <rcc rId="19484" sId="6">
    <nc r="D12" t="inlineStr">
      <is>
        <t>Atestado</t>
      </is>
    </nc>
  </rcc>
  <rcc rId="19485" sId="6">
    <nc r="D13" t="inlineStr">
      <is>
        <t>Atestado</t>
      </is>
    </nc>
  </rcc>
  <rcc rId="19486" sId="6">
    <nc r="D14" t="inlineStr">
      <is>
        <t>Atestado</t>
      </is>
    </nc>
  </rcc>
  <rcc rId="19487" sId="6">
    <nc r="D15" t="inlineStr">
      <is>
        <t>Atestado</t>
      </is>
    </nc>
  </rcc>
  <rcc rId="19488" sId="6">
    <nc r="D16" t="inlineStr">
      <is>
        <t>Atestado</t>
      </is>
    </nc>
  </rcc>
  <rcc rId="19489" sId="6">
    <nc r="D17" t="inlineStr">
      <is>
        <t>Atestado</t>
      </is>
    </nc>
  </rcc>
  <rcc rId="19490" sId="6">
    <nc r="E2" t="inlineStr">
      <is>
        <t>Atestado</t>
      </is>
    </nc>
  </rcc>
  <rcc rId="19491" sId="6">
    <nc r="E3" t="inlineStr">
      <is>
        <t>Atestado</t>
      </is>
    </nc>
  </rcc>
  <rcc rId="19492" sId="6">
    <nc r="E4" t="inlineStr">
      <is>
        <t>Atestado</t>
      </is>
    </nc>
  </rcc>
  <rcc rId="19493" sId="6">
    <nc r="E5" t="inlineStr">
      <is>
        <t>Atestado</t>
      </is>
    </nc>
  </rcc>
  <rcc rId="19494" sId="6">
    <nc r="E6" t="inlineStr">
      <is>
        <t>Atestado</t>
      </is>
    </nc>
  </rcc>
  <rcc rId="19495" sId="6">
    <nc r="E7" t="inlineStr">
      <is>
        <t>Atestado</t>
      </is>
    </nc>
  </rcc>
  <rcc rId="19496" sId="6">
    <nc r="E8" t="inlineStr">
      <is>
        <t>Atestado</t>
      </is>
    </nc>
  </rcc>
  <rcc rId="19497" sId="6">
    <nc r="E9" t="inlineStr">
      <is>
        <t>Atestado</t>
      </is>
    </nc>
  </rcc>
  <rcc rId="19498" sId="6">
    <nc r="E10" t="inlineStr">
      <is>
        <t>Atestado</t>
      </is>
    </nc>
  </rcc>
  <rcc rId="19499" sId="6">
    <nc r="E11" t="inlineStr">
      <is>
        <t>Atestado</t>
      </is>
    </nc>
  </rcc>
  <rcc rId="19500" sId="6">
    <nc r="E12" t="inlineStr">
      <is>
        <t>Atestado</t>
      </is>
    </nc>
  </rcc>
  <rcc rId="19501" sId="6">
    <nc r="E13" t="inlineStr">
      <is>
        <t>Atestado</t>
      </is>
    </nc>
  </rcc>
  <rcc rId="19502" sId="6">
    <nc r="E14" t="inlineStr">
      <is>
        <t>Atestado</t>
      </is>
    </nc>
  </rcc>
  <rcc rId="19503" sId="6">
    <nc r="E15" t="inlineStr">
      <is>
        <t>Atestado</t>
      </is>
    </nc>
  </rcc>
  <rcc rId="19504" sId="6">
    <nc r="E16" t="inlineStr">
      <is>
        <t>Atestado</t>
      </is>
    </nc>
  </rcc>
  <rcc rId="19505" sId="6">
    <nc r="E17" t="inlineStr">
      <is>
        <t>Atestado</t>
      </is>
    </nc>
  </rcc>
  <rcc rId="19506" sId="6">
    <nc r="F2" t="inlineStr">
      <is>
        <t>Atestado</t>
      </is>
    </nc>
  </rcc>
  <rcc rId="19507" sId="6">
    <nc r="F3" t="inlineStr">
      <is>
        <t>Atestado</t>
      </is>
    </nc>
  </rcc>
  <rcc rId="19508" sId="6">
    <nc r="F4" t="inlineStr">
      <is>
        <t>Atestado</t>
      </is>
    </nc>
  </rcc>
  <rcc rId="19509" sId="6">
    <nc r="F5" t="inlineStr">
      <is>
        <t>Atestado</t>
      </is>
    </nc>
  </rcc>
  <rcc rId="19510" sId="6">
    <nc r="F6" t="inlineStr">
      <is>
        <t>Atestado</t>
      </is>
    </nc>
  </rcc>
  <rcc rId="19511" sId="6">
    <nc r="F7" t="inlineStr">
      <is>
        <t>Atestado</t>
      </is>
    </nc>
  </rcc>
  <rcc rId="19512" sId="6">
    <nc r="F8" t="inlineStr">
      <is>
        <t>Atestado</t>
      </is>
    </nc>
  </rcc>
  <rcc rId="19513" sId="6">
    <nc r="F9" t="inlineStr">
      <is>
        <t>Atestado</t>
      </is>
    </nc>
  </rcc>
  <rcc rId="19514" sId="6">
    <nc r="F10" t="inlineStr">
      <is>
        <t>Atestado</t>
      </is>
    </nc>
  </rcc>
  <rcc rId="19515" sId="6">
    <nc r="F11" t="inlineStr">
      <is>
        <t>Atestado</t>
      </is>
    </nc>
  </rcc>
  <rcc rId="19516" sId="6">
    <nc r="F12" t="inlineStr">
      <is>
        <t>Atestado</t>
      </is>
    </nc>
  </rcc>
  <rcc rId="19517" sId="6">
    <nc r="F13" t="inlineStr">
      <is>
        <t>Atestado</t>
      </is>
    </nc>
  </rcc>
  <rcc rId="19518" sId="6">
    <nc r="F14" t="inlineStr">
      <is>
        <t>Atestado</t>
      </is>
    </nc>
  </rcc>
  <rcc rId="19519" sId="6">
    <nc r="F15" t="inlineStr">
      <is>
        <t>Atestado</t>
      </is>
    </nc>
  </rcc>
  <rcc rId="19520" sId="6">
    <nc r="F16" t="inlineStr">
      <is>
        <t>Atestado</t>
      </is>
    </nc>
  </rcc>
  <rcc rId="19521" sId="6">
    <nc r="F17" t="inlineStr">
      <is>
        <t>Atestado</t>
      </is>
    </nc>
  </rcc>
  <rcc rId="19522" sId="6">
    <nc r="G2" t="inlineStr">
      <is>
        <t>Atestado</t>
      </is>
    </nc>
  </rcc>
  <rcc rId="19523" sId="6">
    <nc r="G3" t="inlineStr">
      <is>
        <t>Atestado</t>
      </is>
    </nc>
  </rcc>
  <rcc rId="19524" sId="6">
    <nc r="G4" t="inlineStr">
      <is>
        <t>Atestado</t>
      </is>
    </nc>
  </rcc>
  <rcc rId="19525" sId="6">
    <nc r="G5" t="inlineStr">
      <is>
        <t>Atestado</t>
      </is>
    </nc>
  </rcc>
  <rcc rId="19526" sId="6">
    <nc r="G6" t="inlineStr">
      <is>
        <t>Atestado</t>
      </is>
    </nc>
  </rcc>
  <rcc rId="19527" sId="6">
    <nc r="G7" t="inlineStr">
      <is>
        <t>Atestado</t>
      </is>
    </nc>
  </rcc>
  <rcc rId="19528" sId="6">
    <nc r="G8" t="inlineStr">
      <is>
        <t>Atestado</t>
      </is>
    </nc>
  </rcc>
  <rcc rId="19529" sId="6">
    <nc r="G9" t="inlineStr">
      <is>
        <t>Atestado</t>
      </is>
    </nc>
  </rcc>
  <rcc rId="19530" sId="6">
    <nc r="G10" t="inlineStr">
      <is>
        <t>Atestado</t>
      </is>
    </nc>
  </rcc>
  <rcc rId="19531" sId="6">
    <nc r="G11" t="inlineStr">
      <is>
        <t>Atestado</t>
      </is>
    </nc>
  </rcc>
  <rcc rId="19532" sId="6">
    <nc r="G12" t="inlineStr">
      <is>
        <t>Atestado</t>
      </is>
    </nc>
  </rcc>
  <rcc rId="19533" sId="6">
    <nc r="G13" t="inlineStr">
      <is>
        <t>Atestado</t>
      </is>
    </nc>
  </rcc>
  <rcc rId="19534" sId="6">
    <nc r="G14" t="inlineStr">
      <is>
        <t>Atestado</t>
      </is>
    </nc>
  </rcc>
  <rcc rId="19535" sId="6">
    <nc r="G15" t="inlineStr">
      <is>
        <t>Atestado</t>
      </is>
    </nc>
  </rcc>
  <rcc rId="19536" sId="6">
    <nc r="G16" t="inlineStr">
      <is>
        <t>Atestado</t>
      </is>
    </nc>
  </rcc>
  <rcc rId="19537" sId="6">
    <nc r="G17" t="inlineStr">
      <is>
        <t>Atestado</t>
      </is>
    </nc>
  </rcc>
  <rcc rId="19538" sId="10">
    <nc r="F12">
      <v>36</v>
    </nc>
  </rcc>
  <rcc rId="19539" sId="10">
    <nc r="F11">
      <v>6</v>
    </nc>
  </rcc>
  <rcc rId="19540" sId="10">
    <nc r="G11">
      <v>3</v>
    </nc>
  </rcc>
  <rcc rId="19541" sId="10">
    <nc r="G12">
      <v>23</v>
    </nc>
  </rcc>
  <rcc rId="19542" sId="4" odxf="1" dxf="1">
    <nc r="C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543" sId="4" odxf="1" dxf="1">
    <nc r="D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544" sId="4" odxf="1" dxf="1">
    <nc r="E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545" sId="4" odxf="1" dxf="1">
    <nc r="F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  <rcc rId="19546" sId="4" odxf="1" dxf="1">
    <nc r="G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bottom/>
      </border>
    </odxf>
    <ndxf>
      <border outline="0">
        <left style="thin">
          <color auto="1"/>
        </left>
        <right style="thin">
          <color auto="1"/>
        </right>
        <bottom style="thin">
          <color auto="1"/>
        </bottom>
      </border>
    </ndxf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47" sId="7">
    <nc r="G16">
      <v>10</v>
    </nc>
  </rcc>
  <rcv guid="{B3CDE377-BA5D-4E06-91D9-3A48E1959BA5}" action="delete"/>
  <rdn rId="0" localSheetId="1" customView="1" name="Z_B3CDE377_BA5D_4E06_91D9_3A48E1959BA5_.wvu.FilterData" hidden="1" oldHidden="1">
    <formula>Patrícia!$A$1:$A$5</formula>
    <oldFormula>Patrícia!$A$1:$A$5</oldFormula>
  </rdn>
  <rdn rId="0" localSheetId="2" customView="1" name="Z_B3CDE377_BA5D_4E06_91D9_3A48E1959BA5_.wvu.FilterData" hidden="1" oldHidden="1">
    <formula>Leonardo!$A$1:$A$5</formula>
    <oldFormula>Leonardo!$A$1:$A$5</oldFormula>
  </rdn>
  <rdn rId="0" localSheetId="3" customView="1" name="Z_B3CDE377_BA5D_4E06_91D9_3A48E1959BA5_.wvu.FilterData" hidden="1" oldHidden="1">
    <formula>TOTAL!$A$1:$J$19</formula>
    <oldFormula>TOTAL!$A$1:$J$19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Leonam!$A$1:$B$19</formula>
    <oldFormula>Leonam!$A$1:$B$19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8" customView="1" name="Z_B3CDE377_BA5D_4E06_91D9_3A48E1959BA5_.wvu.FilterData" hidden="1" oldHidden="1">
    <formula>Marcos!$A$1:$A$20</formula>
    <oldFormula>Marcos!$A$1:$A$20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58" sId="8">
    <oc r="I18" t="inlineStr">
      <is>
        <t>CONFERÊNCIA DE 06 CAIXAS SNAS/DNIT E ACOMPANHAMENTO LIMPESA SALA 3.11 NO DNIT</t>
      </is>
    </oc>
    <nc r="I18" t="inlineStr">
      <is>
        <t>CONFERÊNCIA DE 10 CAIXAS SNAS/DNIT E ACOMPANHAMENTO LIMPESA SALA 3.11 NO DNIT</t>
      </is>
    </nc>
  </rcc>
  <rcc rId="19559" sId="8">
    <nc r="J18" t="inlineStr">
      <is>
        <t>CONFERÊNCIA DE 15 CAIXAS SNAS/DNIT E ACOMPANHAMENTO LIMPESA ARQUIVO 3.61 NO DNIT</t>
      </is>
    </nc>
  </rcc>
  <rcc rId="19560" sId="8">
    <nc r="J16">
      <v>15</v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71" sId="8">
    <nc r="K18" t="inlineStr">
      <is>
        <t>CONFERÊNCIA DE 11 CAIXAS SNAS/DNIT E ACOMPANHAMENTO LIMPESA ARQUIVO 4.47 NO DNIT</t>
      </is>
    </nc>
  </rcc>
  <rcc rId="19572" sId="8">
    <nc r="K16">
      <v>11</v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73" sId="8">
    <nc r="L16">
      <v>14</v>
    </nc>
  </rcc>
  <rcc rId="19574" sId="8">
    <nc r="L18" t="inlineStr">
      <is>
        <t>CONFERÊNCIA DE 14 CAIXAS SNAS/DNIT E ACOMPANHAMENTO LIMPESA ARQUIVO 3.25 NO DNIT</t>
      </is>
    </nc>
  </rcc>
  <rcc rId="19575" sId="8">
    <nc r="M15">
      <v>50</v>
    </nc>
  </rcc>
  <rcc rId="19576" sId="8">
    <nc r="M18" t="inlineStr">
      <is>
        <t>50 CAIXAS REMANEJADAS PARA FNAS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77" sId="8">
    <oc r="M18" t="inlineStr">
      <is>
        <t>50 CAIXAS REMANEJADAS PARA FNAS</t>
      </is>
    </oc>
    <nc r="M18" t="inlineStr">
      <is>
        <t>50 CAIXAS REMANEJADAS PARA FNAS E ACOMPANHAMENTO DA LIMPESA SALA 3.25</t>
      </is>
    </nc>
  </rcc>
  <rcc rId="19578" sId="8">
    <oc r="L18" t="inlineStr">
      <is>
        <t>CONFERÊNCIA DE 14 CAIXAS SNAS/DNIT E ACOMPANHAMENTO LIMPESA ARQUIVO 3.25 NO DNIT</t>
      </is>
    </oc>
    <nc r="L18" t="inlineStr">
      <is>
        <t>CONFERÊNCIA DE 14 CAIXAS SNAS/DNIT E ACOMPANHAMENTO LIMPESA ARQUIVO 3.71 NO DNIT</t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79" sId="10">
    <oc r="C18" t="inlineStr">
      <is>
        <t>Pesquisa de contatos de empresas de manutenção de deslizantes e confirmação de e-mails enviados</t>
      </is>
    </oc>
    <nc r="C18" t="inlineStr">
      <is>
        <r>
          <rPr>
            <b/>
            <sz val="11"/>
            <color theme="1"/>
            <rFont val="Aptos Narrow"/>
            <family val="2"/>
          </rPr>
          <t xml:space="preserve">Alimentação de planilha de controle de atividades (Gustavo)/ </t>
        </r>
        <r>
          <rPr>
            <sz val="11"/>
            <color theme="1"/>
            <rFont val="Aptos Narrow"/>
            <family val="2"/>
          </rPr>
          <t>Pesquisa de contatos de empresas de manutenção de deslizantes e confirmação de e-mails enviados</t>
        </r>
      </is>
    </nc>
  </rcc>
  <rcc rId="19580" sId="10" xfDxf="1" dxf="1">
    <nc r="I18" t="inlineStr">
      <is>
        <t>Alimentação de planilha de controle de atividades (Gustavo)/</t>
      </is>
    </nc>
    <ndxf>
      <font>
        <b/>
      </font>
      <alignment horizontal="center" vertical="center" wrapText="1"/>
    </ndxf>
  </rcc>
  <rcc rId="19581" sId="10">
    <nc r="J13">
      <v>1</v>
    </nc>
  </rcc>
  <rcc rId="19582" sId="10">
    <nc r="K2">
      <v>2</v>
    </nc>
  </rcc>
  <rcc rId="19583" sId="10">
    <nc r="L14">
      <v>2</v>
    </nc>
  </rcc>
  <rcc rId="19584" sId="10">
    <nc r="K14">
      <v>1</v>
    </nc>
  </rcc>
  <rcc rId="19585" sId="10">
    <nc r="I14">
      <v>2</v>
    </nc>
  </rcc>
  <rcc rId="19586" sId="10">
    <nc r="K11">
      <v>5</v>
    </nc>
  </rcc>
  <rcc rId="19587" sId="10">
    <nc r="K12">
      <v>36</v>
    </nc>
  </rcc>
  <rcc rId="19588" sId="10">
    <nc r="L11">
      <v>5</v>
    </nc>
  </rcc>
  <rcc rId="19589" sId="10">
    <nc r="L12">
      <v>33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590" sId="10">
    <oc r="L11">
      <v>5</v>
    </oc>
    <nc r="L11">
      <v>6</v>
    </nc>
  </rcc>
  <rcc rId="19591" sId="10">
    <oc r="L12">
      <v>33</v>
    </oc>
    <nc r="L12">
      <v>41</v>
    </nc>
  </rcc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34" sId="8">
    <nc r="AP12">
      <v>45</v>
    </nc>
  </rcc>
  <rcc rId="17235" sId="8">
    <nc r="AP11">
      <v>6</v>
    </nc>
  </rcc>
  <rcc rId="17236" sId="8">
    <nc r="AP18" t="inlineStr">
      <is>
        <t>CAIXAS INVETARIADAS SNAS/CGCEB</t>
      </is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37" sId="8">
    <nc r="AQ18" t="inlineStr">
      <is>
        <t>ATESTADO DE DOAÇÃO DE SANGUE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M2" start="0" length="0">
    <dxf>
      <fill>
        <patternFill patternType="none">
          <bgColor indexed="65"/>
        </patternFill>
      </fill>
      <border outline="0">
        <left/>
      </border>
    </dxf>
  </rfmt>
  <rfmt sheetId="5" sqref="AN2" start="0" length="0">
    <dxf>
      <fill>
        <patternFill patternType="none">
          <bgColor indexed="65"/>
        </patternFill>
      </fill>
    </dxf>
  </rfmt>
  <rfmt sheetId="5" sqref="AO2" start="0" length="0">
    <dxf>
      <fill>
        <patternFill patternType="none">
          <bgColor indexed="65"/>
        </patternFill>
      </fill>
    </dxf>
  </rfmt>
  <rfmt sheetId="5" sqref="AP2" start="0" length="0">
    <dxf>
      <fill>
        <patternFill patternType="none">
          <bgColor indexed="65"/>
        </patternFill>
      </fill>
    </dxf>
  </rfmt>
  <rfmt sheetId="5" sqref="AQ2" start="0" length="0">
    <dxf>
      <fill>
        <patternFill patternType="none">
          <bgColor indexed="65"/>
        </patternFill>
      </fill>
      <border outline="0">
        <right/>
      </border>
    </dxf>
  </rfmt>
  <rfmt sheetId="5" sqref="AM3" start="0" length="0">
    <dxf>
      <fill>
        <patternFill patternType="none">
          <bgColor indexed="65"/>
        </patternFill>
      </fill>
      <border outline="0">
        <left/>
      </border>
    </dxf>
  </rfmt>
  <rfmt sheetId="5" sqref="AN3" start="0" length="0">
    <dxf>
      <fill>
        <patternFill patternType="none">
          <bgColor indexed="65"/>
        </patternFill>
      </fill>
    </dxf>
  </rfmt>
  <rfmt sheetId="5" sqref="AO3" start="0" length="0">
    <dxf>
      <fill>
        <patternFill patternType="none">
          <bgColor indexed="65"/>
        </patternFill>
      </fill>
    </dxf>
  </rfmt>
  <rfmt sheetId="5" sqref="AP3" start="0" length="0">
    <dxf>
      <fill>
        <patternFill patternType="none">
          <bgColor indexed="65"/>
        </patternFill>
      </fill>
    </dxf>
  </rfmt>
  <rfmt sheetId="5" sqref="AQ3" start="0" length="0">
    <dxf>
      <fill>
        <patternFill patternType="none">
          <bgColor indexed="65"/>
        </patternFill>
      </fill>
      <border outline="0">
        <right/>
      </border>
    </dxf>
  </rfmt>
  <rfmt sheetId="5" sqref="AM4" start="0" length="0">
    <dxf>
      <fill>
        <patternFill patternType="none">
          <bgColor indexed="65"/>
        </patternFill>
      </fill>
      <border outline="0">
        <left/>
      </border>
    </dxf>
  </rfmt>
  <rfmt sheetId="5" sqref="AN4" start="0" length="0">
    <dxf>
      <fill>
        <patternFill patternType="none">
          <bgColor indexed="65"/>
        </patternFill>
      </fill>
    </dxf>
  </rfmt>
  <rfmt sheetId="5" sqref="AO4" start="0" length="0">
    <dxf>
      <fill>
        <patternFill patternType="none">
          <bgColor indexed="65"/>
        </patternFill>
      </fill>
    </dxf>
  </rfmt>
  <rfmt sheetId="5" sqref="AP4" start="0" length="0">
    <dxf>
      <fill>
        <patternFill patternType="none">
          <bgColor indexed="65"/>
        </patternFill>
      </fill>
    </dxf>
  </rfmt>
  <rfmt sheetId="5" sqref="AQ4" start="0" length="0">
    <dxf>
      <fill>
        <patternFill patternType="none">
          <bgColor indexed="65"/>
        </patternFill>
      </fill>
      <border outline="0">
        <right/>
      </border>
    </dxf>
  </rfmt>
  <rfmt sheetId="5" sqref="AM5" start="0" length="0">
    <dxf>
      <fill>
        <patternFill patternType="none">
          <bgColor indexed="65"/>
        </patternFill>
      </fill>
      <border outline="0">
        <left/>
      </border>
    </dxf>
  </rfmt>
  <rfmt sheetId="5" sqref="AN5" start="0" length="0">
    <dxf>
      <fill>
        <patternFill patternType="none">
          <bgColor indexed="65"/>
        </patternFill>
      </fill>
    </dxf>
  </rfmt>
  <rfmt sheetId="5" sqref="AO5" start="0" length="0">
    <dxf>
      <fill>
        <patternFill patternType="none">
          <bgColor indexed="65"/>
        </patternFill>
      </fill>
    </dxf>
  </rfmt>
  <rfmt sheetId="5" sqref="AP5" start="0" length="0">
    <dxf>
      <fill>
        <patternFill patternType="none">
          <bgColor indexed="65"/>
        </patternFill>
      </fill>
    </dxf>
  </rfmt>
  <rfmt sheetId="5" sqref="AQ5" start="0" length="0">
    <dxf>
      <fill>
        <patternFill patternType="none">
          <bgColor indexed="65"/>
        </patternFill>
      </fill>
      <border outline="0">
        <right/>
      </border>
    </dxf>
  </rfmt>
  <rfmt sheetId="5" sqref="AM6" start="0" length="0">
    <dxf>
      <fill>
        <patternFill patternType="none">
          <bgColor indexed="65"/>
        </patternFill>
      </fill>
      <border outline="0">
        <left/>
      </border>
    </dxf>
  </rfmt>
  <rfmt sheetId="5" sqref="AN6" start="0" length="0">
    <dxf>
      <fill>
        <patternFill patternType="none">
          <bgColor indexed="65"/>
        </patternFill>
      </fill>
    </dxf>
  </rfmt>
  <rfmt sheetId="5" sqref="AO6" start="0" length="0">
    <dxf>
      <fill>
        <patternFill patternType="none">
          <bgColor indexed="65"/>
        </patternFill>
      </fill>
    </dxf>
  </rfmt>
  <rfmt sheetId="5" sqref="AP6" start="0" length="0">
    <dxf>
      <fill>
        <patternFill patternType="none">
          <bgColor indexed="65"/>
        </patternFill>
      </fill>
    </dxf>
  </rfmt>
  <rfmt sheetId="5" sqref="AQ6" start="0" length="0">
    <dxf>
      <fill>
        <patternFill patternType="none">
          <bgColor indexed="65"/>
        </patternFill>
      </fill>
      <border outline="0">
        <right/>
      </border>
    </dxf>
  </rfmt>
  <rfmt sheetId="5" sqref="AM7" start="0" length="0">
    <dxf>
      <fill>
        <patternFill patternType="none">
          <bgColor indexed="65"/>
        </patternFill>
      </fill>
      <border outline="0">
        <left/>
      </border>
    </dxf>
  </rfmt>
  <rfmt sheetId="5" sqref="AN7" start="0" length="0">
    <dxf>
      <fill>
        <patternFill patternType="none">
          <bgColor indexed="65"/>
        </patternFill>
      </fill>
    </dxf>
  </rfmt>
  <rfmt sheetId="5" sqref="AO7" start="0" length="0">
    <dxf>
      <fill>
        <patternFill patternType="none">
          <bgColor indexed="65"/>
        </patternFill>
      </fill>
    </dxf>
  </rfmt>
  <rfmt sheetId="5" sqref="AP7" start="0" length="0">
    <dxf>
      <fill>
        <patternFill patternType="none">
          <bgColor indexed="65"/>
        </patternFill>
      </fill>
    </dxf>
  </rfmt>
  <rfmt sheetId="5" sqref="AQ7" start="0" length="0">
    <dxf>
      <fill>
        <patternFill patternType="none">
          <bgColor indexed="65"/>
        </patternFill>
      </fill>
      <border outline="0">
        <right/>
      </border>
    </dxf>
  </rfmt>
  <rfmt sheetId="5" sqref="AM8" start="0" length="0">
    <dxf>
      <fill>
        <patternFill patternType="none">
          <bgColor indexed="65"/>
        </patternFill>
      </fill>
      <border outline="0">
        <left/>
      </border>
    </dxf>
  </rfmt>
  <rfmt sheetId="5" sqref="AN8" start="0" length="0">
    <dxf>
      <fill>
        <patternFill patternType="none">
          <bgColor indexed="65"/>
        </patternFill>
      </fill>
    </dxf>
  </rfmt>
  <rfmt sheetId="5" sqref="AO8" start="0" length="0">
    <dxf>
      <fill>
        <patternFill patternType="none">
          <bgColor indexed="65"/>
        </patternFill>
      </fill>
    </dxf>
  </rfmt>
  <rfmt sheetId="5" sqref="AP8" start="0" length="0">
    <dxf>
      <fill>
        <patternFill patternType="none">
          <bgColor indexed="65"/>
        </patternFill>
      </fill>
    </dxf>
  </rfmt>
  <rfmt sheetId="5" sqref="AQ8" start="0" length="0">
    <dxf>
      <fill>
        <patternFill patternType="none">
          <bgColor indexed="65"/>
        </patternFill>
      </fill>
      <border outline="0">
        <right/>
      </border>
    </dxf>
  </rfmt>
  <rfmt sheetId="5" sqref="AM9" start="0" length="0">
    <dxf>
      <fill>
        <patternFill patternType="none">
          <bgColor indexed="65"/>
        </patternFill>
      </fill>
      <border outline="0">
        <left/>
      </border>
    </dxf>
  </rfmt>
  <rfmt sheetId="5" sqref="AN9" start="0" length="0">
    <dxf>
      <fill>
        <patternFill patternType="none">
          <bgColor indexed="65"/>
        </patternFill>
      </fill>
    </dxf>
  </rfmt>
  <rfmt sheetId="5" sqref="AO9" start="0" length="0">
    <dxf>
      <fill>
        <patternFill patternType="none">
          <bgColor indexed="65"/>
        </patternFill>
      </fill>
    </dxf>
  </rfmt>
  <rfmt sheetId="5" sqref="AP9" start="0" length="0">
    <dxf>
      <fill>
        <patternFill patternType="none">
          <bgColor indexed="65"/>
        </patternFill>
      </fill>
    </dxf>
  </rfmt>
  <rfmt sheetId="5" sqref="AQ9" start="0" length="0">
    <dxf>
      <fill>
        <patternFill patternType="none">
          <bgColor indexed="65"/>
        </patternFill>
      </fill>
      <border outline="0">
        <right/>
      </border>
    </dxf>
  </rfmt>
  <rfmt sheetId="5" sqref="AM10" start="0" length="0">
    <dxf>
      <fill>
        <patternFill patternType="none">
          <bgColor indexed="65"/>
        </patternFill>
      </fill>
      <border outline="0">
        <left/>
      </border>
    </dxf>
  </rfmt>
  <rfmt sheetId="5" sqref="AN10" start="0" length="0">
    <dxf>
      <fill>
        <patternFill patternType="none">
          <bgColor indexed="65"/>
        </patternFill>
      </fill>
    </dxf>
  </rfmt>
  <rfmt sheetId="5" sqref="AO10" start="0" length="0">
    <dxf>
      <fill>
        <patternFill patternType="none">
          <bgColor indexed="65"/>
        </patternFill>
      </fill>
    </dxf>
  </rfmt>
  <rfmt sheetId="5" sqref="AP10" start="0" length="0">
    <dxf>
      <fill>
        <patternFill patternType="none">
          <bgColor indexed="65"/>
        </patternFill>
      </fill>
    </dxf>
  </rfmt>
  <rfmt sheetId="5" sqref="AQ10" start="0" length="0">
    <dxf>
      <fill>
        <patternFill patternType="none">
          <bgColor indexed="65"/>
        </patternFill>
      </fill>
      <border outline="0">
        <right/>
      </border>
    </dxf>
  </rfmt>
  <rfmt sheetId="5" sqref="AM11" start="0" length="0">
    <dxf>
      <fill>
        <patternFill patternType="none">
          <bgColor indexed="65"/>
        </patternFill>
      </fill>
      <border outline="0">
        <left/>
      </border>
    </dxf>
  </rfmt>
  <rfmt sheetId="5" sqref="AN11" start="0" length="0">
    <dxf>
      <fill>
        <patternFill patternType="none">
          <bgColor indexed="65"/>
        </patternFill>
      </fill>
    </dxf>
  </rfmt>
  <rfmt sheetId="5" sqref="AO11" start="0" length="0">
    <dxf>
      <fill>
        <patternFill patternType="none">
          <bgColor indexed="65"/>
        </patternFill>
      </fill>
    </dxf>
  </rfmt>
  <rfmt sheetId="5" sqref="AP11" start="0" length="0">
    <dxf>
      <fill>
        <patternFill patternType="none">
          <bgColor indexed="65"/>
        </patternFill>
      </fill>
    </dxf>
  </rfmt>
  <rfmt sheetId="5" sqref="AQ11" start="0" length="0">
    <dxf>
      <fill>
        <patternFill patternType="none">
          <bgColor indexed="65"/>
        </patternFill>
      </fill>
      <border outline="0">
        <right/>
      </border>
    </dxf>
  </rfmt>
  <rfmt sheetId="5" sqref="AM12" start="0" length="0">
    <dxf>
      <fill>
        <patternFill patternType="none">
          <bgColor indexed="65"/>
        </patternFill>
      </fill>
      <border outline="0">
        <left/>
      </border>
    </dxf>
  </rfmt>
  <rfmt sheetId="5" sqref="AN12" start="0" length="0">
    <dxf>
      <fill>
        <patternFill patternType="none">
          <bgColor indexed="65"/>
        </patternFill>
      </fill>
    </dxf>
  </rfmt>
  <rfmt sheetId="5" sqref="AO12" start="0" length="0">
    <dxf>
      <fill>
        <patternFill patternType="none">
          <bgColor indexed="65"/>
        </patternFill>
      </fill>
    </dxf>
  </rfmt>
  <rfmt sheetId="5" sqref="AP12" start="0" length="0">
    <dxf>
      <fill>
        <patternFill patternType="none">
          <bgColor indexed="65"/>
        </patternFill>
      </fill>
    </dxf>
  </rfmt>
  <rfmt sheetId="5" sqref="AQ12" start="0" length="0">
    <dxf>
      <fill>
        <patternFill patternType="none">
          <bgColor indexed="65"/>
        </patternFill>
      </fill>
      <border outline="0">
        <right/>
      </border>
    </dxf>
  </rfmt>
  <rfmt sheetId="5" sqref="AM13" start="0" length="0">
    <dxf>
      <fill>
        <patternFill patternType="none">
          <bgColor indexed="65"/>
        </patternFill>
      </fill>
      <border outline="0">
        <left/>
      </border>
    </dxf>
  </rfmt>
  <rfmt sheetId="5" sqref="AN13" start="0" length="0">
    <dxf>
      <fill>
        <patternFill patternType="none">
          <bgColor indexed="65"/>
        </patternFill>
      </fill>
    </dxf>
  </rfmt>
  <rfmt sheetId="5" sqref="AO13" start="0" length="0">
    <dxf>
      <fill>
        <patternFill patternType="none">
          <bgColor indexed="65"/>
        </patternFill>
      </fill>
    </dxf>
  </rfmt>
  <rfmt sheetId="5" sqref="AP13" start="0" length="0">
    <dxf>
      <fill>
        <patternFill patternType="none">
          <bgColor indexed="65"/>
        </patternFill>
      </fill>
    </dxf>
  </rfmt>
  <rfmt sheetId="5" sqref="AQ13" start="0" length="0">
    <dxf>
      <fill>
        <patternFill patternType="none">
          <bgColor indexed="65"/>
        </patternFill>
      </fill>
      <border outline="0">
        <right/>
      </border>
    </dxf>
  </rfmt>
  <rfmt sheetId="5" sqref="AM14" start="0" length="0">
    <dxf>
      <fill>
        <patternFill patternType="none">
          <bgColor indexed="65"/>
        </patternFill>
      </fill>
      <border outline="0">
        <left/>
      </border>
    </dxf>
  </rfmt>
  <rfmt sheetId="5" sqref="AN14" start="0" length="0">
    <dxf>
      <fill>
        <patternFill patternType="none">
          <bgColor indexed="65"/>
        </patternFill>
      </fill>
    </dxf>
  </rfmt>
  <rfmt sheetId="5" sqref="AO14" start="0" length="0">
    <dxf>
      <fill>
        <patternFill patternType="none">
          <bgColor indexed="65"/>
        </patternFill>
      </fill>
    </dxf>
  </rfmt>
  <rfmt sheetId="5" sqref="AP14" start="0" length="0">
    <dxf>
      <fill>
        <patternFill patternType="none">
          <bgColor indexed="65"/>
        </patternFill>
      </fill>
    </dxf>
  </rfmt>
  <rfmt sheetId="5" sqref="AQ14" start="0" length="0">
    <dxf>
      <fill>
        <patternFill patternType="none">
          <bgColor indexed="65"/>
        </patternFill>
      </fill>
      <border outline="0">
        <right/>
      </border>
    </dxf>
  </rfmt>
  <rfmt sheetId="5" sqref="AM15" start="0" length="0">
    <dxf>
      <fill>
        <patternFill patternType="none">
          <bgColor indexed="65"/>
        </patternFill>
      </fill>
      <border outline="0">
        <left/>
      </border>
    </dxf>
  </rfmt>
  <rfmt sheetId="5" sqref="AN15" start="0" length="0">
    <dxf>
      <fill>
        <patternFill patternType="none">
          <bgColor indexed="65"/>
        </patternFill>
      </fill>
    </dxf>
  </rfmt>
  <rfmt sheetId="5" sqref="AO15" start="0" length="0">
    <dxf>
      <fill>
        <patternFill patternType="none">
          <bgColor indexed="65"/>
        </patternFill>
      </fill>
    </dxf>
  </rfmt>
  <rfmt sheetId="5" sqref="AP15" start="0" length="0">
    <dxf>
      <fill>
        <patternFill patternType="none">
          <bgColor indexed="65"/>
        </patternFill>
      </fill>
    </dxf>
  </rfmt>
  <rfmt sheetId="5" sqref="AQ15" start="0" length="0">
    <dxf>
      <fill>
        <patternFill patternType="none">
          <bgColor indexed="65"/>
        </patternFill>
      </fill>
      <border outline="0">
        <right/>
      </border>
    </dxf>
  </rfmt>
  <rfmt sheetId="5" sqref="AM16" start="0" length="0">
    <dxf>
      <fill>
        <patternFill patternType="none">
          <bgColor indexed="65"/>
        </patternFill>
      </fill>
      <border outline="0">
        <left/>
      </border>
    </dxf>
  </rfmt>
  <rfmt sheetId="5" sqref="AN16" start="0" length="0">
    <dxf>
      <fill>
        <patternFill patternType="none">
          <bgColor indexed="65"/>
        </patternFill>
      </fill>
    </dxf>
  </rfmt>
  <rfmt sheetId="5" sqref="AO16" start="0" length="0">
    <dxf>
      <fill>
        <patternFill patternType="none">
          <bgColor indexed="65"/>
        </patternFill>
      </fill>
    </dxf>
  </rfmt>
  <rfmt sheetId="5" sqref="AP16" start="0" length="0">
    <dxf>
      <fill>
        <patternFill patternType="none">
          <bgColor indexed="65"/>
        </patternFill>
      </fill>
    </dxf>
  </rfmt>
  <rfmt sheetId="5" sqref="AQ16" start="0" length="0">
    <dxf>
      <fill>
        <patternFill patternType="none">
          <bgColor indexed="65"/>
        </patternFill>
      </fill>
      <border outline="0">
        <right/>
      </border>
    </dxf>
  </rfmt>
  <rfmt sheetId="5" sqref="AM17" start="0" length="0">
    <dxf>
      <fill>
        <patternFill patternType="none">
          <bgColor indexed="65"/>
        </patternFill>
      </fill>
      <border outline="0">
        <left/>
      </border>
    </dxf>
  </rfmt>
  <rfmt sheetId="5" sqref="AN17" start="0" length="0">
    <dxf>
      <fill>
        <patternFill patternType="none">
          <bgColor indexed="65"/>
        </patternFill>
      </fill>
    </dxf>
  </rfmt>
  <rfmt sheetId="5" sqref="AO17" start="0" length="0">
    <dxf>
      <fill>
        <patternFill patternType="none">
          <bgColor indexed="65"/>
        </patternFill>
      </fill>
    </dxf>
  </rfmt>
  <rfmt sheetId="5" sqref="AP17" start="0" length="0">
    <dxf>
      <fill>
        <patternFill patternType="none">
          <bgColor indexed="65"/>
        </patternFill>
      </fill>
    </dxf>
  </rfmt>
  <rfmt sheetId="5" sqref="AQ17" start="0" length="0">
    <dxf>
      <fill>
        <patternFill patternType="none">
          <bgColor indexed="65"/>
        </patternFill>
      </fill>
      <border outline="0">
        <right/>
      </border>
    </dxf>
  </rfmt>
  <rfmt sheetId="5" sqref="AM18" start="0" length="0">
    <dxf>
      <fill>
        <patternFill patternType="none">
          <bgColor indexed="65"/>
        </patternFill>
      </fill>
    </dxf>
  </rfmt>
  <rfmt sheetId="5" sqref="AN18" start="0" length="0">
    <dxf>
      <fill>
        <patternFill patternType="none">
          <bgColor indexed="65"/>
        </patternFill>
      </fill>
    </dxf>
  </rfmt>
  <rfmt sheetId="5" sqref="AO18" start="0" length="0">
    <dxf>
      <fill>
        <patternFill patternType="none">
          <bgColor indexed="65"/>
        </patternFill>
      </fill>
    </dxf>
  </rfmt>
  <rcc rId="17248" sId="5" odxf="1" dxf="1">
    <oc r="AR2">
      <f>SUM(AM2:AQ2)</f>
    </oc>
    <nc r="AR2">
      <f>SUM(AM2:AQ2)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49" sId="5" odxf="1" dxf="1">
    <oc r="AR3">
      <f>SUM(AM3:AQ3)</f>
    </oc>
    <nc r="AR3">
      <f>SUM(AM3:AQ3)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0" sId="5" odxf="1" dxf="1">
    <oc r="AR4">
      <f>SUM(AM4:AQ4)</f>
    </oc>
    <nc r="AR4">
      <f>SUM(AM4:AQ4)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1" sId="5" odxf="1" dxf="1">
    <oc r="AR5">
      <f>SUM(AM5:AQ5)</f>
    </oc>
    <nc r="AR5">
      <f>SUM(AM5:AQ5)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2" sId="5" odxf="1" dxf="1">
    <oc r="AR6">
      <f>SUM(AM6:AQ6)</f>
    </oc>
    <nc r="AR6">
      <f>SUM(AM6:AQ6)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3" sId="5" odxf="1" dxf="1">
    <oc r="AR7">
      <f>SUM(AM7:AQ7)</f>
    </oc>
    <nc r="AR7">
      <f>SUM(AM7:AQ7)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4" sId="5" odxf="1" dxf="1">
    <oc r="AR8">
      <f>SUM(AM8:AQ8)</f>
    </oc>
    <nc r="AR8">
      <f>SUM(AM8:AQ8)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5" sId="5" odxf="1" dxf="1">
    <oc r="AR9">
      <f>SUM(AM9:AQ9)</f>
    </oc>
    <nc r="AR9">
      <f>SUM(AM9:AQ9)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6" sId="5" odxf="1" dxf="1">
    <oc r="AR10">
      <f>SUM(AM10:AQ10)</f>
    </oc>
    <nc r="AR10">
      <f>SUM(AM10:AQ10)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7" sId="5" odxf="1" dxf="1">
    <oc r="AR11">
      <f>SUM(AM11:AQ11)</f>
    </oc>
    <nc r="AR11">
      <f>SUM(AM11:AQ11)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8" sId="5" odxf="1" dxf="1">
    <oc r="AR12">
      <f>SUM(AM12:AQ12)</f>
    </oc>
    <nc r="AR12">
      <f>SUM(AM12:AQ12)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59" sId="5" odxf="1" dxf="1">
    <oc r="AR13">
      <f>SUM(AM13:AQ13)</f>
    </oc>
    <nc r="AR13">
      <f>SUM(AM13:AQ13)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60" sId="5" odxf="1" dxf="1">
    <oc r="AR14">
      <f>SUM(AM14:AQ14)</f>
    </oc>
    <nc r="AR14">
      <f>SUM(AM14:AQ14)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61" sId="5" odxf="1" dxf="1">
    <oc r="AR15">
      <f>SUM(AM15:AQ15)</f>
    </oc>
    <nc r="AR15">
      <f>SUM(AM15:AQ15)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62" sId="5" odxf="1" dxf="1">
    <oc r="AR16">
      <f>SUM(AM16:AQ16)</f>
    </oc>
    <nc r="AR16">
      <f>SUM(AM16:AQ16)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63" sId="5" odxf="1" dxf="1">
    <oc r="AR17">
      <f>SUM(AM17:AQ17)</f>
    </oc>
    <nc r="AR17">
      <f>SUM(AM17:AQ17)</f>
    </nc>
    <odxf>
      <fill>
        <patternFill patternType="none">
          <bgColor indexed="65"/>
        </patternFill>
      </fill>
      <border outline="0">
        <right/>
      </border>
    </odxf>
    <ndxf>
      <fill>
        <patternFill patternType="solid">
          <bgColor theme="0" tint="-0.14999847407452621"/>
        </patternFill>
      </fill>
      <border outline="0">
        <right style="thin">
          <color indexed="64"/>
        </right>
      </border>
    </ndxf>
  </rcc>
  <rcc rId="17264" sId="5">
    <nc r="AM11">
      <v>6</v>
    </nc>
  </rcc>
  <rcc rId="17265" sId="5">
    <nc r="AM12">
      <v>27</v>
    </nc>
  </rcc>
  <rcc rId="17266" sId="5">
    <nc r="AN15">
      <v>92</v>
    </nc>
  </rcc>
  <rfmt sheetId="5" sqref="AM17" start="0" length="0">
    <dxf>
      <border outline="0">
        <bottom/>
      </border>
    </dxf>
  </rfmt>
  <rfmt sheetId="5" sqref="AN17" start="0" length="0">
    <dxf>
      <border outline="0">
        <bottom/>
      </border>
    </dxf>
  </rfmt>
  <rfmt sheetId="5" sqref="AO17" start="0" length="0">
    <dxf>
      <border outline="0">
        <bottom/>
      </border>
    </dxf>
  </rfmt>
  <rfmt sheetId="5" sqref="AP17" start="0" length="0">
    <dxf>
      <border outline="0">
        <bottom/>
      </border>
    </dxf>
  </rfmt>
  <rfmt sheetId="5" sqref="AQ17" start="0" length="0">
    <dxf>
      <border outline="0">
        <bottom/>
      </border>
    </dxf>
  </rfmt>
  <rcc rId="17267" sId="5" odxf="1" dxf="1">
    <nc r="AM18" t="inlineStr">
      <is>
        <t>Inventário de caixas CGCEB
Total: 6 caixas e
 27 processos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268" sId="5" odxf="1" dxf="1">
    <nc r="AN18" t="inlineStr">
      <is>
        <t>Procurando e movimentando caixas da CGCEB
92 caixas.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269" sId="5" odxf="1" dxf="1">
    <nc r="AO18" t="inlineStr">
      <is>
        <t>Pesquisa e busca
processo 23132.000438/95-22, convênio nº 214/95, SIAFI nº 138116, Fundação de Desporto e
 Lazer de Mato Grosso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270" sId="5" odxf="1" dxf="1">
    <nc r="AP18" t="inlineStr">
      <is>
        <t>Pesquisa e busca
processo 23132.000438/95-22, convênio nº 214/95, SIAFI nº 138116, Fundação de Desporto e
 Lazer de Mato Grosso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271" sId="5" odxf="1" dxf="1">
    <nc r="AQ18" t="inlineStr">
      <is>
        <t>Pesquisa e busca
processo 23132.000438/95-22, convênio nº 214/95, SIAFI nº 138116, Fundação de Desporto e
 Lazer de Mato Grosso</t>
      </is>
    </nc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N19" start="0" length="0">
    <dxf>
      <alignment wrapText="0" readingOrder="0"/>
    </dxf>
  </rfmt>
  <rfmt sheetId="5" sqref="AO19" start="0" length="0">
    <dxf>
      <alignment wrapText="0" readingOrder="0"/>
    </dxf>
  </rfmt>
  <rfmt sheetId="5" sqref="AQ19" start="0" length="0">
    <dxf>
      <alignment wrapText="0" readingOrder="0"/>
    </dxf>
  </rfmt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292" sId="4" odxf="1" dxf="1">
    <nc r="AO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293" sId="4" odxf="1" dxf="1">
    <nc r="AP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294" sId="4" odxf="1" dxf="1">
    <nc r="AQ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v guid="{20CB6D8F-C24D-4D4B-A424-AF380F620455}" action="delete"/>
  <rdn rId="0" localSheetId="1" customView="1" name="Z_20CB6D8F_C24D_4D4B_A424_AF380F620455_.wvu.FilterData" hidden="1" oldHidden="1">
    <formula>Patrícia!$A$1:$A$5</formula>
    <oldFormula>Patrícia!$A$1:$A$5</oldFormula>
  </rdn>
  <rdn rId="0" localSheetId="2" customView="1" name="Z_20CB6D8F_C24D_4D4B_A424_AF380F620455_.wvu.FilterData" hidden="1" oldHidden="1">
    <formula>Leonardo!$A$1:$A$5</formula>
    <oldFormula>Leonardo!$A$1:$A$5</oldFormula>
  </rdn>
  <rdn rId="0" localSheetId="3" customView="1" name="Z_20CB6D8F_C24D_4D4B_A424_AF380F620455_.wvu.FilterData" hidden="1" oldHidden="1">
    <formula>TOTAL!$A$1:$J$19</formula>
    <oldFormula>TOTAL!$A$1:$J$19</oldFormula>
  </rdn>
  <rdn rId="0" localSheetId="4" customView="1" name="Z_20CB6D8F_C24D_4D4B_A424_AF380F620455_.wvu.FilterData" hidden="1" oldHidden="1">
    <formula>Diego!$A$1:$A$20</formula>
    <oldFormula>Diego!$A$1:$A$20</oldFormula>
  </rdn>
  <rdn rId="0" localSheetId="5" customView="1" name="Z_20CB6D8F_C24D_4D4B_A424_AF380F620455_.wvu.FilterData" hidden="1" oldHidden="1">
    <formula>Aelton!$A$1:$A$19</formula>
    <oldFormula>Aelton!$A$1:$A$19</oldFormula>
  </rdn>
  <rdn rId="0" localSheetId="6" customView="1" name="Z_20CB6D8F_C24D_4D4B_A424_AF380F620455_.wvu.FilterData" hidden="1" oldHidden="1">
    <formula>Leonam!$A$1:$B$19</formula>
    <oldFormula>Leonam!$A$1:$B$19</oldFormula>
  </rdn>
  <rdn rId="0" localSheetId="7" customView="1" name="Z_20CB6D8F_C24D_4D4B_A424_AF380F620455_.wvu.FilterData" hidden="1" oldHidden="1">
    <formula>Danilo!$A$1:$A$19</formula>
    <oldFormula>Danilo!$A$1:$A$19</oldFormula>
  </rdn>
  <rdn rId="0" localSheetId="8" customView="1" name="Z_20CB6D8F_C24D_4D4B_A424_AF380F620455_.wvu.FilterData" hidden="1" oldHidden="1">
    <formula>Marcos!$A$1:$A$20</formula>
    <oldFormula>Marcos!$A$1:$A$20</oldFormula>
  </rdn>
  <rdn rId="0" localSheetId="10" customView="1" name="Z_20CB6D8F_C24D_4D4B_A424_AF380F620455_.wvu.FilterData" hidden="1" oldHidden="1">
    <formula>Alessandro!$A$1:$A$19</formula>
    <oldFormula>Alessandro!$A$1:$A$19</oldFormula>
  </rdn>
  <rdn rId="0" localSheetId="9" customView="1" name="Z_20CB6D8F_C24D_4D4B_A424_AF380F620455_.wvu.FilterData" hidden="1" oldHidden="1">
    <formula>Carlos!$A$1:$A$19</formula>
    <oldFormula>Carlos!$A$1:$A$19</oldFormula>
  </rdn>
  <rcv guid="{20CB6D8F-C24D-4D4B-A424-AF380F620455}" action="add"/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05" sId="4">
    <nc r="AO19" t="inlineStr">
      <is>
        <t>GUARDADANDO PROCESSOS CGCEB</t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16" sId="10" odxf="1" dxf="1">
    <nc r="AM18" t="inlineStr">
      <is>
        <t>Alimentação de planilha de controle de atividades (Gustavo)</t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fmt sheetId="10" sqref="AL17" start="0" length="0">
    <dxf>
      <border>
        <bottom style="thin">
          <color indexed="64"/>
        </bottom>
      </border>
    </dxf>
  </rfmt>
  <rcc rId="17317" sId="10" odxf="1" dxf="1">
    <nc r="AN18" t="inlineStr">
      <is>
        <r>
          <t xml:space="preserve">Preenchimento/atualização de cadastro no </t>
        </r>
        <r>
          <rPr>
            <b/>
            <sz val="11"/>
            <color rgb="FFFF0000"/>
            <rFont val="Aptos Narrow"/>
            <family val="2"/>
          </rPr>
          <t>Sistema CGLA</t>
        </r>
      </is>
    </nc>
    <odxf>
      <font>
        <b val="0"/>
        <sz val="11"/>
        <color theme="1"/>
        <name val="Aptos Narrow"/>
        <family val="2"/>
        <scheme val="minor"/>
      </font>
      <alignment wrapText="0"/>
    </odxf>
    <ndxf>
      <font>
        <b/>
        <sz val="11"/>
        <color theme="1"/>
        <name val="Aptos Narrow"/>
        <family val="2"/>
        <scheme val="minor"/>
      </font>
      <alignment wrapText="1"/>
    </ndxf>
  </rcc>
  <rcc rId="17318" sId="10">
    <nc r="AO11">
      <v>9</v>
    </nc>
  </rcc>
  <rcc rId="17319" sId="10">
    <nc r="AO12">
      <v>64</v>
    </nc>
  </rcc>
  <rcc rId="17320" sId="10">
    <nc r="AP11">
      <v>6</v>
    </nc>
  </rcc>
  <rcc rId="17321" sId="10">
    <nc r="AP12">
      <v>41</v>
    </nc>
  </rcc>
  <rcc rId="17322" sId="10">
    <nc r="AQ11">
      <v>9</v>
    </nc>
  </rcc>
  <rcc rId="17323" sId="10">
    <nc r="AQ12">
      <v>61</v>
    </nc>
  </rcc>
  <rcc rId="17324" sId="9">
    <nc r="AD12">
      <v>17</v>
    </nc>
  </rcc>
  <rcc rId="17325" sId="9">
    <nc r="AG11">
      <v>3</v>
    </nc>
  </rcc>
  <rcc rId="17326" sId="9">
    <nc r="AG12">
      <v>13</v>
    </nc>
  </rcc>
  <rcc rId="17327" sId="9">
    <nc r="AH12">
      <v>26</v>
    </nc>
  </rcc>
  <rcc rId="17328" sId="9">
    <nc r="AH11">
      <v>4</v>
    </nc>
  </rcc>
  <rcc rId="17329" sId="9">
    <nc r="AI11">
      <v>6</v>
    </nc>
  </rcc>
  <rcc rId="17330" sId="9">
    <nc r="AI12">
      <v>25</v>
    </nc>
  </rcc>
  <rcc rId="17331" sId="9">
    <nc r="AK11">
      <v>2</v>
    </nc>
  </rcc>
  <rcc rId="17332" sId="9">
    <nc r="AK12">
      <v>20</v>
    </nc>
  </rcc>
  <rcc rId="17333" sId="9">
    <nc r="AM11">
      <v>5</v>
    </nc>
  </rcc>
  <rcc rId="17334" sId="9">
    <nc r="AM12">
      <v>34</v>
    </nc>
  </rcc>
  <rcc rId="17335" sId="9">
    <nc r="AN11">
      <v>3</v>
    </nc>
  </rcc>
  <rcc rId="17336" sId="9">
    <nc r="AN12">
      <v>22</v>
    </nc>
  </rcc>
  <rcc rId="17337" sId="9">
    <nc r="AO11">
      <v>3</v>
    </nc>
  </rcc>
  <rcc rId="17338" sId="9">
    <nc r="AO12">
      <v>16</v>
    </nc>
  </rcc>
  <rcc rId="17339" sId="9">
    <nc r="AP11">
      <v>5</v>
    </nc>
  </rcc>
  <rcc rId="17340" sId="9">
    <nc r="AP12">
      <v>42</v>
    </nc>
  </rcc>
  <rcc rId="17341" sId="9">
    <nc r="AQ12">
      <v>25</v>
    </nc>
  </rcc>
  <rcc rId="17342" sId="9">
    <nc r="AQ11">
      <v>4</v>
    </nc>
  </rcc>
  <rcc rId="17343" sId="9">
    <nc r="AD11">
      <v>3</v>
    </nc>
  </rcc>
  <rcc rId="17344" sId="3">
    <oc r="G11">
      <f>Diego!AF11+Aelton!AF11+Leonam!AF11+Danilo!AF11+Marcos!AF11+Alessandro!AF11</f>
    </oc>
    <nc r="G11">
      <f>Diego!AF11+Aelton!AF11+Leonam!AF11+Danilo!AF11+Marcos!AF11+Alessandro!AF11+Carlos!AF11</f>
    </nc>
  </rcc>
  <rcc rId="17345" sId="3">
    <oc r="G12">
      <f>Diego!AF12+Aelton!AF12+Leonam!AF12+Danilo!AF12+Marcos!AF12+Alessandro!AF12</f>
    </oc>
    <nc r="G12">
      <f>Diego!AF12+Aelton!AF12+Leonam!AF12+Danilo!AF12+Marcos!AF12+Alessandro!AF12+Carlos!AF12</f>
    </nc>
  </rcc>
  <rcc rId="17346" sId="3">
    <oc r="H11">
      <f>Diego!AL11+Aelton!AL11+Leonam!AL11+Danilo!AL11+Marcos!AL11+Alessandro!AL11</f>
    </oc>
    <nc r="H11">
      <f>Diego!AL11+Aelton!AL11+Leonam!AL11+Danilo!AL11+Marcos!AL11+Alessandro!AL11+Carlos!AL11</f>
    </nc>
  </rcc>
  <rcc rId="17347" sId="3">
    <oc r="H12">
      <f>Diego!AL12+Aelton!AL12+Leonam!AL12+Danilo!AL12+Marcos!AL12+Alessandro!AL12</f>
    </oc>
    <nc r="H12">
      <f>Diego!AL12+Aelton!AL12+Leonam!AL12+Danilo!AL12+Marcos!AL12+Alessandro!AL12+Carlos!AL12</f>
    </nc>
  </rcc>
  <rcc rId="17348" sId="3">
    <oc r="I11">
      <f>Diego!AR11+Aelton!AR11+Leonam!AR11+Danilo!AR11+Marcos!AR11+Alessandro!AR11</f>
    </oc>
    <nc r="I11">
      <f>Diego!AR11+Aelton!AR11+Leonam!AR11+Danilo!AR11+Marcos!AR11+Alessandro!AR11+Carlos!AR11</f>
    </nc>
  </rcc>
  <rcc rId="17349" sId="3">
    <oc r="I12">
      <f>Diego!AR12+Aelton!AR12+Leonam!AR12+Danilo!AR12+Marcos!AR12+Alessandro!AR12</f>
    </oc>
    <nc r="I12">
      <f>Diego!AR12+Aelton!AR12+Leonam!AR12+Danilo!AR12+Marcos!AR12+Alessandro!AR12+Carlos!AR12</f>
    </nc>
  </rcc>
  <rcc rId="17350" sId="3">
    <oc r="J11">
      <f>Diego!AX11+Aelton!AX11+Leonam!AX11+Danilo!AX11+Marcos!AX11+Alessandro!AX11</f>
    </oc>
    <nc r="J11">
      <f>Diego!AX11+Aelton!AX11+Leonam!AX11+Danilo!AX11+Marcos!AX11+Alessandro!AX11+Carlos!AX11</f>
    </nc>
  </rcc>
  <rcc rId="17351" sId="3">
    <oc r="J12">
      <f>Diego!AX12+Aelton!AX12+Leonam!AX12+Danilo!AX12+Marcos!AX12+Alessandro!AX12</f>
    </oc>
    <nc r="J12">
      <f>Diego!AX12+Aelton!AX12+Leonam!AX12+Danilo!AX12+Marcos!AX12+Alessandro!AX12+Carlos!AX12</f>
    </nc>
  </rcc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7" sqref="AM18">
    <dxf>
      <alignment wrapText="1"/>
    </dxf>
  </rfmt>
  <rcc rId="17352" sId="7">
    <nc r="AM18" t="inlineStr">
      <is>
        <t>ORGANIZAÇÃO DAS CAIXAS INVENTARIADAS.</t>
      </is>
    </nc>
  </rcc>
  <rm rId="17353" sheetId="7" source="AM16" destination="AM17" sourceSheetId="7">
    <undo index="65535" exp="area" dr="AM17:AQ17" r="AR17" sId="7"/>
    <rfmt sheetId="7" sqref="AM17" start="0" length="0">
      <dxf>
        <font>
          <b/>
          <sz val="11"/>
          <color theme="1"/>
          <name val="Aptos Narrow"/>
          <family val="2"/>
          <scheme val="minor"/>
        </font>
        <alignment horizontal="center" vertical="center"/>
        <border outline="0">
          <bottom style="thin">
            <color indexed="64"/>
          </bottom>
        </border>
      </dxf>
    </rfmt>
  </rm>
  <rcc rId="17354" sId="7">
    <nc r="AM11">
      <v>3</v>
    </nc>
  </rcc>
  <rfmt sheetId="7" sqref="AM17" start="0" length="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7" sqref="AM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17355" sId="7">
    <nc r="AP11">
      <v>2</v>
    </nc>
  </rcc>
  <rcc rId="17356" sId="7">
    <nc r="AP18" t="inlineStr">
      <is>
        <t>RESOLVENDO ASSUNTOS PESSOAIS DURANTE O DIA</t>
      </is>
    </nc>
  </rcc>
  <rcc rId="17357" sId="7">
    <nc r="AN18" t="inlineStr">
      <is>
        <t>ELABORAÇÃO DO DESPACHO 37 (SEI N  18519857)</t>
      </is>
    </nc>
  </rcc>
  <rfmt sheetId="7" sqref="AN18">
    <dxf>
      <alignment wrapText="1"/>
    </dxf>
  </rfmt>
  <rcc rId="17358" sId="7">
    <nc r="AN14">
      <v>1</v>
    </nc>
  </rcc>
  <rcc rId="17359" sId="7">
    <nc r="AQ11">
      <v>5</v>
    </nc>
  </rcc>
  <rcc rId="17360" sId="7">
    <nc r="AO11">
      <v>2</v>
    </nc>
  </rcc>
  <rcc rId="17361" sId="7">
    <nc r="AO18" t="inlineStr">
      <is>
        <t>AUXILIANDO NO SISTEMA DE UNIFICADO DE ARQUIVAMENTO</t>
      </is>
    </nc>
  </rcc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62" sId="7">
    <oc r="AP11">
      <v>2</v>
    </oc>
    <nc r="AP11">
      <v>3</v>
    </nc>
  </rcc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363" sId="10">
    <nc r="AS2" t="inlineStr">
      <is>
        <t>RECESSO</t>
      </is>
    </nc>
  </rcc>
  <rcc rId="17364" sId="10" odxf="1" dxf="1">
    <nc r="AS3" t="inlineStr">
      <is>
        <t>RECESSO</t>
      </is>
    </nc>
    <odxf>
      <numFmt numFmtId="0" formatCode="General"/>
    </odxf>
    <ndxf>
      <numFmt numFmtId="21" formatCode="dd/mmm"/>
    </ndxf>
  </rcc>
  <rcc rId="17365" sId="10" odxf="1" dxf="1">
    <nc r="AS4" t="inlineStr">
      <is>
        <t>RECESSO</t>
      </is>
    </nc>
    <odxf>
      <numFmt numFmtId="0" formatCode="General"/>
    </odxf>
    <ndxf>
      <numFmt numFmtId="21" formatCode="dd/mmm"/>
    </ndxf>
  </rcc>
  <rcc rId="17366" sId="10" odxf="1" dxf="1">
    <nc r="AS5" t="inlineStr">
      <is>
        <t>RECESSO</t>
      </is>
    </nc>
    <odxf>
      <numFmt numFmtId="0" formatCode="General"/>
    </odxf>
    <ndxf>
      <numFmt numFmtId="21" formatCode="dd/mmm"/>
    </ndxf>
  </rcc>
  <rcc rId="17367" sId="10" odxf="1" dxf="1">
    <nc r="AS6" t="inlineStr">
      <is>
        <t>RECESSO</t>
      </is>
    </nc>
    <odxf>
      <numFmt numFmtId="0" formatCode="General"/>
    </odxf>
    <ndxf>
      <numFmt numFmtId="21" formatCode="dd/mmm"/>
    </ndxf>
  </rcc>
  <rcc rId="17368" sId="10" odxf="1" dxf="1">
    <nc r="AS7" t="inlineStr">
      <is>
        <t>RECESSO</t>
      </is>
    </nc>
    <odxf>
      <numFmt numFmtId="0" formatCode="General"/>
    </odxf>
    <ndxf>
      <numFmt numFmtId="21" formatCode="dd/mmm"/>
    </ndxf>
  </rcc>
  <rcc rId="17369" sId="10" odxf="1" dxf="1">
    <nc r="AS8" t="inlineStr">
      <is>
        <t>RECESSO</t>
      </is>
    </nc>
    <odxf>
      <numFmt numFmtId="0" formatCode="General"/>
    </odxf>
    <ndxf>
      <numFmt numFmtId="21" formatCode="dd/mmm"/>
    </ndxf>
  </rcc>
  <rcc rId="17370" sId="10" odxf="1" dxf="1">
    <nc r="AS9" t="inlineStr">
      <is>
        <t>RECESSO</t>
      </is>
    </nc>
    <odxf>
      <numFmt numFmtId="0" formatCode="General"/>
    </odxf>
    <ndxf>
      <numFmt numFmtId="21" formatCode="dd/mmm"/>
    </ndxf>
  </rcc>
  <rcc rId="17371" sId="10" odxf="1" dxf="1">
    <nc r="AS10" t="inlineStr">
      <is>
        <t>RECESSO</t>
      </is>
    </nc>
    <odxf>
      <numFmt numFmtId="0" formatCode="General"/>
    </odxf>
    <ndxf>
      <numFmt numFmtId="21" formatCode="dd/mmm"/>
    </ndxf>
  </rcc>
  <rcc rId="17372" sId="10" odxf="1" dxf="1">
    <nc r="AS11" t="inlineStr">
      <is>
        <t>RECESSO</t>
      </is>
    </nc>
    <odxf>
      <numFmt numFmtId="0" formatCode="General"/>
    </odxf>
    <ndxf>
      <numFmt numFmtId="21" formatCode="dd/mmm"/>
    </ndxf>
  </rcc>
  <rcc rId="17373" sId="10" odxf="1" dxf="1">
    <nc r="AS12" t="inlineStr">
      <is>
        <t>RECESSO</t>
      </is>
    </nc>
    <odxf>
      <numFmt numFmtId="0" formatCode="General"/>
    </odxf>
    <ndxf>
      <numFmt numFmtId="21" formatCode="dd/mmm"/>
    </ndxf>
  </rcc>
  <rcc rId="17374" sId="10" odxf="1" dxf="1">
    <nc r="AS13" t="inlineStr">
      <is>
        <t>RECESSO</t>
      </is>
    </nc>
    <odxf>
      <numFmt numFmtId="0" formatCode="General"/>
    </odxf>
    <ndxf>
      <numFmt numFmtId="21" formatCode="dd/mmm"/>
    </ndxf>
  </rcc>
  <rcc rId="17375" sId="10" odxf="1" dxf="1">
    <nc r="AS14" t="inlineStr">
      <is>
        <t>RECESSO</t>
      </is>
    </nc>
    <odxf>
      <numFmt numFmtId="0" formatCode="General"/>
    </odxf>
    <ndxf>
      <numFmt numFmtId="21" formatCode="dd/mmm"/>
    </ndxf>
  </rcc>
  <rcc rId="17376" sId="10" odxf="1" dxf="1">
    <nc r="AS15" t="inlineStr">
      <is>
        <t>RECESSO</t>
      </is>
    </nc>
    <odxf>
      <numFmt numFmtId="0" formatCode="General"/>
    </odxf>
    <ndxf>
      <numFmt numFmtId="21" formatCode="dd/mmm"/>
    </ndxf>
  </rcc>
  <rcc rId="17377" sId="10" odxf="1" dxf="1">
    <nc r="AS16" t="inlineStr">
      <is>
        <t>RECESSO</t>
      </is>
    </nc>
    <odxf>
      <numFmt numFmtId="0" formatCode="General"/>
    </odxf>
    <ndxf>
      <numFmt numFmtId="21" formatCode="dd/mmm"/>
    </ndxf>
  </rcc>
  <rcc rId="17378" sId="10">
    <nc r="AS17" t="inlineStr">
      <is>
        <t>RECESSO</t>
      </is>
    </nc>
  </rcc>
  <rcc rId="17379" sId="10">
    <nc r="AT2" t="inlineStr">
      <is>
        <t>FERIADO</t>
      </is>
    </nc>
  </rcc>
  <rcc rId="17380" sId="10">
    <nc r="AT3" t="inlineStr">
      <is>
        <t>FERIADO</t>
      </is>
    </nc>
  </rcc>
  <rcc rId="17381" sId="10">
    <nc r="AT4" t="inlineStr">
      <is>
        <t>FERIADO</t>
      </is>
    </nc>
  </rcc>
  <rcc rId="17382" sId="10">
    <nc r="AT5" t="inlineStr">
      <is>
        <t>FERIADO</t>
      </is>
    </nc>
  </rcc>
  <rcc rId="17383" sId="10">
    <nc r="AT6" t="inlineStr">
      <is>
        <t>FERIADO</t>
      </is>
    </nc>
  </rcc>
  <rcc rId="17384" sId="10">
    <nc r="AT7" t="inlineStr">
      <is>
        <t>FERIADO</t>
      </is>
    </nc>
  </rcc>
  <rcc rId="17385" sId="10">
    <nc r="AT8" t="inlineStr">
      <is>
        <t>FERIADO</t>
      </is>
    </nc>
  </rcc>
  <rcc rId="17386" sId="10">
    <nc r="AT9" t="inlineStr">
      <is>
        <t>FERIADO</t>
      </is>
    </nc>
  </rcc>
  <rcc rId="17387" sId="10">
    <nc r="AT10" t="inlineStr">
      <is>
        <t>FERIADO</t>
      </is>
    </nc>
  </rcc>
  <rcc rId="17388" sId="10">
    <nc r="AT11" t="inlineStr">
      <is>
        <t>FERIADO</t>
      </is>
    </nc>
  </rcc>
  <rcc rId="17389" sId="10">
    <nc r="AT12" t="inlineStr">
      <is>
        <t>FERIADO</t>
      </is>
    </nc>
  </rcc>
  <rcc rId="17390" sId="10">
    <nc r="AT13" t="inlineStr">
      <is>
        <t>FERIADO</t>
      </is>
    </nc>
  </rcc>
  <rcc rId="17391" sId="10">
    <nc r="AT14" t="inlineStr">
      <is>
        <t>FERIADO</t>
      </is>
    </nc>
  </rcc>
  <rcc rId="17392" sId="10">
    <nc r="AT15" t="inlineStr">
      <is>
        <t>FERIADO</t>
      </is>
    </nc>
  </rcc>
  <rcc rId="17393" sId="10">
    <nc r="AT16" t="inlineStr">
      <is>
        <t>FERIADO</t>
      </is>
    </nc>
  </rcc>
  <rcc rId="17394" sId="10">
    <nc r="AT17" t="inlineStr">
      <is>
        <t>FERIADO</t>
      </is>
    </nc>
  </rcc>
  <rfmt sheetId="10" sqref="AS2:AT17">
    <dxf>
      <fill>
        <patternFill patternType="solid">
          <bgColor theme="9" tint="0.59999389629810485"/>
        </patternFill>
      </fill>
    </dxf>
  </rfmt>
  <rfmt sheetId="10" sqref="AS2:AT17">
    <dxf>
      <fill>
        <patternFill>
          <bgColor theme="9" tint="0.79998168889431442"/>
        </patternFill>
      </fill>
    </dxf>
  </rfmt>
  <rfmt sheetId="10" sqref="AS2:AT17" start="0" length="2147483647">
    <dxf>
      <font>
        <b/>
      </font>
    </dxf>
  </rfmt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05" sId="7">
    <nc r="AM12">
      <v>22</v>
    </nc>
  </rcc>
  <rcc rId="17406" sId="7">
    <nc r="AO12">
      <v>8</v>
    </nc>
  </rcc>
  <rcc rId="17407" sId="7">
    <nc r="AP12">
      <v>17</v>
    </nc>
  </rcc>
  <rcc rId="17408" sId="7">
    <nc r="AQ12">
      <v>43</v>
    </nc>
  </rcc>
  <rcv guid="{B3CDE377-BA5D-4E06-91D9-3A48E1959BA5}" action="delete"/>
  <rdn rId="0" localSheetId="1" customView="1" name="Z_B3CDE377_BA5D_4E06_91D9_3A48E1959BA5_.wvu.FilterData" hidden="1" oldHidden="1">
    <formula>Patrícia!$A$1:$A$5</formula>
    <oldFormula>Patrícia!$A$1:$A$5</oldFormula>
  </rdn>
  <rdn rId="0" localSheetId="2" customView="1" name="Z_B3CDE377_BA5D_4E06_91D9_3A48E1959BA5_.wvu.FilterData" hidden="1" oldHidden="1">
    <formula>Leonardo!$A$1:$A$5</formula>
    <oldFormula>Leonardo!$A$1:$A$5</oldFormula>
  </rdn>
  <rdn rId="0" localSheetId="3" customView="1" name="Z_B3CDE377_BA5D_4E06_91D9_3A48E1959BA5_.wvu.FilterData" hidden="1" oldHidden="1">
    <formula>TOTAL!$A$1:$J$19</formula>
    <oldFormula>TOTAL!$A$1:$J$19</oldFormula>
  </rdn>
  <rdn rId="0" localSheetId="4" customView="1" name="Z_B3CDE377_BA5D_4E06_91D9_3A48E1959BA5_.wvu.FilterData" hidden="1" oldHidden="1">
    <formula>Diego!$A$1:$A$20</formula>
    <oldFormula>Diego!$A$1:$A$20</oldFormula>
  </rdn>
  <rdn rId="0" localSheetId="5" customView="1" name="Z_B3CDE377_BA5D_4E06_91D9_3A48E1959BA5_.wvu.FilterData" hidden="1" oldHidden="1">
    <formula>Aelton!$A$1:$A$19</formula>
    <oldFormula>Aelton!$A$1:$A$19</oldFormula>
  </rdn>
  <rdn rId="0" localSheetId="6" customView="1" name="Z_B3CDE377_BA5D_4E06_91D9_3A48E1959BA5_.wvu.FilterData" hidden="1" oldHidden="1">
    <formula>Leonam!$A$1:$B$19</formula>
    <oldFormula>Leonam!$A$1:$B$19</oldFormula>
  </rdn>
  <rdn rId="0" localSheetId="7" customView="1" name="Z_B3CDE377_BA5D_4E06_91D9_3A48E1959BA5_.wvu.FilterData" hidden="1" oldHidden="1">
    <formula>Danilo!$A$1:$A$19</formula>
    <oldFormula>Danilo!$A$1:$A$19</oldFormula>
  </rdn>
  <rdn rId="0" localSheetId="8" customView="1" name="Z_B3CDE377_BA5D_4E06_91D9_3A48E1959BA5_.wvu.FilterData" hidden="1" oldHidden="1">
    <formula>Marcos!$A$1:$A$20</formula>
    <oldFormula>Marcos!$A$1:$A$20</oldFormula>
  </rdn>
  <rdn rId="0" localSheetId="10" customView="1" name="Z_B3CDE377_BA5D_4E06_91D9_3A48E1959BA5_.wvu.FilterData" hidden="1" oldHidden="1">
    <formula>Alessandro!$A$1:$A$19</formula>
    <oldFormula>Alessandro!$A$1:$A$19</oldFormula>
  </rdn>
  <rdn rId="0" localSheetId="9" customView="1" name="Z_B3CDE377_BA5D_4E06_91D9_3A48E1959BA5_.wvu.FilterData" hidden="1" oldHidden="1">
    <formula>Carlos!$A$1:$A$19</formula>
    <oldFormula>Carlos!$A$1:$A$19</oldFormula>
  </rdn>
  <rcv guid="{B3CDE377-BA5D-4E06-91D9-3A48E1959BA5}" action="add"/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19" sId="7">
    <nc r="AS15">
      <v>175</v>
    </nc>
  </rcc>
  <rcc rId="17420" sId="8">
    <nc r="AS15">
      <v>175</v>
    </nc>
  </rcc>
  <rcc rId="17421" sId="8">
    <nc r="AS19" t="inlineStr">
      <is>
        <t>REMANEJAMENTO DE 175 CAIXAS, TENDO EM VISTA DO  ENVIO DE APENAS UM CARREGADOR  PELO SETOR RESPONSAVEL</t>
      </is>
    </nc>
  </rcc>
  <rfmt sheetId="8" sqref="AS19">
    <dxf>
      <alignment wrapText="1"/>
    </dxf>
  </rfmt>
  <rcc rId="17422" sId="7" xfDxf="1" dxf="1">
    <nc r="AS19" t="inlineStr">
      <is>
        <t>REMANEJAMENTO DE 175 CAIXAS, TENDO EM VISTA DO  ENVIO DE APENAS UM CARREGADOR  PELO SETOR RESPONSAVEL</t>
      </is>
    </nc>
    <ndxf>
      <alignment horizontal="center" vertical="center"/>
    </ndxf>
  </rcc>
  <rfmt sheetId="7" sqref="AS19">
    <dxf>
      <alignment wrapText="1"/>
    </dxf>
  </rfmt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23" sId="8">
    <oc r="AN15">
      <v>91</v>
    </oc>
    <nc r="AN15">
      <v>1</v>
    </nc>
  </rcc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24" sId="8">
    <nc r="AU15">
      <v>175</v>
    </nc>
  </rcc>
  <rcc rId="17425" sId="8">
    <oc r="AS15">
      <v>175</v>
    </oc>
    <nc r="AS15"/>
  </rcc>
  <rcc rId="17426" sId="7">
    <oc r="AS15">
      <v>175</v>
    </oc>
    <nc r="AS15"/>
  </rcc>
  <rcc rId="17427" sId="7">
    <nc r="AU15">
      <v>175</v>
    </nc>
  </rcc>
  <rcc rId="17428" sId="7" odxf="1" dxf="1">
    <nc r="AU19" t="inlineStr">
      <is>
        <t>REMANEJAMENTO DE 175 CAIXAS, TENDO EM VISTA DO  ENVIO DE APENAS UM CARREGADOR  PELO SETOR RESPONSAVEL</t>
      </is>
    </nc>
    <odxf>
      <alignment wrapText="0"/>
    </odxf>
    <ndxf>
      <alignment wrapText="1"/>
    </ndxf>
  </rcc>
  <rcc rId="17429" sId="7">
    <oc r="AS19" t="inlineStr">
      <is>
        <t>REMANEJAMENTO DE 175 CAIXAS, TENDO EM VISTA DO  ENVIO DE APENAS UM CARREGADOR  PELO SETOR RESPONSAVEL</t>
      </is>
    </oc>
    <nc r="AS19"/>
  </rcc>
  <rcc rId="17430" sId="8" odxf="1" dxf="1">
    <nc r="AU19" t="inlineStr">
      <is>
        <t>REMANEJAMENTO DE 175 CAIXAS, TENDO EM VISTA DO  ENVIO DE APENAS UM CARREGADOR  PELO SETOR RESPONSAVEL</t>
      </is>
    </nc>
    <odxf>
      <alignment wrapText="0"/>
    </odxf>
    <ndxf>
      <alignment wrapText="1"/>
    </ndxf>
  </rcc>
  <rcc rId="17431" sId="8">
    <oc r="AS19" t="inlineStr">
      <is>
        <t>REMANEJAMENTO DE 175 CAIXAS, TENDO EM VISTA DO  ENVIO DE APENAS UM CARREGADOR  PELO SETOR RESPONSAVEL</t>
      </is>
    </oc>
    <nc r="AS19"/>
  </rcc>
  <rcv guid="{3D987F8E-A6EA-454D-9537-6BFC5053CB00}" action="delete"/>
  <rdn rId="0" localSheetId="1" customView="1" name="Z_3D987F8E_A6EA_454D_9537_6BFC5053CB00_.wvu.FilterData" hidden="1" oldHidden="1">
    <formula>Patrícia!$A$1:$A$5</formula>
    <oldFormula>Patrícia!$A$1:$A$5</oldFormula>
  </rdn>
  <rdn rId="0" localSheetId="2" customView="1" name="Z_3D987F8E_A6EA_454D_9537_6BFC5053CB00_.wvu.FilterData" hidden="1" oldHidden="1">
    <formula>Leonardo!$A$1:$A$5</formula>
    <oldFormula>Leonardo!$A$1:$A$5</oldFormula>
  </rdn>
  <rdn rId="0" localSheetId="3" customView="1" name="Z_3D987F8E_A6EA_454D_9537_6BFC5053CB00_.wvu.FilterData" hidden="1" oldHidden="1">
    <formula>TOTAL!$A$1:$J$19</formula>
    <oldFormula>TOTAL!$A$1:$J$19</oldFormula>
  </rdn>
  <rdn rId="0" localSheetId="4" customView="1" name="Z_3D987F8E_A6EA_454D_9537_6BFC5053CB00_.wvu.FilterData" hidden="1" oldHidden="1">
    <formula>Diego!$A$1:$A$20</formula>
    <oldFormula>Diego!$A$1:$A$20</oldFormula>
  </rdn>
  <rdn rId="0" localSheetId="5" customView="1" name="Z_3D987F8E_A6EA_454D_9537_6BFC5053CB00_.wvu.FilterData" hidden="1" oldHidden="1">
    <formula>Aelton!$A$1:$A$19</formula>
    <oldFormula>Aelton!$A$1:$A$19</oldFormula>
  </rdn>
  <rdn rId="0" localSheetId="6" customView="1" name="Z_3D987F8E_A6EA_454D_9537_6BFC5053CB00_.wvu.FilterData" hidden="1" oldHidden="1">
    <formula>Leonam!$A$1:$B$19</formula>
    <oldFormula>Leonam!$A$1:$B$19</oldFormula>
  </rdn>
  <rdn rId="0" localSheetId="7" customView="1" name="Z_3D987F8E_A6EA_454D_9537_6BFC5053CB00_.wvu.FilterData" hidden="1" oldHidden="1">
    <formula>Danilo!$A$1:$A$19</formula>
    <oldFormula>Danilo!$A$1:$A$19</oldFormula>
  </rdn>
  <rdn rId="0" localSheetId="8" customView="1" name="Z_3D987F8E_A6EA_454D_9537_6BFC5053CB00_.wvu.FilterData" hidden="1" oldHidden="1">
    <formula>Marcos!$A$1:$A$20</formula>
    <oldFormula>Marcos!$A$1:$A$20</oldFormula>
  </rdn>
  <rdn rId="0" localSheetId="10" customView="1" name="Z_3D987F8E_A6EA_454D_9537_6BFC5053CB00_.wvu.FilterData" hidden="1" oldHidden="1">
    <formula>Alessandro!$A$1:$A$19</formula>
    <oldFormula>Alessandro!$A$1:$A$19</oldFormula>
  </rdn>
  <rdn rId="0" localSheetId="9" customView="1" name="Z_3D987F8E_A6EA_454D_9537_6BFC5053CB00_.wvu.FilterData" hidden="1" oldHidden="1">
    <formula>Carlos!$A$1:$A$19</formula>
    <oldFormula>Carlos!$A$1:$A$19</oldFormula>
  </rdn>
  <rcv guid="{3D987F8E-A6EA-454D-9537-6BFC5053CB00}" action="add"/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42" sId="8">
    <nc r="AS19" t="inlineStr">
      <is>
        <t>PONTO FACULTATIVO</t>
      </is>
    </nc>
  </rcc>
  <rcc rId="17443" sId="8">
    <nc r="AT19" t="inlineStr">
      <is>
        <t xml:space="preserve">FERIADO NACIONAL </t>
      </is>
    </nc>
  </rcc>
  <rfmt sheetId="8" sqref="AT19">
    <dxf>
      <alignment wrapText="1"/>
    </dxf>
  </rfmt>
  <rcc rId="17444" sId="8">
    <oc r="AU19" t="inlineStr">
      <is>
        <t>REMANEJAMENTO DE 175 CAIXAS, TENDO EM VISTA DO  ENVIO DE APENAS UM CARREGADOR  PELO SETOR RESPONSAVEL</t>
      </is>
    </oc>
    <nc r="AU19" t="inlineStr">
      <is>
        <t>REMANEJAMENTO DE 175 CAIXAS DA CGCEB, TENDO EM VISTA DO  ENVIO DE APENAS UM CARREGADOR  PELO SETOR RESPONSAVEL</t>
      </is>
    </nc>
  </rcc>
  <rcv guid="{E3841903-5B68-44FD-8F09-58E03D1025C5}" action="delete"/>
  <rdn rId="0" localSheetId="1" customView="1" name="Z_E3841903_5B68_44FD_8F09_58E03D1025C5_.wvu.FilterData" hidden="1" oldHidden="1">
    <formula>Patrícia!$A$1:$A$5</formula>
    <oldFormula>Patrícia!$A$1:$A$5</oldFormula>
  </rdn>
  <rdn rId="0" localSheetId="2" customView="1" name="Z_E3841903_5B68_44FD_8F09_58E03D1025C5_.wvu.FilterData" hidden="1" oldHidden="1">
    <formula>Leonardo!$A$1:$A$5</formula>
    <oldFormula>Leonardo!$A$1:$A$5</oldFormula>
  </rdn>
  <rdn rId="0" localSheetId="3" customView="1" name="Z_E3841903_5B68_44FD_8F09_58E03D1025C5_.wvu.FilterData" hidden="1" oldHidden="1">
    <formula>TOTAL!$A$1:$J$19</formula>
    <oldFormula>TOTAL!$A$1:$J$19</oldFormula>
  </rdn>
  <rdn rId="0" localSheetId="4" customView="1" name="Z_E3841903_5B68_44FD_8F09_58E03D1025C5_.wvu.FilterData" hidden="1" oldHidden="1">
    <formula>Diego!$A$1:$A$20</formula>
    <oldFormula>Diego!$A$1:$A$20</oldFormula>
  </rdn>
  <rdn rId="0" localSheetId="5" customView="1" name="Z_E3841903_5B68_44FD_8F09_58E03D1025C5_.wvu.FilterData" hidden="1" oldHidden="1">
    <formula>Aelton!$A$1:$A$19</formula>
    <oldFormula>Aelton!$A$1:$A$19</oldFormula>
  </rdn>
  <rdn rId="0" localSheetId="6" customView="1" name="Z_E3841903_5B68_44FD_8F09_58E03D1025C5_.wvu.FilterData" hidden="1" oldHidden="1">
    <formula>Leonam!$A$1:$B$19</formula>
    <oldFormula>Leonam!$A$1:$B$19</oldFormula>
  </rdn>
  <rdn rId="0" localSheetId="7" customView="1" name="Z_E3841903_5B68_44FD_8F09_58E03D1025C5_.wvu.FilterData" hidden="1" oldHidden="1">
    <formula>Danilo!$A$1:$A$19</formula>
    <oldFormula>Danilo!$A$1:$A$19</oldFormula>
  </rdn>
  <rdn rId="0" localSheetId="8" customView="1" name="Z_E3841903_5B68_44FD_8F09_58E03D1025C5_.wvu.FilterData" hidden="1" oldHidden="1">
    <formula>Marcos!$A$1:$A$20</formula>
    <oldFormula>Marcos!$A$1:$A$20</oldFormula>
  </rdn>
  <rdn rId="0" localSheetId="10" customView="1" name="Z_E3841903_5B68_44FD_8F09_58E03D1025C5_.wvu.FilterData" hidden="1" oldHidden="1">
    <formula>Alessandro!$A$1:$A$19</formula>
    <oldFormula>Alessandro!$A$1:$A$19</oldFormula>
  </rdn>
  <rdn rId="0" localSheetId="9" customView="1" name="Z_E3841903_5B68_44FD_8F09_58E03D1025C5_.wvu.FilterData" hidden="1" oldHidden="1">
    <formula>Carlos!$A$1:$A$19</formula>
    <oldFormula>Carlos!$A$1:$A$19</oldFormula>
  </rdn>
  <rcv guid="{E3841903-5B68-44FD-8F09-58E03D1025C5}" action="add"/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55" sId="8">
    <oc r="AQ18" t="inlineStr">
      <is>
        <t>ATESTADO DE DOAÇÃO DE SANGUE</t>
      </is>
    </oc>
    <nc r="AQ18" t="inlineStr">
      <is>
        <t xml:space="preserve"> DOAÇÃO DE SANGUE (ATESTADO)</t>
      </is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56" sId="8">
    <nc r="AU11">
      <v>2</v>
    </nc>
  </rcc>
  <rcc rId="17457" sId="8">
    <nc r="AU12">
      <v>15</v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58" sId="8">
    <oc r="AU19" t="inlineStr">
      <is>
        <t>REMANEJAMENTO DE 175 CAIXAS DA CGCEB, TENDO EM VISTA DO  ENVIO DE APENAS UM CARREGADOR  PELO SETOR RESPONSAVEL</t>
      </is>
    </oc>
    <nc r="AU19" t="inlineStr">
      <is>
        <t>REMANEJAMENTO DE 175 CAIXAS DA SNAS/CGCEB, TENDO EM VISTA DO  ENVIO DE APENAS UM CARREGADOR  PELO SETOR RESPONSAVEL</t>
      </is>
    </nc>
  </rcc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59" sId="8">
    <nc r="AV11">
      <v>9</v>
    </nc>
  </rcc>
  <rcc rId="17460" sId="8">
    <nc r="AV12">
      <v>46</v>
    </nc>
  </rcc>
  <rcc rId="17461" sId="8" odxf="1" dxf="1">
    <nc r="AV18" t="inlineStr">
      <is>
        <t>CAIXAS INVETARIADAS SNAS/CGCEB</t>
      </is>
    </nc>
    <odxf>
      <alignment wrapText="0"/>
    </odxf>
    <ndxf>
      <alignment wrapText="1"/>
    </ndxf>
  </rcc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462" sId="8" odxf="1" dxf="1">
    <nc r="AW18" t="inlineStr">
      <is>
        <t>CAIXAS INVETARIADAS SNAS/CGCEB</t>
      </is>
    </nc>
    <odxf>
      <alignment wrapText="0"/>
    </odxf>
    <ndxf>
      <alignment wrapText="1"/>
    </ndxf>
  </rcc>
  <rcc rId="17463" sId="8">
    <nc r="AW11">
      <v>6</v>
    </nc>
  </rcc>
  <rcc rId="17464" sId="8">
    <nc r="AW12">
      <v>35</v>
    </nc>
  </rcc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AS17" start="0" length="0">
    <dxf>
      <border outline="0">
        <bottom/>
      </border>
    </dxf>
  </rfmt>
  <rfmt sheetId="5" sqref="AT17" start="0" length="0">
    <dxf>
      <border outline="0">
        <bottom/>
      </border>
    </dxf>
  </rfmt>
  <rfmt sheetId="5" sqref="AU17" start="0" length="0">
    <dxf>
      <border outline="0">
        <bottom/>
      </border>
    </dxf>
  </rfmt>
  <rfmt sheetId="5" sqref="AV17" start="0" length="0">
    <dxf>
      <border outline="0">
        <bottom/>
      </border>
    </dxf>
  </rfmt>
  <rfmt sheetId="5" sqref="AW17" start="0" length="0">
    <dxf>
      <border outline="0">
        <bottom/>
      </border>
    </dxf>
  </rfmt>
  <rcc rId="17465" sId="5" odxf="1" dxf="1">
    <nc r="AS18" t="inlineStr">
      <is>
        <t>PONTO FACULTATIVO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466" sId="5" odxf="1" dxf="1">
    <nc r="AT18" t="inlineStr">
      <is>
        <t>FERIADO
(Aniversário de Brasília)</t>
      </is>
    </nc>
    <odxf>
      <fill>
        <patternFill patternType="none">
          <bgColor indexed="65"/>
        </patternFill>
      </fill>
      <border outline="0">
        <left/>
        <right/>
        <top/>
        <bottom/>
      </border>
    </odxf>
    <ndxf>
      <fill>
        <patternFill patternType="solid">
          <bgColor theme="9" tint="0.59999389629810485"/>
        </patternFill>
      </fill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17467" sId="5" odxf="1" dxf="1">
    <nc r="AU18" t="inlineStr">
      <is>
        <t>Pesquisa e busca
processo 23132.000438/95-22, convênio nº 214/95, SIAFI nº 138116, Fundação de Desporto e
 Lazer de Mato Grosso</t>
      </is>
    </nc>
    <odxf>
      <border outline="0">
        <left/>
        <right/>
        <top/>
        <bottom/>
      </border>
    </odxf>
    <n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fmt sheetId="5" sqref="AV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AW18" start="0" length="0"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fmt sheetId="5" sqref="AW1" start="0" length="0">
    <dxf>
      <border outline="0">
        <right/>
      </border>
    </dxf>
  </rfmt>
  <rcc rId="17468" sId="5">
    <nc r="AV18" t="inlineStr">
      <is>
        <t>Pesquisa e busca
processo 23132.000438/95-22, convênio nº 214/95, SIAFI nº 138116, Fundação de Desporto e
 Lazer de Mato Grosso</t>
      </is>
    </nc>
  </rcc>
  <rcc rId="17469" sId="5">
    <nc r="AW18" t="inlineStr">
      <is>
        <t>Pesquisa e busca
processo 23132.000438/95-22, convênio nº 214/95, SIAFI nº 138116, Fundação de Desporto e
 Lazer de Mato Grosso</t>
      </is>
    </nc>
  </rcc>
  <rfmt sheetId="5" sqref="AW19" start="0" length="0">
    <dxf>
      <alignment wrapText="1" readingOrder="0"/>
    </dxf>
  </rfmt>
  <rcv guid="{86039CF8-B158-4D70-9A6F-A10C29CBD68A}" action="delete"/>
  <rdn rId="0" localSheetId="1" customView="1" name="Z_86039CF8_B158_4D70_9A6F_A10C29CBD68A_.wvu.FilterData" hidden="1" oldHidden="1">
    <formula>Patrícia!$A$1:$A$5</formula>
    <oldFormula>Patrícia!$A$1:$A$5</oldFormula>
  </rdn>
  <rdn rId="0" localSheetId="2" customView="1" name="Z_86039CF8_B158_4D70_9A6F_A10C29CBD68A_.wvu.FilterData" hidden="1" oldHidden="1">
    <formula>Leonardo!$A$1:$A$5</formula>
    <oldFormula>Leonardo!$A$1:$A$5</oldFormula>
  </rdn>
  <rdn rId="0" localSheetId="3" customView="1" name="Z_86039CF8_B158_4D70_9A6F_A10C29CBD68A_.wvu.FilterData" hidden="1" oldHidden="1">
    <formula>TOTAL!$A$1:$J$19</formula>
    <oldFormula>TOTAL!$A$1:$J$19</oldFormula>
  </rdn>
  <rdn rId="0" localSheetId="4" customView="1" name="Z_86039CF8_B158_4D70_9A6F_A10C29CBD68A_.wvu.FilterData" hidden="1" oldHidden="1">
    <formula>Diego!$A$1:$A$20</formula>
    <oldFormula>Diego!$A$1:$A$20</oldFormula>
  </rdn>
  <rdn rId="0" localSheetId="5" customView="1" name="Z_86039CF8_B158_4D70_9A6F_A10C29CBD68A_.wvu.FilterData" hidden="1" oldHidden="1">
    <formula>Aelton!$A$1:$A$19</formula>
    <oldFormula>Aelton!$A$1:$A$19</oldFormula>
  </rdn>
  <rdn rId="0" localSheetId="6" customView="1" name="Z_86039CF8_B158_4D70_9A6F_A10C29CBD68A_.wvu.FilterData" hidden="1" oldHidden="1">
    <formula>Leonam!$A$1:$B$19</formula>
    <oldFormula>Leonam!$A$1:$B$19</oldFormula>
  </rdn>
  <rdn rId="0" localSheetId="7" customView="1" name="Z_86039CF8_B158_4D70_9A6F_A10C29CBD68A_.wvu.FilterData" hidden="1" oldHidden="1">
    <formula>Danilo!$A$1:$A$19</formula>
    <oldFormula>Danilo!$A$1:$A$19</oldFormula>
  </rdn>
  <rdn rId="0" localSheetId="8" customView="1" name="Z_86039CF8_B158_4D70_9A6F_A10C29CBD68A_.wvu.FilterData" hidden="1" oldHidden="1">
    <formula>Marcos!$A$1:$A$20</formula>
    <oldFormula>Marcos!$A$1:$A$20</oldFormula>
  </rdn>
  <rdn rId="0" localSheetId="10" customView="1" name="Z_86039CF8_B158_4D70_9A6F_A10C29CBD68A_.wvu.FilterData" hidden="1" oldHidden="1">
    <formula>Alessandro!$A$1:$A$19</formula>
    <oldFormula>Alessandro!$A$1:$A$19</oldFormula>
  </rdn>
  <rdn rId="0" localSheetId="9" customView="1" name="Z_86039CF8_B158_4D70_9A6F_A10C29CBD68A_.wvu.FilterData" hidden="1" oldHidden="1">
    <formula>Carlos!$A$1:$A$19</formula>
    <oldFormula>Carlos!$A$1:$A$19</oldFormula>
  </rdn>
  <rcv guid="{86039CF8-B158-4D70-9A6F-A10C29CBD68A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3" sqref="B13"/>
    </sheetView>
  </sheetViews>
  <sheetFormatPr defaultRowHeight="15" x14ac:dyDescent="0.25"/>
  <cols>
    <col min="1" max="1" width="77.42578125" bestFit="1" customWidth="1"/>
    <col min="2" max="2" width="97.42578125" customWidth="1"/>
  </cols>
  <sheetData>
    <row r="1" spans="1:2" ht="24" x14ac:dyDescent="0.25">
      <c r="A1" s="22" t="s">
        <v>9</v>
      </c>
      <c r="B1" s="21" t="s">
        <v>29</v>
      </c>
    </row>
    <row r="2" spans="1:2" ht="18.75" x14ac:dyDescent="0.25">
      <c r="A2" s="23" t="s">
        <v>18</v>
      </c>
      <c r="B2" s="27" t="s">
        <v>30</v>
      </c>
    </row>
    <row r="3" spans="1:2" ht="31.5" x14ac:dyDescent="0.25">
      <c r="A3" s="24" t="s">
        <v>0</v>
      </c>
      <c r="B3" s="28" t="s">
        <v>31</v>
      </c>
    </row>
    <row r="4" spans="1:2" ht="18.75" x14ac:dyDescent="0.25">
      <c r="A4" s="25" t="s">
        <v>17</v>
      </c>
      <c r="B4" s="27" t="s">
        <v>30</v>
      </c>
    </row>
    <row r="5" spans="1:2" ht="18.75" x14ac:dyDescent="0.25">
      <c r="A5" s="26" t="s">
        <v>16</v>
      </c>
      <c r="B5" s="28" t="s">
        <v>32</v>
      </c>
    </row>
    <row r="6" spans="1:2" ht="31.5" x14ac:dyDescent="0.25">
      <c r="A6" s="25" t="s">
        <v>1</v>
      </c>
      <c r="B6" s="30" t="s">
        <v>33</v>
      </c>
    </row>
    <row r="7" spans="1:2" ht="18.75" x14ac:dyDescent="0.25">
      <c r="A7" s="26" t="s">
        <v>2</v>
      </c>
      <c r="B7" s="28" t="s">
        <v>23</v>
      </c>
    </row>
    <row r="8" spans="1:2" ht="18.75" x14ac:dyDescent="0.25">
      <c r="A8" s="25" t="s">
        <v>3</v>
      </c>
      <c r="B8" s="30" t="s">
        <v>34</v>
      </c>
    </row>
    <row r="9" spans="1:2" ht="18.75" x14ac:dyDescent="0.25">
      <c r="A9" s="26" t="s">
        <v>25</v>
      </c>
      <c r="B9" s="28" t="s">
        <v>23</v>
      </c>
    </row>
    <row r="10" spans="1:2" ht="18.75" x14ac:dyDescent="0.25">
      <c r="A10" s="25" t="s">
        <v>12</v>
      </c>
      <c r="B10" s="29" t="s">
        <v>23</v>
      </c>
    </row>
    <row r="11" spans="1:2" ht="18.75" x14ac:dyDescent="0.25">
      <c r="A11" s="26" t="s">
        <v>4</v>
      </c>
      <c r="B11" s="31" t="s">
        <v>23</v>
      </c>
    </row>
    <row r="12" spans="1:2" ht="18.75" x14ac:dyDescent="0.25">
      <c r="A12" s="25" t="s">
        <v>5</v>
      </c>
      <c r="B12" s="30" t="s">
        <v>23</v>
      </c>
    </row>
    <row r="13" spans="1:2" ht="37.5" x14ac:dyDescent="0.25">
      <c r="A13" s="26" t="s">
        <v>8</v>
      </c>
      <c r="B13" s="28" t="s">
        <v>37</v>
      </c>
    </row>
    <row r="14" spans="1:2" ht="18.75" x14ac:dyDescent="0.25">
      <c r="A14" s="25" t="s">
        <v>6</v>
      </c>
      <c r="B14" s="30" t="s">
        <v>26</v>
      </c>
    </row>
    <row r="15" spans="1:2" ht="31.5" x14ac:dyDescent="0.25">
      <c r="A15" s="24" t="s">
        <v>19</v>
      </c>
      <c r="B15" s="28" t="s">
        <v>35</v>
      </c>
    </row>
    <row r="16" spans="1:2" ht="31.5" x14ac:dyDescent="0.25">
      <c r="A16" s="23" t="s">
        <v>14</v>
      </c>
      <c r="B16" s="30" t="s">
        <v>36</v>
      </c>
    </row>
  </sheetData>
  <customSheetViews>
    <customSheetView guid="{B3CDE377-BA5D-4E06-91D9-3A48E1959BA5}">
      <selection activeCell="B13" sqref="B13"/>
      <pageMargins left="0.511811024" right="0.511811024" top="0.78740157499999996" bottom="0.78740157499999996" header="0.31496062000000002" footer="0.31496062000000002"/>
    </customSheetView>
    <customSheetView guid="{3D987F8E-A6EA-454D-9537-6BFC5053CB00}">
      <selection activeCell="B13" sqref="B13"/>
      <pageMargins left="0.511811024" right="0.511811024" top="0.78740157499999996" bottom="0.78740157499999996" header="0.31496062000000002" footer="0.31496062000000002"/>
    </customSheetView>
    <customSheetView guid="{18A482E0-C8B6-4AA1-9E04-15FA7C9CD5E3}">
      <selection activeCell="B13" sqref="B13"/>
      <pageMargins left="0.511811024" right="0.511811024" top="0.78740157499999996" bottom="0.78740157499999996" header="0.31496062000000002" footer="0.31496062000000002"/>
    </customSheetView>
    <customSheetView guid="{9B623083-AA7B-440B-95EA-C33E1AB3D963}">
      <selection activeCell="B13" sqref="B13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B13" sqref="B13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B13" sqref="B13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B13" sqref="B13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5"/>
  <sheetViews>
    <sheetView workbookViewId="0">
      <pane xSplit="1" topLeftCell="AW1" activePane="topRight" state="frozen"/>
      <selection pane="topRight" activeCell="BA11" sqref="BA11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16384" width="9.140625" style="1"/>
  </cols>
  <sheetData>
    <row r="1" spans="1:56" x14ac:dyDescent="0.25">
      <c r="A1" s="14" t="s">
        <v>9</v>
      </c>
      <c r="B1" s="5"/>
      <c r="C1" s="32">
        <v>46083</v>
      </c>
      <c r="D1" s="32">
        <v>46084</v>
      </c>
      <c r="E1" s="32">
        <v>46085</v>
      </c>
      <c r="F1" s="32">
        <v>46086</v>
      </c>
      <c r="G1" s="3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32">
        <v>46104</v>
      </c>
      <c r="V1" s="32">
        <v>46105</v>
      </c>
      <c r="W1" s="32">
        <v>46106</v>
      </c>
      <c r="X1" s="32">
        <v>46107</v>
      </c>
      <c r="Y1" s="3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10" t="s">
        <v>15</v>
      </c>
      <c r="AM1" s="32">
        <v>46125</v>
      </c>
      <c r="AN1" s="32">
        <v>46126</v>
      </c>
      <c r="AO1" s="32">
        <v>46127</v>
      </c>
      <c r="AP1" s="32">
        <v>46128</v>
      </c>
      <c r="AQ1" s="32">
        <v>46129</v>
      </c>
      <c r="AR1" s="10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67">
        <v>46136</v>
      </c>
      <c r="AX1" s="10" t="s">
        <v>15</v>
      </c>
      <c r="AY1" s="67">
        <v>46139</v>
      </c>
      <c r="AZ1" s="67">
        <v>46140</v>
      </c>
      <c r="BA1" s="67">
        <v>46141</v>
      </c>
      <c r="BB1" s="67">
        <v>46142</v>
      </c>
      <c r="BC1" s="67">
        <v>46143</v>
      </c>
      <c r="BD1" s="10" t="s">
        <v>15</v>
      </c>
    </row>
    <row r="2" spans="1:56" x14ac:dyDescent="0.25">
      <c r="A2" s="2" t="s">
        <v>8</v>
      </c>
      <c r="B2" s="17">
        <v>1</v>
      </c>
      <c r="C2" s="11"/>
      <c r="G2" s="62"/>
      <c r="H2" s="33">
        <f t="shared" ref="H2:H3" si="0">SUM(C2:G2)</f>
        <v>0</v>
      </c>
      <c r="N2" s="33">
        <f t="shared" ref="N2:N3" si="1">SUM(I2:M2)</f>
        <v>0</v>
      </c>
      <c r="T2" s="33">
        <f t="shared" ref="T2:T3" si="2">SUM(O2:S2)</f>
        <v>0</v>
      </c>
      <c r="Z2" s="33">
        <f t="shared" ref="Z2:Z3" si="3">SUM(U2:Y2)</f>
        <v>0</v>
      </c>
      <c r="AF2" s="33">
        <f t="shared" ref="AF2:AF3" si="4">SUM(AA2:AE2)</f>
        <v>0</v>
      </c>
      <c r="AL2" s="33">
        <f t="shared" ref="AL2:AL3" si="5">SUM(AG2:AK2)</f>
        <v>0</v>
      </c>
      <c r="AR2" s="33">
        <f t="shared" ref="AR2:AR3" si="6">SUM(AM2:AQ2)</f>
        <v>0</v>
      </c>
      <c r="AX2" s="33">
        <f t="shared" ref="AX2:AX3" si="7">SUM(AS2:AW2)</f>
        <v>0</v>
      </c>
      <c r="BD2" s="33">
        <f>SUM(AY2:BC2)</f>
        <v>0</v>
      </c>
    </row>
    <row r="3" spans="1:56" x14ac:dyDescent="0.25">
      <c r="A3" s="3" t="s">
        <v>6</v>
      </c>
      <c r="B3" s="16">
        <v>2</v>
      </c>
      <c r="C3" s="12"/>
      <c r="D3" s="13"/>
      <c r="E3" s="13"/>
      <c r="F3" s="13"/>
      <c r="G3" s="63"/>
      <c r="H3" s="34">
        <f t="shared" si="0"/>
        <v>0</v>
      </c>
      <c r="I3" s="13"/>
      <c r="J3" s="13"/>
      <c r="K3" s="13"/>
      <c r="L3" s="13"/>
      <c r="M3" s="13"/>
      <c r="N3" s="34">
        <f t="shared" si="1"/>
        <v>0</v>
      </c>
      <c r="O3" s="13"/>
      <c r="P3" s="13"/>
      <c r="Q3" s="13"/>
      <c r="R3" s="13"/>
      <c r="S3" s="13"/>
      <c r="T3" s="34">
        <f t="shared" si="2"/>
        <v>0</v>
      </c>
      <c r="U3" s="13"/>
      <c r="V3" s="13"/>
      <c r="W3" s="13"/>
      <c r="X3" s="13"/>
      <c r="Y3" s="13"/>
      <c r="Z3" s="34">
        <f t="shared" si="3"/>
        <v>0</v>
      </c>
      <c r="AA3" s="13"/>
      <c r="AB3" s="13"/>
      <c r="AC3" s="13"/>
      <c r="AD3" s="13"/>
      <c r="AE3" s="13"/>
      <c r="AF3" s="34">
        <f t="shared" si="4"/>
        <v>0</v>
      </c>
      <c r="AG3" s="13"/>
      <c r="AH3" s="13"/>
      <c r="AI3" s="13"/>
      <c r="AJ3" s="13"/>
      <c r="AK3" s="13"/>
      <c r="AL3" s="34">
        <f t="shared" si="5"/>
        <v>0</v>
      </c>
      <c r="AM3" s="13"/>
      <c r="AN3" s="13"/>
      <c r="AO3" s="13"/>
      <c r="AP3" s="13"/>
      <c r="AQ3" s="13"/>
      <c r="AR3" s="34">
        <f t="shared" si="6"/>
        <v>0</v>
      </c>
      <c r="AS3" s="13"/>
      <c r="AT3" s="13"/>
      <c r="AU3" s="13"/>
      <c r="AV3" s="13"/>
      <c r="AW3" s="13"/>
      <c r="AX3" s="34">
        <f t="shared" si="7"/>
        <v>0</v>
      </c>
      <c r="AY3" s="13"/>
      <c r="AZ3" s="13"/>
      <c r="BA3" s="13"/>
      <c r="BB3" s="13"/>
      <c r="BC3" s="13"/>
      <c r="BD3" s="34">
        <f>SUM(AY3:BC3)</f>
        <v>0</v>
      </c>
    </row>
    <row r="4" spans="1:56" x14ac:dyDescent="0.25">
      <c r="A4" s="1" t="s">
        <v>11</v>
      </c>
    </row>
    <row r="5" spans="1:56" x14ac:dyDescent="0.25">
      <c r="A5" s="1" t="s">
        <v>10</v>
      </c>
    </row>
  </sheetData>
  <customSheetViews>
    <customSheetView guid="{B3CDE377-BA5D-4E06-91D9-3A48E1959BA5}">
      <selection activeCell="A16" sqref="A16:XFD16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W1" activePane="topRight" state="frozen"/>
      <selection pane="topRight" activeCell="BA11" sqref="BA11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T1" activePane="topRight" state="frozen"/>
      <selection pane="topRight" activeCell="CE1" sqref="CE1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4" sqref="A14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D12" sqref="D12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selection activeCell="E4" sqref="E4"/>
      <pageMargins left="0.511811024" right="0.511811024" top="0.78740157499999996" bottom="0.78740157499999996" header="0.31496062000000002" footer="0.31496062000000002"/>
      <autoFilter ref="A1:A5" xr:uid="{C87D9DE3-44D8-44A3-B991-0F9A22AC7189}"/>
    </customSheetView>
    <customSheetView guid="{20CB6D8F-C24D-4D4B-A424-AF380F620455}" showPageBreaks="1">
      <selection activeCell="A14" sqref="A14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86039CF8-B158-4D70-9A6F-A10C29CBD68A}">
      <selection activeCell="E1" sqref="E1:E1048576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5"/>
  <sheetViews>
    <sheetView topLeftCell="AN1" workbookViewId="0">
      <selection activeCell="AW21" sqref="AW21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11.7109375" style="1" customWidth="1"/>
    <col min="8" max="8" width="14.28515625" style="1" bestFit="1" customWidth="1"/>
    <col min="9" max="13" width="9.5703125" style="1" customWidth="1"/>
    <col min="14" max="14" width="14.28515625" style="1" bestFit="1" customWidth="1"/>
    <col min="15" max="18" width="7.140625" style="1" bestFit="1" customWidth="1"/>
    <col min="19" max="19" width="7.5703125" style="1" customWidth="1"/>
    <col min="20" max="20" width="14.28515625" style="1" bestFit="1" customWidth="1"/>
    <col min="21" max="25" width="7.140625" style="1" bestFit="1" customWidth="1"/>
    <col min="26" max="26" width="14.28515625" style="1" bestFit="1" customWidth="1"/>
    <col min="27" max="31" width="9.140625" style="1"/>
    <col min="32" max="32" width="15.28515625" style="1" customWidth="1"/>
    <col min="33" max="37" width="9.140625" style="1"/>
    <col min="38" max="38" width="17.42578125" style="1" customWidth="1"/>
    <col min="39" max="43" width="9.140625" style="1"/>
    <col min="44" max="44" width="15.42578125" style="1" customWidth="1"/>
    <col min="45" max="49" width="9.140625" style="1"/>
    <col min="50" max="50" width="15.42578125" style="1" customWidth="1"/>
    <col min="51" max="16384" width="9.140625" style="1"/>
  </cols>
  <sheetData>
    <row r="1" spans="1:56" x14ac:dyDescent="0.25">
      <c r="A1" s="14" t="s">
        <v>9</v>
      </c>
      <c r="B1" s="5"/>
      <c r="C1" s="32">
        <v>46083</v>
      </c>
      <c r="D1" s="32">
        <v>46084</v>
      </c>
      <c r="E1" s="32">
        <v>46085</v>
      </c>
      <c r="F1" s="32">
        <v>46086</v>
      </c>
      <c r="G1" s="32">
        <v>46087</v>
      </c>
      <c r="H1" s="10" t="s">
        <v>15</v>
      </c>
      <c r="I1" s="32">
        <v>46090</v>
      </c>
      <c r="J1" s="32">
        <v>46091</v>
      </c>
      <c r="K1" s="32">
        <v>46092</v>
      </c>
      <c r="L1" s="32">
        <v>46093</v>
      </c>
      <c r="M1" s="32">
        <v>46094</v>
      </c>
      <c r="N1" s="10" t="s">
        <v>15</v>
      </c>
      <c r="O1" s="19">
        <v>46097</v>
      </c>
      <c r="P1" s="19">
        <v>46098</v>
      </c>
      <c r="Q1" s="19">
        <v>46099</v>
      </c>
      <c r="R1" s="19">
        <v>46100</v>
      </c>
      <c r="S1" s="19">
        <v>46101</v>
      </c>
      <c r="T1" s="10" t="s">
        <v>15</v>
      </c>
      <c r="U1" s="32">
        <v>46104</v>
      </c>
      <c r="V1" s="32">
        <v>46105</v>
      </c>
      <c r="W1" s="32">
        <v>46106</v>
      </c>
      <c r="X1" s="32">
        <v>46107</v>
      </c>
      <c r="Y1" s="32">
        <v>46108</v>
      </c>
      <c r="Z1" s="10" t="s">
        <v>15</v>
      </c>
      <c r="AA1" s="32">
        <v>46111</v>
      </c>
      <c r="AB1" s="32">
        <v>46112</v>
      </c>
      <c r="AC1" s="32">
        <v>46113</v>
      </c>
      <c r="AD1" s="32">
        <v>46114</v>
      </c>
      <c r="AE1" s="32">
        <v>46115</v>
      </c>
      <c r="AF1" s="10" t="s">
        <v>15</v>
      </c>
      <c r="AG1" s="32">
        <v>46118</v>
      </c>
      <c r="AH1" s="32">
        <v>46119</v>
      </c>
      <c r="AI1" s="32">
        <v>46120</v>
      </c>
      <c r="AJ1" s="32">
        <v>46121</v>
      </c>
      <c r="AK1" s="32">
        <v>46122</v>
      </c>
      <c r="AL1" s="10" t="s">
        <v>15</v>
      </c>
      <c r="AM1" s="32">
        <v>46125</v>
      </c>
      <c r="AN1" s="32">
        <v>46126</v>
      </c>
      <c r="AO1" s="32">
        <v>46127</v>
      </c>
      <c r="AP1" s="32">
        <v>46128</v>
      </c>
      <c r="AQ1" s="32">
        <v>46129</v>
      </c>
      <c r="AR1" s="10" t="s">
        <v>15</v>
      </c>
      <c r="AS1" s="19">
        <v>46132</v>
      </c>
      <c r="AT1" s="19">
        <v>46133</v>
      </c>
      <c r="AU1" s="19">
        <v>46134</v>
      </c>
      <c r="AV1" s="19">
        <v>46135</v>
      </c>
      <c r="AW1" s="67">
        <v>46136</v>
      </c>
      <c r="AX1" s="10" t="s">
        <v>15</v>
      </c>
      <c r="AY1" s="67">
        <v>46139</v>
      </c>
      <c r="AZ1" s="67">
        <v>46140</v>
      </c>
      <c r="BA1" s="67">
        <v>46141</v>
      </c>
      <c r="BB1" s="67">
        <v>46142</v>
      </c>
      <c r="BC1" s="67">
        <v>46143</v>
      </c>
      <c r="BD1" s="10" t="s">
        <v>15</v>
      </c>
    </row>
    <row r="2" spans="1:56" x14ac:dyDescent="0.25">
      <c r="A2" s="2" t="s">
        <v>8</v>
      </c>
      <c r="B2" s="17">
        <v>1</v>
      </c>
      <c r="H2" s="65">
        <f>SUM(C2:G2)</f>
        <v>0</v>
      </c>
      <c r="N2" s="65">
        <f>SUM(I2:M2)</f>
        <v>0</v>
      </c>
      <c r="T2" s="65">
        <f>SUM(O2:S2)</f>
        <v>0</v>
      </c>
      <c r="Z2" s="65">
        <f>SUM(U2:Y2)</f>
        <v>0</v>
      </c>
      <c r="AF2" s="65">
        <f>SUM(AA2:AE2)</f>
        <v>0</v>
      </c>
      <c r="AL2" s="65">
        <f>SUM(AG2:AK2)</f>
        <v>0</v>
      </c>
      <c r="AR2" s="65">
        <f>SUM(AM2:AQ2)</f>
        <v>0</v>
      </c>
      <c r="AX2" s="65">
        <f>SUM(AS2:AW2)</f>
        <v>0</v>
      </c>
      <c r="BD2" s="65">
        <f>SUM(AY2:BC2)</f>
        <v>0</v>
      </c>
    </row>
    <row r="3" spans="1:56" x14ac:dyDescent="0.25">
      <c r="A3" s="3" t="s">
        <v>6</v>
      </c>
      <c r="B3" s="64">
        <v>2</v>
      </c>
      <c r="C3" s="13"/>
      <c r="D3" s="13"/>
      <c r="E3" s="13"/>
      <c r="F3" s="13"/>
      <c r="G3" s="13"/>
      <c r="H3" s="66">
        <f>SUM(C3:G3)</f>
        <v>0</v>
      </c>
      <c r="I3" s="13"/>
      <c r="J3" s="13"/>
      <c r="K3" s="13"/>
      <c r="L3" s="13"/>
      <c r="M3" s="13"/>
      <c r="N3" s="66">
        <f>SUM(I3:M3)</f>
        <v>0</v>
      </c>
      <c r="O3" s="13"/>
      <c r="P3" s="13"/>
      <c r="Q3" s="13"/>
      <c r="R3" s="13"/>
      <c r="S3" s="13"/>
      <c r="T3" s="66">
        <f>SUM(O3:S3)</f>
        <v>0</v>
      </c>
      <c r="U3" s="13"/>
      <c r="V3" s="13"/>
      <c r="W3" s="13"/>
      <c r="X3" s="13"/>
      <c r="Y3" s="13"/>
      <c r="Z3" s="66">
        <f>SUM(U3:Y3)</f>
        <v>0</v>
      </c>
      <c r="AA3" s="13"/>
      <c r="AB3" s="13"/>
      <c r="AC3" s="13"/>
      <c r="AD3" s="13"/>
      <c r="AE3" s="13"/>
      <c r="AF3" s="66">
        <f>SUM(AA3:AE3)</f>
        <v>0</v>
      </c>
      <c r="AG3" s="13"/>
      <c r="AH3" s="13"/>
      <c r="AI3" s="13"/>
      <c r="AJ3" s="13"/>
      <c r="AK3" s="13"/>
      <c r="AL3" s="66">
        <f>SUM(AG3:AK3)</f>
        <v>0</v>
      </c>
      <c r="AM3" s="13"/>
      <c r="AN3" s="13"/>
      <c r="AO3" s="13"/>
      <c r="AP3" s="13"/>
      <c r="AQ3" s="13"/>
      <c r="AR3" s="66">
        <f>SUM(AM3:AQ3)</f>
        <v>0</v>
      </c>
      <c r="AS3" s="13"/>
      <c r="AT3" s="13"/>
      <c r="AU3" s="13"/>
      <c r="AV3" s="13"/>
      <c r="AW3" s="13"/>
      <c r="AX3" s="66">
        <f>SUM(AS3:AW3)</f>
        <v>0</v>
      </c>
      <c r="AY3" s="13"/>
      <c r="AZ3" s="13"/>
      <c r="BA3" s="13"/>
      <c r="BB3" s="13"/>
      <c r="BC3" s="13"/>
      <c r="BD3" s="66">
        <f>SUM(AY3:BC3)</f>
        <v>0</v>
      </c>
    </row>
    <row r="4" spans="1:56" x14ac:dyDescent="0.25">
      <c r="A4" s="1" t="s">
        <v>11</v>
      </c>
    </row>
    <row r="5" spans="1:56" x14ac:dyDescent="0.25">
      <c r="A5" s="1" t="s">
        <v>10</v>
      </c>
    </row>
  </sheetData>
  <customSheetViews>
    <customSheetView guid="{B3CDE377-BA5D-4E06-91D9-3A48E1959BA5}">
      <selection activeCell="E1" sqref="E1:E1048576"/>
      <pageMargins left="0.511811024" right="0.511811024" top="0.78740157499999996" bottom="0.78740157499999996" header="0.31496062000000002" footer="0.31496062000000002"/>
    </customSheetView>
    <customSheetView guid="{3D987F8E-A6EA-454D-9537-6BFC5053CB00}" topLeftCell="AN1">
      <selection activeCell="AW21" sqref="AW21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S1" activePane="topRight" state="frozen"/>
      <selection pane="topRight" activeCell="CF1" sqref="CF1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A12">
      <selection activeCell="A9" sqref="A9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C13" sqref="C13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selection sqref="A1:XFD1048576"/>
      <pageMargins left="0.511811024" right="0.511811024" top="0.78740157499999996" bottom="0.78740157499999996" header="0.31496062000000002" footer="0.31496062000000002"/>
      <autoFilter ref="A1:A5" xr:uid="{37D0CFBE-D311-4339-BD6E-F8E0F7D48580}"/>
    </customSheetView>
    <customSheetView guid="{20CB6D8F-C24D-4D4B-A424-AF380F620455}" showPageBreaks="1" topLeftCell="A12">
      <selection activeCell="A9" sqref="A9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86039CF8-B158-4D70-9A6F-A10C29CBD68A}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9" sqref="A9:XFD9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4"/>
  <sheetViews>
    <sheetView zoomScaleNormal="110" workbookViewId="0">
      <selection activeCell="A14" sqref="A14"/>
    </sheetView>
  </sheetViews>
  <sheetFormatPr defaultRowHeight="15" x14ac:dyDescent="0.25"/>
  <cols>
    <col min="1" max="1" width="77.140625" customWidth="1"/>
    <col min="2" max="2" width="46.42578125" style="6" customWidth="1"/>
    <col min="3" max="3" width="9.5703125" customWidth="1"/>
    <col min="4" max="4" width="9.28515625" customWidth="1"/>
    <col min="5" max="5" width="11.7109375" customWidth="1"/>
    <col min="6" max="6" width="10.140625" customWidth="1"/>
    <col min="7" max="8" width="9.28515625" bestFit="1" customWidth="1"/>
    <col min="9" max="9" width="13.85546875" bestFit="1" customWidth="1"/>
    <col min="10" max="10" width="9.28515625" bestFit="1" customWidth="1"/>
  </cols>
  <sheetData>
    <row r="1" spans="1:11" ht="36" x14ac:dyDescent="0.25">
      <c r="A1" s="44" t="s">
        <v>9</v>
      </c>
      <c r="B1" s="45" t="s">
        <v>20</v>
      </c>
      <c r="C1" s="46" t="s">
        <v>41</v>
      </c>
      <c r="D1" s="46" t="s">
        <v>42</v>
      </c>
      <c r="E1" s="46" t="s">
        <v>43</v>
      </c>
      <c r="F1" s="46" t="s">
        <v>44</v>
      </c>
      <c r="G1" s="46" t="s">
        <v>45</v>
      </c>
      <c r="H1" s="46" t="s">
        <v>46</v>
      </c>
      <c r="I1" s="69" t="s">
        <v>47</v>
      </c>
      <c r="J1" s="46" t="s">
        <v>48</v>
      </c>
      <c r="K1" s="46" t="s">
        <v>49</v>
      </c>
    </row>
    <row r="2" spans="1:11" x14ac:dyDescent="0.25">
      <c r="A2" s="47" t="s">
        <v>18</v>
      </c>
      <c r="B2" s="48" t="s">
        <v>21</v>
      </c>
      <c r="C2" s="49">
        <f>Diego!H2+Aelton!H2+Leonam!H2+Danilo!H2+Marcos!H2+Alessandro!H2</f>
        <v>0</v>
      </c>
      <c r="D2" s="49">
        <f>Diego!N2+Aelton!N2+Leonam!N2+Danilo!N2+Marcos!N2+Alessandro!AL2+Carlos!N2</f>
        <v>0</v>
      </c>
      <c r="E2" s="49">
        <f>Diego!T2+Aelton!T2+Leonam!T2+Danilo!T2+Marcos!T2+Alessandro!T2</f>
        <v>0</v>
      </c>
      <c r="F2" s="49">
        <f>Diego!Z2+Aelton!Z2+Leonam!Z2+Danilo!Z2+Marcos!Z2+Alessandro!Z2</f>
        <v>0</v>
      </c>
      <c r="G2" s="49">
        <f>Diego!AF2+Aelton!AF2+Leonam!AF2+Danilo!AF2+Marcos!AF2+Alessandro!AF2</f>
        <v>0</v>
      </c>
      <c r="H2" s="49">
        <f>Diego!AL2+Aelton!AL2+Leonam!AL2+Danilo!AL2+Marcos!AL2+Alessandro!AL2</f>
        <v>0</v>
      </c>
      <c r="I2" s="49">
        <f>Diego!AR2+Aelton!AR2+Leonam!AR2+Danilo!AR2+Marcos!AR2+Alessandro!AR2</f>
        <v>0</v>
      </c>
      <c r="J2" s="49">
        <f>Diego!AX2+Aelton!AX2+Leonam!AX2+Danilo!AX2+Marcos!AX2+Alessandro!AX2</f>
        <v>0</v>
      </c>
      <c r="K2" s="49">
        <f>Diego!BA2+Aelton!BA2+Leonam!BA2+Danilo!BA2+Marcos!BA2+Alessandro!BA2+Carlos!BA2</f>
        <v>0</v>
      </c>
    </row>
    <row r="3" spans="1:11" s="58" customFormat="1" ht="24" x14ac:dyDescent="0.25">
      <c r="A3" s="56" t="s">
        <v>0</v>
      </c>
      <c r="B3" s="57" t="s">
        <v>22</v>
      </c>
      <c r="C3" s="50">
        <f>Diego!H3+Aelton!H3+Leonam!H3+Danilo!H3+Marcos!H3+Alessandro!H3</f>
        <v>0</v>
      </c>
      <c r="D3" s="50">
        <f>Diego!N3+Aelton!N3+Leonam!N3+Danilo!N3+Marcos!N3+Alessandro!AL3+Carlos!N3</f>
        <v>0</v>
      </c>
      <c r="E3" s="50">
        <f>Diego!T3+Aelton!T3+Leonam!T3+Danilo!T3+Marcos!T3+Alessandro!T3</f>
        <v>0</v>
      </c>
      <c r="F3" s="50">
        <f>Diego!Z3+Aelton!Z3+Leonam!Z3+Danilo!Z3+Marcos!Z3+Alessandro!Z3</f>
        <v>0</v>
      </c>
      <c r="G3" s="50">
        <f>Diego!AF3+Aelton!AF3+Leonam!AF3+Danilo!AF3+Marcos!AF3+Alessandro!AF3</f>
        <v>0</v>
      </c>
      <c r="H3" s="50">
        <f>Diego!AL3+Aelton!AL3+Leonam!AL3+Danilo!AL3+Marcos!AL3+Alessandro!AL3</f>
        <v>0</v>
      </c>
      <c r="I3" s="50">
        <f>Diego!AR3+Aelton!AR3+Leonam!AR3+Danilo!AR3+Marcos!AR3+Alessandro!AR3</f>
        <v>0</v>
      </c>
      <c r="J3" s="50">
        <f>Diego!AX3+Aelton!AX3+Leonam!AX3+Danilo!AX3+Marcos!AX3+Alessandro!AX3</f>
        <v>0</v>
      </c>
      <c r="K3" s="50">
        <f>Diego!BA3+Aelton!BA3+Leonam!BA3+Danilo!BA3+Marcos!BA3+Alessandro!BA3+Carlos!BA3</f>
        <v>0</v>
      </c>
    </row>
    <row r="4" spans="1:11" x14ac:dyDescent="0.25">
      <c r="A4" s="51" t="s">
        <v>17</v>
      </c>
      <c r="B4" s="52" t="s">
        <v>21</v>
      </c>
      <c r="C4" s="49">
        <f>Diego!H4+Aelton!H4+Leonam!H4+Danilo!H4+Marcos!H4+Alessandro!H4</f>
        <v>57</v>
      </c>
      <c r="D4" s="49">
        <f>Diego!N4+Aelton!N4+Leonam!N4+Danilo!N4+Marcos!N4+Alessandro!N4</f>
        <v>0</v>
      </c>
      <c r="E4" s="49">
        <f>Diego!T4+Aelton!T4+Leonam!T4+Danilo!T4+Marcos!T4+Alessandro!T4</f>
        <v>0</v>
      </c>
      <c r="F4" s="49">
        <f>Diego!Z4+Aelton!Z4+Leonam!Z4+Danilo!Z4+Marcos!Z4+Alessandro!Z4</f>
        <v>0</v>
      </c>
      <c r="G4" s="49">
        <f>Diego!AF4+Aelton!AF4+Leonam!AF4+Danilo!AF4+Marcos!AF4+Alessandro!AF4</f>
        <v>0</v>
      </c>
      <c r="H4" s="49">
        <f>Diego!AL4+Aelton!AL4+Leonam!AL4+Danilo!AL4+Marcos!AL4+Alessandro!AL4</f>
        <v>0</v>
      </c>
      <c r="I4" s="49">
        <f>Diego!AR4+Aelton!AR4+Leonam!AR4+Danilo!AR4+Marcos!AR4+Alessandro!AR4</f>
        <v>0</v>
      </c>
      <c r="J4" s="49">
        <f>Diego!AX4+Aelton!AX4+Leonam!AX4+Danilo!AX4+Marcos!AX4+Alessandro!AX4</f>
        <v>0</v>
      </c>
      <c r="K4" s="49">
        <f>Diego!BA4+Aelton!BA4+Leonam!BA4+Danilo!BA4+Marcos!BA4+Alessandro!BA4+Carlos!BA4</f>
        <v>0</v>
      </c>
    </row>
    <row r="5" spans="1:11" s="58" customFormat="1" x14ac:dyDescent="0.25">
      <c r="A5" s="59" t="s">
        <v>16</v>
      </c>
      <c r="B5" s="57" t="s">
        <v>21</v>
      </c>
      <c r="C5" s="50">
        <f>Diego!H5+Aelton!H5+Leonam!H5+Danilo!H5+Marcos!H5+Alessandro!H5</f>
        <v>0</v>
      </c>
      <c r="D5" s="50">
        <f>Diego!N5+Aelton!N5+Leonam!N5+Danilo!N5+Marcos!N5+Alessandro!N5</f>
        <v>0</v>
      </c>
      <c r="E5" s="50">
        <f>Diego!T5+Aelton!T5+Leonam!T5+Danilo!T5+Marcos!T5+Alessandro!T5</f>
        <v>0</v>
      </c>
      <c r="F5" s="50">
        <f>Diego!Z5+Aelton!Z5+Leonam!Z5+Danilo!Z5+Marcos!Z5+Alessandro!Z5</f>
        <v>0</v>
      </c>
      <c r="G5" s="50">
        <f>Diego!AF5+Aelton!AF5+Leonam!AF5+Danilo!AF5+Marcos!AF5+Alessandro!AF5</f>
        <v>0</v>
      </c>
      <c r="H5" s="50">
        <f>Diego!AL5+Aelton!AL5+Leonam!AL5+Danilo!AL5+Marcos!AL5+Alessandro!AL5</f>
        <v>0</v>
      </c>
      <c r="I5" s="50">
        <f>Diego!AR5+Aelton!AR5+Leonam!AR5+Danilo!AR5+Marcos!AR5+Alessandro!AR5</f>
        <v>0</v>
      </c>
      <c r="J5" s="50">
        <f>Diego!AX5+Aelton!AX5+Leonam!AX5+Danilo!AX5+Marcos!AX5+Alessandro!AX5</f>
        <v>0</v>
      </c>
      <c r="K5" s="50">
        <f>Diego!BA5+Aelton!BA5+Leonam!BA5+Danilo!BA5+Marcos!BA5+Alessandro!BA5+Carlos!BA5</f>
        <v>0</v>
      </c>
    </row>
    <row r="6" spans="1:11" ht="24" x14ac:dyDescent="0.25">
      <c r="A6" s="51" t="s">
        <v>1</v>
      </c>
      <c r="B6" s="53" t="s">
        <v>38</v>
      </c>
      <c r="C6" s="49">
        <f>Diego!H6+Aelton!H6+Leonam!H6+Danilo!H6+Marcos!H6+Alessandro!H6</f>
        <v>0</v>
      </c>
      <c r="D6" s="49">
        <f>Diego!N6+Aelton!N6+Leonam!N6+Danilo!N6+Marcos!N6+Alessandro!N6</f>
        <v>0</v>
      </c>
      <c r="E6" s="49">
        <f>Diego!T6+Aelton!T6+Leonam!T6+Danilo!T6+Marcos!T6+Alessandro!T6</f>
        <v>0</v>
      </c>
      <c r="F6" s="49">
        <f>Diego!Z6+Aelton!Z6+Leonam!Z6+Danilo!Z6+Marcos!Z6+Alessandro!Z6</f>
        <v>0</v>
      </c>
      <c r="G6" s="49">
        <f>Diego!AF6+Aelton!AF6+Leonam!AF6+Danilo!AF6+Marcos!AF6+Alessandro!AF6</f>
        <v>0</v>
      </c>
      <c r="H6" s="49">
        <f>Diego!AL6+Aelton!AL6+Leonam!AL6+Danilo!AL6+Marcos!AL6+Alessandro!AL6</f>
        <v>0</v>
      </c>
      <c r="I6" s="49">
        <f>Diego!AR6+Aelton!AR6+Leonam!AR6+Danilo!AR6+Marcos!AR6+Alessandro!AR6</f>
        <v>0</v>
      </c>
      <c r="J6" s="49">
        <f>Diego!AX6+Aelton!AX6+Leonam!AX6+Danilo!AX6+Marcos!AX6+Alessandro!AX6</f>
        <v>0</v>
      </c>
      <c r="K6" s="49">
        <f>Diego!BA6+Aelton!BA6+Leonam!BA6+Danilo!BA6+Marcos!BA6+Alessandro!BA6+Carlos!BA6</f>
        <v>0</v>
      </c>
    </row>
    <row r="7" spans="1:11" s="58" customFormat="1" x14ac:dyDescent="0.25">
      <c r="A7" s="59" t="s">
        <v>2</v>
      </c>
      <c r="B7" s="57" t="s">
        <v>23</v>
      </c>
      <c r="C7" s="50">
        <f>Diego!H7+Aelton!H7+Leonam!H7+Danilo!H7+Marcos!H7+Alessandro!H7</f>
        <v>0</v>
      </c>
      <c r="D7" s="50">
        <f>Diego!N7+Aelton!N7+Leonam!N7+Danilo!N7+Marcos!N7+Alessandro!N7</f>
        <v>0</v>
      </c>
      <c r="E7" s="50">
        <f>Diego!T7+Aelton!T7+Leonam!T7+Danilo!T7+Marcos!T7+Alessandro!T7</f>
        <v>0</v>
      </c>
      <c r="F7" s="50">
        <f>Diego!Z7+Aelton!Z7+Leonam!Z7+Danilo!Z7+Marcos!Z7+Alessandro!Z7</f>
        <v>0</v>
      </c>
      <c r="G7" s="50">
        <f>Diego!AF7+Aelton!AF7+Leonam!AF7+Danilo!AF7+Marcos!AF7+Alessandro!AF7</f>
        <v>0</v>
      </c>
      <c r="H7" s="50">
        <f>Diego!AL7+Aelton!AL7+Leonam!AL7+Danilo!AL7+Marcos!AL7+Alessandro!AL7</f>
        <v>0</v>
      </c>
      <c r="I7" s="50">
        <f>Diego!AR7+Aelton!AR7+Leonam!AR7+Danilo!AR7+Marcos!AR7+Alessandro!AR7</f>
        <v>0</v>
      </c>
      <c r="J7" s="50">
        <f>Diego!AX7+Aelton!AX7+Leonam!AX7+Danilo!AX7+Marcos!AX7+Alessandro!AX7</f>
        <v>0</v>
      </c>
      <c r="K7" s="50">
        <f>Diego!BA7+Aelton!BA7+Leonam!BA7+Danilo!BA7+Marcos!BA7+Alessandro!BA7+Carlos!BA7</f>
        <v>0</v>
      </c>
    </row>
    <row r="8" spans="1:11" ht="24" x14ac:dyDescent="0.25">
      <c r="A8" s="51" t="s">
        <v>3</v>
      </c>
      <c r="B8" s="53" t="s">
        <v>24</v>
      </c>
      <c r="C8" s="49">
        <f>Diego!H8+Aelton!H8+Leonam!H8+Danilo!H8+Marcos!H8+Alessandro!H8</f>
        <v>0</v>
      </c>
      <c r="D8" s="49">
        <f>Diego!N8+Aelton!N8+Leonam!N8+Danilo!N8+Marcos!N8+Alessandro!N8</f>
        <v>0</v>
      </c>
      <c r="E8" s="49">
        <f>Diego!T8+Aelton!T8+Leonam!T8+Danilo!T8+Marcos!T8+Alessandro!T8</f>
        <v>0</v>
      </c>
      <c r="F8" s="49">
        <f>Diego!Z8+Aelton!Z8+Leonam!Z8+Danilo!Z8+Marcos!Z8+Alessandro!Z8</f>
        <v>0</v>
      </c>
      <c r="G8" s="49">
        <f>Diego!AF8+Aelton!AF8+Leonam!AF8+Danilo!AF8+Marcos!AF8+Alessandro!AF8</f>
        <v>0</v>
      </c>
      <c r="H8" s="49">
        <f>Diego!AL8+Aelton!AL8+Leonam!AL8+Danilo!AL8+Marcos!AL8+Alessandro!AL8</f>
        <v>0</v>
      </c>
      <c r="I8" s="49">
        <f>Diego!AR8+Aelton!AR8+Leonam!AR8+Danilo!AR8+Marcos!AR8+Alessandro!AR8</f>
        <v>0</v>
      </c>
      <c r="J8" s="49">
        <f>Diego!AX8+Aelton!AX8+Leonam!AX8+Danilo!AX8+Marcos!AX8+Alessandro!AX8</f>
        <v>0</v>
      </c>
      <c r="K8" s="49">
        <f>Diego!BA8+Aelton!BA8+Leonam!BA8+Danilo!BA8+Marcos!BA8+Alessandro!BA8+Carlos!BA8</f>
        <v>0</v>
      </c>
    </row>
    <row r="9" spans="1:11" s="58" customFormat="1" x14ac:dyDescent="0.25">
      <c r="A9" s="59" t="s">
        <v>25</v>
      </c>
      <c r="B9" s="57" t="s">
        <v>23</v>
      </c>
      <c r="C9" s="50">
        <f>Diego!H9+Aelton!H9+Leonam!H9+Danilo!H9+Marcos!H9+Alessandro!H9</f>
        <v>0</v>
      </c>
      <c r="D9" s="50">
        <f>Diego!N9+Aelton!N9+Leonam!N9+Danilo!N9+Marcos!N9+Alessandro!N9</f>
        <v>0</v>
      </c>
      <c r="E9" s="50">
        <f>Diego!T9+Aelton!T9+Leonam!T9+Danilo!T9+Marcos!T9+Alessandro!T9</f>
        <v>0</v>
      </c>
      <c r="F9" s="50">
        <f>Diego!Z9+Aelton!Z9+Leonam!Z9+Danilo!Z9+Marcos!Z9+Alessandro!Z9</f>
        <v>0</v>
      </c>
      <c r="G9" s="50">
        <f>Diego!AF9+Aelton!AF9+Leonam!AF9+Danilo!AF9+Marcos!AF9+Alessandro!AF9</f>
        <v>0</v>
      </c>
      <c r="H9" s="50">
        <f>Diego!AL9+Aelton!AL9+Leonam!AL9+Danilo!AL9+Marcos!AL9+Alessandro!AL9</f>
        <v>0</v>
      </c>
      <c r="I9" s="50">
        <f>Diego!AR9+Aelton!AR9+Leonam!AR9+Danilo!AR9+Marcos!AR9+Alessandro!AR9</f>
        <v>0</v>
      </c>
      <c r="J9" s="50">
        <f>Diego!AX9+Aelton!AX9+Leonam!AX9+Danilo!AX9+Marcos!AX9+Alessandro!AX9</f>
        <v>0</v>
      </c>
      <c r="K9" s="50">
        <f>Diego!BA9+Aelton!BA9+Leonam!BA9+Danilo!BA9+Marcos!BA9+Alessandro!BA9+Carlos!BA9</f>
        <v>0</v>
      </c>
    </row>
    <row r="10" spans="1:11" x14ac:dyDescent="0.25">
      <c r="A10" s="51" t="s">
        <v>12</v>
      </c>
      <c r="B10" s="52" t="s">
        <v>23</v>
      </c>
      <c r="C10" s="49">
        <f>Diego!H10+Aelton!H10+Leonam!H10+Danilo!H10+Marcos!H10+Alessandro!H10</f>
        <v>0</v>
      </c>
      <c r="D10" s="49">
        <f>Diego!N10+Aelton!N10+Leonam!N10+Danilo!N10+Marcos!N10+Alessandro!N10</f>
        <v>0</v>
      </c>
      <c r="E10" s="49">
        <f>Diego!T10+Aelton!T10+Leonam!T10+Danilo!T10+Marcos!T10+Alessandro!T10</f>
        <v>0</v>
      </c>
      <c r="F10" s="49">
        <f>Diego!Z10+Aelton!Z10+Leonam!Z10+Danilo!Z10+Marcos!Z10+Alessandro!Z10</f>
        <v>0</v>
      </c>
      <c r="G10" s="49">
        <f>Diego!AF10+Aelton!AF10+Leonam!AF10+Danilo!AF10+Marcos!AF10+Alessandro!AF10</f>
        <v>0</v>
      </c>
      <c r="H10" s="49">
        <f>Diego!AL10+Aelton!AL10+Leonam!AL10+Danilo!AL10+Marcos!AL10+Alessandro!AL10</f>
        <v>0</v>
      </c>
      <c r="I10" s="49">
        <f>Diego!AR10+Aelton!AR10+Leonam!AR10+Danilo!AR10+Marcos!AR10+Alessandro!AR10</f>
        <v>0</v>
      </c>
      <c r="J10" s="49">
        <f>Diego!AX10+Aelton!AX10+Leonam!AX10+Danilo!AX10+Marcos!AX10+Alessandro!AX10</f>
        <v>0</v>
      </c>
      <c r="K10" s="49">
        <f>Diego!BA10+Aelton!BA10+Leonam!BA10+Danilo!BA10+Marcos!BA10+Alessandro!BA10+Carlos!BA10</f>
        <v>0</v>
      </c>
    </row>
    <row r="11" spans="1:11" s="58" customFormat="1" x14ac:dyDescent="0.25">
      <c r="A11" s="59" t="s">
        <v>4</v>
      </c>
      <c r="B11" s="60" t="s">
        <v>23</v>
      </c>
      <c r="C11" s="50">
        <f>Diego!H11+Aelton!H11+Leonam!H11+Danilo!H11+Alessandro!H11+Marcos!H11+Carlos!H11</f>
        <v>29</v>
      </c>
      <c r="D11" s="50">
        <f>Diego!AT11+Aelton!AT11+Leonam!AT11+Danilo!AT11+Marcos!AT11+Alessandro!AT11+Carlos!AT11</f>
        <v>0</v>
      </c>
      <c r="E11" s="50">
        <f>Diego!AU11+Aelton!AU11+Leonam!AU11+Danilo!AU11+Marcos!AU11+Alessandro!AU11+Carlos!AU11</f>
        <v>0</v>
      </c>
      <c r="F11" s="50">
        <f>Diego!AV11+Aelton!AV11+Leonam!AV11+Danilo!AV11+Marcos!AV11+Alessandro!AV11+Carlos!AV11</f>
        <v>0</v>
      </c>
      <c r="G11" s="50">
        <f>Diego!AW11+Aelton!AW11+Leonam!AW11+Danilo!AW11+Marcos!AW11+Alessandro!AW11+Carlos!AW11</f>
        <v>0</v>
      </c>
      <c r="H11" s="50">
        <f>Diego!AX11+Aelton!AX11+Leonam!AX11+Danilo!AX11+Marcos!AX11+Alessandro!AX11+Carlos!AX11</f>
        <v>0</v>
      </c>
      <c r="I11" s="50">
        <f>Diego!AY11+Aelton!AY11+Leonam!AY11+Danilo!AY11+Marcos!AY11+Alessandro!AY11+Carlos!AY11</f>
        <v>0</v>
      </c>
      <c r="J11" s="50">
        <f>Diego!AZ11+Aelton!AZ11+Leonam!AZ11+Danilo!AZ11+Marcos!AZ11+Alessandro!AZ11+Carlos!AZ11</f>
        <v>0</v>
      </c>
      <c r="K11" s="50">
        <f>Diego!BA11+Aelton!BA11+Leonam!BA11+Danilo!BA11+Marcos!BA11+Alessandro!BA11+Carlos!BA11</f>
        <v>0</v>
      </c>
    </row>
    <row r="12" spans="1:11" x14ac:dyDescent="0.25">
      <c r="A12" s="51" t="s">
        <v>5</v>
      </c>
      <c r="B12" s="53" t="s">
        <v>23</v>
      </c>
      <c r="C12" s="49">
        <f>Diego!H12+Aelton!H12+Leonam!H12+Danilo!H12+Alessandro!H12+Marcos!H12+Carlos!H12</f>
        <v>189</v>
      </c>
      <c r="D12" s="49">
        <f>Diego!N12+Aelton!N12+Leonam!N12+Danilo!N12+Marcos!N12+Alessandro!N12</f>
        <v>77</v>
      </c>
      <c r="E12" s="49">
        <f>Diego!T12+Aelton!T12+Leonam!T12+Danilo!T12+Marcos!T12+Alessandro!T12</f>
        <v>0</v>
      </c>
      <c r="F12" s="49">
        <f>Diego!Z12+Aelton!Z12+Leonam!Z12+Danilo!Z12+Marcos!Z12+Alessandro!Z12</f>
        <v>0</v>
      </c>
      <c r="G12" s="49">
        <f>Diego!AF12+Aelton!AF12+Leonam!AF12+Danilo!AF12+Marcos!AF12+Alessandro!AF12+Carlos!AF12</f>
        <v>0</v>
      </c>
      <c r="H12" s="49">
        <f>Diego!AL12+Aelton!AL12+Leonam!AL12+Danilo!AL12+Marcos!AL12+Alessandro!AL12+Carlos!AL12</f>
        <v>0</v>
      </c>
      <c r="I12" s="49">
        <f>Diego!AR12+Aelton!AR12+Leonam!AR12+Danilo!AR12+Marcos!AR12+Alessandro!AR12+Carlos!AR12</f>
        <v>0</v>
      </c>
      <c r="J12" s="49">
        <f>Diego!AX12+Aelton!AX12+Leonam!AX12+Danilo!AX12+Marcos!AX12+Alessandro!AX12+Carlos!AX12</f>
        <v>0</v>
      </c>
      <c r="K12" s="49">
        <f>Diego!BA12+Aelton!BA12+Leonam!BA12+Danilo!BA12+Marcos!BA12+Alessandro!BA12+Carlos!BA12</f>
        <v>0</v>
      </c>
    </row>
    <row r="13" spans="1:11" s="58" customFormat="1" ht="30" x14ac:dyDescent="0.25">
      <c r="A13" s="59" t="s">
        <v>8</v>
      </c>
      <c r="B13" s="57" t="s">
        <v>21</v>
      </c>
      <c r="C13" s="50">
        <f>Diego!H13+Aelton!H13+Leonam!H13+Danilo!H13+Alessandro!H13+Marcos!H13+Carlos!H13</f>
        <v>0</v>
      </c>
      <c r="D13" s="50">
        <f>Diego!N13+Aelton!N13+Leonam!N13+Danilo!N13+Marcos!N13+Alessandro!N13+Patrícia!N2+Leonardo!N2</f>
        <v>1</v>
      </c>
      <c r="E13" s="50">
        <f>Diego!T13+Aelton!T13+Leonam!T13+Danilo!T13+Marcos!T13+Alessandro!T13+Patrícia!T2+Leonardo!T2</f>
        <v>0</v>
      </c>
      <c r="F13" s="50">
        <f>Diego!Z13+Aelton!Z13+Leonam!Z13+Danilo!Z13+Marcos!Z13+Alessandro!Z13+Patrícia!Z2+Leonardo!Z2</f>
        <v>0</v>
      </c>
      <c r="G13" s="50">
        <f>Diego!AF13+Aelton!AF13+Leonam!AF13+Danilo!AF13+Marcos!AF13+Alessandro!AF13+Patrícia!AF2+Leonardo!AF2</f>
        <v>0</v>
      </c>
      <c r="H13" s="50">
        <f>Diego!AL13+Aelton!AL13+Leonam!AL13+Danilo!AL13+Marcos!AL13+Alessandro!AL13+Patrícia!AL2+Leonardo!AL2</f>
        <v>0</v>
      </c>
      <c r="I13" s="50">
        <f>Diego!AR13+Aelton!AR13+Leonam!AR13+Danilo!AR13+Marcos!AR13+Alessandro!AR13+Patrícia!AR2+Leonardo!AR2</f>
        <v>0</v>
      </c>
      <c r="J13" s="50">
        <f>Diego!AX13+Aelton!AX13+Leonam!AX13+Danilo!AX13+Marcos!AX13+Alessandro!AX13+Patrícia!AX2+Leonardo!AX2</f>
        <v>0</v>
      </c>
      <c r="K13" s="50">
        <f>Diego!BA13+Aelton!BA13+Leonam!BA13+Danilo!BA13+Marcos!BA13+Alessandro!BA13+Carlos!BA13</f>
        <v>0</v>
      </c>
    </row>
    <row r="14" spans="1:11" x14ac:dyDescent="0.25">
      <c r="A14" s="51" t="s">
        <v>6</v>
      </c>
      <c r="B14" s="53" t="s">
        <v>26</v>
      </c>
      <c r="C14" s="49">
        <f>Diego!H14+Aelton!H14+Leonam!H14+Danilo!H14+Marcos!H14+Alessandro!H14+Patrícia!H3+Leonardo!H3</f>
        <v>0</v>
      </c>
      <c r="D14" s="49">
        <f>Diego!N14+Aelton!N14+Leonam!N14+Danilo!N14+Marcos!N14+Alessandro!N14+Patrícia!N3+Leonardo!N3</f>
        <v>5</v>
      </c>
      <c r="E14" s="49">
        <f>Diego!T14+Aelton!T14+Leonam!T14+Danilo!T14+Marcos!T14+Alessandro!T14+Patrícia!T3+Leonardo!T3</f>
        <v>0</v>
      </c>
      <c r="F14" s="49">
        <f>Diego!Z14+Aelton!Z14+Leonam!Z14+Danilo!Z14+Marcos!Z14+Alessandro!Z14+Patrícia!Z3+Leonardo!Z3</f>
        <v>0</v>
      </c>
      <c r="G14" s="49">
        <f>Diego!AF14+Aelton!AF14+Leonam!AF14+Danilo!AF14+Marcos!AF14+Alessandro!AF14+Patrícia!AF3+Leonardo!AF3</f>
        <v>0</v>
      </c>
      <c r="H14" s="49">
        <f>Diego!AL14+Aelton!AL14+Leonam!AL14+Danilo!AL14+Marcos!AL14+Alessandro!AL14+Patrícia!AL3+Leonardo!AL3</f>
        <v>0</v>
      </c>
      <c r="I14" s="49">
        <f>Diego!AR14+Aelton!AR14+Leonam!AR14+Danilo!AR14+Marcos!AR14+Alessandro!AR14+Patrícia!AR3+Leonardo!AR3</f>
        <v>0</v>
      </c>
      <c r="J14" s="49">
        <f>Diego!AX14+Aelton!AX14+Leonam!AX14+Danilo!AX14+Marcos!AX14+Alessandro!AX14+Patrícia!AX3+Leonardo!AX3</f>
        <v>0</v>
      </c>
      <c r="K14" s="49">
        <f>Diego!BA14+Aelton!BA14+Leonam!BA14+Danilo!BA14+Marcos!BA14+Alessandro!BA14+Carlos!BA14</f>
        <v>0</v>
      </c>
    </row>
    <row r="15" spans="1:11" s="58" customFormat="1" ht="24" x14ac:dyDescent="0.25">
      <c r="A15" s="56" t="s">
        <v>7</v>
      </c>
      <c r="B15" s="57" t="s">
        <v>27</v>
      </c>
      <c r="C15" s="50">
        <f>Diego!H15+Aelton!H15+Leonam!H15+Danilo!H15+Marcos!H15+Alessandro!H15</f>
        <v>100</v>
      </c>
      <c r="D15" s="50">
        <f>Diego!N15+Aelton!N15+Leonam!N15+Danilo!N15+Marcos!N15+Alessandro!N15+Carlos!N15</f>
        <v>50</v>
      </c>
      <c r="E15" s="50">
        <f>Diego!T15+Aelton!T15+Leonam!T15+Danilo!T15+Marcos!T15+Alessandro!T15</f>
        <v>0</v>
      </c>
      <c r="F15" s="50">
        <f>Diego!Z15+Aelton!Z15+Leonam!Z15+Danilo!Z15+Marcos!Z15+Alessandro!Z15</f>
        <v>0</v>
      </c>
      <c r="G15" s="50">
        <f>Diego!AF15+Aelton!AF15+Leonam!AF15+Danilo!AF15+Marcos!AF15+Alessandro!AF15</f>
        <v>0</v>
      </c>
      <c r="H15" s="50">
        <f>Diego!AL15+Aelton!AL15+Leonam!AL15+Danilo!AL15+Marcos!AL15+Alessandro!AL15</f>
        <v>0</v>
      </c>
      <c r="I15" s="50">
        <f>Diego!AR15+Aelton!AR15+Leonam!AR15+Danilo!AR15+Marcos!AR15+Alessandro!AR15</f>
        <v>0</v>
      </c>
      <c r="J15" s="50">
        <f>Diego!AX15+Aelton!AX15+Leonam!AX15+Danilo!AX15+Marcos!AX15+Alessandro!AX15</f>
        <v>0</v>
      </c>
      <c r="K15" s="50">
        <f>Diego!BA15+Aelton!BA15+Leonam!BA15+Danilo!BA15+Marcos!BA15+Alessandro!BA15+Carlos!BA15</f>
        <v>0</v>
      </c>
    </row>
    <row r="16" spans="1:11" ht="36" x14ac:dyDescent="0.25">
      <c r="A16" s="47" t="s">
        <v>14</v>
      </c>
      <c r="B16" s="53" t="s">
        <v>28</v>
      </c>
      <c r="C16" s="49">
        <f>Diego!H16+Aelton!H16+Leonam!H16+Danilo!H16+Marcos!H16+Alessandro!H16</f>
        <v>52</v>
      </c>
      <c r="D16" s="49">
        <f>Diego!N16+Aelton!N16+Leonam!N16+Danilo!N16+Marcos!N16+Alessandro!N16</f>
        <v>50</v>
      </c>
      <c r="E16" s="49">
        <f>Diego!T16+Aelton!T16+Leonam!T16+Danilo!T16+Marcos!T16+Alessandro!T16</f>
        <v>0</v>
      </c>
      <c r="F16" s="49">
        <f>Diego!Z16+Aelton!Z16+Leonam!Z16+Danilo!Z16+Marcos!Z16+Alessandro!Z16</f>
        <v>0</v>
      </c>
      <c r="G16" s="49">
        <f>Diego!AF16+Aelton!AF16+Leonam!AF16+Danilo!AF16+Marcos!AF16+Alessandro!AF16</f>
        <v>0</v>
      </c>
      <c r="H16" s="49">
        <f>Diego!AL16+Aelton!AL16+Leonam!AL16+Danilo!AL16+Marcos!AL16+Alessandro!AL16</f>
        <v>0</v>
      </c>
      <c r="I16" s="49">
        <f>Diego!AR16+Aelton!AR16+Leonam!AR16+Danilo!AR16+Marcos!AR16+Alessandro!AR16</f>
        <v>0</v>
      </c>
      <c r="J16" s="49">
        <f>Diego!AX16+Aelton!AX16+Leonam!AX16+Danilo!AX16+Marcos!AX16+Alessandro!AX16</f>
        <v>0</v>
      </c>
      <c r="K16" s="49">
        <f>Diego!BA16+Aelton!BA16+Leonam!BA16+Danilo!BA16+Marcos!BA16+Alessandro!BA16+Carlos!BA16</f>
        <v>0</v>
      </c>
    </row>
    <row r="17" spans="1:11" s="58" customFormat="1" x14ac:dyDescent="0.25">
      <c r="A17" s="56" t="s">
        <v>39</v>
      </c>
      <c r="B17" s="57" t="s">
        <v>40</v>
      </c>
      <c r="C17" s="50">
        <f>Diego!H17+Aelton!H17+Leonam!H17+Danilo!H17+Marcos!H17+Alessandro!H17</f>
        <v>28</v>
      </c>
      <c r="D17" s="50">
        <f>Diego!N17+Aelton!N17+Leonam!N17+Danilo!N17+Marcos!N17+Alessandro!N17</f>
        <v>0</v>
      </c>
      <c r="E17" s="50">
        <f>Diego!T17+Aelton!T17+Leonam!T17+Danilo!T17+Marcos!T17+Alessandro!T17</f>
        <v>0</v>
      </c>
      <c r="F17" s="50">
        <f>Diego!Z17+Aelton!Z17+Leonam!Z17+Danilo!Z17+Marcos!Z17+Alessandro!Z17</f>
        <v>0</v>
      </c>
      <c r="G17" s="50">
        <f>Diego!AF17+Aelton!AF17+Leonam!AF17+Danilo!AF17+Marcos!AF17+Alessandro!AF17</f>
        <v>0</v>
      </c>
      <c r="H17" s="50">
        <f>Diego!AL17+Aelton!AL17+Leonam!AL17+Danilo!AL17+Marcos!AL17+Alessandro!AL17</f>
        <v>0</v>
      </c>
      <c r="I17" s="50">
        <f>Diego!AR17+Aelton!AR17+Leonam!AR17+Danilo!AR17+Marcos!AR17+Alessandro!AR17</f>
        <v>0</v>
      </c>
      <c r="J17" s="50">
        <f>Diego!AX17+Aelton!AX17+Leonam!AX17+Danilo!AX17+Marcos!AX17+Alessandro!AX17</f>
        <v>0</v>
      </c>
      <c r="K17" s="50">
        <f>Diego!BA17+Aelton!BA17+Leonam!BA17+Danilo!BA17+Marcos!BA17+Alessandro!BA17+Carlos!BA17</f>
        <v>0</v>
      </c>
    </row>
    <row r="18" spans="1:11" ht="408" customHeight="1" x14ac:dyDescent="0.25">
      <c r="A18" s="1" t="s">
        <v>11</v>
      </c>
      <c r="B18" s="1"/>
      <c r="C18" s="4"/>
      <c r="D18" s="4"/>
      <c r="E18" s="8"/>
      <c r="F18" s="4"/>
      <c r="G18" s="54"/>
      <c r="H18" s="4"/>
      <c r="I18" s="54"/>
      <c r="J18" s="54"/>
    </row>
    <row r="19" spans="1:11" x14ac:dyDescent="0.25">
      <c r="A19" s="1" t="s">
        <v>10</v>
      </c>
      <c r="B19" s="1"/>
    </row>
    <row r="21" spans="1:11" ht="38.25" customHeight="1" x14ac:dyDescent="0.25">
      <c r="A21" s="7"/>
    </row>
    <row r="23" spans="1:11" x14ac:dyDescent="0.25">
      <c r="A23" s="8"/>
    </row>
    <row r="24" spans="1:11" x14ac:dyDescent="0.25">
      <c r="A24" s="9"/>
    </row>
  </sheetData>
  <autoFilter ref="A1:J19" xr:uid="{00000000-0001-0000-0300-000000000000}"/>
  <customSheetViews>
    <customSheetView guid="{B3CDE377-BA5D-4E06-91D9-3A48E1959BA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3D987F8E-A6EA-454D-9537-6BFC5053CB00}" showAutoFilter="1">
      <selection activeCell="K2" sqref="K2"/>
      <pageMargins left="0.511811024" right="0.511811024" top="0.78740157499999996" bottom="0.78740157499999996" header="0.31496062000000002" footer="0.31496062000000002"/>
      <autoFilter ref="A1:J19" xr:uid="{266BBC41-331F-4F1E-A6E3-E11416835979}"/>
    </customSheetView>
    <customSheetView guid="{18A482E0-C8B6-4AA1-9E04-15FA7C9CD5E3}" scale="110">
      <pane xSplit="1" topLeftCell="H1" activePane="topRight" state="frozen"/>
      <selection pane="topRight" activeCell="Q13" sqref="Q13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 topLeftCell="B1">
      <selection activeCell="H7" sqref="H7"/>
      <pageMargins left="0.511811024" right="0.511811024" top="0.78740157499999996" bottom="0.78740157499999996" header="0.31496062000000002" footer="0.31496062000000002"/>
      <autoFilter ref="A1:A19" xr:uid="{9CE22F57-8D01-47F8-BEA2-E1F2938E5C6F}"/>
    </customSheetView>
    <customSheetView guid="{20CB6D8F-C24D-4D4B-A424-AF380F620455}">
      <selection activeCell="C1" sqref="C1:C1048576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E3" sqref="E3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C1" sqref="C1:C1048576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20"/>
  <sheetViews>
    <sheetView zoomScale="90" zoomScaleNormal="70" workbookViewId="0">
      <pane xSplit="1" topLeftCell="F1" activePane="topRight" state="frozen"/>
      <selection pane="topRight" activeCell="O18" sqref="O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20.140625" style="1" customWidth="1"/>
    <col min="4" max="4" width="15.140625" style="1" customWidth="1"/>
    <col min="5" max="5" width="16.28515625" style="1" customWidth="1"/>
    <col min="6" max="6" width="15" style="1" customWidth="1"/>
    <col min="7" max="7" width="16.42578125" style="1" customWidth="1"/>
    <col min="8" max="8" width="14.28515625" style="1" bestFit="1" customWidth="1"/>
    <col min="9" max="9" width="10.5703125" style="1" customWidth="1"/>
    <col min="10" max="10" width="7.140625" style="1" bestFit="1" customWidth="1"/>
    <col min="11" max="11" width="14.5703125" style="1" customWidth="1"/>
    <col min="12" max="12" width="19.7109375" style="1" customWidth="1"/>
    <col min="13" max="13" width="33.140625" style="1" customWidth="1"/>
    <col min="14" max="14" width="14.28515625" style="1" bestFit="1" customWidth="1"/>
    <col min="15" max="17" width="13" style="1" customWidth="1"/>
    <col min="18" max="18" width="20.28515625" style="1" customWidth="1"/>
    <col min="19" max="19" width="16.85546875" style="1" customWidth="1"/>
    <col min="20" max="20" width="14.28515625" style="1" bestFit="1" customWidth="1"/>
    <col min="21" max="21" width="13.140625" style="1" customWidth="1"/>
    <col min="22" max="22" width="21.7109375" style="1" customWidth="1"/>
    <col min="23" max="23" width="19.5703125" style="1" customWidth="1"/>
    <col min="24" max="24" width="25.140625" style="1" customWidth="1"/>
    <col min="25" max="25" width="14.5703125" style="1" customWidth="1"/>
    <col min="26" max="26" width="15.28515625" style="1" customWidth="1"/>
    <col min="27" max="27" width="19.42578125" style="1" customWidth="1"/>
    <col min="28" max="28" width="17.140625" style="1" customWidth="1"/>
    <col min="29" max="29" width="20" style="1" customWidth="1"/>
    <col min="30" max="30" width="14.140625" style="1" customWidth="1"/>
    <col min="31" max="31" width="16.5703125" style="1" customWidth="1"/>
    <col min="32" max="32" width="14.28515625" style="1" bestFit="1" customWidth="1"/>
    <col min="33" max="33" width="23.140625" style="1" customWidth="1"/>
    <col min="34" max="34" width="19.42578125" style="1" customWidth="1"/>
    <col min="35" max="35" width="15.7109375" style="1" customWidth="1"/>
    <col min="36" max="36" width="13.42578125" style="1" customWidth="1"/>
    <col min="37" max="38" width="15.42578125" style="1" customWidth="1"/>
    <col min="39" max="39" width="13.42578125" style="1" customWidth="1"/>
    <col min="40" max="40" width="14.7109375" style="1" customWidth="1"/>
    <col min="41" max="41" width="14.28515625" style="1" customWidth="1"/>
    <col min="42" max="42" width="16.85546875" style="1" customWidth="1"/>
    <col min="43" max="43" width="14" style="1" customWidth="1"/>
    <col min="44" max="44" width="15.42578125" style="1" customWidth="1"/>
    <col min="45" max="45" width="13.42578125" style="1" customWidth="1"/>
    <col min="46" max="46" width="21" style="1" customWidth="1"/>
    <col min="47" max="47" width="13.85546875" style="1" customWidth="1"/>
    <col min="48" max="48" width="18.42578125" style="1" customWidth="1"/>
    <col min="49" max="49" width="14" style="1" customWidth="1"/>
    <col min="50" max="50" width="16.140625" style="1" customWidth="1"/>
    <col min="51" max="52" width="9.140625" style="1"/>
    <col min="53" max="53" width="13.7109375" style="1" customWidth="1"/>
    <col min="54" max="16384" width="9.140625" style="1"/>
  </cols>
  <sheetData>
    <row r="1" spans="1:53" x14ac:dyDescent="0.25">
      <c r="A1" s="14" t="s">
        <v>9</v>
      </c>
      <c r="B1" s="18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2" t="s">
        <v>18</v>
      </c>
      <c r="B2" s="16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2" t="s">
        <v>0</v>
      </c>
      <c r="B3" s="16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3" t="s">
        <v>17</v>
      </c>
      <c r="B4" s="17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3" t="s">
        <v>16</v>
      </c>
      <c r="B5" s="16">
        <v>4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3" t="s">
        <v>1</v>
      </c>
      <c r="B6" s="16">
        <v>5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3" t="s">
        <v>2</v>
      </c>
      <c r="B7" s="17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3" t="s">
        <v>3</v>
      </c>
      <c r="B8" s="16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3" t="s">
        <v>13</v>
      </c>
      <c r="B9" s="16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2" t="s">
        <v>12</v>
      </c>
      <c r="B10" s="17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3" t="s">
        <v>4</v>
      </c>
      <c r="B11" s="16">
        <v>10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F11" s="33">
        <f t="shared" si="5"/>
        <v>0</v>
      </c>
      <c r="AL11" s="33">
        <f t="shared" si="6"/>
        <v>0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3" t="s">
        <v>5</v>
      </c>
      <c r="B12" s="16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F12" s="33">
        <f t="shared" si="5"/>
        <v>0</v>
      </c>
      <c r="AL12" s="33">
        <f t="shared" si="6"/>
        <v>0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x14ac:dyDescent="0.25">
      <c r="A13" s="2" t="s">
        <v>8</v>
      </c>
      <c r="B13" s="17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3" t="s">
        <v>6</v>
      </c>
      <c r="B14" s="16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2" t="s">
        <v>7</v>
      </c>
      <c r="B15" s="35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F15" s="33">
        <f t="shared" si="5"/>
        <v>0</v>
      </c>
      <c r="AL15" s="33">
        <f t="shared" si="6"/>
        <v>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2" t="s">
        <v>14</v>
      </c>
      <c r="B16" s="36">
        <v>15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2" t="s">
        <v>39</v>
      </c>
      <c r="B17" s="37">
        <v>16</v>
      </c>
      <c r="H17" s="33">
        <f>SUM(C17:G17)</f>
        <v>0</v>
      </c>
      <c r="N17" s="33">
        <f>SUM(I17:M17)</f>
        <v>0</v>
      </c>
      <c r="T17" s="33">
        <f t="shared" si="1"/>
        <v>0</v>
      </c>
      <c r="Z17" s="33">
        <f>SUM(U17:Y17)</f>
        <v>0</v>
      </c>
      <c r="AF17" s="33">
        <f>SUM(AA17:AE17)</f>
        <v>0</v>
      </c>
      <c r="AL17" s="33">
        <f>SUM(AG17:AK17)</f>
        <v>0</v>
      </c>
      <c r="AR17" s="33">
        <f>SUM(AM17:AQ17)</f>
        <v>0</v>
      </c>
      <c r="AX17" s="33">
        <f>SUM(AS17:AW17)</f>
        <v>0</v>
      </c>
      <c r="BA17" s="33">
        <f t="shared" si="2"/>
        <v>0</v>
      </c>
    </row>
    <row r="18" spans="1:53" ht="165" x14ac:dyDescent="0.25">
      <c r="A18" s="1" t="s">
        <v>11</v>
      </c>
      <c r="C18" s="68" t="s">
        <v>57</v>
      </c>
      <c r="D18" s="68" t="s">
        <v>57</v>
      </c>
      <c r="E18" s="68" t="s">
        <v>57</v>
      </c>
      <c r="F18" s="68" t="s">
        <v>57</v>
      </c>
      <c r="G18" s="68" t="s">
        <v>57</v>
      </c>
      <c r="H18" s="18"/>
      <c r="I18" s="70"/>
      <c r="J18" s="70"/>
      <c r="K18" s="70"/>
      <c r="L18" s="70"/>
      <c r="M18" s="70"/>
      <c r="N18" s="18"/>
      <c r="O18" s="70"/>
      <c r="P18" s="70"/>
      <c r="Q18" s="70"/>
      <c r="R18" s="70"/>
      <c r="S18" s="70"/>
      <c r="T18" s="18"/>
      <c r="U18" s="70"/>
      <c r="V18" s="70"/>
      <c r="W18" s="70"/>
      <c r="X18" s="70"/>
      <c r="Y18" s="70"/>
      <c r="Z18" s="18"/>
      <c r="AA18" s="70"/>
      <c r="AB18" s="70"/>
      <c r="AC18" s="70"/>
      <c r="AD18" s="70"/>
      <c r="AE18" s="70"/>
      <c r="AF18" s="18"/>
      <c r="AG18" s="70"/>
      <c r="AH18" s="70"/>
      <c r="AI18" s="70"/>
      <c r="AJ18" s="70"/>
      <c r="AK18" s="70"/>
      <c r="AL18" s="18"/>
      <c r="AM18" s="70"/>
      <c r="AN18" s="70"/>
      <c r="AO18" s="70"/>
      <c r="AP18" s="70"/>
      <c r="AQ18" s="70"/>
      <c r="AR18" s="18"/>
      <c r="AS18" s="70"/>
      <c r="AT18" s="70"/>
      <c r="AU18" s="70"/>
      <c r="AV18" s="70"/>
      <c r="AW18" s="70"/>
      <c r="AX18" s="70"/>
      <c r="AY18" s="18"/>
      <c r="AZ18" s="18"/>
      <c r="BA18" s="18"/>
    </row>
    <row r="19" spans="1:53" x14ac:dyDescent="0.25">
      <c r="A19" s="1" t="s">
        <v>10</v>
      </c>
      <c r="C19" s="4"/>
      <c r="D19" s="4"/>
      <c r="E19" s="4"/>
      <c r="F19" s="4"/>
      <c r="G19" s="4"/>
      <c r="I19" s="4"/>
      <c r="J19" s="4"/>
      <c r="K19" s="4"/>
      <c r="L19" s="4"/>
      <c r="M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AA19" s="4"/>
      <c r="AB19" s="4"/>
      <c r="AC19" s="4"/>
      <c r="AD19" s="4"/>
      <c r="AE19" s="4"/>
      <c r="AG19" s="4"/>
      <c r="AH19" s="4"/>
      <c r="AI19" s="4"/>
      <c r="AJ19" s="4"/>
      <c r="AK19" s="4"/>
      <c r="AN19" s="4"/>
      <c r="AO19" s="4"/>
      <c r="AQ19" s="4"/>
      <c r="AS19" s="4"/>
      <c r="AT19" s="4"/>
      <c r="AU19" s="4"/>
      <c r="AV19" s="4"/>
    </row>
    <row r="20" spans="1:53" x14ac:dyDescent="0.25">
      <c r="Q20" s="4"/>
      <c r="V20" s="4"/>
    </row>
  </sheetData>
  <customSheetViews>
    <customSheetView guid="{B3CDE377-BA5D-4E06-91D9-3A48E1959BA5}" scale="90">
      <pane xSplit="1" topLeftCell="B1" activePane="topRight" state="frozen"/>
      <selection pane="topRight" activeCell="AJ18" sqref="AJ18"/>
      <pageMargins left="0.511811024" right="0.511811024" top="0.78740157499999996" bottom="0.78740157499999996" header="0.31496062000000002" footer="0.31496062000000002"/>
    </customSheetView>
    <customSheetView guid="{3D987F8E-A6EA-454D-9537-6BFC5053CB00}" scale="90">
      <pane xSplit="1" topLeftCell="Z1" activePane="topRight" state="frozen"/>
      <selection pane="topRight" activeCell="AH13" sqref="AH13"/>
      <pageMargins left="0.511811024" right="0.511811024" top="0.78740157499999996" bottom="0.78740157499999996" header="0.31496062000000002" footer="0.31496062000000002"/>
    </customSheetView>
    <customSheetView guid="{18A482E0-C8B6-4AA1-9E04-15FA7C9CD5E3}">
      <pane xSplit="1" topLeftCell="BS1" activePane="topRight" state="frozen"/>
      <selection pane="topRight" activeCell="CG1" sqref="CG1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D11" sqref="D11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I1" activePane="topRight" state="frozen"/>
      <selection pane="topRight" activeCell="M11" sqref="M11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B1" activePane="topRight" state="frozen"/>
      <selection pane="topRight" activeCell="C17" sqref="C17:G19"/>
      <pageMargins left="0.511811024" right="0.511811024" top="0.78740157499999996" bottom="0.78740157499999996" header="0.31496062000000002" footer="0.31496062000000002"/>
      <autoFilter ref="A1:A20" xr:uid="{33E41367-D8AD-43E5-AF82-B0B59D7CB4B3}"/>
    </customSheetView>
    <customSheetView guid="{20CB6D8F-C24D-4D4B-A424-AF380F620455}" scale="90" showPageBreaks="1">
      <pane xSplit="1" topLeftCell="AJ1" activePane="topRight" state="frozen"/>
      <selection pane="topRight" activeCell="AO18" sqref="AO18:AQ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86039CF8-B158-4D70-9A6F-A10C29CBD68A}" scale="90">
      <pane xSplit="1" topLeftCell="AK1" activePane="topRight" state="frozen"/>
      <selection pane="topRight" activeCell="Y11" sqref="Y11"/>
      <pageMargins left="0.511811024" right="0.511811024" top="0.78740157499999996" bottom="0.78740157499999996" header="0.31496062000000002" footer="0.31496062000000002"/>
    </customSheetView>
    <customSheetView guid="{E3841903-5B68-44FD-8F09-58E03D1025C5}" scale="70" topLeftCell="D4">
      <selection activeCell="Q19" sqref="Q19:Q20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40"/>
  <sheetViews>
    <sheetView zoomScaleNormal="100" workbookViewId="0">
      <pane xSplit="1" topLeftCell="I1" activePane="topRight" state="frozen"/>
      <selection pane="topRight" activeCell="P18" sqref="P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20.140625" style="1" customWidth="1"/>
    <col min="8" max="8" width="14.28515625" style="1" bestFit="1" customWidth="1"/>
    <col min="9" max="9" width="17.28515625" style="1" customWidth="1"/>
    <col min="10" max="10" width="18.42578125" style="1" customWidth="1"/>
    <col min="11" max="11" width="14.5703125" style="1" customWidth="1"/>
    <col min="12" max="12" width="16" style="1" customWidth="1"/>
    <col min="13" max="13" width="17.7109375" style="1" customWidth="1"/>
    <col min="14" max="14" width="14.28515625" style="1" bestFit="1" customWidth="1"/>
    <col min="15" max="19" width="18.85546875" style="1" customWidth="1"/>
    <col min="20" max="20" width="14.28515625" style="1" bestFit="1" customWidth="1"/>
    <col min="21" max="25" width="20.42578125" style="1" customWidth="1"/>
    <col min="26" max="26" width="15.28515625" style="1" customWidth="1"/>
    <col min="27" max="27" width="19.42578125" style="1" customWidth="1"/>
    <col min="28" max="28" width="17.140625" style="1" customWidth="1"/>
    <col min="29" max="29" width="20" style="1" customWidth="1"/>
    <col min="30" max="30" width="14.140625" style="1" customWidth="1"/>
    <col min="31" max="31" width="16.5703125" style="1" customWidth="1"/>
    <col min="32" max="32" width="14.28515625" style="1" bestFit="1" customWidth="1"/>
    <col min="33" max="37" width="23.140625" style="1" customWidth="1"/>
    <col min="38" max="38" width="15.42578125" style="1" customWidth="1"/>
    <col min="39" max="43" width="19.7109375" style="1" customWidth="1"/>
    <col min="44" max="44" width="15.42578125" style="1" customWidth="1"/>
    <col min="45" max="45" width="19.5703125" style="1" customWidth="1"/>
    <col min="46" max="46" width="19.42578125" style="1" customWidth="1"/>
    <col min="47" max="49" width="19.5703125" style="1" customWidth="1"/>
    <col min="50" max="50" width="16.140625" style="1" customWidth="1"/>
    <col min="51" max="16384" width="9.140625" style="1"/>
  </cols>
  <sheetData>
    <row r="1" spans="1:53" x14ac:dyDescent="0.25">
      <c r="A1" s="14" t="s">
        <v>9</v>
      </c>
      <c r="B1" s="41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39" t="s">
        <v>18</v>
      </c>
      <c r="B2" s="42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39" t="s">
        <v>0</v>
      </c>
      <c r="B3" s="42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40" t="s">
        <v>17</v>
      </c>
      <c r="B4" s="43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40" t="s">
        <v>16</v>
      </c>
      <c r="B5" s="42">
        <v>4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40" t="s">
        <v>1</v>
      </c>
      <c r="B6" s="42">
        <v>5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40" t="s">
        <v>2</v>
      </c>
      <c r="B7" s="43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40" t="s">
        <v>3</v>
      </c>
      <c r="B8" s="42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40" t="s">
        <v>13</v>
      </c>
      <c r="B9" s="42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39" t="s">
        <v>12</v>
      </c>
      <c r="B10" s="43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40" t="s">
        <v>4</v>
      </c>
      <c r="B11" s="42">
        <v>10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F11" s="33">
        <f t="shared" si="5"/>
        <v>0</v>
      </c>
      <c r="AL11" s="33">
        <f t="shared" si="6"/>
        <v>0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40" t="s">
        <v>5</v>
      </c>
      <c r="B12" s="42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F12" s="33">
        <f t="shared" si="5"/>
        <v>0</v>
      </c>
      <c r="AL12" s="33">
        <f t="shared" si="6"/>
        <v>0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x14ac:dyDescent="0.25">
      <c r="A13" s="39" t="s">
        <v>8</v>
      </c>
      <c r="B13" s="43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40" t="s">
        <v>6</v>
      </c>
      <c r="B14" s="42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39" t="s">
        <v>7</v>
      </c>
      <c r="B15" s="42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F15" s="33">
        <f t="shared" si="5"/>
        <v>0</v>
      </c>
      <c r="AL15" s="33">
        <f t="shared" si="6"/>
        <v>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39" t="s">
        <v>14</v>
      </c>
      <c r="B16" s="36">
        <v>15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72" t="s">
        <v>39</v>
      </c>
      <c r="B17" s="36">
        <v>16</v>
      </c>
      <c r="H17" s="33">
        <f>SUM(C17:G17)</f>
        <v>0</v>
      </c>
      <c r="N17" s="33">
        <f>SUM(I17:M17)</f>
        <v>0</v>
      </c>
      <c r="T17" s="33">
        <f t="shared" si="1"/>
        <v>0</v>
      </c>
      <c r="Z17" s="33">
        <f>SUM(U17:Y17)</f>
        <v>0</v>
      </c>
      <c r="AF17" s="33">
        <f>SUM(AA17:AE17)</f>
        <v>0</v>
      </c>
      <c r="AL17" s="33">
        <f>SUM(AG17:AK17)</f>
        <v>0</v>
      </c>
      <c r="AR17" s="33">
        <f>SUM(AM17:AQ17)</f>
        <v>0</v>
      </c>
      <c r="AX17" s="33">
        <f>SUM(AS17:AW17)</f>
        <v>0</v>
      </c>
      <c r="BA17" s="33">
        <f t="shared" si="2"/>
        <v>0</v>
      </c>
    </row>
    <row r="18" spans="1:53" s="73" customFormat="1" ht="135" x14ac:dyDescent="0.25">
      <c r="A18" s="73" t="s">
        <v>11</v>
      </c>
      <c r="B18" s="74"/>
      <c r="C18" s="68" t="s">
        <v>57</v>
      </c>
      <c r="D18" s="68" t="s">
        <v>57</v>
      </c>
      <c r="E18" s="68" t="s">
        <v>57</v>
      </c>
      <c r="F18" s="68" t="s">
        <v>57</v>
      </c>
      <c r="G18" s="68" t="s">
        <v>57</v>
      </c>
      <c r="H18" s="76"/>
      <c r="I18" s="75"/>
      <c r="J18" s="75"/>
      <c r="K18" s="75"/>
      <c r="L18" s="75"/>
      <c r="M18" s="75"/>
      <c r="N18" s="76"/>
      <c r="O18" s="75"/>
      <c r="P18" s="75"/>
      <c r="Q18" s="75"/>
      <c r="R18" s="75"/>
      <c r="S18" s="75"/>
      <c r="T18" s="76"/>
      <c r="U18" s="75"/>
      <c r="V18" s="75"/>
      <c r="W18" s="75"/>
      <c r="X18" s="75"/>
      <c r="Y18" s="75"/>
      <c r="Z18" s="76"/>
      <c r="AA18" s="75"/>
      <c r="AB18" s="75"/>
      <c r="AC18" s="75"/>
      <c r="AD18" s="75"/>
      <c r="AE18" s="75"/>
      <c r="AF18" s="76"/>
      <c r="AG18" s="75"/>
      <c r="AH18" s="75"/>
      <c r="AI18" s="75"/>
      <c r="AJ18" s="75"/>
      <c r="AK18" s="75"/>
      <c r="AL18" s="76"/>
      <c r="AM18" s="75"/>
      <c r="AN18" s="75"/>
      <c r="AO18" s="75"/>
      <c r="AP18" s="75"/>
      <c r="AQ18" s="75"/>
      <c r="AR18" s="76"/>
      <c r="AS18" s="75"/>
      <c r="AT18" s="75"/>
      <c r="AU18" s="75"/>
      <c r="AV18" s="75"/>
      <c r="AW18" s="75"/>
      <c r="AX18" s="75"/>
      <c r="AY18" s="76"/>
      <c r="AZ18" s="76"/>
      <c r="BA18" s="76"/>
    </row>
    <row r="19" spans="1:53" s="73" customFormat="1" x14ac:dyDescent="0.25">
      <c r="A19" s="73" t="s">
        <v>10</v>
      </c>
      <c r="B19" s="74"/>
      <c r="C19" s="68"/>
      <c r="D19" s="68"/>
      <c r="E19" s="68"/>
      <c r="F19" s="68"/>
      <c r="G19" s="68"/>
      <c r="H19" s="76"/>
      <c r="I19" s="75"/>
      <c r="J19" s="76"/>
      <c r="K19" s="75"/>
      <c r="L19" s="76"/>
      <c r="M19" s="76"/>
      <c r="N19" s="76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6"/>
      <c r="AA19" s="75"/>
      <c r="AB19" s="75"/>
      <c r="AC19" s="76"/>
      <c r="AD19" s="75"/>
      <c r="AE19" s="75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5"/>
      <c r="AT19" s="75"/>
      <c r="AU19" s="75"/>
      <c r="AV19" s="75"/>
      <c r="AW19" s="75"/>
      <c r="AX19" s="76"/>
      <c r="AY19" s="76"/>
      <c r="AZ19" s="76"/>
      <c r="BA19" s="76"/>
    </row>
    <row r="20" spans="1:53" x14ac:dyDescent="0.25"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</row>
    <row r="21" spans="1:53" x14ac:dyDescent="0.25"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</row>
    <row r="22" spans="1:53" x14ac:dyDescent="0.25"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</row>
    <row r="23" spans="1:53" x14ac:dyDescent="0.25"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</row>
    <row r="24" spans="1:53" x14ac:dyDescent="0.25"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</row>
    <row r="25" spans="1:53" x14ac:dyDescent="0.25"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</row>
    <row r="26" spans="1:53" x14ac:dyDescent="0.25"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</row>
    <row r="27" spans="1:53" x14ac:dyDescent="0.25"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</row>
    <row r="28" spans="1:53" x14ac:dyDescent="0.25"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</row>
    <row r="29" spans="1:53" x14ac:dyDescent="0.25"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</row>
    <row r="30" spans="1:53" x14ac:dyDescent="0.25"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</row>
    <row r="31" spans="1:53" x14ac:dyDescent="0.25"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</row>
    <row r="32" spans="1:53" x14ac:dyDescent="0.25"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</row>
    <row r="33" spans="3:53" x14ac:dyDescent="0.25"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</row>
    <row r="34" spans="3:53" x14ac:dyDescent="0.25"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</row>
    <row r="35" spans="3:53" x14ac:dyDescent="0.25"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</row>
    <row r="36" spans="3:53" x14ac:dyDescent="0.25"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</row>
    <row r="37" spans="3:53" x14ac:dyDescent="0.25"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</row>
    <row r="38" spans="3:53" x14ac:dyDescent="0.25"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</row>
    <row r="39" spans="3:53" x14ac:dyDescent="0.25"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</row>
    <row r="40" spans="3:53" x14ac:dyDescent="0.25"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</row>
  </sheetData>
  <customSheetViews>
    <customSheetView guid="{B3CDE377-BA5D-4E06-91D9-3A48E1959BA5}">
      <pane xSplit="1" topLeftCell="B1" activePane="topRight" state="frozen"/>
      <selection pane="topRight" activeCell="AE18" sqref="AE18"/>
      <pageMargins left="0.511811024" right="0.511811024" top="0.78740157499999996" bottom="0.78740157499999996" header="0.31496062000000002" footer="0.31496062000000002"/>
    </customSheetView>
    <customSheetView guid="{3D987F8E-A6EA-454D-9537-6BFC5053CB00}" showPageBreaks="1">
      <pane xSplit="1" topLeftCell="B1" activePane="topRight" state="frozen"/>
      <selection pane="topRight" activeCell="C3" sqref="C3"/>
      <pageMargins left="0.51181102362204722" right="0.51181102362204722" top="0.78740157480314965" bottom="0.78740157480314965" header="0.31496062992125984" footer="0.31496062992125984"/>
      <printOptions gridLines="1"/>
      <pageSetup paperSize="9" orientation="portrait" r:id="rId1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F5" sqref="F5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E3" sqref="E3"/>
      <pageMargins left="0.511811024" right="0.511811024" top="0.78740157499999996" bottom="0.78740157499999996" header="0.31496062000000002" footer="0.31496062000000002"/>
    </customSheetView>
    <customSheetView guid="{9B623083-AA7B-440B-95EA-C33E1AB3D963}" scale="90" showAutoFilter="1" topLeftCell="A4">
      <pane xSplit="1" topLeftCell="B1" activePane="topRight" state="frozen"/>
      <selection pane="topRight" activeCell="W17" sqref="W17"/>
      <pageMargins left="0.511811024" right="0.511811024" top="0.78740157499999996" bottom="0.78740157499999996" header="0.31496062000000002" footer="0.31496062000000002"/>
      <autoFilter ref="A1:A19" xr:uid="{29CBD844-87E4-43F1-BFD8-9634DBB8ECFD}"/>
    </customSheetView>
    <customSheetView guid="{20CB6D8F-C24D-4D4B-A424-AF380F620455}" scale="90" showPageBreaks="1" topLeftCell="AH7">
      <selection activeCell="AO18" sqref="AO18:AQ18"/>
      <pageMargins left="0.511811024" right="0.511811024" top="0.78740157499999996" bottom="0.78740157499999996" header="0.31496062000000002" footer="0.31496062000000002"/>
      <pageSetup paperSize="9" orientation="portrait" r:id="rId2"/>
    </customSheetView>
    <customSheetView guid="{86039CF8-B158-4D70-9A6F-A10C29CBD68A}">
      <pane xSplit="1" topLeftCell="B1" activePane="topRight" state="frozen"/>
      <selection pane="topRight" activeCell="C2" sqref="C2:G19"/>
      <pageMargins left="0.511811024" right="0.511811024" top="0.78740157499999996" bottom="0.78740157499999996" header="0.31496062000000002" footer="0.31496062000000002"/>
    </customSheetView>
    <customSheetView guid="{E3841903-5B68-44FD-8F09-58E03D1025C5}" topLeftCell="J7">
      <selection activeCell="S18" sqref="S18"/>
      <pageMargins left="0.511811024" right="0.511811024" top="0.78740157499999996" bottom="0.78740157499999996" header="0.31496062000000002" footer="0.31496062000000002"/>
    </customSheetView>
  </customSheetViews>
  <printOptions gridLines="1"/>
  <pageMargins left="0.51181102362204722" right="0.51181102362204722" top="0.78740157480314965" bottom="0.78740157480314965" header="0.31496062992125984" footer="0.31496062992125984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19"/>
  <sheetViews>
    <sheetView zoomScaleNormal="85" workbookViewId="0">
      <pane xSplit="1" topLeftCell="B1" activePane="topRight" state="frozen"/>
      <selection pane="topRight" activeCell="H21" sqref="H21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9.140625" style="1"/>
    <col min="8" max="8" width="14.85546875" style="1" customWidth="1"/>
    <col min="9" max="13" width="9.140625" style="1"/>
    <col min="14" max="14" width="15.28515625" style="1" customWidth="1"/>
    <col min="15" max="19" width="9.140625" style="1"/>
    <col min="20" max="20" width="15.7109375" style="1" customWidth="1"/>
    <col min="21" max="25" width="9.140625" style="1"/>
    <col min="26" max="26" width="16.140625" style="1" customWidth="1"/>
    <col min="27" max="31" width="9.140625" style="1"/>
    <col min="32" max="32" width="15" style="1" customWidth="1"/>
    <col min="33" max="37" width="9.140625" style="1"/>
    <col min="38" max="38" width="15.5703125" style="1" customWidth="1"/>
    <col min="39" max="39" width="9.7109375" style="1" customWidth="1"/>
    <col min="40" max="40" width="11" style="1" customWidth="1"/>
    <col min="41" max="43" width="9.140625" style="1"/>
    <col min="44" max="44" width="15" style="1" customWidth="1"/>
    <col min="45" max="49" width="9.140625" style="1"/>
    <col min="50" max="50" width="16.28515625" style="1" customWidth="1"/>
    <col min="51" max="52" width="9.140625" style="1"/>
    <col min="53" max="53" width="14.85546875" style="1" customWidth="1"/>
    <col min="54" max="16384" width="9.140625" style="1"/>
  </cols>
  <sheetData>
    <row r="1" spans="1:53" x14ac:dyDescent="0.25">
      <c r="A1" s="14" t="s">
        <v>9</v>
      </c>
      <c r="B1" s="41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39" t="s">
        <v>18</v>
      </c>
      <c r="B2" s="42">
        <v>1</v>
      </c>
      <c r="C2" s="1" t="s">
        <v>58</v>
      </c>
      <c r="D2" s="1" t="s">
        <v>58</v>
      </c>
      <c r="E2" s="1" t="s">
        <v>58</v>
      </c>
      <c r="F2" s="1" t="s">
        <v>58</v>
      </c>
      <c r="G2" s="1" t="s">
        <v>58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39" t="s">
        <v>0</v>
      </c>
      <c r="B3" s="42">
        <v>2</v>
      </c>
      <c r="C3" s="1" t="s">
        <v>58</v>
      </c>
      <c r="D3" s="1" t="s">
        <v>58</v>
      </c>
      <c r="E3" s="1" t="s">
        <v>58</v>
      </c>
      <c r="F3" s="1" t="s">
        <v>58</v>
      </c>
      <c r="G3" s="1" t="s">
        <v>58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40" t="s">
        <v>17</v>
      </c>
      <c r="B4" s="43">
        <v>3</v>
      </c>
      <c r="C4" s="1" t="s">
        <v>58</v>
      </c>
      <c r="D4" s="1" t="s">
        <v>58</v>
      </c>
      <c r="E4" s="1" t="s">
        <v>58</v>
      </c>
      <c r="F4" s="1" t="s">
        <v>58</v>
      </c>
      <c r="G4" s="1" t="s">
        <v>58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40" t="s">
        <v>16</v>
      </c>
      <c r="B5" s="42">
        <v>4</v>
      </c>
      <c r="C5" s="1" t="s">
        <v>58</v>
      </c>
      <c r="D5" s="1" t="s">
        <v>58</v>
      </c>
      <c r="E5" s="1" t="s">
        <v>58</v>
      </c>
      <c r="F5" s="1" t="s">
        <v>58</v>
      </c>
      <c r="G5" s="1" t="s">
        <v>58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40" t="s">
        <v>1</v>
      </c>
      <c r="B6" s="42">
        <v>5</v>
      </c>
      <c r="C6" s="1" t="s">
        <v>58</v>
      </c>
      <c r="D6" s="1" t="s">
        <v>58</v>
      </c>
      <c r="E6" s="1" t="s">
        <v>58</v>
      </c>
      <c r="F6" s="1" t="s">
        <v>58</v>
      </c>
      <c r="G6" s="1" t="s">
        <v>58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40" t="s">
        <v>2</v>
      </c>
      <c r="B7" s="43">
        <v>6</v>
      </c>
      <c r="C7" s="1" t="s">
        <v>58</v>
      </c>
      <c r="D7" s="1" t="s">
        <v>58</v>
      </c>
      <c r="E7" s="1" t="s">
        <v>58</v>
      </c>
      <c r="F7" s="1" t="s">
        <v>58</v>
      </c>
      <c r="G7" s="1" t="s">
        <v>58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40" t="s">
        <v>3</v>
      </c>
      <c r="B8" s="42">
        <v>7</v>
      </c>
      <c r="C8" s="1" t="s">
        <v>58</v>
      </c>
      <c r="D8" s="1" t="s">
        <v>58</v>
      </c>
      <c r="E8" s="1" t="s">
        <v>58</v>
      </c>
      <c r="F8" s="1" t="s">
        <v>58</v>
      </c>
      <c r="G8" s="1" t="s">
        <v>58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40" t="s">
        <v>13</v>
      </c>
      <c r="B9" s="42">
        <v>8</v>
      </c>
      <c r="C9" s="1" t="s">
        <v>58</v>
      </c>
      <c r="D9" s="1" t="s">
        <v>58</v>
      </c>
      <c r="E9" s="1" t="s">
        <v>58</v>
      </c>
      <c r="F9" s="1" t="s">
        <v>58</v>
      </c>
      <c r="G9" s="1" t="s">
        <v>58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39" t="s">
        <v>12</v>
      </c>
      <c r="B10" s="43">
        <v>9</v>
      </c>
      <c r="C10" s="1" t="s">
        <v>58</v>
      </c>
      <c r="D10" s="1" t="s">
        <v>58</v>
      </c>
      <c r="E10" s="1" t="s">
        <v>58</v>
      </c>
      <c r="F10" s="1" t="s">
        <v>58</v>
      </c>
      <c r="G10" s="1" t="s">
        <v>58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40" t="s">
        <v>4</v>
      </c>
      <c r="B11" s="42">
        <v>10</v>
      </c>
      <c r="C11" s="1" t="s">
        <v>58</v>
      </c>
      <c r="D11" s="1" t="s">
        <v>58</v>
      </c>
      <c r="E11" s="1" t="s">
        <v>58</v>
      </c>
      <c r="F11" s="1" t="s">
        <v>58</v>
      </c>
      <c r="G11" s="1" t="s">
        <v>58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F11" s="33">
        <f t="shared" si="5"/>
        <v>0</v>
      </c>
      <c r="AL11" s="33">
        <f t="shared" si="6"/>
        <v>0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40" t="s">
        <v>5</v>
      </c>
      <c r="B12" s="42">
        <v>11</v>
      </c>
      <c r="C12" s="1" t="s">
        <v>58</v>
      </c>
      <c r="D12" s="1" t="s">
        <v>58</v>
      </c>
      <c r="E12" s="1" t="s">
        <v>58</v>
      </c>
      <c r="F12" s="1" t="s">
        <v>58</v>
      </c>
      <c r="G12" s="1" t="s">
        <v>58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F12" s="33">
        <f t="shared" si="5"/>
        <v>0</v>
      </c>
      <c r="AL12" s="33">
        <f t="shared" si="6"/>
        <v>0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x14ac:dyDescent="0.25">
      <c r="A13" s="39" t="s">
        <v>8</v>
      </c>
      <c r="B13" s="43">
        <v>12</v>
      </c>
      <c r="C13" s="1" t="s">
        <v>58</v>
      </c>
      <c r="D13" s="1" t="s">
        <v>58</v>
      </c>
      <c r="E13" s="1" t="s">
        <v>58</v>
      </c>
      <c r="F13" s="1" t="s">
        <v>58</v>
      </c>
      <c r="G13" s="1" t="s">
        <v>58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40" t="s">
        <v>6</v>
      </c>
      <c r="B14" s="42">
        <v>13</v>
      </c>
      <c r="C14" s="1" t="s">
        <v>58</v>
      </c>
      <c r="D14" s="1" t="s">
        <v>58</v>
      </c>
      <c r="E14" s="1" t="s">
        <v>58</v>
      </c>
      <c r="F14" s="1" t="s">
        <v>58</v>
      </c>
      <c r="G14" s="1" t="s">
        <v>58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39" t="s">
        <v>7</v>
      </c>
      <c r="B15" s="42">
        <v>14</v>
      </c>
      <c r="C15" s="1" t="s">
        <v>58</v>
      </c>
      <c r="D15" s="1" t="s">
        <v>58</v>
      </c>
      <c r="E15" s="1" t="s">
        <v>58</v>
      </c>
      <c r="F15" s="1" t="s">
        <v>58</v>
      </c>
      <c r="G15" s="1" t="s">
        <v>58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F15" s="33">
        <f t="shared" si="5"/>
        <v>0</v>
      </c>
      <c r="AL15" s="33">
        <f t="shared" si="6"/>
        <v>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39" t="s">
        <v>14</v>
      </c>
      <c r="B16" s="36">
        <v>15</v>
      </c>
      <c r="C16" s="1" t="s">
        <v>58</v>
      </c>
      <c r="D16" s="1" t="s">
        <v>58</v>
      </c>
      <c r="E16" s="1" t="s">
        <v>58</v>
      </c>
      <c r="F16" s="1" t="s">
        <v>58</v>
      </c>
      <c r="G16" s="1" t="s">
        <v>58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15" t="s">
        <v>39</v>
      </c>
      <c r="B17" s="37">
        <v>16</v>
      </c>
      <c r="C17" s="13" t="s">
        <v>58</v>
      </c>
      <c r="D17" s="13" t="s">
        <v>58</v>
      </c>
      <c r="E17" s="13" t="s">
        <v>58</v>
      </c>
      <c r="F17" s="13" t="s">
        <v>58</v>
      </c>
      <c r="G17" s="13" t="s">
        <v>58</v>
      </c>
      <c r="H17" s="34">
        <f>SUM(C17:G17)</f>
        <v>0</v>
      </c>
      <c r="I17" s="13"/>
      <c r="J17" s="13"/>
      <c r="K17" s="13"/>
      <c r="L17" s="13"/>
      <c r="M17" s="13"/>
      <c r="N17" s="34">
        <f>SUM(I17:M17)</f>
        <v>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13"/>
      <c r="AE17" s="13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13"/>
      <c r="AN17" s="13"/>
      <c r="AO17" s="13"/>
      <c r="AP17" s="13"/>
      <c r="AQ17" s="13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  <c r="AY17" s="13"/>
      <c r="AZ17" s="13"/>
      <c r="BA17" s="34">
        <f t="shared" si="2"/>
        <v>0</v>
      </c>
    </row>
    <row r="18" spans="1:53" x14ac:dyDescent="0.25">
      <c r="A18" s="1" t="s">
        <v>11</v>
      </c>
      <c r="C18" s="4"/>
      <c r="D18" s="4"/>
      <c r="E18" s="4"/>
      <c r="F18" s="4"/>
      <c r="G18" s="4"/>
      <c r="I18" s="4"/>
      <c r="J18" s="4"/>
      <c r="K18" s="4"/>
      <c r="L18" s="4"/>
      <c r="M18" s="4"/>
      <c r="O18" s="4"/>
      <c r="P18" s="4"/>
      <c r="Q18" s="4"/>
      <c r="R18" s="4"/>
      <c r="S18" s="4"/>
      <c r="U18" s="4"/>
      <c r="V18" s="4"/>
      <c r="W18" s="4"/>
      <c r="X18" s="4"/>
      <c r="Y18" s="4"/>
      <c r="AA18" s="4"/>
      <c r="AB18" s="4"/>
      <c r="AC18" s="4"/>
      <c r="AD18" s="4"/>
      <c r="AE18" s="4"/>
      <c r="AG18" s="4"/>
      <c r="AH18" s="4"/>
      <c r="AI18" s="4"/>
      <c r="AJ18" s="4"/>
      <c r="AK18" s="4"/>
      <c r="AO18" s="4"/>
      <c r="AP18" s="4"/>
      <c r="AQ18" s="4"/>
    </row>
    <row r="19" spans="1:53" x14ac:dyDescent="0.25">
      <c r="A19" s="1" t="s">
        <v>10</v>
      </c>
      <c r="C19" s="4"/>
      <c r="D19" s="4"/>
      <c r="E19" s="4"/>
      <c r="F19" s="4"/>
      <c r="G19" s="4"/>
      <c r="I19" s="4"/>
      <c r="K19" s="4"/>
      <c r="L19" s="4"/>
      <c r="Q19" s="4"/>
      <c r="V19" s="4"/>
      <c r="Y19" s="4"/>
      <c r="AA19" s="4"/>
    </row>
  </sheetData>
  <customSheetViews>
    <customSheetView guid="{B3CDE377-BA5D-4E06-91D9-3A48E1959BA5}">
      <pane xSplit="1" topLeftCell="B1" activePane="topRight" state="frozen"/>
      <selection pane="topRight" activeCell="I18" sqref="I18:L19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P1" activePane="topRight" state="frozen"/>
      <selection pane="topRight" activeCell="C1" sqref="C1:BA17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 topLeftCell="D1">
      <selection activeCell="L10" sqref="L10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G12" sqref="G12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X1" activePane="topRight" state="frozen"/>
      <selection pane="topRight" activeCell="AF18" sqref="AF18"/>
      <pageMargins left="0.511811024" right="0.511811024" top="0.78740157499999996" bottom="0.78740157499999996" header="0.31496062000000002" footer="0.31496062000000002"/>
      <pageSetup paperSize="9" orientation="portrait" horizontalDpi="200" verticalDpi="200" r:id="rId1"/>
      <autoFilter ref="A1:B19" xr:uid="{D2BB9644-C7C9-4CF9-A012-7FE03C338D89}"/>
    </customSheetView>
    <customSheetView guid="{20CB6D8F-C24D-4D4B-A424-AF380F620455}" showPageBreaks="1" topLeftCell="Z7">
      <selection activeCell="AI18" sqref="AI18"/>
      <pageMargins left="0.511811024" right="0.511811024" top="0.78740157499999996" bottom="0.78740157499999996" header="0.31496062000000002" footer="0.31496062000000002"/>
      <pageSetup paperSize="9" orientation="portrait" r:id="rId2"/>
    </customSheetView>
    <customSheetView guid="{86039CF8-B158-4D70-9A6F-A10C29CBD68A}" topLeftCell="C1">
      <selection activeCell="O8" sqref="O8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P10" sqref="P10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19"/>
  <sheetViews>
    <sheetView topLeftCell="A2" zoomScaleNormal="85" workbookViewId="0">
      <pane xSplit="1" topLeftCell="B1" activePane="topRight" state="frozen"/>
      <selection pane="topRight" activeCell="G18" sqref="G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13.28515625" style="1" customWidth="1"/>
    <col min="4" max="4" width="12.28515625" style="1" customWidth="1"/>
    <col min="5" max="7" width="9.140625" style="1"/>
    <col min="8" max="8" width="15.5703125" style="1" customWidth="1"/>
    <col min="9" max="13" width="9.140625" style="1"/>
    <col min="14" max="14" width="14.7109375" style="1" customWidth="1"/>
    <col min="15" max="19" width="9.140625" style="1"/>
    <col min="20" max="20" width="15.5703125" style="1" customWidth="1"/>
    <col min="21" max="25" width="9.140625" style="1"/>
    <col min="26" max="26" width="14.85546875" style="1" customWidth="1"/>
    <col min="27" max="31" width="9.140625" style="1"/>
    <col min="32" max="32" width="15.140625" style="1" customWidth="1"/>
    <col min="33" max="37" width="9.140625" style="1"/>
    <col min="38" max="38" width="16" style="1" customWidth="1"/>
    <col min="39" max="39" width="9.85546875" style="1" customWidth="1"/>
    <col min="40" max="40" width="10.28515625" style="1" customWidth="1"/>
    <col min="41" max="43" width="9.140625" style="1"/>
    <col min="44" max="44" width="15.28515625" style="1" customWidth="1"/>
    <col min="45" max="49" width="9.140625" style="1"/>
    <col min="50" max="50" width="15.85546875" style="1" customWidth="1"/>
    <col min="51" max="52" width="9.140625" style="1"/>
    <col min="53" max="53" width="14.28515625" style="1" customWidth="1"/>
    <col min="54" max="16384" width="9.140625" style="1"/>
  </cols>
  <sheetData>
    <row r="1" spans="1:53" x14ac:dyDescent="0.25">
      <c r="A1" s="14" t="s">
        <v>9</v>
      </c>
      <c r="B1" s="41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39" t="s">
        <v>18</v>
      </c>
      <c r="B2" s="42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39" t="s">
        <v>0</v>
      </c>
      <c r="B3" s="42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40" t="s">
        <v>17</v>
      </c>
      <c r="B4" s="43">
        <v>3</v>
      </c>
      <c r="E4" s="1">
        <v>50</v>
      </c>
      <c r="F4" s="1">
        <v>7</v>
      </c>
      <c r="H4" s="33">
        <f t="shared" si="3"/>
        <v>57</v>
      </c>
      <c r="N4" s="33">
        <f t="shared" si="0"/>
        <v>0</v>
      </c>
      <c r="T4" s="33">
        <f t="shared" si="1"/>
        <v>0</v>
      </c>
      <c r="Z4" s="33">
        <f t="shared" si="4"/>
        <v>0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40" t="s">
        <v>16</v>
      </c>
      <c r="B5" s="42">
        <v>4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40" t="s">
        <v>1</v>
      </c>
      <c r="B6" s="42">
        <v>5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40" t="s">
        <v>2</v>
      </c>
      <c r="B7" s="43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40" t="s">
        <v>3</v>
      </c>
      <c r="B8" s="42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40" t="s">
        <v>13</v>
      </c>
      <c r="B9" s="42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39" t="s">
        <v>12</v>
      </c>
      <c r="B10" s="43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40" t="s">
        <v>4</v>
      </c>
      <c r="B11" s="42">
        <v>10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F11" s="33">
        <f t="shared" si="5"/>
        <v>0</v>
      </c>
      <c r="AL11" s="33">
        <f t="shared" si="6"/>
        <v>0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40" t="s">
        <v>5</v>
      </c>
      <c r="B12" s="42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F12" s="33">
        <f t="shared" si="5"/>
        <v>0</v>
      </c>
      <c r="AL12" s="33">
        <f t="shared" si="6"/>
        <v>0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x14ac:dyDescent="0.25">
      <c r="A13" s="39" t="s">
        <v>8</v>
      </c>
      <c r="B13" s="43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40" t="s">
        <v>6</v>
      </c>
      <c r="B14" s="42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39" t="s">
        <v>7</v>
      </c>
      <c r="B15" s="42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F15" s="33">
        <f t="shared" si="5"/>
        <v>0</v>
      </c>
      <c r="AL15" s="33">
        <f t="shared" si="6"/>
        <v>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39" t="s">
        <v>14</v>
      </c>
      <c r="B16" s="36">
        <v>15</v>
      </c>
      <c r="C16" s="1">
        <v>10</v>
      </c>
      <c r="D16" s="1">
        <v>10</v>
      </c>
      <c r="G16" s="1">
        <v>10</v>
      </c>
      <c r="H16" s="33">
        <f t="shared" si="3"/>
        <v>30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15" t="s">
        <v>39</v>
      </c>
      <c r="B17" s="37">
        <v>16</v>
      </c>
      <c r="C17" s="13"/>
      <c r="D17" s="13"/>
      <c r="E17" s="13"/>
      <c r="F17" s="13"/>
      <c r="G17" s="13"/>
      <c r="H17" s="34">
        <f>SUM(C17:G17)</f>
        <v>0</v>
      </c>
      <c r="I17" s="13"/>
      <c r="J17" s="13"/>
      <c r="K17" s="13"/>
      <c r="L17" s="13"/>
      <c r="M17" s="13"/>
      <c r="N17" s="34">
        <f>SUM(I17:M17)</f>
        <v>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13"/>
      <c r="AE17" s="13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13"/>
      <c r="AN17" s="13"/>
      <c r="AO17" s="13"/>
      <c r="AP17" s="13"/>
      <c r="AQ17" s="13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  <c r="AY17" s="13"/>
      <c r="AZ17" s="13"/>
      <c r="BA17" s="34">
        <f t="shared" si="2"/>
        <v>0</v>
      </c>
    </row>
    <row r="18" spans="1:53" ht="180" x14ac:dyDescent="0.25">
      <c r="A18" s="1" t="s">
        <v>11</v>
      </c>
      <c r="C18" s="4"/>
      <c r="D18" s="4"/>
      <c r="E18" s="4" t="s">
        <v>53</v>
      </c>
      <c r="F18" s="4" t="s">
        <v>52</v>
      </c>
      <c r="G18" s="4"/>
      <c r="I18" s="4"/>
      <c r="J18" s="4"/>
      <c r="K18" s="4"/>
      <c r="L18" s="4"/>
      <c r="M18" s="4"/>
      <c r="O18" s="4"/>
      <c r="P18" s="4"/>
      <c r="Q18" s="4"/>
      <c r="R18" s="4"/>
      <c r="S18" s="4"/>
      <c r="U18" s="4"/>
      <c r="V18" s="4"/>
      <c r="W18" s="4"/>
      <c r="X18" s="4"/>
      <c r="Y18" s="4"/>
      <c r="AA18" s="68"/>
      <c r="AB18" s="68"/>
      <c r="AC18" s="68"/>
      <c r="AD18" s="68"/>
      <c r="AE18" s="4"/>
      <c r="AG18" s="4"/>
      <c r="AH18" s="4"/>
      <c r="AI18" s="4"/>
      <c r="AJ18" s="4"/>
      <c r="AK18" s="4"/>
      <c r="AM18" s="4"/>
      <c r="AN18" s="4"/>
      <c r="AO18" s="4"/>
      <c r="AP18" s="4"/>
      <c r="AQ18" s="4"/>
    </row>
    <row r="19" spans="1:53" x14ac:dyDescent="0.25">
      <c r="A19" s="1" t="s">
        <v>10</v>
      </c>
      <c r="C19" s="4"/>
      <c r="D19" s="4"/>
      <c r="E19" s="4"/>
      <c r="F19" s="4"/>
      <c r="G19" s="4"/>
      <c r="I19" s="4"/>
      <c r="J19" s="4"/>
      <c r="K19" s="4"/>
      <c r="L19" s="4"/>
      <c r="S19" s="4"/>
      <c r="AS19" s="4"/>
      <c r="AU19" s="4"/>
    </row>
  </sheetData>
  <customSheetViews>
    <customSheetView guid="{B3CDE377-BA5D-4E06-91D9-3A48E1959BA5}">
      <pane xSplit="1" topLeftCell="B1" activePane="topRight" state="frozen"/>
      <selection pane="topRight" activeCell="H18" sqref="H18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Q1" activePane="topRight" state="frozen"/>
      <selection pane="topRight" activeCell="C1" sqref="C1:BA17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A18" sqref="A18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J1" activePane="topRight" state="frozen"/>
      <selection pane="topRight" activeCell="L8" sqref="L8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N1" activePane="topRight" state="frozen"/>
      <selection pane="topRight" activeCell="L18" sqref="L18"/>
      <pageMargins left="0.511811024" right="0.511811024" top="0.78740157499999996" bottom="0.78740157499999996" header="0.31496062000000002" footer="0.31496062000000002"/>
      <autoFilter ref="A1:A19" xr:uid="{E0344680-F93C-4785-BFAC-63AC47A0155F}"/>
    </customSheetView>
    <customSheetView guid="{20CB6D8F-C24D-4D4B-A424-AF380F620455}" showPageBreaks="1">
      <selection activeCell="L18" sqref="L18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86039CF8-B158-4D70-9A6F-A10C29CBD68A}" topLeftCell="B1">
      <selection activeCell="S1" sqref="S1:S1048576"/>
      <pageMargins left="0.511811024" right="0.511811024" top="0.78740157499999996" bottom="0.78740157499999996" header="0.31496062000000002" footer="0.31496062000000002"/>
    </customSheetView>
    <customSheetView guid="{E3841903-5B68-44FD-8F09-58E03D1025C5}" topLeftCell="BZ17">
      <selection activeCell="CR18" sqref="CR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9"/>
  <sheetViews>
    <sheetView tabSelected="1" zoomScaleNormal="85" workbookViewId="0">
      <pane xSplit="1" topLeftCell="B1" activePane="topRight" state="frozen"/>
      <selection pane="topRight" activeCell="L13" sqref="L13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3" width="15.5703125" style="1" customWidth="1"/>
    <col min="4" max="4" width="9.42578125" style="1" customWidth="1"/>
    <col min="5" max="6" width="9.7109375" style="1" customWidth="1"/>
    <col min="7" max="7" width="10.5703125" style="1" bestFit="1" customWidth="1"/>
    <col min="8" max="8" width="14.85546875" style="1" customWidth="1"/>
    <col min="9" max="9" width="11.140625" style="1" bestFit="1" customWidth="1"/>
    <col min="10" max="10" width="11.42578125" style="1" customWidth="1"/>
    <col min="11" max="11" width="11.140625" style="1" customWidth="1"/>
    <col min="12" max="12" width="11.42578125" style="1" customWidth="1"/>
    <col min="13" max="13" width="13.28515625" style="1" customWidth="1"/>
    <col min="14" max="14" width="14.7109375" style="1" customWidth="1"/>
    <col min="15" max="15" width="13.140625" style="1" customWidth="1"/>
    <col min="16" max="16" width="12.140625" style="1" customWidth="1"/>
    <col min="17" max="17" width="11.28515625" style="1" customWidth="1"/>
    <col min="18" max="18" width="13.28515625" style="1" customWidth="1"/>
    <col min="19" max="19" width="10.85546875" style="1" customWidth="1"/>
    <col min="20" max="20" width="14.28515625" style="1" customWidth="1"/>
    <col min="21" max="21" width="11.85546875" style="1" customWidth="1"/>
    <col min="22" max="22" width="12.5703125" style="1" customWidth="1"/>
    <col min="23" max="23" width="16" style="1" customWidth="1"/>
    <col min="24" max="24" width="13" style="1" customWidth="1"/>
    <col min="25" max="25" width="14.42578125" style="1" customWidth="1"/>
    <col min="26" max="26" width="16.5703125" style="1" customWidth="1"/>
    <col min="27" max="27" width="12.5703125" style="1" customWidth="1"/>
    <col min="28" max="28" width="14.85546875" style="1" customWidth="1"/>
    <col min="29" max="31" width="9.140625" style="1"/>
    <col min="32" max="32" width="13.85546875" style="1" customWidth="1"/>
    <col min="33" max="33" width="13.42578125" style="1" customWidth="1"/>
    <col min="34" max="34" width="14.85546875" style="1" customWidth="1"/>
    <col min="35" max="36" width="17" style="1" customWidth="1"/>
    <col min="37" max="37" width="16.85546875" style="1" customWidth="1"/>
    <col min="38" max="38" width="15.85546875" style="1" customWidth="1"/>
    <col min="39" max="39" width="12.140625" style="1" customWidth="1"/>
    <col min="40" max="40" width="12" style="1" customWidth="1"/>
    <col min="41" max="42" width="9.140625" style="1"/>
    <col min="43" max="43" width="13.28515625" style="1" customWidth="1"/>
    <col min="44" max="44" width="16.85546875" style="1" customWidth="1"/>
    <col min="45" max="45" width="9.140625" style="1"/>
    <col min="46" max="46" width="9.7109375" style="1" customWidth="1"/>
    <col min="47" max="47" width="13.28515625" style="1" customWidth="1"/>
    <col min="48" max="48" width="16.140625" style="1" customWidth="1"/>
    <col min="49" max="49" width="9.140625" style="1"/>
    <col min="50" max="50" width="15.28515625" style="1" customWidth="1"/>
    <col min="51" max="52" width="9.140625" style="1"/>
    <col min="53" max="53" width="15" style="1" customWidth="1"/>
    <col min="54" max="16384" width="9.140625" style="1"/>
  </cols>
  <sheetData>
    <row r="1" spans="1:53" x14ac:dyDescent="0.25">
      <c r="A1" s="14" t="s">
        <v>9</v>
      </c>
      <c r="B1" s="41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39" t="s">
        <v>18</v>
      </c>
      <c r="B2" s="42">
        <v>1</v>
      </c>
      <c r="H2" s="33">
        <f>SUM(C2:G2)</f>
        <v>0</v>
      </c>
      <c r="K2" s="1">
        <v>2</v>
      </c>
      <c r="N2" s="33">
        <f t="shared" ref="N2:N16" si="0">SUM(I2:M2)</f>
        <v>2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39" t="s">
        <v>0</v>
      </c>
      <c r="B3" s="42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40" t="s">
        <v>17</v>
      </c>
      <c r="B4" s="43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40" t="s">
        <v>16</v>
      </c>
      <c r="B5" s="42">
        <v>4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40" t="s">
        <v>1</v>
      </c>
      <c r="B6" s="42">
        <v>5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40" t="s">
        <v>2</v>
      </c>
      <c r="B7" s="43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40" t="s">
        <v>3</v>
      </c>
      <c r="B8" s="42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40" t="s">
        <v>13</v>
      </c>
      <c r="B9" s="42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39" t="s">
        <v>12</v>
      </c>
      <c r="B10" s="43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40" t="s">
        <v>4</v>
      </c>
      <c r="B11" s="42">
        <v>10</v>
      </c>
      <c r="F11" s="1">
        <v>6</v>
      </c>
      <c r="G11" s="1">
        <v>3</v>
      </c>
      <c r="H11" s="33">
        <f t="shared" si="3"/>
        <v>9</v>
      </c>
      <c r="K11" s="1">
        <v>5</v>
      </c>
      <c r="L11" s="1">
        <v>6</v>
      </c>
      <c r="N11" s="33">
        <f t="shared" si="0"/>
        <v>11</v>
      </c>
      <c r="T11" s="33">
        <f t="shared" si="1"/>
        <v>0</v>
      </c>
      <c r="Z11" s="33">
        <f t="shared" si="4"/>
        <v>0</v>
      </c>
      <c r="AF11" s="33">
        <f t="shared" si="5"/>
        <v>0</v>
      </c>
      <c r="AL11" s="33">
        <f t="shared" si="6"/>
        <v>0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40" t="s">
        <v>5</v>
      </c>
      <c r="B12" s="42">
        <v>11</v>
      </c>
      <c r="F12" s="1">
        <v>36</v>
      </c>
      <c r="G12" s="1">
        <v>23</v>
      </c>
      <c r="H12" s="33">
        <f t="shared" si="3"/>
        <v>59</v>
      </c>
      <c r="K12" s="1">
        <v>36</v>
      </c>
      <c r="L12" s="1">
        <v>41</v>
      </c>
      <c r="N12" s="33">
        <f t="shared" si="0"/>
        <v>77</v>
      </c>
      <c r="T12" s="33">
        <f t="shared" si="1"/>
        <v>0</v>
      </c>
      <c r="Z12" s="33">
        <f t="shared" si="4"/>
        <v>0</v>
      </c>
      <c r="AF12" s="33">
        <f t="shared" si="5"/>
        <v>0</v>
      </c>
      <c r="AL12" s="33">
        <f t="shared" si="6"/>
        <v>0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x14ac:dyDescent="0.25">
      <c r="A13" s="39" t="s">
        <v>8</v>
      </c>
      <c r="B13" s="43">
        <v>12</v>
      </c>
      <c r="H13" s="33">
        <f t="shared" si="3"/>
        <v>0</v>
      </c>
      <c r="J13" s="1">
        <v>1</v>
      </c>
      <c r="N13" s="33">
        <f t="shared" si="0"/>
        <v>1</v>
      </c>
      <c r="T13" s="33">
        <f t="shared" si="1"/>
        <v>0</v>
      </c>
      <c r="Z13" s="33">
        <f t="shared" si="4"/>
        <v>0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40" t="s">
        <v>6</v>
      </c>
      <c r="B14" s="42">
        <v>13</v>
      </c>
      <c r="H14" s="33">
        <f t="shared" si="3"/>
        <v>0</v>
      </c>
      <c r="I14" s="1">
        <v>2</v>
      </c>
      <c r="K14" s="1">
        <v>1</v>
      </c>
      <c r="L14" s="1">
        <v>2</v>
      </c>
      <c r="N14" s="33">
        <f t="shared" si="0"/>
        <v>5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39" t="s">
        <v>7</v>
      </c>
      <c r="B15" s="42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F15" s="33">
        <f t="shared" si="5"/>
        <v>0</v>
      </c>
      <c r="AL15" s="33">
        <f t="shared" si="6"/>
        <v>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2" t="s">
        <v>14</v>
      </c>
      <c r="B16" s="36">
        <v>15</v>
      </c>
      <c r="D16" s="1">
        <v>11</v>
      </c>
      <c r="H16" s="33">
        <f t="shared" si="3"/>
        <v>11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15" t="s">
        <v>39</v>
      </c>
      <c r="B17" s="37">
        <v>16</v>
      </c>
      <c r="C17" s="13"/>
      <c r="D17" s="13"/>
      <c r="E17" s="13"/>
      <c r="F17" s="13"/>
      <c r="G17" s="13"/>
      <c r="H17" s="34">
        <f>SUM(C17:G17)</f>
        <v>0</v>
      </c>
      <c r="I17" s="13"/>
      <c r="J17" s="13"/>
      <c r="K17" s="13"/>
      <c r="L17" s="13"/>
      <c r="M17" s="13"/>
      <c r="N17" s="34">
        <f>SUM(I17:M17)</f>
        <v>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13"/>
      <c r="AE17" s="13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13"/>
      <c r="AN17" s="13"/>
      <c r="AO17" s="13"/>
      <c r="AP17" s="13"/>
      <c r="AQ17" s="13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  <c r="AY17" s="13"/>
      <c r="AZ17" s="13"/>
      <c r="BA17" s="34">
        <f t="shared" si="2"/>
        <v>0</v>
      </c>
    </row>
    <row r="18" spans="1:53" ht="227.25" customHeight="1" x14ac:dyDescent="0.25">
      <c r="A18" s="1" t="s">
        <v>11</v>
      </c>
      <c r="C18" s="4" t="s">
        <v>64</v>
      </c>
      <c r="D18" s="61"/>
      <c r="E18" s="61"/>
      <c r="F18" s="61"/>
      <c r="G18" s="61"/>
      <c r="I18" s="61" t="s">
        <v>65</v>
      </c>
      <c r="J18" s="61"/>
      <c r="K18" s="61"/>
      <c r="L18" s="61"/>
      <c r="M18" s="61"/>
      <c r="N18" s="61"/>
      <c r="O18" s="61"/>
      <c r="P18" s="61"/>
      <c r="Q18" s="61"/>
      <c r="R18" s="61"/>
      <c r="S18" s="61"/>
      <c r="U18" s="61"/>
      <c r="V18" s="61"/>
      <c r="W18" s="61"/>
      <c r="X18" s="61"/>
      <c r="Y18" s="61"/>
      <c r="AA18" s="61"/>
      <c r="AB18" s="61"/>
      <c r="AC18" s="61"/>
      <c r="AD18" s="61"/>
      <c r="AE18" s="61"/>
      <c r="AG18" s="4"/>
      <c r="AH18" s="61"/>
      <c r="AI18" s="4"/>
      <c r="AJ18" s="61"/>
      <c r="AK18" s="61"/>
      <c r="AL18" s="61"/>
      <c r="AM18" s="61"/>
      <c r="AN18" s="61"/>
      <c r="AQ18" s="61"/>
      <c r="AT18" s="61"/>
      <c r="AU18" s="61"/>
      <c r="AV18" s="61"/>
    </row>
    <row r="19" spans="1:53" x14ac:dyDescent="0.25">
      <c r="A19" s="1" t="s">
        <v>10</v>
      </c>
    </row>
  </sheetData>
  <customSheetViews>
    <customSheetView guid="{B3CDE377-BA5D-4E06-91D9-3A48E1959BA5}" topLeftCell="B1">
      <selection activeCell="G5" sqref="G5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Q1" activePane="topRight" state="frozen"/>
      <selection pane="topRight" activeCell="C1" sqref="C1:BA17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18A482E0-C8B6-4AA1-9E04-15FA7C9CD5E3}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X1" activePane="topRight" state="frozen"/>
      <selection pane="topRight" activeCell="H19" sqref="H19"/>
      <pageMargins left="0.511811024" right="0.511811024" top="0.78740157499999996" bottom="0.78740157499999996" header="0.31496062000000002" footer="0.31496062000000002"/>
      <pageSetup paperSize="9" orientation="portrait" r:id="rId2"/>
      <autoFilter ref="A1:A19" xr:uid="{E0F33295-BB5B-414E-AA53-A30D4A6DBBCC}"/>
    </customSheetView>
    <customSheetView guid="{20CB6D8F-C24D-4D4B-A424-AF380F620455}">
      <selection activeCell="C17" sqref="C17"/>
      <pageMargins left="0.511811024" right="0.511811024" top="0.78740157499999996" bottom="0.78740157499999996" header="0.31496062000000002" footer="0.31496062000000002"/>
    </customSheetView>
    <customSheetView guid="{86039CF8-B158-4D70-9A6F-A10C29CBD68A}">
      <selection activeCell="B6" sqref="B6"/>
      <pageMargins left="0.511811024" right="0.511811024" top="0.78740157499999996" bottom="0.78740157499999996" header="0.31496062000000002" footer="0.31496062000000002"/>
    </customSheetView>
    <customSheetView guid="{E3841903-5B68-44FD-8F09-58E03D1025C5}" scale="85">
      <selection activeCell="M17" sqref="M17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20"/>
  <sheetViews>
    <sheetView zoomScaleNormal="85" workbookViewId="0">
      <pane xSplit="1" topLeftCell="C1" activePane="topRight" state="frozen"/>
      <selection pane="topRight" activeCell="C18" sqref="C18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9.140625" style="1"/>
    <col min="8" max="8" width="16" style="1" customWidth="1"/>
    <col min="9" max="13" width="9.140625" style="1"/>
    <col min="14" max="14" width="14.140625" style="1" customWidth="1"/>
    <col min="15" max="19" width="9.140625" style="1"/>
    <col min="20" max="20" width="15" style="1" customWidth="1"/>
    <col min="21" max="25" width="9.140625" style="1"/>
    <col min="26" max="26" width="15.5703125" style="1" customWidth="1"/>
    <col min="27" max="31" width="9.140625" style="1"/>
    <col min="32" max="32" width="16" style="1" customWidth="1"/>
    <col min="33" max="37" width="9.140625" style="1"/>
    <col min="38" max="38" width="16" style="1" customWidth="1"/>
    <col min="39" max="39" width="10.85546875" style="1" customWidth="1"/>
    <col min="40" max="40" width="11.28515625" style="1" customWidth="1"/>
    <col min="41" max="43" width="9.140625" style="1"/>
    <col min="44" max="44" width="15.5703125" style="1" customWidth="1"/>
    <col min="45" max="49" width="9.140625" style="1"/>
    <col min="50" max="50" width="15.28515625" style="1" customWidth="1"/>
    <col min="51" max="52" width="9.140625" style="1"/>
    <col min="53" max="53" width="18" style="1" customWidth="1"/>
    <col min="54" max="16384" width="9.140625" style="1"/>
  </cols>
  <sheetData>
    <row r="1" spans="1:53" x14ac:dyDescent="0.25">
      <c r="A1" s="14" t="s">
        <v>9</v>
      </c>
      <c r="B1" s="41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39" t="s">
        <v>18</v>
      </c>
      <c r="B2" s="42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39" t="s">
        <v>0</v>
      </c>
      <c r="B3" s="42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40" t="s">
        <v>17</v>
      </c>
      <c r="B4" s="43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40" t="s">
        <v>16</v>
      </c>
      <c r="B5" s="42">
        <v>4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40" t="s">
        <v>1</v>
      </c>
      <c r="B6" s="42">
        <v>5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40" t="s">
        <v>2</v>
      </c>
      <c r="B7" s="43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40" t="s">
        <v>3</v>
      </c>
      <c r="B8" s="42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40" t="s">
        <v>13</v>
      </c>
      <c r="B9" s="42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39" t="s">
        <v>12</v>
      </c>
      <c r="B10" s="43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40" t="s">
        <v>4</v>
      </c>
      <c r="B11" s="42">
        <v>10</v>
      </c>
      <c r="H11" s="33">
        <f t="shared" si="3"/>
        <v>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F11" s="33">
        <f t="shared" si="5"/>
        <v>0</v>
      </c>
      <c r="AL11" s="33">
        <f t="shared" si="6"/>
        <v>0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40" t="s">
        <v>5</v>
      </c>
      <c r="B12" s="42">
        <v>11</v>
      </c>
      <c r="H12" s="33">
        <f t="shared" si="3"/>
        <v>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F12" s="33">
        <f t="shared" si="5"/>
        <v>0</v>
      </c>
      <c r="AL12" s="33">
        <f t="shared" si="6"/>
        <v>0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x14ac:dyDescent="0.25">
      <c r="A13" s="39" t="s">
        <v>8</v>
      </c>
      <c r="B13" s="43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40" t="s">
        <v>6</v>
      </c>
      <c r="B14" s="42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39" t="s">
        <v>7</v>
      </c>
      <c r="B15" s="42">
        <v>14</v>
      </c>
      <c r="E15" s="1">
        <v>100</v>
      </c>
      <c r="H15" s="33">
        <f t="shared" si="3"/>
        <v>100</v>
      </c>
      <c r="M15" s="1">
        <v>50</v>
      </c>
      <c r="N15" s="33">
        <f t="shared" si="0"/>
        <v>50</v>
      </c>
      <c r="T15" s="33">
        <f t="shared" si="1"/>
        <v>0</v>
      </c>
      <c r="Z15" s="33">
        <f t="shared" si="4"/>
        <v>0</v>
      </c>
      <c r="AF15" s="33">
        <f t="shared" si="5"/>
        <v>0</v>
      </c>
      <c r="AL15" s="33">
        <f t="shared" si="6"/>
        <v>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2" t="s">
        <v>14</v>
      </c>
      <c r="B16" s="36">
        <v>15</v>
      </c>
      <c r="C16" s="1">
        <v>6</v>
      </c>
      <c r="D16" s="1">
        <v>5</v>
      </c>
      <c r="H16" s="33">
        <f t="shared" si="3"/>
        <v>11</v>
      </c>
      <c r="I16" s="1">
        <v>10</v>
      </c>
      <c r="J16" s="1">
        <v>15</v>
      </c>
      <c r="K16" s="1">
        <v>11</v>
      </c>
      <c r="L16" s="1">
        <v>14</v>
      </c>
      <c r="N16" s="33">
        <f t="shared" si="0"/>
        <v>50</v>
      </c>
      <c r="T16" s="33">
        <f t="shared" si="1"/>
        <v>0</v>
      </c>
      <c r="Z16" s="33">
        <f t="shared" si="4"/>
        <v>0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15" t="s">
        <v>39</v>
      </c>
      <c r="B17" s="37">
        <v>16</v>
      </c>
      <c r="F17" s="1">
        <v>28</v>
      </c>
      <c r="H17" s="33">
        <f>SUM(C17:G17)</f>
        <v>28</v>
      </c>
      <c r="N17" s="33">
        <f>SUM(I17:M17)</f>
        <v>0</v>
      </c>
      <c r="T17" s="33">
        <f t="shared" si="1"/>
        <v>0</v>
      </c>
      <c r="Z17" s="33">
        <f>SUM(U17:Y17)</f>
        <v>0</v>
      </c>
      <c r="AF17" s="33">
        <f>SUM(AA17:AE17)</f>
        <v>0</v>
      </c>
      <c r="AL17" s="33">
        <f>SUM(AG17:AK17)</f>
        <v>0</v>
      </c>
      <c r="AR17" s="33">
        <f>SUM(AM17:AQ17)</f>
        <v>0</v>
      </c>
      <c r="AX17" s="33">
        <f>SUM(AS17:AW17)</f>
        <v>0</v>
      </c>
      <c r="BA17" s="33">
        <f t="shared" si="2"/>
        <v>0</v>
      </c>
    </row>
    <row r="18" spans="1:53" ht="105" customHeight="1" x14ac:dyDescent="0.25">
      <c r="A18" s="1" t="s">
        <v>11</v>
      </c>
      <c r="C18" s="70" t="s">
        <v>50</v>
      </c>
      <c r="D18" s="70" t="s">
        <v>51</v>
      </c>
      <c r="E18" s="70" t="s">
        <v>54</v>
      </c>
      <c r="F18" s="70" t="s">
        <v>55</v>
      </c>
      <c r="G18" s="70" t="s">
        <v>56</v>
      </c>
      <c r="H18" s="18"/>
      <c r="I18" s="70" t="s">
        <v>59</v>
      </c>
      <c r="J18" s="70" t="s">
        <v>60</v>
      </c>
      <c r="K18" s="70" t="s">
        <v>61</v>
      </c>
      <c r="L18" s="70" t="s">
        <v>63</v>
      </c>
      <c r="M18" s="70" t="s">
        <v>62</v>
      </c>
      <c r="N18" s="18"/>
      <c r="O18" s="70"/>
      <c r="P18" s="70"/>
      <c r="Q18" s="70"/>
      <c r="R18" s="70"/>
      <c r="S18" s="70"/>
      <c r="T18" s="18"/>
      <c r="U18" s="70"/>
      <c r="V18" s="70"/>
      <c r="W18" s="70"/>
      <c r="X18" s="70"/>
      <c r="Y18" s="70"/>
      <c r="Z18" s="18"/>
      <c r="AA18" s="70"/>
      <c r="AB18" s="70"/>
      <c r="AC18" s="70"/>
      <c r="AD18" s="70"/>
      <c r="AE18" s="70"/>
      <c r="AF18" s="18"/>
      <c r="AG18" s="70"/>
      <c r="AH18" s="70"/>
      <c r="AI18" s="70"/>
      <c r="AJ18" s="70"/>
      <c r="AK18" s="70"/>
      <c r="AL18" s="18"/>
      <c r="AM18" s="70"/>
      <c r="AN18" s="70"/>
      <c r="AO18" s="70"/>
      <c r="AP18" s="70"/>
      <c r="AQ18" s="70"/>
      <c r="AR18" s="18"/>
      <c r="AS18" s="70"/>
      <c r="AT18" s="70"/>
      <c r="AU18" s="18"/>
      <c r="AV18" s="70"/>
      <c r="AW18" s="70"/>
      <c r="AX18" s="18"/>
      <c r="AY18" s="18"/>
      <c r="AZ18" s="18"/>
      <c r="BA18" s="18"/>
    </row>
    <row r="19" spans="1:53" x14ac:dyDescent="0.25">
      <c r="A19" s="1" t="s">
        <v>10</v>
      </c>
      <c r="Q19" s="4"/>
      <c r="V19" s="4"/>
      <c r="AA19" s="4"/>
      <c r="AB19" s="4"/>
      <c r="AC19" s="4"/>
      <c r="AD19" s="4"/>
      <c r="AE19" s="4"/>
      <c r="AS19" s="4"/>
      <c r="AT19" s="4"/>
      <c r="AU19" s="4"/>
    </row>
    <row r="20" spans="1:53" x14ac:dyDescent="0.25">
      <c r="Q20" s="4"/>
      <c r="V20" s="4"/>
    </row>
  </sheetData>
  <customSheetViews>
    <customSheetView guid="{B3CDE377-BA5D-4E06-91D9-3A48E1959BA5}">
      <pane xSplit="1" topLeftCell="B1" activePane="topRight" state="frozen"/>
      <selection pane="topRight" activeCell="AP12" sqref="AP12"/>
      <pageMargins left="0.511811024" right="0.511811024" top="0.78740157499999996" bottom="0.78740157499999996" header="0.31496062000000002" footer="0.31496062000000002"/>
    </customSheetView>
    <customSheetView guid="{3D987F8E-A6EA-454D-9537-6BFC5053CB00}">
      <pane xSplit="1" topLeftCell="AP1" activePane="topRight" state="frozen"/>
      <selection pane="topRight" activeCell="C1" sqref="C1:BA17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C1" sqref="C1:CB18"/>
      <pageMargins left="0.511811024" right="0.511811024" top="0.78740157499999996" bottom="0.78740157499999996" header="0.31496062000000002" footer="0.31496062000000002"/>
    </customSheetView>
    <customSheetView guid="{C69767F5-CD39-44C1-AD4B-CE19DC8285A6}">
      <selection activeCell="B16" sqref="B16"/>
      <pageMargins left="0.511811024" right="0.511811024" top="0.78740157499999996" bottom="0.78740157499999996" header="0.31496062000000002" footer="0.31496062000000002"/>
    </customSheetView>
    <customSheetView guid="{552DFCCD-1786-4D75-8B10-27DD730384DD}">
      <pane xSplit="1" topLeftCell="H1" activePane="topRight" state="frozen"/>
      <selection pane="topRight" activeCell="M9" sqref="M9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W1" activePane="topRight" state="frozen"/>
      <selection pane="topRight" activeCell="W18" sqref="W18"/>
      <pageMargins left="0.511811024" right="0.511811024" top="0.78740157499999996" bottom="0.78740157499999996" header="0.31496062000000002" footer="0.31496062000000002"/>
      <pageSetup paperSize="9" orientation="portrait" r:id="rId1"/>
      <autoFilter ref="A1:A20" xr:uid="{A5008C51-9E0C-406A-9FC9-B724E388FE85}"/>
    </customSheetView>
    <customSheetView guid="{20CB6D8F-C24D-4D4B-A424-AF380F620455}" showPageBreaks="1" topLeftCell="C1">
      <selection activeCell="S18" sqref="S18"/>
      <pageMargins left="0.511811024" right="0.511811024" top="0.78740157499999996" bottom="0.78740157499999996" header="0.31496062000000002" footer="0.31496062000000002"/>
      <pageSetup paperSize="9" orientation="portrait" r:id="rId2"/>
    </customSheetView>
    <customSheetView guid="{86039CF8-B158-4D70-9A6F-A10C29CBD68A}" topLeftCell="B1">
      <selection activeCell="Z18" sqref="Z18"/>
      <pageMargins left="0.511811024" right="0.511811024" top="0.78740157499999996" bottom="0.78740157499999996" header="0.31496062000000002" footer="0.31496062000000002"/>
    </customSheetView>
    <customSheetView guid="{E3841903-5B68-44FD-8F09-58E03D1025C5}" topLeftCell="A7">
      <pane xSplit="1" topLeftCell="B1" activePane="topRight" state="frozen"/>
      <selection pane="topRight" activeCell="K18" sqref="K1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A19"/>
  <sheetViews>
    <sheetView zoomScale="85" zoomScaleNormal="85" workbookViewId="0">
      <pane xSplit="1" topLeftCell="AO1" activePane="topRight" state="frozen"/>
      <selection pane="topRight" activeCell="BF1" sqref="BF1"/>
    </sheetView>
  </sheetViews>
  <sheetFormatPr defaultColWidth="9.140625" defaultRowHeight="15" x14ac:dyDescent="0.25"/>
  <cols>
    <col min="1" max="1" width="77.42578125" style="1" bestFit="1" customWidth="1"/>
    <col min="2" max="2" width="3" style="1" bestFit="1" customWidth="1"/>
    <col min="3" max="7" width="9.140625" style="1"/>
    <col min="8" max="8" width="14.85546875" style="1" customWidth="1"/>
    <col min="9" max="13" width="9.140625" style="1"/>
    <col min="14" max="14" width="14.140625" style="1" customWidth="1"/>
    <col min="15" max="19" width="9.140625" style="1"/>
    <col min="20" max="20" width="13.7109375" style="1" customWidth="1"/>
    <col min="21" max="25" width="9.140625" style="1"/>
    <col min="26" max="26" width="14.28515625" style="1" customWidth="1"/>
    <col min="27" max="31" width="9.140625" style="1"/>
    <col min="32" max="32" width="15.42578125" style="1" customWidth="1"/>
    <col min="33" max="37" width="9.140625" style="1"/>
    <col min="38" max="38" width="16" style="1" customWidth="1"/>
    <col min="39" max="39" width="10.28515625" style="1" customWidth="1"/>
    <col min="40" max="40" width="10.140625" style="1" customWidth="1"/>
    <col min="41" max="43" width="9.140625" style="1"/>
    <col min="44" max="44" width="14.28515625" style="1" customWidth="1"/>
    <col min="45" max="49" width="9.140625" style="1"/>
    <col min="50" max="50" width="13.85546875" style="1" customWidth="1"/>
    <col min="51" max="52" width="9.140625" style="1"/>
    <col min="53" max="53" width="14.28515625" style="1" customWidth="1"/>
    <col min="54" max="16384" width="9.140625" style="1"/>
  </cols>
  <sheetData>
    <row r="1" spans="1:53" x14ac:dyDescent="0.25">
      <c r="A1" s="14" t="s">
        <v>9</v>
      </c>
      <c r="B1" s="41"/>
      <c r="C1" s="32">
        <v>46146</v>
      </c>
      <c r="D1" s="32">
        <v>46147</v>
      </c>
      <c r="E1" s="32">
        <v>46148</v>
      </c>
      <c r="F1" s="32">
        <v>46149</v>
      </c>
      <c r="G1" s="32">
        <v>46150</v>
      </c>
      <c r="H1" s="10" t="s">
        <v>15</v>
      </c>
      <c r="I1" s="32">
        <v>46153</v>
      </c>
      <c r="J1" s="32">
        <v>46154</v>
      </c>
      <c r="K1" s="32">
        <v>46155</v>
      </c>
      <c r="L1" s="32">
        <v>46156</v>
      </c>
      <c r="M1" s="32">
        <v>46157</v>
      </c>
      <c r="N1" s="10" t="s">
        <v>15</v>
      </c>
      <c r="O1" s="19">
        <v>46160</v>
      </c>
      <c r="P1" s="19">
        <v>46161</v>
      </c>
      <c r="Q1" s="19">
        <v>46162</v>
      </c>
      <c r="R1" s="19">
        <v>46163</v>
      </c>
      <c r="S1" s="19">
        <v>46164</v>
      </c>
      <c r="T1" s="10" t="s">
        <v>15</v>
      </c>
      <c r="U1" s="32">
        <v>46167</v>
      </c>
      <c r="V1" s="32">
        <v>46168</v>
      </c>
      <c r="W1" s="32">
        <v>46169</v>
      </c>
      <c r="X1" s="32">
        <v>46170</v>
      </c>
      <c r="Y1" s="32">
        <v>46171</v>
      </c>
      <c r="Z1" s="10" t="s">
        <v>15</v>
      </c>
      <c r="AA1" s="32">
        <v>46174</v>
      </c>
      <c r="AB1" s="32">
        <v>46175</v>
      </c>
      <c r="AC1" s="32">
        <v>46176</v>
      </c>
      <c r="AD1" s="32">
        <v>46177</v>
      </c>
      <c r="AE1" s="32">
        <v>46178</v>
      </c>
      <c r="AF1" s="10" t="s">
        <v>15</v>
      </c>
      <c r="AG1" s="32">
        <v>46181</v>
      </c>
      <c r="AH1" s="32">
        <v>46182</v>
      </c>
      <c r="AI1" s="32">
        <v>46183</v>
      </c>
      <c r="AJ1" s="32">
        <v>46184</v>
      </c>
      <c r="AK1" s="32">
        <v>46185</v>
      </c>
      <c r="AL1" s="10" t="s">
        <v>15</v>
      </c>
      <c r="AM1" s="32">
        <v>46188</v>
      </c>
      <c r="AN1" s="32">
        <v>46189</v>
      </c>
      <c r="AO1" s="32">
        <v>46190</v>
      </c>
      <c r="AP1" s="32">
        <v>46191</v>
      </c>
      <c r="AQ1" s="32">
        <v>46192</v>
      </c>
      <c r="AR1" s="10" t="s">
        <v>15</v>
      </c>
      <c r="AS1" s="19">
        <v>46195</v>
      </c>
      <c r="AT1" s="19">
        <v>46196</v>
      </c>
      <c r="AU1" s="19">
        <v>46197</v>
      </c>
      <c r="AV1" s="19">
        <v>46198</v>
      </c>
      <c r="AW1" s="19">
        <v>46199</v>
      </c>
      <c r="AX1" s="10" t="s">
        <v>15</v>
      </c>
      <c r="AY1" s="67">
        <v>46202</v>
      </c>
      <c r="AZ1" s="67">
        <v>46203</v>
      </c>
      <c r="BA1" s="10" t="s">
        <v>15</v>
      </c>
    </row>
    <row r="2" spans="1:53" x14ac:dyDescent="0.25">
      <c r="A2" s="39" t="s">
        <v>18</v>
      </c>
      <c r="B2" s="42">
        <v>1</v>
      </c>
      <c r="H2" s="33">
        <f>SUM(C2:G2)</f>
        <v>0</v>
      </c>
      <c r="N2" s="33">
        <f t="shared" ref="N2:N16" si="0">SUM(I2:M2)</f>
        <v>0</v>
      </c>
      <c r="T2" s="33">
        <f t="shared" ref="T2:T17" si="1">SUM(O2:S2)</f>
        <v>0</v>
      </c>
      <c r="Z2" s="33">
        <f>SUM(U2:Y2)</f>
        <v>0</v>
      </c>
      <c r="AF2" s="33">
        <f>SUM(AA2:AE2)</f>
        <v>0</v>
      </c>
      <c r="AL2" s="33">
        <f>SUM(AG2:AK2)</f>
        <v>0</v>
      </c>
      <c r="AR2" s="33">
        <f>SUM(AM2:AQ2)</f>
        <v>0</v>
      </c>
      <c r="AS2" s="55"/>
      <c r="AX2" s="33">
        <f>SUM(AS2:AW2)</f>
        <v>0</v>
      </c>
      <c r="BA2" s="33">
        <f t="shared" ref="BA2:BA17" si="2">SUM(AY2:AZ2)</f>
        <v>0</v>
      </c>
    </row>
    <row r="3" spans="1:53" x14ac:dyDescent="0.25">
      <c r="A3" s="39" t="s">
        <v>0</v>
      </c>
      <c r="B3" s="42">
        <v>2</v>
      </c>
      <c r="H3" s="33">
        <f t="shared" ref="H3:H16" si="3">SUM(C3:G3)</f>
        <v>0</v>
      </c>
      <c r="N3" s="33">
        <f t="shared" si="0"/>
        <v>0</v>
      </c>
      <c r="T3" s="33">
        <f t="shared" si="1"/>
        <v>0</v>
      </c>
      <c r="Z3" s="33">
        <f t="shared" ref="Z3:Z16" si="4">SUM(U3:Y3)</f>
        <v>0</v>
      </c>
      <c r="AF3" s="33">
        <f t="shared" ref="AF3:AF16" si="5">SUM(AA3:AE3)</f>
        <v>0</v>
      </c>
      <c r="AL3" s="33">
        <f t="shared" ref="AL3:AL16" si="6">SUM(AG3:AK3)</f>
        <v>0</v>
      </c>
      <c r="AR3" s="33">
        <f t="shared" ref="AR3:AR16" si="7">SUM(AM3:AQ3)</f>
        <v>0</v>
      </c>
      <c r="AX3" s="33">
        <f t="shared" ref="AX3:AX16" si="8">SUM(AS3:AW3)</f>
        <v>0</v>
      </c>
      <c r="BA3" s="33">
        <f t="shared" si="2"/>
        <v>0</v>
      </c>
    </row>
    <row r="4" spans="1:53" x14ac:dyDescent="0.25">
      <c r="A4" s="40" t="s">
        <v>17</v>
      </c>
      <c r="B4" s="43">
        <v>3</v>
      </c>
      <c r="H4" s="33">
        <f t="shared" si="3"/>
        <v>0</v>
      </c>
      <c r="N4" s="33">
        <f t="shared" si="0"/>
        <v>0</v>
      </c>
      <c r="T4" s="33">
        <f t="shared" si="1"/>
        <v>0</v>
      </c>
      <c r="Z4" s="33">
        <f t="shared" si="4"/>
        <v>0</v>
      </c>
      <c r="AF4" s="33">
        <f t="shared" si="5"/>
        <v>0</v>
      </c>
      <c r="AL4" s="33">
        <f t="shared" si="6"/>
        <v>0</v>
      </c>
      <c r="AR4" s="33">
        <f t="shared" si="7"/>
        <v>0</v>
      </c>
      <c r="AX4" s="33">
        <f t="shared" si="8"/>
        <v>0</v>
      </c>
      <c r="BA4" s="33">
        <f t="shared" si="2"/>
        <v>0</v>
      </c>
    </row>
    <row r="5" spans="1:53" x14ac:dyDescent="0.25">
      <c r="A5" s="40" t="s">
        <v>16</v>
      </c>
      <c r="B5" s="42">
        <v>4</v>
      </c>
      <c r="H5" s="33">
        <f t="shared" si="3"/>
        <v>0</v>
      </c>
      <c r="L5" s="38"/>
      <c r="N5" s="33">
        <f t="shared" si="0"/>
        <v>0</v>
      </c>
      <c r="T5" s="33">
        <f t="shared" si="1"/>
        <v>0</v>
      </c>
      <c r="Z5" s="33">
        <f t="shared" si="4"/>
        <v>0</v>
      </c>
      <c r="AF5" s="33">
        <f t="shared" si="5"/>
        <v>0</v>
      </c>
      <c r="AL5" s="33">
        <f t="shared" si="6"/>
        <v>0</v>
      </c>
      <c r="AR5" s="33">
        <f t="shared" si="7"/>
        <v>0</v>
      </c>
      <c r="AX5" s="33">
        <f t="shared" si="8"/>
        <v>0</v>
      </c>
      <c r="BA5" s="33">
        <f t="shared" si="2"/>
        <v>0</v>
      </c>
    </row>
    <row r="6" spans="1:53" x14ac:dyDescent="0.25">
      <c r="A6" s="40" t="s">
        <v>1</v>
      </c>
      <c r="B6" s="42">
        <v>5</v>
      </c>
      <c r="H6" s="33">
        <f t="shared" si="3"/>
        <v>0</v>
      </c>
      <c r="L6" s="38"/>
      <c r="N6" s="33">
        <f t="shared" si="0"/>
        <v>0</v>
      </c>
      <c r="T6" s="33">
        <f t="shared" si="1"/>
        <v>0</v>
      </c>
      <c r="Z6" s="33">
        <f t="shared" si="4"/>
        <v>0</v>
      </c>
      <c r="AF6" s="33">
        <f t="shared" si="5"/>
        <v>0</v>
      </c>
      <c r="AL6" s="33">
        <f t="shared" si="6"/>
        <v>0</v>
      </c>
      <c r="AR6" s="33">
        <f t="shared" si="7"/>
        <v>0</v>
      </c>
      <c r="AX6" s="33">
        <f t="shared" si="8"/>
        <v>0</v>
      </c>
      <c r="BA6" s="33">
        <f t="shared" si="2"/>
        <v>0</v>
      </c>
    </row>
    <row r="7" spans="1:53" x14ac:dyDescent="0.25">
      <c r="A7" s="40" t="s">
        <v>2</v>
      </c>
      <c r="B7" s="43">
        <v>6</v>
      </c>
      <c r="H7" s="33">
        <f t="shared" si="3"/>
        <v>0</v>
      </c>
      <c r="N7" s="33">
        <f t="shared" si="0"/>
        <v>0</v>
      </c>
      <c r="T7" s="33">
        <f t="shared" si="1"/>
        <v>0</v>
      </c>
      <c r="Z7" s="33">
        <f t="shared" si="4"/>
        <v>0</v>
      </c>
      <c r="AF7" s="33">
        <f t="shared" si="5"/>
        <v>0</v>
      </c>
      <c r="AL7" s="33">
        <f t="shared" si="6"/>
        <v>0</v>
      </c>
      <c r="AR7" s="33">
        <f t="shared" si="7"/>
        <v>0</v>
      </c>
      <c r="AX7" s="33">
        <f t="shared" si="8"/>
        <v>0</v>
      </c>
      <c r="BA7" s="33">
        <f t="shared" si="2"/>
        <v>0</v>
      </c>
    </row>
    <row r="8" spans="1:53" x14ac:dyDescent="0.25">
      <c r="A8" s="40" t="s">
        <v>3</v>
      </c>
      <c r="B8" s="42">
        <v>7</v>
      </c>
      <c r="H8" s="33">
        <f t="shared" si="3"/>
        <v>0</v>
      </c>
      <c r="N8" s="33">
        <f t="shared" si="0"/>
        <v>0</v>
      </c>
      <c r="T8" s="33">
        <f t="shared" si="1"/>
        <v>0</v>
      </c>
      <c r="Z8" s="33">
        <f t="shared" si="4"/>
        <v>0</v>
      </c>
      <c r="AF8" s="33">
        <f t="shared" si="5"/>
        <v>0</v>
      </c>
      <c r="AL8" s="33">
        <f t="shared" si="6"/>
        <v>0</v>
      </c>
      <c r="AR8" s="33">
        <f t="shared" si="7"/>
        <v>0</v>
      </c>
      <c r="AX8" s="33">
        <f t="shared" si="8"/>
        <v>0</v>
      </c>
      <c r="BA8" s="33">
        <f t="shared" si="2"/>
        <v>0</v>
      </c>
    </row>
    <row r="9" spans="1:53" x14ac:dyDescent="0.25">
      <c r="A9" s="40" t="s">
        <v>13</v>
      </c>
      <c r="B9" s="42">
        <v>8</v>
      </c>
      <c r="H9" s="33">
        <f t="shared" si="3"/>
        <v>0</v>
      </c>
      <c r="N9" s="33">
        <f t="shared" si="0"/>
        <v>0</v>
      </c>
      <c r="T9" s="33">
        <f t="shared" si="1"/>
        <v>0</v>
      </c>
      <c r="Z9" s="33">
        <f t="shared" si="4"/>
        <v>0</v>
      </c>
      <c r="AF9" s="33">
        <f t="shared" si="5"/>
        <v>0</v>
      </c>
      <c r="AL9" s="33">
        <f t="shared" si="6"/>
        <v>0</v>
      </c>
      <c r="AR9" s="33">
        <f t="shared" si="7"/>
        <v>0</v>
      </c>
      <c r="AX9" s="33">
        <f t="shared" si="8"/>
        <v>0</v>
      </c>
      <c r="BA9" s="33">
        <f t="shared" si="2"/>
        <v>0</v>
      </c>
    </row>
    <row r="10" spans="1:53" x14ac:dyDescent="0.25">
      <c r="A10" s="39" t="s">
        <v>12</v>
      </c>
      <c r="B10" s="43">
        <v>9</v>
      </c>
      <c r="H10" s="33">
        <f t="shared" si="3"/>
        <v>0</v>
      </c>
      <c r="N10" s="33">
        <f t="shared" si="0"/>
        <v>0</v>
      </c>
      <c r="T10" s="33">
        <f t="shared" si="1"/>
        <v>0</v>
      </c>
      <c r="Z10" s="33">
        <f t="shared" si="4"/>
        <v>0</v>
      </c>
      <c r="AF10" s="33">
        <f t="shared" si="5"/>
        <v>0</v>
      </c>
      <c r="AL10" s="33">
        <f t="shared" si="6"/>
        <v>0</v>
      </c>
      <c r="AR10" s="33">
        <f t="shared" si="7"/>
        <v>0</v>
      </c>
      <c r="AX10" s="33">
        <f t="shared" si="8"/>
        <v>0</v>
      </c>
      <c r="BA10" s="33">
        <f t="shared" si="2"/>
        <v>0</v>
      </c>
    </row>
    <row r="11" spans="1:53" x14ac:dyDescent="0.25">
      <c r="A11" s="40" t="s">
        <v>4</v>
      </c>
      <c r="B11" s="42">
        <v>10</v>
      </c>
      <c r="C11" s="1">
        <v>3</v>
      </c>
      <c r="D11" s="1">
        <v>4</v>
      </c>
      <c r="E11" s="1">
        <v>5</v>
      </c>
      <c r="F11" s="1">
        <v>6</v>
      </c>
      <c r="G11" s="1">
        <v>2</v>
      </c>
      <c r="H11" s="33">
        <f t="shared" si="3"/>
        <v>20</v>
      </c>
      <c r="N11" s="33">
        <f t="shared" si="0"/>
        <v>0</v>
      </c>
      <c r="T11" s="33">
        <f t="shared" si="1"/>
        <v>0</v>
      </c>
      <c r="Z11" s="33">
        <f t="shared" si="4"/>
        <v>0</v>
      </c>
      <c r="AF11" s="33">
        <f t="shared" si="5"/>
        <v>0</v>
      </c>
      <c r="AL11" s="33">
        <f t="shared" si="6"/>
        <v>0</v>
      </c>
      <c r="AR11" s="33">
        <f t="shared" si="7"/>
        <v>0</v>
      </c>
      <c r="AX11" s="33">
        <f t="shared" si="8"/>
        <v>0</v>
      </c>
      <c r="BA11" s="33">
        <f t="shared" si="2"/>
        <v>0</v>
      </c>
    </row>
    <row r="12" spans="1:53" x14ac:dyDescent="0.25">
      <c r="A12" s="40" t="s">
        <v>5</v>
      </c>
      <c r="B12" s="42">
        <v>11</v>
      </c>
      <c r="C12" s="1">
        <v>30</v>
      </c>
      <c r="D12" s="1">
        <v>29</v>
      </c>
      <c r="E12" s="1">
        <v>26</v>
      </c>
      <c r="F12" s="1">
        <v>31</v>
      </c>
      <c r="G12" s="1">
        <v>14</v>
      </c>
      <c r="H12" s="33">
        <f t="shared" si="3"/>
        <v>130</v>
      </c>
      <c r="N12" s="33">
        <f t="shared" si="0"/>
        <v>0</v>
      </c>
      <c r="T12" s="33">
        <f t="shared" si="1"/>
        <v>0</v>
      </c>
      <c r="Z12" s="33">
        <f t="shared" si="4"/>
        <v>0</v>
      </c>
      <c r="AF12" s="33">
        <f t="shared" si="5"/>
        <v>0</v>
      </c>
      <c r="AL12" s="33">
        <f t="shared" si="6"/>
        <v>0</v>
      </c>
      <c r="AR12" s="33">
        <f t="shared" si="7"/>
        <v>0</v>
      </c>
      <c r="AX12" s="33">
        <f t="shared" si="8"/>
        <v>0</v>
      </c>
      <c r="BA12" s="33">
        <f t="shared" si="2"/>
        <v>0</v>
      </c>
    </row>
    <row r="13" spans="1:53" ht="18.75" customHeight="1" x14ac:dyDescent="0.25">
      <c r="A13" s="39" t="s">
        <v>8</v>
      </c>
      <c r="B13" s="43">
        <v>12</v>
      </c>
      <c r="H13" s="33">
        <f t="shared" si="3"/>
        <v>0</v>
      </c>
      <c r="N13" s="33">
        <f t="shared" si="0"/>
        <v>0</v>
      </c>
      <c r="T13" s="33">
        <f t="shared" si="1"/>
        <v>0</v>
      </c>
      <c r="Z13" s="33">
        <f t="shared" si="4"/>
        <v>0</v>
      </c>
      <c r="AF13" s="33">
        <f t="shared" si="5"/>
        <v>0</v>
      </c>
      <c r="AL13" s="33">
        <f t="shared" si="6"/>
        <v>0</v>
      </c>
      <c r="AR13" s="33">
        <f t="shared" si="7"/>
        <v>0</v>
      </c>
      <c r="AX13" s="33">
        <f t="shared" si="8"/>
        <v>0</v>
      </c>
      <c r="BA13" s="33">
        <f t="shared" si="2"/>
        <v>0</v>
      </c>
    </row>
    <row r="14" spans="1:53" x14ac:dyDescent="0.25">
      <c r="A14" s="40" t="s">
        <v>6</v>
      </c>
      <c r="B14" s="42">
        <v>13</v>
      </c>
      <c r="H14" s="33">
        <f t="shared" si="3"/>
        <v>0</v>
      </c>
      <c r="N14" s="33">
        <f t="shared" si="0"/>
        <v>0</v>
      </c>
      <c r="T14" s="33">
        <f t="shared" si="1"/>
        <v>0</v>
      </c>
      <c r="Z14" s="33">
        <f t="shared" si="4"/>
        <v>0</v>
      </c>
      <c r="AF14" s="33">
        <f t="shared" si="5"/>
        <v>0</v>
      </c>
      <c r="AL14" s="33">
        <f t="shared" si="6"/>
        <v>0</v>
      </c>
      <c r="AR14" s="33">
        <f t="shared" si="7"/>
        <v>0</v>
      </c>
      <c r="AX14" s="33">
        <f t="shared" si="8"/>
        <v>0</v>
      </c>
      <c r="BA14" s="33">
        <f t="shared" si="2"/>
        <v>0</v>
      </c>
    </row>
    <row r="15" spans="1:53" x14ac:dyDescent="0.25">
      <c r="A15" s="39" t="s">
        <v>7</v>
      </c>
      <c r="B15" s="42">
        <v>14</v>
      </c>
      <c r="H15" s="33">
        <f t="shared" si="3"/>
        <v>0</v>
      </c>
      <c r="N15" s="33">
        <f t="shared" si="0"/>
        <v>0</v>
      </c>
      <c r="T15" s="33">
        <f t="shared" si="1"/>
        <v>0</v>
      </c>
      <c r="Z15" s="33">
        <f t="shared" si="4"/>
        <v>0</v>
      </c>
      <c r="AF15" s="33">
        <f t="shared" si="5"/>
        <v>0</v>
      </c>
      <c r="AL15" s="33">
        <f t="shared" si="6"/>
        <v>0</v>
      </c>
      <c r="AR15" s="33">
        <f t="shared" si="7"/>
        <v>0</v>
      </c>
      <c r="AX15" s="33">
        <f t="shared" si="8"/>
        <v>0</v>
      </c>
      <c r="BA15" s="33">
        <f t="shared" si="2"/>
        <v>0</v>
      </c>
    </row>
    <row r="16" spans="1:53" x14ac:dyDescent="0.25">
      <c r="A16" s="39" t="s">
        <v>14</v>
      </c>
      <c r="B16" s="36">
        <v>15</v>
      </c>
      <c r="H16" s="33">
        <f t="shared" si="3"/>
        <v>0</v>
      </c>
      <c r="N16" s="33">
        <f t="shared" si="0"/>
        <v>0</v>
      </c>
      <c r="T16" s="33">
        <f t="shared" si="1"/>
        <v>0</v>
      </c>
      <c r="Z16" s="33">
        <f t="shared" si="4"/>
        <v>0</v>
      </c>
      <c r="AF16" s="33">
        <f t="shared" si="5"/>
        <v>0</v>
      </c>
      <c r="AL16" s="33">
        <f t="shared" si="6"/>
        <v>0</v>
      </c>
      <c r="AR16" s="33">
        <f t="shared" si="7"/>
        <v>0</v>
      </c>
      <c r="AX16" s="33">
        <f t="shared" si="8"/>
        <v>0</v>
      </c>
      <c r="BA16" s="33">
        <f t="shared" si="2"/>
        <v>0</v>
      </c>
    </row>
    <row r="17" spans="1:53" x14ac:dyDescent="0.25">
      <c r="A17" s="15" t="s">
        <v>39</v>
      </c>
      <c r="B17" s="37">
        <v>16</v>
      </c>
      <c r="C17" s="13"/>
      <c r="D17" s="13"/>
      <c r="E17" s="13"/>
      <c r="F17" s="13"/>
      <c r="G17" s="13"/>
      <c r="H17" s="34">
        <f>SUM(C17:G17)</f>
        <v>0</v>
      </c>
      <c r="I17" s="13"/>
      <c r="J17" s="13"/>
      <c r="K17" s="13"/>
      <c r="L17" s="13"/>
      <c r="M17" s="13"/>
      <c r="N17" s="34">
        <f>SUM(I17:M17)</f>
        <v>0</v>
      </c>
      <c r="O17" s="13"/>
      <c r="P17" s="13"/>
      <c r="Q17" s="13"/>
      <c r="R17" s="13"/>
      <c r="S17" s="13"/>
      <c r="T17" s="34">
        <f t="shared" si="1"/>
        <v>0</v>
      </c>
      <c r="U17" s="13"/>
      <c r="V17" s="13"/>
      <c r="W17" s="13"/>
      <c r="X17" s="13"/>
      <c r="Y17" s="13"/>
      <c r="Z17" s="34">
        <f>SUM(U17:Y17)</f>
        <v>0</v>
      </c>
      <c r="AA17" s="13"/>
      <c r="AB17" s="13"/>
      <c r="AC17" s="13"/>
      <c r="AD17" s="13"/>
      <c r="AE17" s="13"/>
      <c r="AF17" s="34">
        <f>SUM(AA17:AE17)</f>
        <v>0</v>
      </c>
      <c r="AG17" s="13"/>
      <c r="AH17" s="13"/>
      <c r="AI17" s="13"/>
      <c r="AJ17" s="13"/>
      <c r="AK17" s="13"/>
      <c r="AL17" s="34">
        <f>SUM(AG17:AK17)</f>
        <v>0</v>
      </c>
      <c r="AM17" s="13"/>
      <c r="AN17" s="13"/>
      <c r="AO17" s="13"/>
      <c r="AP17" s="13"/>
      <c r="AQ17" s="13"/>
      <c r="AR17" s="34">
        <f>SUM(AM17:AQ17)</f>
        <v>0</v>
      </c>
      <c r="AS17" s="13"/>
      <c r="AT17" s="13"/>
      <c r="AU17" s="13"/>
      <c r="AV17" s="13"/>
      <c r="AW17" s="13"/>
      <c r="AX17" s="34">
        <f>SUM(AS17:AW17)</f>
        <v>0</v>
      </c>
      <c r="AY17" s="13"/>
      <c r="AZ17" s="13"/>
      <c r="BA17" s="34">
        <f t="shared" si="2"/>
        <v>0</v>
      </c>
    </row>
    <row r="18" spans="1:53" x14ac:dyDescent="0.25">
      <c r="A18" s="1" t="s">
        <v>11</v>
      </c>
    </row>
    <row r="19" spans="1:53" x14ac:dyDescent="0.25">
      <c r="A19" s="1" t="s">
        <v>10</v>
      </c>
    </row>
  </sheetData>
  <customSheetViews>
    <customSheetView guid="{B3CDE377-BA5D-4E06-91D9-3A48E1959BA5}">
      <pane xSplit="1" topLeftCell="AJ1" activePane="topRight" state="frozen"/>
      <selection pane="topRight" activeCell="A16" sqref="A16:XFD16"/>
      <pageMargins left="0.511811024" right="0.511811024" top="0.78740157499999996" bottom="0.78740157499999996" header="0.31496062000000002" footer="0.31496062000000002"/>
    </customSheetView>
    <customSheetView guid="{3D987F8E-A6EA-454D-9537-6BFC5053CB00}" scale="85">
      <pane xSplit="1" topLeftCell="AO1" activePane="topRight" state="frozen"/>
      <selection pane="topRight" activeCell="BF1" sqref="BF1"/>
      <pageMargins left="0.511811024" right="0.511811024" top="0.78740157499999996" bottom="0.78740157499999996" header="0.31496062000000002" footer="0.31496062000000002"/>
    </customSheetView>
    <customSheetView guid="{18A482E0-C8B6-4AA1-9E04-15FA7C9CD5E3}" scale="90">
      <pane xSplit="1" topLeftCell="B1" activePane="topRight" state="frozen"/>
      <selection pane="topRight" activeCell="B1" sqref="B1"/>
      <pageMargins left="0.511811024" right="0.511811024" top="0.78740157499999996" bottom="0.78740157499999996" header="0.31496062000000002" footer="0.31496062000000002"/>
    </customSheetView>
    <customSheetView guid="{C69767F5-CD39-44C1-AD4B-CE19DC8285A6}">
      <pane xSplit="1" topLeftCell="U1" activePane="topRight" state="frozen"/>
      <selection pane="topRight" activeCell="AE10" sqref="AE10"/>
      <pageMargins left="0.511811024" right="0.511811024" top="0.78740157499999996" bottom="0.78740157499999996" header="0.31496062000000002" footer="0.31496062000000002"/>
    </customSheetView>
    <customSheetView guid="{552DFCCD-1786-4D75-8B10-27DD730384DD}">
      <selection activeCell="C8" sqref="C8"/>
      <pageMargins left="0.511811024" right="0.511811024" top="0.78740157499999996" bottom="0.78740157499999996" header="0.31496062000000002" footer="0.31496062000000002"/>
    </customSheetView>
    <customSheetView guid="{9B623083-AA7B-440B-95EA-C33E1AB3D963}" showAutoFilter="1">
      <pane xSplit="1" topLeftCell="H1" activePane="topRight" state="frozen"/>
      <selection pane="topRight" activeCell="A11" sqref="A11"/>
      <pageMargins left="0.511811024" right="0.511811024" top="0.78740157499999996" bottom="0.78740157499999996" header="0.31496062000000002" footer="0.31496062000000002"/>
      <autoFilter ref="A1:A19" xr:uid="{30629A21-F155-498F-88DA-864FF6623052}"/>
    </customSheetView>
    <customSheetView guid="{20CB6D8F-C24D-4D4B-A424-AF380F620455}" showPageBreaks="1">
      <selection activeCell="L10" sqref="L10"/>
      <pageMargins left="0.511811024" right="0.511811024" top="0.78740157499999996" bottom="0.78740157499999996" header="0.31496062000000002" footer="0.31496062000000002"/>
      <pageSetup paperSize="9" orientation="portrait" r:id="rId1"/>
    </customSheetView>
    <customSheetView guid="{86039CF8-B158-4D70-9A6F-A10C29CBD68A}" topLeftCell="AK1">
      <selection activeCell="C1" sqref="C1:AZ17"/>
      <pageMargins left="0.511811024" right="0.511811024" top="0.78740157499999996" bottom="0.78740157499999996" header="0.31496062000000002" footer="0.31496062000000002"/>
    </customSheetView>
    <customSheetView guid="{E3841903-5B68-44FD-8F09-58E03D1025C5}">
      <selection activeCell="A8" sqref="A8:XFD8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L1:L15"/>
  <sheetViews>
    <sheetView workbookViewId="0">
      <selection activeCell="L15" sqref="L15"/>
    </sheetView>
  </sheetViews>
  <sheetFormatPr defaultRowHeight="15" x14ac:dyDescent="0.25"/>
  <sheetData>
    <row r="1" spans="12:12" x14ac:dyDescent="0.25">
      <c r="L1" s="20"/>
    </row>
    <row r="2" spans="12:12" x14ac:dyDescent="0.25">
      <c r="L2" s="20"/>
    </row>
    <row r="3" spans="12:12" x14ac:dyDescent="0.25">
      <c r="L3" s="20"/>
    </row>
    <row r="4" spans="12:12" x14ac:dyDescent="0.25">
      <c r="L4" s="20"/>
    </row>
    <row r="5" spans="12:12" x14ac:dyDescent="0.25">
      <c r="L5" s="20"/>
    </row>
    <row r="6" spans="12:12" x14ac:dyDescent="0.25">
      <c r="L6" s="20"/>
    </row>
    <row r="7" spans="12:12" x14ac:dyDescent="0.25">
      <c r="L7" s="20"/>
    </row>
    <row r="8" spans="12:12" x14ac:dyDescent="0.25">
      <c r="L8" s="20"/>
    </row>
    <row r="9" spans="12:12" x14ac:dyDescent="0.25">
      <c r="L9" s="20"/>
    </row>
    <row r="10" spans="12:12" x14ac:dyDescent="0.25">
      <c r="L10" s="20"/>
    </row>
    <row r="11" spans="12:12" x14ac:dyDescent="0.25">
      <c r="L11" s="20"/>
    </row>
    <row r="12" spans="12:12" x14ac:dyDescent="0.25">
      <c r="L12" s="20"/>
    </row>
    <row r="13" spans="12:12" x14ac:dyDescent="0.25">
      <c r="L13" s="20"/>
    </row>
    <row r="14" spans="12:12" x14ac:dyDescent="0.25">
      <c r="L14" s="20"/>
    </row>
    <row r="15" spans="12:12" x14ac:dyDescent="0.25">
      <c r="L15" s="20"/>
    </row>
  </sheetData>
  <customSheetViews>
    <customSheetView guid="{B3CDE377-BA5D-4E06-91D9-3A48E1959BA5}">
      <selection activeCell="L15" sqref="L15"/>
      <pageMargins left="0.511811024" right="0.511811024" top="0.78740157499999996" bottom="0.78740157499999996" header="0.31496062000000002" footer="0.31496062000000002"/>
    </customSheetView>
    <customSheetView guid="{3D987F8E-A6EA-454D-9537-6BFC5053CB00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18A482E0-C8B6-4AA1-9E04-15FA7C9CD5E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9B623083-AA7B-440B-95EA-C33E1AB3D963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20CB6D8F-C24D-4D4B-A424-AF380F620455}">
      <selection activeCell="D4" sqref="D4"/>
      <pageMargins left="0.511811024" right="0.511811024" top="0.78740157499999996" bottom="0.78740157499999996" header="0.31496062000000002" footer="0.31496062000000002"/>
    </customSheetView>
    <customSheetView guid="{86039CF8-B158-4D70-9A6F-A10C29CBD68A}" state="hidden">
      <selection activeCell="L15" sqref="L15"/>
      <pageMargins left="0.511811024" right="0.511811024" top="0.78740157499999996" bottom="0.78740157499999996" header="0.31496062000000002" footer="0.31496062000000002"/>
    </customSheetView>
    <customSheetView guid="{E3841903-5B68-44FD-8F09-58E03D1025C5}" state="hidden">
      <selection activeCell="L15" sqref="L15"/>
      <pageMargins left="0.511811024" right="0.511811024" top="0.78740157499999996" bottom="0.78740157499999996" header="0.31496062000000002" footer="0.31496062000000002"/>
    </customSheetView>
  </customSheetView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GLOSSÁRIO</vt:lpstr>
      <vt:lpstr>Patrícia</vt:lpstr>
      <vt:lpstr>Leonardo</vt:lpstr>
      <vt:lpstr>TOTAL</vt:lpstr>
      <vt:lpstr>Diego</vt:lpstr>
      <vt:lpstr>Aelton</vt:lpstr>
      <vt:lpstr>Leonam</vt:lpstr>
      <vt:lpstr>Danilo</vt:lpstr>
      <vt:lpstr>Alessandro</vt:lpstr>
      <vt:lpstr>Marcos</vt:lpstr>
      <vt:lpstr>Carlos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Lucio Saboia Fonseca</dc:creator>
  <cp:lastModifiedBy>Alessandro Borges de Araújo</cp:lastModifiedBy>
  <dcterms:created xsi:type="dcterms:W3CDTF">2025-02-20T15:04:38Z</dcterms:created>
  <dcterms:modified xsi:type="dcterms:W3CDTF">2026-05-15T13:43:52Z</dcterms:modified>
</cp:coreProperties>
</file>
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20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Mds.net\mds\SE\SAA\CGLA\CDA\DIARQ\Atividade Semanal - Equipe\z INDICADORES - POR DIA\"/>
    </mc:Choice>
  </mc:AlternateContent>
  <xr:revisionPtr revIDLastSave="0" documentId="13_ncr:81_{42A8DCA1-3542-4AB2-93FD-96D91F2E562C}" xr6:coauthVersionLast="47" xr6:coauthVersionMax="47" xr10:uidLastSave="{00000000-0000-0000-0000-000000000000}"/>
  <bookViews>
    <workbookView xWindow="-120" yWindow="-120" windowWidth="24240" windowHeight="13140" firstSheet="1" activeTab="9" xr2:uid="{00000000-000D-0000-FFFF-FFFF00000000}"/>
  </bookViews>
  <sheets>
    <sheet name="GLOSSÁRIO" sheetId="12" r:id="rId1"/>
    <sheet name="Patrícia" sheetId="1" r:id="rId2"/>
    <sheet name="Leonardo" sheetId="2" r:id="rId3"/>
    <sheet name="TOTAL" sheetId="3" r:id="rId4"/>
    <sheet name="Diego" sheetId="4" r:id="rId5"/>
    <sheet name="Aelton" sheetId="5" r:id="rId6"/>
    <sheet name="Leonam" sheetId="6" r:id="rId7"/>
    <sheet name="Danilo" sheetId="7" r:id="rId8"/>
    <sheet name="Alessandro" sheetId="10" r:id="rId9"/>
    <sheet name="Marcos" sheetId="8" r:id="rId10"/>
    <sheet name="Carlos" sheetId="9" r:id="rId11"/>
    <sheet name="Planilha1" sheetId="11" state="hidden" r:id="rId12"/>
  </sheets>
  <definedNames>
    <definedName name="_xlnm._FilterDatabase" localSheetId="5" hidden="1">Aelton!$A$1:$A$19</definedName>
    <definedName name="_xlnm._FilterDatabase" localSheetId="8" hidden="1">Alessandro!$A$1:$A$19</definedName>
    <definedName name="_xlnm._FilterDatabase" localSheetId="10" hidden="1">Carlos!$A$1:$A$19</definedName>
    <definedName name="_xlnm._FilterDatabase" localSheetId="7" hidden="1">Danilo!$A$1:$A$19</definedName>
    <definedName name="_xlnm._FilterDatabase" localSheetId="4" hidden="1">Diego!$A$1:$A$20</definedName>
    <definedName name="_xlnm._FilterDatabase" localSheetId="6" hidden="1">Leonam!$A$1:$B$19</definedName>
    <definedName name="_xlnm._FilterDatabase" localSheetId="2" hidden="1">Leonardo!$A$1:$A$5</definedName>
    <definedName name="_xlnm._FilterDatabase" localSheetId="9" hidden="1">Marcos!$A$1:$A$20</definedName>
    <definedName name="_xlnm._FilterDatabase" localSheetId="1" hidden="1">Patrícia!$A$1:$A$5</definedName>
    <definedName name="_xlnm._FilterDatabase" localSheetId="3" hidden="1">TOTAL!$A$1:$J$19</definedName>
    <definedName name="_xleta.N" hidden="1">#NAME?</definedName>
    <definedName name="Z_06B9359A_7F39_4D4B_8367_C837FD7A454D_.wvu.FilterData" localSheetId="7" hidden="1">Danilo!$A$1:$A$19</definedName>
    <definedName name="Z_06B9359A_7F39_4D4B_8367_C837FD7A454D_.wvu.FilterData" localSheetId="4" hidden="1">Diego!$A$1:$A$20</definedName>
    <definedName name="Z_06B9359A_7F39_4D4B_8367_C837FD7A454D_.wvu.FilterData" localSheetId="6" hidden="1">Leonam!$A$1:$B$19</definedName>
    <definedName name="Z_0912E6C8_8530_4F2E_BE9C_DB6B963523AF_.wvu.FilterData" localSheetId="5" hidden="1">Aelton!$A$1:$A$19</definedName>
    <definedName name="Z_0912E6C8_8530_4F2E_BE9C_DB6B963523AF_.wvu.FilterData" localSheetId="4" hidden="1">Diego!$A$1:$A$20</definedName>
    <definedName name="Z_0912E6C8_8530_4F2E_BE9C_DB6B963523AF_.wvu.FilterData" localSheetId="6" hidden="1">Leonam!$A$1:$B$19</definedName>
    <definedName name="Z_0912E6C8_8530_4F2E_BE9C_DB6B963523AF_.wvu.FilterData" localSheetId="9" hidden="1">Marcos!$A$1:$A$20</definedName>
    <definedName name="Z_0A8C28F7_67C6_43B2_BEA8_A00D80E28053_.wvu.FilterData" localSheetId="9" hidden="1">Marcos!$A$1:$A$20</definedName>
    <definedName name="Z_0B55FC46_3C4C_40FA_8D19_F188F3837C28_.wvu.FilterData" localSheetId="9" hidden="1">Marcos!$A$1:$A$19</definedName>
    <definedName name="Z_0C95593E_EEC1_46F3_B5D5_FE5BA99CE182_.wvu.FilterData" localSheetId="5" hidden="1">Aelton!$A$1:$A$19</definedName>
    <definedName name="Z_119229FF_7992_4849_B886_5456C968E986_.wvu.FilterData" localSheetId="9" hidden="1">Marcos!$A$1:$A$20</definedName>
    <definedName name="Z_1510BE18_73CC_483F_9E2C_433AE8548BC0_.wvu.FilterData" localSheetId="10" hidden="1">Carlos!$A$1:$A$19</definedName>
    <definedName name="Z_1510BE18_73CC_483F_9E2C_433AE8548BC0_.wvu.FilterData" localSheetId="4" hidden="1">Diego!$A$1:$A$19</definedName>
    <definedName name="Z_1510BE18_73CC_483F_9E2C_433AE8548BC0_.wvu.FilterData" localSheetId="6" hidden="1">Leonam!$A$1:$B$19</definedName>
    <definedName name="Z_1510BE18_73CC_483F_9E2C_433AE8548BC0_.wvu.FilterData" localSheetId="9" hidden="1">Marcos!$A$1:$A$19</definedName>
    <definedName name="Z_18A482E0_C8B6_4AA1_9E04_15FA7C9CD5E3_.wvu.FilterData" localSheetId="5" hidden="1">Aelton!$A$1:$A$19</definedName>
    <definedName name="Z_18A482E0_C8B6_4AA1_9E04_15FA7C9CD5E3_.wvu.FilterData" localSheetId="8" hidden="1">Alessandro!$A$1:$A$19</definedName>
    <definedName name="Z_18A482E0_C8B6_4AA1_9E04_15FA7C9CD5E3_.wvu.FilterData" localSheetId="10" hidden="1">Carlos!$A$1:$A$19</definedName>
    <definedName name="Z_18A482E0_C8B6_4AA1_9E04_15FA7C9CD5E3_.wvu.FilterData" localSheetId="7" hidden="1">Danilo!$A$1:$A$19</definedName>
    <definedName name="Z_18A482E0_C8B6_4AA1_9E04_15FA7C9CD5E3_.wvu.FilterData" localSheetId="4" hidden="1">Diego!$A$1:$A$19</definedName>
    <definedName name="Z_18A482E0_C8B6_4AA1_9E04_15FA7C9CD5E3_.wvu.FilterData" localSheetId="6" hidden="1">Leonam!$A$1:$B$19</definedName>
    <definedName name="Z_18A482E0_C8B6_4AA1_9E04_15FA7C9CD5E3_.wvu.FilterData" localSheetId="2" hidden="1">Leonardo!$A$1:$A$5</definedName>
    <definedName name="Z_18A482E0_C8B6_4AA1_9E04_15FA7C9CD5E3_.wvu.FilterData" localSheetId="9" hidden="1">Marcos!$A$1:$A$19</definedName>
    <definedName name="Z_18A482E0_C8B6_4AA1_9E04_15FA7C9CD5E3_.wvu.FilterData" localSheetId="1" hidden="1">Patrícia!$A$1:$A$3</definedName>
    <definedName name="Z_18A482E0_C8B6_4AA1_9E04_15FA7C9CD5E3_.wvu.FilterData" localSheetId="3" hidden="1">TOTAL!$A$1:$A$19</definedName>
    <definedName name="Z_1B7E66BC_FAD9_49CD_A44C_EC1BA1D78012_.wvu.FilterData" localSheetId="4" hidden="1">Diego!$A$1:$A$21</definedName>
    <definedName name="Z_1B7E66BC_FAD9_49CD_A44C_EC1BA1D78012_.wvu.FilterData" localSheetId="9" hidden="1">Marcos!$A$1:$A$19</definedName>
    <definedName name="Z_1BDA250B_2920_4BD7_A433_977E2DD900C8_.wvu.FilterData" localSheetId="7" hidden="1">Danilo!$A$1:$A$33</definedName>
    <definedName name="Z_1BDA250B_2920_4BD7_A433_977E2DD900C8_.wvu.FilterData" localSheetId="9" hidden="1">Marcos!$A$1:$A$19</definedName>
    <definedName name="Z_20CB6D8F_C24D_4D4B_A424_AF380F620455_.wvu.FilterData" localSheetId="5" hidden="1">Aelton!$A$1:$A$19</definedName>
    <definedName name="Z_20CB6D8F_C24D_4D4B_A424_AF380F620455_.wvu.FilterData" localSheetId="8" hidden="1">Alessandro!$A$1:$A$19</definedName>
    <definedName name="Z_20CB6D8F_C24D_4D4B_A424_AF380F620455_.wvu.FilterData" localSheetId="10" hidden="1">Carlos!$A$1:$A$19</definedName>
    <definedName name="Z_20CB6D8F_C24D_4D4B_A424_AF380F620455_.wvu.FilterData" localSheetId="7" hidden="1">Danilo!$A$1:$A$19</definedName>
    <definedName name="Z_20CB6D8F_C24D_4D4B_A424_AF380F620455_.wvu.FilterData" localSheetId="4" hidden="1">Diego!$A$1:$A$20</definedName>
    <definedName name="Z_20CB6D8F_C24D_4D4B_A424_AF380F620455_.wvu.FilterData" localSheetId="6" hidden="1">Leonam!$A$1:$B$19</definedName>
    <definedName name="Z_20CB6D8F_C24D_4D4B_A424_AF380F620455_.wvu.FilterData" localSheetId="2" hidden="1">Leonardo!$A$1:$A$5</definedName>
    <definedName name="Z_20CB6D8F_C24D_4D4B_A424_AF380F620455_.wvu.FilterData" localSheetId="9" hidden="1">Marcos!$A$1:$A$20</definedName>
    <definedName name="Z_20CB6D8F_C24D_4D4B_A424_AF380F620455_.wvu.FilterData" localSheetId="1" hidden="1">Patrícia!$A$1:$A$5</definedName>
    <definedName name="Z_20CB6D8F_C24D_4D4B_A424_AF380F620455_.wvu.FilterData" localSheetId="3" hidden="1">TOTAL!$A$1:$J$19</definedName>
    <definedName name="Z_221CAD7F_6BBD_49EC_A8C4_68165B9A6C25_.wvu.FilterData" localSheetId="7" hidden="1">Danilo!$A$1:$A$19</definedName>
    <definedName name="Z_26904941_D7A6_4400_A4D4_FC1C61AD552D_.wvu.FilterData" localSheetId="6" hidden="1">Leonam!$A$1:$B$19</definedName>
    <definedName name="Z_27007976_1F87_4541_B62B_D53BDFC0590C_.wvu.FilterData" localSheetId="9" hidden="1">Marcos!$A$1:$A$20</definedName>
    <definedName name="Z_27D1146D_2AA0_4FD6_A294_24C99A5284B4_.wvu.FilterData" localSheetId="8" hidden="1">Alessandro!$A$1:$A$19</definedName>
    <definedName name="Z_292194A3_4172_400D_B49A_B6ABE831DBEB_.wvu.FilterData" localSheetId="5" hidden="1">Aelton!$A$1:$A$19</definedName>
    <definedName name="Z_292194A3_4172_400D_B49A_B6ABE831DBEB_.wvu.FilterData" localSheetId="4" hidden="1">Diego!$A$1:$A$21</definedName>
    <definedName name="Z_292194A3_4172_400D_B49A_B6ABE831DBEB_.wvu.FilterData" localSheetId="6" hidden="1">Leonam!$A$1:$B$19</definedName>
    <definedName name="Z_292194A3_4172_400D_B49A_B6ABE831DBEB_.wvu.FilterData" localSheetId="9" hidden="1">Marcos!$A$1:$A$19</definedName>
    <definedName name="Z_29ECD1DE_9036_4576_AB88_5BDD65D2BD2E_.wvu.FilterData" localSheetId="6" hidden="1">Leonam!$A$1:$B$19</definedName>
    <definedName name="Z_2B7F7555_67DD_4264_B712_BD247418238E_.wvu.FilterData" localSheetId="9" hidden="1">Marcos!$A$1:$A$19</definedName>
    <definedName name="Z_2E1B29BD_778A_42E8_BF4C_CF2FDC53F7A4_.wvu.FilterData" localSheetId="9" hidden="1">Marcos!$A$1:$A$20</definedName>
    <definedName name="Z_303FA4A8_3B77_41B3_90B1_0B6BBA338E37_.wvu.FilterData" localSheetId="5" hidden="1">Aelton!$A$1:$A$19</definedName>
    <definedName name="Z_328B0BBE_775A_4EF2_B09F_2C1FE785DB17_.wvu.FilterData" localSheetId="9" hidden="1">Marcos!$A$1:$A$20</definedName>
    <definedName name="Z_354EDC66_16C1_436F_9179_3BF7E6157895_.wvu.FilterData" localSheetId="9" hidden="1">Marcos!$A$1:$A$20</definedName>
    <definedName name="Z_35CCAC03_A758_4A73_906E_20BF31DABC91_.wvu.FilterData" localSheetId="7" hidden="1">Danilo!$A$1:$A$19</definedName>
    <definedName name="Z_35CCAC03_A758_4A73_906E_20BF31DABC91_.wvu.FilterData" localSheetId="6" hidden="1">Leonam!$A$1:$B$19</definedName>
    <definedName name="Z_39121804_BD9A_4507_AAD5_1867EAE4CB15_.wvu.FilterData" localSheetId="8" hidden="1">Alessandro!$A$1:$A$19</definedName>
    <definedName name="Z_39489D99_D6F8_43D7_9535_2A51B72147B5_.wvu.FilterData" localSheetId="7" hidden="1">Danilo!$A$1:$A$19</definedName>
    <definedName name="Z_39E2970F_D65E_43EC_9342_CEF876D070BB_.wvu.FilterData" localSheetId="5" hidden="1">Aelton!$A$1:$A$19</definedName>
    <definedName name="Z_3BD1B20E_2C15_4B33_A6DA_9CEF5990D929_.wvu.FilterData" localSheetId="4" hidden="1">Diego!$A$1:$A$20</definedName>
    <definedName name="Z_3CC06121_2B9B_48D6_95F1_5B29B3ACEAC3_.wvu.FilterData" localSheetId="6" hidden="1">Leonam!$A$1:$B$19</definedName>
    <definedName name="Z_3D987F8E_A6EA_454D_9537_6BFC5053CB00_.wvu.FilterData" localSheetId="5" hidden="1">Aelton!$A$1:$A$19</definedName>
    <definedName name="Z_3D987F8E_A6EA_454D_9537_6BFC5053CB00_.wvu.FilterData" localSheetId="8" hidden="1">Alessandro!$A$1:$A$19</definedName>
    <definedName name="Z_3D987F8E_A6EA_454D_9537_6BFC5053CB00_.wvu.FilterData" localSheetId="10" hidden="1">Carlos!$A$1:$A$19</definedName>
    <definedName name="Z_3D987F8E_A6EA_454D_9537_6BFC5053CB00_.wvu.FilterData" localSheetId="7" hidden="1">Danilo!$A$1:$A$19</definedName>
    <definedName name="Z_3D987F8E_A6EA_454D_9537_6BFC5053CB00_.wvu.FilterData" localSheetId="4" hidden="1">Diego!$A$1:$A$20</definedName>
    <definedName name="Z_3D987F8E_A6EA_454D_9537_6BFC5053CB00_.wvu.FilterData" localSheetId="6" hidden="1">Leonam!$A$1:$B$19</definedName>
    <definedName name="Z_3D987F8E_A6EA_454D_9537_6BFC5053CB00_.wvu.FilterData" localSheetId="2" hidden="1">Leonardo!$A$1:$A$5</definedName>
    <definedName name="Z_3D987F8E_A6EA_454D_9537_6BFC5053CB00_.wvu.FilterData" localSheetId="9" hidden="1">Marcos!$A$1:$A$20</definedName>
    <definedName name="Z_3D987F8E_A6EA_454D_9537_6BFC5053CB00_.wvu.FilterData" localSheetId="1" hidden="1">Patrícia!$A$1:$A$5</definedName>
    <definedName name="Z_3D987F8E_A6EA_454D_9537_6BFC5053CB00_.wvu.FilterData" localSheetId="3" hidden="1">TOTAL!$A$1:$J$19</definedName>
    <definedName name="Z_4079B0E0_0C38_4415_85D0_9ADAAD8545C0_.wvu.FilterData" localSheetId="7" hidden="1">Danilo!$A$1:$A$33</definedName>
    <definedName name="Z_4079B0E0_0C38_4415_85D0_9ADAAD8545C0_.wvu.FilterData" localSheetId="4" hidden="1">Diego!$A$1:$A$19</definedName>
    <definedName name="Z_4079B0E0_0C38_4415_85D0_9ADAAD8545C0_.wvu.FilterData" localSheetId="3" hidden="1">TOTAL!$A$1:$A$19</definedName>
    <definedName name="Z_45F463EA_C067_4F95_B79F_720A856DD6F7_.wvu.FilterData" localSheetId="4" hidden="1">Diego!$A$1:$A$19</definedName>
    <definedName name="Z_4C2581D1_FB98_41CF_B2FE_518BD27D9442_.wvu.FilterData" localSheetId="5" hidden="1">Aelton!$A$1:$A$19</definedName>
    <definedName name="Z_4C2581D1_FB98_41CF_B2FE_518BD27D9442_.wvu.FilterData" localSheetId="6" hidden="1">Leonam!$A$1:$B$19</definedName>
    <definedName name="Z_4C2581D1_FB98_41CF_B2FE_518BD27D9442_.wvu.FilterData" localSheetId="9" hidden="1">Marcos!$A$1:$A$19</definedName>
    <definedName name="Z_4E060732_83F8_4DF4_BA69_E86233C09DEB_.wvu.FilterData" localSheetId="4" hidden="1">Diego!$A$1:$A$19</definedName>
    <definedName name="Z_4E43814E_6236_47E0_82E3_89BC3CF4ADCB_.wvu.FilterData" localSheetId="7" hidden="1">Danilo!$A$1:$A$19</definedName>
    <definedName name="Z_51C46734_31A8_4362_BDB3_0606D3CA3606_.wvu.FilterData" localSheetId="4" hidden="1">Diego!$A$1:$A$20</definedName>
    <definedName name="Z_527DBFB3_F830_471C_A755_D892B2B1A236_.wvu.FilterData" localSheetId="9" hidden="1">Marcos!$A$1:$A$19</definedName>
    <definedName name="Z_56F183AD_E220_4EEB_88D6_493ECECA6BE8_.wvu.FilterData" localSheetId="9" hidden="1">Marcos!$A$1:$A$20</definedName>
    <definedName name="Z_5D13117B_1A22_428E_846B_EF3C77E3CE3F_.wvu.FilterData" localSheetId="5" hidden="1">Aelton!$A$1:$A$19</definedName>
    <definedName name="Z_5D13117B_1A22_428E_846B_EF3C77E3CE3F_.wvu.FilterData" localSheetId="6" hidden="1">Leonam!$A$1:$B$19</definedName>
    <definedName name="Z_5E3B61B2_15D5_4C7E_BCEC_255A7B84287A_.wvu.FilterData" localSheetId="5" hidden="1">Aelton!$A$1:$A$19</definedName>
    <definedName name="Z_5E3B61B2_15D5_4C7E_BCEC_255A7B84287A_.wvu.FilterData" localSheetId="8" hidden="1">Alessandro!$A$1:$A$19</definedName>
    <definedName name="Z_5E3B61B2_15D5_4C7E_BCEC_255A7B84287A_.wvu.FilterData" localSheetId="10" hidden="1">Carlos!$A$1:$A$19</definedName>
    <definedName name="Z_5E3B61B2_15D5_4C7E_BCEC_255A7B84287A_.wvu.FilterData" localSheetId="7" hidden="1">Danilo!$A$1:$A$19</definedName>
    <definedName name="Z_5E3B61B2_15D5_4C7E_BCEC_255A7B84287A_.wvu.FilterData" localSheetId="4" hidden="1">Diego!$A$1:$A$20</definedName>
    <definedName name="Z_5E3B61B2_15D5_4C7E_BCEC_255A7B84287A_.wvu.FilterData" localSheetId="6" hidden="1">Leonam!$A$1:$B$19</definedName>
    <definedName name="Z_5E3B61B2_15D5_4C7E_BCEC_255A7B84287A_.wvu.FilterData" localSheetId="2" hidden="1">Leonardo!$A$1:$A$5</definedName>
    <definedName name="Z_5E3B61B2_15D5_4C7E_BCEC_255A7B84287A_.wvu.FilterData" localSheetId="9" hidden="1">Marcos!$A$1:$A$20</definedName>
    <definedName name="Z_5E3B61B2_15D5_4C7E_BCEC_255A7B84287A_.wvu.FilterData" localSheetId="1" hidden="1">Patrícia!$A$1:$A$5</definedName>
    <definedName name="Z_5E3B61B2_15D5_4C7E_BCEC_255A7B84287A_.wvu.FilterData" localSheetId="3" hidden="1">TOTAL!$A$1:$J$19</definedName>
    <definedName name="Z_6192735B_895E_467E_8A7A_A96CA401E8FC_.wvu.FilterData" localSheetId="5" hidden="1">Aelton!$A$1:$A$19</definedName>
    <definedName name="Z_6192735B_895E_467E_8A7A_A96CA401E8FC_.wvu.FilterData" localSheetId="4" hidden="1">Diego!$A$1:$A$19</definedName>
    <definedName name="Z_6192735B_895E_467E_8A7A_A96CA401E8FC_.wvu.FilterData" localSheetId="9" hidden="1">Marcos!$A$1:$A$19</definedName>
    <definedName name="Z_61D1DCE3_0F76_42AD_BA8D_EA23AEA54BEF_.wvu.FilterData" localSheetId="9" hidden="1">Marcos!$A$1:$A$19</definedName>
    <definedName name="Z_63529BB9_7B0C_4CFB_832A_9827D1497A2D_.wvu.FilterData" localSheetId="8" hidden="1">Alessandro!$A$1:$A$19</definedName>
    <definedName name="Z_63529BB9_7B0C_4CFB_832A_9827D1497A2D_.wvu.FilterData" localSheetId="7" hidden="1">Danilo!$A$1:$A$33</definedName>
    <definedName name="Z_65286E0B_C86F_4A74_94F2_F3C1887F39C3_.wvu.FilterData" localSheetId="8" hidden="1">Alessandro!$A$1:$A$19</definedName>
    <definedName name="Z_65286E0B_C86F_4A74_94F2_F3C1887F39C3_.wvu.FilterData" localSheetId="7" hidden="1">Danilo!$A$1:$A$19</definedName>
    <definedName name="Z_65286E0B_C86F_4A74_94F2_F3C1887F39C3_.wvu.FilterData" localSheetId="4" hidden="1">Diego!$A$1:$A$20</definedName>
    <definedName name="Z_65286E0B_C86F_4A74_94F2_F3C1887F39C3_.wvu.FilterData" localSheetId="6" hidden="1">Leonam!$A$1:$B$19</definedName>
    <definedName name="Z_65C2FB55_1D25_4E58_BA73_A7FADBD630D1_.wvu.FilterData" localSheetId="5" hidden="1">Aelton!$A$1:$A$19</definedName>
    <definedName name="Z_65C2FB55_1D25_4E58_BA73_A7FADBD630D1_.wvu.FilterData" localSheetId="7" hidden="1">Danilo!$A$1:$A$19</definedName>
    <definedName name="Z_65C2FB55_1D25_4E58_BA73_A7FADBD630D1_.wvu.FilterData" localSheetId="6" hidden="1">Leonam!$A$1:$B$19</definedName>
    <definedName name="Z_6B6B262E_F738_43C3_94B9_04FDA955C398_.wvu.FilterData" localSheetId="5" hidden="1">Aelton!$A$1:$A$19</definedName>
    <definedName name="Z_6E26ADA7_350E_4245_8C42_D9718EBA06AE_.wvu.FilterData" localSheetId="7" hidden="1">Danilo!$A$1:$A$19</definedName>
    <definedName name="Z_7127A2CF_8838_43D3_998B_5F5427E8950C_.wvu.FilterData" localSheetId="4" hidden="1">Diego!$A$1:$A$19</definedName>
    <definedName name="Z_738B9F68_9A21_4046_A982_E676530BDBAD_.wvu.FilterData" localSheetId="6" hidden="1">Leonam!$A$1:$B$19</definedName>
    <definedName name="Z_746A910F_57F7_4BB6_BAEE_91398E13A270_.wvu.FilterData" localSheetId="4" hidden="1">Diego!$A$1:$A$19</definedName>
    <definedName name="Z_82015759_A7A4_4B45_A07B_67FCECB10C26_.wvu.FilterData" localSheetId="7" hidden="1">Danilo!$A$1:$A$33</definedName>
    <definedName name="Z_82015759_A7A4_4B45_A07B_67FCECB10C26_.wvu.FilterData" localSheetId="9" hidden="1">Marcos!$A$1:$A$19</definedName>
    <definedName name="Z_86039CF8_B158_4D70_9A6F_A10C29CBD68A_.wvu.FilterData" localSheetId="5" hidden="1">Aelton!$A$1:$A$19</definedName>
    <definedName name="Z_86039CF8_B158_4D70_9A6F_A10C29CBD68A_.wvu.FilterData" localSheetId="8" hidden="1">Alessandro!$A$1:$A$19</definedName>
    <definedName name="Z_86039CF8_B158_4D70_9A6F_A10C29CBD68A_.wvu.FilterData" localSheetId="10" hidden="1">Carlos!$A$1:$A$19</definedName>
    <definedName name="Z_86039CF8_B158_4D70_9A6F_A10C29CBD68A_.wvu.FilterData" localSheetId="7" hidden="1">Danilo!$A$1:$A$19</definedName>
    <definedName name="Z_86039CF8_B158_4D70_9A6F_A10C29CBD68A_.wvu.FilterData" localSheetId="4" hidden="1">Diego!$A$1:$A$20</definedName>
    <definedName name="Z_86039CF8_B158_4D70_9A6F_A10C29CBD68A_.wvu.FilterData" localSheetId="6" hidden="1">Leonam!$A$1:$B$19</definedName>
    <definedName name="Z_86039CF8_B158_4D70_9A6F_A10C29CBD68A_.wvu.FilterData" localSheetId="2" hidden="1">Leonardo!$A$1:$A$5</definedName>
    <definedName name="Z_86039CF8_B158_4D70_9A6F_A10C29CBD68A_.wvu.FilterData" localSheetId="9" hidden="1">Marcos!$A$1:$A$20</definedName>
    <definedName name="Z_86039CF8_B158_4D70_9A6F_A10C29CBD68A_.wvu.FilterData" localSheetId="1" hidden="1">Patrícia!$A$1:$A$5</definedName>
    <definedName name="Z_86039CF8_B158_4D70_9A6F_A10C29CBD68A_.wvu.FilterData" localSheetId="3" hidden="1">TOTAL!$A$1:$J$19</definedName>
    <definedName name="Z_8704C1C6_C976_4A60_9DC0_0C1731FA65DF_.wvu.FilterData" localSheetId="7" hidden="1">Danilo!$A$1:$A$19</definedName>
    <definedName name="Z_8704C1C6_C976_4A60_9DC0_0C1731FA65DF_.wvu.FilterData" localSheetId="9" hidden="1">Marcos!$A$1:$A$20</definedName>
    <definedName name="Z_8AAB51A6_A0E3_4A5A_83CE_A375636D0BFE_.wvu.FilterData" localSheetId="5" hidden="1">Aelton!$A$1:$A$19</definedName>
    <definedName name="Z_8B8567AE_2A03_4707_8762_CDE0AA44BA28_.wvu.FilterData" localSheetId="5" hidden="1">Aelton!$A$1:$A$19</definedName>
    <definedName name="Z_8B8567AE_2A03_4707_8762_CDE0AA44BA28_.wvu.FilterData" localSheetId="4" hidden="1">Diego!$A$1:$A$19</definedName>
    <definedName name="Z_8B8567AE_2A03_4707_8762_CDE0AA44BA28_.wvu.FilterData" localSheetId="9" hidden="1">Marcos!$A$1:$A$19</definedName>
    <definedName name="Z_9068F0A4_0C1F_4C4E_91F4_31F0C9C66660_.wvu.FilterData" localSheetId="7" hidden="1">Danilo!$A$1:$A$19</definedName>
    <definedName name="Z_9068F0A4_0C1F_4C4E_91F4_31F0C9C66660_.wvu.FilterData" localSheetId="6" hidden="1">Leonam!$A$1:$B$19</definedName>
    <definedName name="Z_931E1DCD_AE31_4DFC_AEE0_716590C2FB18_.wvu.FilterData" localSheetId="3" hidden="1">TOTAL!$A$1:$A$19</definedName>
    <definedName name="Z_983ADA86_E669_487C_9992_26F9F57FF6A8_.wvu.FilterData" localSheetId="4" hidden="1">Diego!$A$1:$A$19</definedName>
    <definedName name="Z_99535A48_02C6_4675_AEF4_0A1912F5F9DA_.wvu.FilterData" localSheetId="9" hidden="1">Marcos!$A$1:$A$19</definedName>
    <definedName name="Z_9B623083_AA7B_440B_95EA_C33E1AB3D963_.wvu.FilterData" localSheetId="5" hidden="1">Aelton!$A$1:$A$19</definedName>
    <definedName name="Z_9B623083_AA7B_440B_95EA_C33E1AB3D963_.wvu.FilterData" localSheetId="8" hidden="1">Alessandro!$A$1:$A$19</definedName>
    <definedName name="Z_9B623083_AA7B_440B_95EA_C33E1AB3D963_.wvu.FilterData" localSheetId="10" hidden="1">Carlos!$A$1:$A$19</definedName>
    <definedName name="Z_9B623083_AA7B_440B_95EA_C33E1AB3D963_.wvu.FilterData" localSheetId="7" hidden="1">Danilo!$A$1:$A$19</definedName>
    <definedName name="Z_9B623083_AA7B_440B_95EA_C33E1AB3D963_.wvu.FilterData" localSheetId="4" hidden="1">Diego!$A$1:$A$20</definedName>
    <definedName name="Z_9B623083_AA7B_440B_95EA_C33E1AB3D963_.wvu.FilterData" localSheetId="6" hidden="1">Leonam!$A$1:$B$19</definedName>
    <definedName name="Z_9B623083_AA7B_440B_95EA_C33E1AB3D963_.wvu.FilterData" localSheetId="2" hidden="1">Leonardo!$A$1:$A$5</definedName>
    <definedName name="Z_9B623083_AA7B_440B_95EA_C33E1AB3D963_.wvu.FilterData" localSheetId="9" hidden="1">Marcos!$A$1:$A$20</definedName>
    <definedName name="Z_9B623083_AA7B_440B_95EA_C33E1AB3D963_.wvu.FilterData" localSheetId="1" hidden="1">Patrícia!$A$1:$A$5</definedName>
    <definedName name="Z_9B623083_AA7B_440B_95EA_C33E1AB3D963_.wvu.FilterData" localSheetId="3" hidden="1">TOTAL!$A$1:$A$19</definedName>
    <definedName name="Z_9E46E882_42F6_431B_8932_C984FE3CE2F7_.wvu.FilterData" localSheetId="5" hidden="1">Aelton!$A$1:$A$19</definedName>
    <definedName name="Z_9FB24CC8_6AED_4B47_A357_E4CCF7F8A2F3_.wvu.FilterData" localSheetId="9" hidden="1">Marcos!$A$1:$A$19</definedName>
    <definedName name="Z_A08F465F_9EA2_438B_A731_7E6E4488C169_.wvu.FilterData" localSheetId="5" hidden="1">Aelton!$A$1:$A$19</definedName>
    <definedName name="Z_A0DFB63E_D368_43EE_B23A_31A2B6AEBC2E_.wvu.FilterData" localSheetId="9" hidden="1">Marcos!$A$1:$A$20</definedName>
    <definedName name="Z_B3CDE377_BA5D_4E06_91D9_3A48E1959BA5_.wvu.FilterData" localSheetId="5" hidden="1">Aelton!$A$1:$A$19</definedName>
    <definedName name="Z_B3CDE377_BA5D_4E06_91D9_3A48E1959BA5_.wvu.FilterData" localSheetId="8" hidden="1">Alessandro!$A$1:$A$19</definedName>
    <definedName name="Z_B3CDE377_BA5D_4E06_91D9_3A48E1959BA5_.wvu.FilterData" localSheetId="10" hidden="1">Carlos!$A$1:$A$19</definedName>
    <definedName name="Z_B3CDE377_BA5D_4E06_91D9_3A48E1959BA5_.wvu.FilterData" localSheetId="7" hidden="1">Danilo!$A$1:$A$19</definedName>
    <definedName name="Z_B3CDE377_BA5D_4E06_91D9_3A48E1959BA5_.wvu.FilterData" localSheetId="4" hidden="1">Diego!$A$1:$A$20</definedName>
    <definedName name="Z_B3CDE377_BA5D_4E06_91D9_3A48E1959BA5_.wvu.FilterData" localSheetId="6" hidden="1">Leonam!$A$1:$B$19</definedName>
    <definedName name="Z_B3CDE377_BA5D_4E06_91D9_3A48E1959BA5_.wvu.FilterData" localSheetId="2" hidden="1">Leonardo!$A$1:$A$5</definedName>
    <definedName name="Z_B3CDE377_BA5D_4E06_91D9_3A48E1959BA5_.wvu.FilterData" localSheetId="9" hidden="1">Marcos!$A$1:$A$20</definedName>
    <definedName name="Z_B3CDE377_BA5D_4E06_91D9_3A48E1959BA5_.wvu.FilterData" localSheetId="1" hidden="1">Patrícia!$A$1:$A$5</definedName>
    <definedName name="Z_B3CDE377_BA5D_4E06_91D9_3A48E1959BA5_.wvu.FilterData" localSheetId="3" hidden="1">TOTAL!$A$1:$A$19</definedName>
    <definedName name="Z_C1ADD972_3048_4C11_83EA_7D7DA864B713_.wvu.FilterData" localSheetId="5" hidden="1">Aelton!$A$1:$A$19</definedName>
    <definedName name="Z_C1ADD972_3048_4C11_83EA_7D7DA864B713_.wvu.FilterData" localSheetId="4" hidden="1">Diego!$A$1:$A$19</definedName>
    <definedName name="Z_C1ADD972_3048_4C11_83EA_7D7DA864B713_.wvu.FilterData" localSheetId="6" hidden="1">Leonam!$A$1:$B$19</definedName>
    <definedName name="Z_C1ADD972_3048_4C11_83EA_7D7DA864B713_.wvu.FilterData" localSheetId="9" hidden="1">Marcos!$A$1:$A$19</definedName>
    <definedName name="Z_C9005B68_77F0_401C_8512_BE258B93D9F2_.wvu.FilterData" localSheetId="4" hidden="1">Diego!$A$1:$A$19</definedName>
    <definedName name="Z_CD25BA1F_7EDD_4E29_8C83_4BA410D40FAB_.wvu.FilterData" localSheetId="6" hidden="1">Leonam!$A$1:$B$19</definedName>
    <definedName name="Z_CE4DE222_11C2_412F_9CD7_EACF481F4CE0_.wvu.FilterData" localSheetId="9" hidden="1">Marcos!$A$1:$A$19</definedName>
    <definedName name="Z_D04F37C0_316A_467C_A08A_F70CA9ABAACF_.wvu.FilterData" localSheetId="5" hidden="1">Aelton!$A$1:$A$19</definedName>
    <definedName name="Z_D053F25B_24B7_4DEA_9B1C_24248F2011C5_.wvu.FilterData" localSheetId="5" hidden="1">Aelton!$A$1:$A$19</definedName>
    <definedName name="Z_D52625D1_E6F2_417B_8A99_DF0FDA1E26C0_.wvu.FilterData" localSheetId="5" hidden="1">Aelton!$A$1:$A$19</definedName>
    <definedName name="Z_D52625D1_E6F2_417B_8A99_DF0FDA1E26C0_.wvu.FilterData" localSheetId="6" hidden="1">Leonam!$A$1:$B$19</definedName>
    <definedName name="Z_D52625D1_E6F2_417B_8A99_DF0FDA1E26C0_.wvu.FilterData" localSheetId="3" hidden="1">TOTAL!$A$1:$A$19</definedName>
    <definedName name="Z_DC414A74_72F4_4549_81B1_CAD9C736E1BE_.wvu.FilterData" localSheetId="8" hidden="1">Alessandro!$A$1:$A$19</definedName>
    <definedName name="Z_DC414A74_72F4_4549_81B1_CAD9C736E1BE_.wvu.FilterData" localSheetId="4" hidden="1">Diego!$A$1:$A$19</definedName>
    <definedName name="Z_DC414A74_72F4_4549_81B1_CAD9C736E1BE_.wvu.FilterData" localSheetId="6" hidden="1">Leonam!$A$1:$B$19</definedName>
    <definedName name="Z_DCD72475_1C1F_4880_804D_5C91B696BA46_.wvu.FilterData" localSheetId="4" hidden="1">Diego!$A$1:$A$21</definedName>
    <definedName name="Z_E0978B37_608F_4A77_B1C8_D080ABC76CC9_.wvu.FilterData" localSheetId="5" hidden="1">Aelton!$A$1:$A$19</definedName>
    <definedName name="Z_E0978B37_608F_4A77_B1C8_D080ABC76CC9_.wvu.FilterData" localSheetId="7" hidden="1">Danilo!$A$1:$A$33</definedName>
    <definedName name="Z_E0978B37_608F_4A77_B1C8_D080ABC76CC9_.wvu.FilterData" localSheetId="4" hidden="1">Diego!$A$1:$A$19</definedName>
    <definedName name="Z_E0978B37_608F_4A77_B1C8_D080ABC76CC9_.wvu.FilterData" localSheetId="6" hidden="1">Leonam!$A$1:$B$19</definedName>
    <definedName name="Z_E2C6012C_29C5_476E_8662_2FBB90014003_.wvu.FilterData" localSheetId="10" hidden="1">Carlos!$A$1:$A$19</definedName>
    <definedName name="Z_E2C6012C_29C5_476E_8662_2FBB90014003_.wvu.FilterData" localSheetId="7" hidden="1">Danilo!$A$1:$A$33</definedName>
    <definedName name="Z_E2C6012C_29C5_476E_8662_2FBB90014003_.wvu.FilterData" localSheetId="6" hidden="1">Leonam!$A$1:$B$19</definedName>
    <definedName name="Z_E2C6012C_29C5_476E_8662_2FBB90014003_.wvu.FilterData" localSheetId="9" hidden="1">Marcos!$A$1:$A$19</definedName>
    <definedName name="Z_E3841903_5B68_44FD_8F09_58E03D1025C5_.wvu.FilterData" localSheetId="5" hidden="1">Aelton!$A$1:$A$19</definedName>
    <definedName name="Z_E3841903_5B68_44FD_8F09_58E03D1025C5_.wvu.FilterData" localSheetId="8" hidden="1">Alessandro!$A$1:$A$19</definedName>
    <definedName name="Z_E3841903_5B68_44FD_8F09_58E03D1025C5_.wvu.FilterData" localSheetId="10" hidden="1">Carlos!$A$1:$A$19</definedName>
    <definedName name="Z_E3841903_5B68_44FD_8F09_58E03D1025C5_.wvu.FilterData" localSheetId="7" hidden="1">Danilo!$A$1:$A$19</definedName>
    <definedName name="Z_E3841903_5B68_44FD_8F09_58E03D1025C5_.wvu.FilterData" localSheetId="4" hidden="1">Diego!$A$1:$A$20</definedName>
    <definedName name="Z_E3841903_5B68_44FD_8F09_58E03D1025C5_.wvu.FilterData" localSheetId="6" hidden="1">Leonam!$A$1:$B$19</definedName>
    <definedName name="Z_E3841903_5B68_44FD_8F09_58E03D1025C5_.wvu.FilterData" localSheetId="2" hidden="1">Leonardo!$A$1:$A$5</definedName>
    <definedName name="Z_E3841903_5B68_44FD_8F09_58E03D1025C5_.wvu.FilterData" localSheetId="9" hidden="1">Marcos!$A$1:$A$20</definedName>
    <definedName name="Z_E3841903_5B68_44FD_8F09_58E03D1025C5_.wvu.FilterData" localSheetId="1" hidden="1">Patrícia!$A$1:$A$5</definedName>
    <definedName name="Z_E3841903_5B68_44FD_8F09_58E03D1025C5_.wvu.FilterData" localSheetId="3" hidden="1">TOTAL!$A$1:$J$19</definedName>
    <definedName name="Z_E3BDEF0F_8CAB_47D6_8677_524136F6334A_.wvu.FilterData" localSheetId="5" hidden="1">Aelton!$A$1:$A$19</definedName>
    <definedName name="Z_E3BDEF0F_8CAB_47D6_8677_524136F6334A_.wvu.FilterData" localSheetId="9" hidden="1">Marcos!$A$1:$A$19</definedName>
    <definedName name="Z_E6127A77_B885_468A_92FC_C823B559D5F2_.wvu.FilterData" localSheetId="7" hidden="1">Danilo!$A$1:$A$19</definedName>
    <definedName name="Z_E6127A77_B885_468A_92FC_C823B559D5F2_.wvu.FilterData" localSheetId="4" hidden="1">Diego!$A$1:$A$21</definedName>
    <definedName name="Z_E6127A77_B885_468A_92FC_C823B559D5F2_.wvu.FilterData" localSheetId="6" hidden="1">Leonam!$A$1:$B$19</definedName>
    <definedName name="Z_E6127A77_B885_468A_92FC_C823B559D5F2_.wvu.FilterData" localSheetId="9" hidden="1">Marcos!$A$1:$A$19</definedName>
    <definedName name="Z_F2A60CAD_26A4_43CF_98C9_FD13812AEF8A_.wvu.FilterData" localSheetId="9" hidden="1">Marcos!$A$1:$A$20</definedName>
    <definedName name="Z_F2A70F1D_FC6F_4CDB_909A_694615A9BAA7_.wvu.FilterData" localSheetId="6" hidden="1">Leonam!$A$1:$B$19</definedName>
    <definedName name="Z_F746DF90_E320_4742_9A38_81866CC9E10D_.wvu.FilterData" localSheetId="4" hidden="1">Diego!$A$1:$A$19</definedName>
    <definedName name="Z_FBD30D8A_96B0_4C9D_A760_10CDB4E7B4A2_.wvu.FilterData" localSheetId="7" hidden="1">Danilo!$A$1:$A$19</definedName>
    <definedName name="Z_FBD30D8A_96B0_4C9D_A760_10CDB4E7B4A2_.wvu.FilterData" localSheetId="4" hidden="1">Diego!$A$1:$A$20</definedName>
    <definedName name="Z_FBD30D8A_96B0_4C9D_A760_10CDB4E7B4A2_.wvu.FilterData" localSheetId="6" hidden="1">Leonam!$A$1:$B$19</definedName>
    <definedName name="Z_FBD30D8A_96B0_4C9D_A760_10CDB4E7B4A2_.wvu.FilterData" localSheetId="9" hidden="1">Marcos!$A$1:$A$20</definedName>
    <definedName name="Z_FD0B9DF2_6B06_4ED5_B232_75A8039A17B0_.wvu.FilterData" localSheetId="4" hidden="1">Diego!$A$1:$A$20</definedName>
  </definedNames>
  <calcPr calcId="191029"/>
  <customWorkbookViews>
    <customWorkbookView name="Marcos Neves de Almeida - Modo de exibição pessoal" guid="{E3841903-5B68-44FD-8F09-58E03D1025C5}" mergeInterval="0" personalView="1" maximized="1" xWindow="-8" yWindow="-8" windowWidth="1616" windowHeight="876" activeSheetId="8"/>
    <customWorkbookView name="Marcelo Lucio Saboia Fonseca - Modo de exibição pessoal" guid="{18A482E0-C8B6-4AA1-9E04-15FA7C9CD5E3}" mergeInterval="0" personalView="1" maximized="1" xWindow="1672" yWindow="-8" windowWidth="1696" windowHeight="1018" activeSheetId="9"/>
    <customWorkbookView name="Carlos da Silva Dias - Modo de exibição pessoal" guid="{C69767F5-CD39-44C1-AD4B-CE19DC8285A6}" mergeInterval="0" personalView="1" maximized="1" xWindow="-8" yWindow="-8" windowWidth="1616" windowHeight="876" activeSheetId="9"/>
    <customWorkbookView name="Patrícia Ferreira Costa Alves - Modo de exibição pessoal" guid="{552DFCCD-1786-4D75-8B10-27DD730384DD}" mergeInterval="0" personalView="1" xWindow="2175" yWindow="114" windowWidth="1440" windowHeight="759" activeSheetId="1"/>
    <customWorkbookView name="Danilo Rafael Basilio da Silva - Modo de exibição pessoal" guid="{B3CDE377-BA5D-4E06-91D9-3A48E1959BA5}" mergeInterval="0" personalView="1" maximized="1" xWindow="-1608" yWindow="-8" windowWidth="1616" windowHeight="876" activeSheetId="7"/>
    <customWorkbookView name="Alessandro Borges de Araújo - Modo de exibição pessoal" guid="{3D987F8E-A6EA-454D-9537-6BFC5053CB00}" mergeInterval="0" personalView="1" maximized="1" xWindow="1912" yWindow="-8" windowWidth="1616" windowHeight="876" activeSheetId="3"/>
    <customWorkbookView name="Diego Santos de Abreu - Modo de exibição pessoal" guid="{20CB6D8F-C24D-4D4B-A424-AF380F620455}" mergeInterval="0" personalView="1" maximized="1" xWindow="1592" yWindow="-8" windowWidth="1616" windowHeight="876" tabRatio="667" activeSheetId="4"/>
    <customWorkbookView name="Aelton de Jesus Nunes - Modo de exibição pessoal" guid="{86039CF8-B158-4D70-9A6F-A10C29CBD68A}" mergeInterval="0" personalView="1" maximized="1" xWindow="-1608" yWindow="-8" windowWidth="1616" windowHeight="876" activeSheetId="5"/>
    <customWorkbookView name="Leonam Morrison Monteiro de Oliveira - Modo de exibição pessoal" guid="{9B623083-AA7B-440B-95EA-C33E1AB3D963}" autoUpdate="1" mergeInterval="15" personalView="1" maximized="1" xWindow="-8" yWindow="-8" windowWidth="1616" windowHeight="868" activeSheetId="6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" l="1"/>
  <c r="I11" i="3" l="1"/>
  <c r="J11" i="3"/>
  <c r="BA17" i="9" l="1"/>
  <c r="AX17" i="9"/>
  <c r="AR17" i="9"/>
  <c r="AL17" i="9"/>
  <c r="AF17" i="9"/>
  <c r="Z17" i="9"/>
  <c r="T17" i="9"/>
  <c r="N17" i="9"/>
  <c r="H17" i="9"/>
  <c r="BA16" i="9"/>
  <c r="AX16" i="9"/>
  <c r="AR16" i="9"/>
  <c r="AL16" i="9"/>
  <c r="AF16" i="9"/>
  <c r="Z16" i="9"/>
  <c r="T16" i="9"/>
  <c r="N16" i="9"/>
  <c r="H16" i="9"/>
  <c r="BA15" i="9"/>
  <c r="AX15" i="9"/>
  <c r="AR15" i="9"/>
  <c r="AL15" i="9"/>
  <c r="AF15" i="9"/>
  <c r="Z15" i="9"/>
  <c r="T15" i="9"/>
  <c r="N15" i="9"/>
  <c r="H15" i="9"/>
  <c r="BA14" i="9"/>
  <c r="AX14" i="9"/>
  <c r="AR14" i="9"/>
  <c r="AL14" i="9"/>
  <c r="AF14" i="9"/>
  <c r="Z14" i="9"/>
  <c r="T14" i="9"/>
  <c r="N14" i="9"/>
  <c r="H14" i="9"/>
  <c r="BA13" i="9"/>
  <c r="AX13" i="9"/>
  <c r="AR13" i="9"/>
  <c r="AL13" i="9"/>
  <c r="AF13" i="9"/>
  <c r="Z13" i="9"/>
  <c r="T13" i="9"/>
  <c r="N13" i="9"/>
  <c r="H13" i="9"/>
  <c r="BA12" i="9"/>
  <c r="AX12" i="9"/>
  <c r="AR12" i="9"/>
  <c r="AL12" i="9"/>
  <c r="H12" i="3" s="1"/>
  <c r="AF12" i="9"/>
  <c r="Z12" i="9"/>
  <c r="T12" i="9"/>
  <c r="N12" i="9"/>
  <c r="H12" i="9"/>
  <c r="BA11" i="9"/>
  <c r="AX11" i="9"/>
  <c r="AR11" i="9"/>
  <c r="AL11" i="9"/>
  <c r="H11" i="3" s="1"/>
  <c r="AF11" i="9"/>
  <c r="Z11" i="9"/>
  <c r="T11" i="9"/>
  <c r="N11" i="9"/>
  <c r="H11" i="9"/>
  <c r="BA10" i="9"/>
  <c r="AX10" i="9"/>
  <c r="AR10" i="9"/>
  <c r="AL10" i="9"/>
  <c r="AF10" i="9"/>
  <c r="Z10" i="9"/>
  <c r="T10" i="9"/>
  <c r="N10" i="9"/>
  <c r="H10" i="9"/>
  <c r="BA9" i="9"/>
  <c r="AX9" i="9"/>
  <c r="AR9" i="9"/>
  <c r="AL9" i="9"/>
  <c r="AF9" i="9"/>
  <c r="Z9" i="9"/>
  <c r="T9" i="9"/>
  <c r="N9" i="9"/>
  <c r="H9" i="9"/>
  <c r="BA8" i="9"/>
  <c r="AX8" i="9"/>
  <c r="AR8" i="9"/>
  <c r="AL8" i="9"/>
  <c r="AF8" i="9"/>
  <c r="Z8" i="9"/>
  <c r="T8" i="9"/>
  <c r="N8" i="9"/>
  <c r="H8" i="9"/>
  <c r="BA7" i="9"/>
  <c r="AX7" i="9"/>
  <c r="AR7" i="9"/>
  <c r="AL7" i="9"/>
  <c r="AF7" i="9"/>
  <c r="Z7" i="9"/>
  <c r="T7" i="9"/>
  <c r="N7" i="9"/>
  <c r="H7" i="9"/>
  <c r="BA6" i="9"/>
  <c r="AX6" i="9"/>
  <c r="AR6" i="9"/>
  <c r="AL6" i="9"/>
  <c r="AF6" i="9"/>
  <c r="Z6" i="9"/>
  <c r="T6" i="9"/>
  <c r="N6" i="9"/>
  <c r="H6" i="9"/>
  <c r="BA5" i="9"/>
  <c r="AX5" i="9"/>
  <c r="AR5" i="9"/>
  <c r="AL5" i="9"/>
  <c r="AF5" i="9"/>
  <c r="Z5" i="9"/>
  <c r="T5" i="9"/>
  <c r="N5" i="9"/>
  <c r="H5" i="9"/>
  <c r="BA4" i="9"/>
  <c r="AX4" i="9"/>
  <c r="AR4" i="9"/>
  <c r="AL4" i="9"/>
  <c r="AF4" i="9"/>
  <c r="Z4" i="9"/>
  <c r="T4" i="9"/>
  <c r="N4" i="9"/>
  <c r="H4" i="9"/>
  <c r="BA3" i="9"/>
  <c r="AX3" i="9"/>
  <c r="AR3" i="9"/>
  <c r="AL3" i="9"/>
  <c r="AF3" i="9"/>
  <c r="Z3" i="9"/>
  <c r="T3" i="9"/>
  <c r="N3" i="9"/>
  <c r="H3" i="9"/>
  <c r="BA2" i="9"/>
  <c r="AX2" i="9"/>
  <c r="AR2" i="9"/>
  <c r="AL2" i="9"/>
  <c r="AF2" i="9"/>
  <c r="Z2" i="9"/>
  <c r="T2" i="9"/>
  <c r="N2" i="9"/>
  <c r="H2" i="9"/>
  <c r="BA17" i="10"/>
  <c r="AX17" i="10"/>
  <c r="AR17" i="10"/>
  <c r="AL17" i="10"/>
  <c r="AF17" i="10"/>
  <c r="Z17" i="10"/>
  <c r="T17" i="10"/>
  <c r="N17" i="10"/>
  <c r="H17" i="10"/>
  <c r="BA16" i="10"/>
  <c r="AX16" i="10"/>
  <c r="AR16" i="10"/>
  <c r="AL16" i="10"/>
  <c r="AF16" i="10"/>
  <c r="Z16" i="10"/>
  <c r="T16" i="10"/>
  <c r="N16" i="10"/>
  <c r="H16" i="10"/>
  <c r="BA15" i="10"/>
  <c r="AX15" i="10"/>
  <c r="AR15" i="10"/>
  <c r="AL15" i="10"/>
  <c r="AF15" i="10"/>
  <c r="Z15" i="10"/>
  <c r="T15" i="10"/>
  <c r="N15" i="10"/>
  <c r="H15" i="10"/>
  <c r="BA14" i="10"/>
  <c r="AX14" i="10"/>
  <c r="AR14" i="10"/>
  <c r="AL14" i="10"/>
  <c r="AF14" i="10"/>
  <c r="Z14" i="10"/>
  <c r="T14" i="10"/>
  <c r="N14" i="10"/>
  <c r="H14" i="10"/>
  <c r="BA13" i="10"/>
  <c r="AX13" i="10"/>
  <c r="AR13" i="10"/>
  <c r="AL13" i="10"/>
  <c r="AF13" i="10"/>
  <c r="Z13" i="10"/>
  <c r="T13" i="10"/>
  <c r="N13" i="10"/>
  <c r="H13" i="10"/>
  <c r="BA12" i="10"/>
  <c r="AX12" i="10"/>
  <c r="AR12" i="10"/>
  <c r="AL12" i="10"/>
  <c r="AF12" i="10"/>
  <c r="Z12" i="10"/>
  <c r="T12" i="10"/>
  <c r="N12" i="10"/>
  <c r="H12" i="10"/>
  <c r="BA11" i="10"/>
  <c r="AX11" i="10"/>
  <c r="AR11" i="10"/>
  <c r="AL11" i="10"/>
  <c r="AF11" i="10"/>
  <c r="Z11" i="10"/>
  <c r="T11" i="10"/>
  <c r="N11" i="10"/>
  <c r="H11" i="10"/>
  <c r="BA10" i="10"/>
  <c r="AX10" i="10"/>
  <c r="AR10" i="10"/>
  <c r="AL10" i="10"/>
  <c r="AF10" i="10"/>
  <c r="Z10" i="10"/>
  <c r="T10" i="10"/>
  <c r="N10" i="10"/>
  <c r="H10" i="10"/>
  <c r="BA9" i="10"/>
  <c r="AX9" i="10"/>
  <c r="AR9" i="10"/>
  <c r="AL9" i="10"/>
  <c r="AF9" i="10"/>
  <c r="Z9" i="10"/>
  <c r="T9" i="10"/>
  <c r="N9" i="10"/>
  <c r="H9" i="10"/>
  <c r="BA8" i="10"/>
  <c r="AX8" i="10"/>
  <c r="AR8" i="10"/>
  <c r="AL8" i="10"/>
  <c r="AF8" i="10"/>
  <c r="Z8" i="10"/>
  <c r="T8" i="10"/>
  <c r="N8" i="10"/>
  <c r="H8" i="10"/>
  <c r="BA7" i="10"/>
  <c r="AX7" i="10"/>
  <c r="AR7" i="10"/>
  <c r="AL7" i="10"/>
  <c r="AF7" i="10"/>
  <c r="Z7" i="10"/>
  <c r="T7" i="10"/>
  <c r="N7" i="10"/>
  <c r="H7" i="10"/>
  <c r="BA6" i="10"/>
  <c r="AX6" i="10"/>
  <c r="AR6" i="10"/>
  <c r="AL6" i="10"/>
  <c r="AF6" i="10"/>
  <c r="Z6" i="10"/>
  <c r="T6" i="10"/>
  <c r="N6" i="10"/>
  <c r="H6" i="10"/>
  <c r="BA5" i="10"/>
  <c r="AX5" i="10"/>
  <c r="AR5" i="10"/>
  <c r="AL5" i="10"/>
  <c r="AF5" i="10"/>
  <c r="Z5" i="10"/>
  <c r="T5" i="10"/>
  <c r="N5" i="10"/>
  <c r="H5" i="10"/>
  <c r="BA4" i="10"/>
  <c r="AX4" i="10"/>
  <c r="AR4" i="10"/>
  <c r="AL4" i="10"/>
  <c r="AF4" i="10"/>
  <c r="Z4" i="10"/>
  <c r="T4" i="10"/>
  <c r="N4" i="10"/>
  <c r="H4" i="10"/>
  <c r="BA3" i="10"/>
  <c r="AX3" i="10"/>
  <c r="AR3" i="10"/>
  <c r="AL3" i="10"/>
  <c r="AF3" i="10"/>
  <c r="Z3" i="10"/>
  <c r="T3" i="10"/>
  <c r="N3" i="10"/>
  <c r="H3" i="10"/>
  <c r="BA2" i="10"/>
  <c r="AX2" i="10"/>
  <c r="AR2" i="10"/>
  <c r="AL2" i="10"/>
  <c r="AF2" i="10"/>
  <c r="Z2" i="10"/>
  <c r="T2" i="10"/>
  <c r="N2" i="10"/>
  <c r="H2" i="10"/>
  <c r="BA17" i="8"/>
  <c r="AX17" i="8"/>
  <c r="AR17" i="8"/>
  <c r="AL17" i="8"/>
  <c r="AF17" i="8"/>
  <c r="Z17" i="8"/>
  <c r="T17" i="8"/>
  <c r="N17" i="8"/>
  <c r="H17" i="8"/>
  <c r="BA16" i="8"/>
  <c r="AX16" i="8"/>
  <c r="AR16" i="8"/>
  <c r="AL16" i="8"/>
  <c r="AF16" i="8"/>
  <c r="Z16" i="8"/>
  <c r="T16" i="8"/>
  <c r="N16" i="8"/>
  <c r="H16" i="8"/>
  <c r="BA15" i="8"/>
  <c r="AX15" i="8"/>
  <c r="AR15" i="8"/>
  <c r="AL15" i="8"/>
  <c r="AF15" i="8"/>
  <c r="Z15" i="8"/>
  <c r="T15" i="8"/>
  <c r="N15" i="8"/>
  <c r="H15" i="8"/>
  <c r="BA14" i="8"/>
  <c r="AX14" i="8"/>
  <c r="AR14" i="8"/>
  <c r="AL14" i="8"/>
  <c r="AF14" i="8"/>
  <c r="Z14" i="8"/>
  <c r="T14" i="8"/>
  <c r="N14" i="8"/>
  <c r="H14" i="8"/>
  <c r="BA13" i="8"/>
  <c r="AX13" i="8"/>
  <c r="AR13" i="8"/>
  <c r="AL13" i="8"/>
  <c r="AF13" i="8"/>
  <c r="Z13" i="8"/>
  <c r="T13" i="8"/>
  <c r="N13" i="8"/>
  <c r="H13" i="8"/>
  <c r="BA12" i="8"/>
  <c r="AX12" i="8"/>
  <c r="AR12" i="8"/>
  <c r="AL12" i="8"/>
  <c r="AF12" i="8"/>
  <c r="Z12" i="8"/>
  <c r="T12" i="8"/>
  <c r="N12" i="8"/>
  <c r="H12" i="8"/>
  <c r="BA11" i="8"/>
  <c r="AX11" i="8"/>
  <c r="AR11" i="8"/>
  <c r="AL11" i="8"/>
  <c r="AF11" i="8"/>
  <c r="Z11" i="8"/>
  <c r="T11" i="8"/>
  <c r="N11" i="8"/>
  <c r="H11" i="8"/>
  <c r="BA10" i="8"/>
  <c r="AX10" i="8"/>
  <c r="AR10" i="8"/>
  <c r="AL10" i="8"/>
  <c r="AF10" i="8"/>
  <c r="Z10" i="8"/>
  <c r="T10" i="8"/>
  <c r="N10" i="8"/>
  <c r="H10" i="8"/>
  <c r="BA9" i="8"/>
  <c r="AX9" i="8"/>
  <c r="AR9" i="8"/>
  <c r="AL9" i="8"/>
  <c r="AF9" i="8"/>
  <c r="Z9" i="8"/>
  <c r="T9" i="8"/>
  <c r="N9" i="8"/>
  <c r="H9" i="8"/>
  <c r="BA8" i="8"/>
  <c r="AX8" i="8"/>
  <c r="AR8" i="8"/>
  <c r="AL8" i="8"/>
  <c r="AF8" i="8"/>
  <c r="Z8" i="8"/>
  <c r="T8" i="8"/>
  <c r="N8" i="8"/>
  <c r="H8" i="8"/>
  <c r="BA7" i="8"/>
  <c r="AX7" i="8"/>
  <c r="AR7" i="8"/>
  <c r="AL7" i="8"/>
  <c r="AF7" i="8"/>
  <c r="Z7" i="8"/>
  <c r="T7" i="8"/>
  <c r="N7" i="8"/>
  <c r="H7" i="8"/>
  <c r="BA6" i="8"/>
  <c r="AX6" i="8"/>
  <c r="AR6" i="8"/>
  <c r="AL6" i="8"/>
  <c r="AF6" i="8"/>
  <c r="Z6" i="8"/>
  <c r="T6" i="8"/>
  <c r="N6" i="8"/>
  <c r="H6" i="8"/>
  <c r="BA5" i="8"/>
  <c r="AX5" i="8"/>
  <c r="AR5" i="8"/>
  <c r="AL5" i="8"/>
  <c r="AF5" i="8"/>
  <c r="Z5" i="8"/>
  <c r="T5" i="8"/>
  <c r="N5" i="8"/>
  <c r="H5" i="8"/>
  <c r="BA4" i="8"/>
  <c r="AX4" i="8"/>
  <c r="AR4" i="8"/>
  <c r="AL4" i="8"/>
  <c r="AF4" i="8"/>
  <c r="Z4" i="8"/>
  <c r="T4" i="8"/>
  <c r="N4" i="8"/>
  <c r="H4" i="8"/>
  <c r="BA3" i="8"/>
  <c r="AX3" i="8"/>
  <c r="AR3" i="8"/>
  <c r="AL3" i="8"/>
  <c r="AF3" i="8"/>
  <c r="Z3" i="8"/>
  <c r="T3" i="8"/>
  <c r="N3" i="8"/>
  <c r="H3" i="8"/>
  <c r="BA2" i="8"/>
  <c r="AX2" i="8"/>
  <c r="AR2" i="8"/>
  <c r="AL2" i="8"/>
  <c r="AF2" i="8"/>
  <c r="Z2" i="8"/>
  <c r="T2" i="8"/>
  <c r="N2" i="8"/>
  <c r="H2" i="8"/>
  <c r="BA17" i="7"/>
  <c r="AX17" i="7"/>
  <c r="AR17" i="7"/>
  <c r="AL17" i="7"/>
  <c r="AF17" i="7"/>
  <c r="Z17" i="7"/>
  <c r="T17" i="7"/>
  <c r="N17" i="7"/>
  <c r="H17" i="7"/>
  <c r="BA16" i="7"/>
  <c r="AX16" i="7"/>
  <c r="AR16" i="7"/>
  <c r="AL16" i="7"/>
  <c r="AF16" i="7"/>
  <c r="Z16" i="7"/>
  <c r="T16" i="7"/>
  <c r="N16" i="7"/>
  <c r="H16" i="7"/>
  <c r="BA15" i="7"/>
  <c r="AX15" i="7"/>
  <c r="AR15" i="7"/>
  <c r="AL15" i="7"/>
  <c r="AF15" i="7"/>
  <c r="Z15" i="7"/>
  <c r="T15" i="7"/>
  <c r="N15" i="7"/>
  <c r="H15" i="7"/>
  <c r="BA14" i="7"/>
  <c r="AX14" i="7"/>
  <c r="AR14" i="7"/>
  <c r="AL14" i="7"/>
  <c r="AF14" i="7"/>
  <c r="Z14" i="7"/>
  <c r="T14" i="7"/>
  <c r="N14" i="7"/>
  <c r="H14" i="7"/>
  <c r="BA13" i="7"/>
  <c r="AX13" i="7"/>
  <c r="AR13" i="7"/>
  <c r="AL13" i="7"/>
  <c r="AF13" i="7"/>
  <c r="Z13" i="7"/>
  <c r="T13" i="7"/>
  <c r="N13" i="7"/>
  <c r="H13" i="7"/>
  <c r="BA12" i="7"/>
  <c r="AX12" i="7"/>
  <c r="AR12" i="7"/>
  <c r="AL12" i="7"/>
  <c r="AF12" i="7"/>
  <c r="Z12" i="7"/>
  <c r="T12" i="7"/>
  <c r="N12" i="7"/>
  <c r="H12" i="7"/>
  <c r="BA11" i="7"/>
  <c r="AX11" i="7"/>
  <c r="AR11" i="7"/>
  <c r="AL11" i="7"/>
  <c r="AF11" i="7"/>
  <c r="Z11" i="7"/>
  <c r="T11" i="7"/>
  <c r="N11" i="7"/>
  <c r="H11" i="7"/>
  <c r="BA10" i="7"/>
  <c r="AX10" i="7"/>
  <c r="AR10" i="7"/>
  <c r="AL10" i="7"/>
  <c r="AF10" i="7"/>
  <c r="Z10" i="7"/>
  <c r="T10" i="7"/>
  <c r="N10" i="7"/>
  <c r="H10" i="7"/>
  <c r="BA9" i="7"/>
  <c r="AX9" i="7"/>
  <c r="AR9" i="7"/>
  <c r="AL9" i="7"/>
  <c r="AF9" i="7"/>
  <c r="Z9" i="7"/>
  <c r="T9" i="7"/>
  <c r="N9" i="7"/>
  <c r="H9" i="7"/>
  <c r="BA8" i="7"/>
  <c r="AX8" i="7"/>
  <c r="AR8" i="7"/>
  <c r="AL8" i="7"/>
  <c r="AF8" i="7"/>
  <c r="Z8" i="7"/>
  <c r="T8" i="7"/>
  <c r="N8" i="7"/>
  <c r="H8" i="7"/>
  <c r="BA7" i="7"/>
  <c r="AX7" i="7"/>
  <c r="AR7" i="7"/>
  <c r="AL7" i="7"/>
  <c r="AF7" i="7"/>
  <c r="Z7" i="7"/>
  <c r="T7" i="7"/>
  <c r="N7" i="7"/>
  <c r="H7" i="7"/>
  <c r="BA6" i="7"/>
  <c r="AX6" i="7"/>
  <c r="AR6" i="7"/>
  <c r="AL6" i="7"/>
  <c r="AF6" i="7"/>
  <c r="Z6" i="7"/>
  <c r="T6" i="7"/>
  <c r="N6" i="7"/>
  <c r="H6" i="7"/>
  <c r="BA5" i="7"/>
  <c r="AX5" i="7"/>
  <c r="AR5" i="7"/>
  <c r="AL5" i="7"/>
  <c r="AF5" i="7"/>
  <c r="Z5" i="7"/>
  <c r="T5" i="7"/>
  <c r="N5" i="7"/>
  <c r="H5" i="7"/>
  <c r="BA4" i="7"/>
  <c r="AX4" i="7"/>
  <c r="AR4" i="7"/>
  <c r="AL4" i="7"/>
  <c r="AF4" i="7"/>
  <c r="Z4" i="7"/>
  <c r="T4" i="7"/>
  <c r="N4" i="7"/>
  <c r="H4" i="7"/>
  <c r="BA3" i="7"/>
  <c r="AX3" i="7"/>
  <c r="AR3" i="7"/>
  <c r="AL3" i="7"/>
  <c r="AF3" i="7"/>
  <c r="Z3" i="7"/>
  <c r="T3" i="7"/>
  <c r="N3" i="7"/>
  <c r="H3" i="7"/>
  <c r="BA2" i="7"/>
  <c r="AX2" i="7"/>
  <c r="AR2" i="7"/>
  <c r="AL2" i="7"/>
  <c r="AF2" i="7"/>
  <c r="Z2" i="7"/>
  <c r="T2" i="7"/>
  <c r="N2" i="7"/>
  <c r="H2" i="7"/>
  <c r="BA17" i="6"/>
  <c r="AX17" i="6"/>
  <c r="AR17" i="6"/>
  <c r="AL17" i="6"/>
  <c r="AF17" i="6"/>
  <c r="Z17" i="6"/>
  <c r="T17" i="6"/>
  <c r="N17" i="6"/>
  <c r="H17" i="6"/>
  <c r="BA16" i="6"/>
  <c r="AX16" i="6"/>
  <c r="AR16" i="6"/>
  <c r="AL16" i="6"/>
  <c r="AF16" i="6"/>
  <c r="Z16" i="6"/>
  <c r="T16" i="6"/>
  <c r="N16" i="6"/>
  <c r="H16" i="6"/>
  <c r="BA15" i="6"/>
  <c r="AX15" i="6"/>
  <c r="AR15" i="6"/>
  <c r="AL15" i="6"/>
  <c r="AF15" i="6"/>
  <c r="Z15" i="6"/>
  <c r="T15" i="6"/>
  <c r="N15" i="6"/>
  <c r="H15" i="6"/>
  <c r="BA14" i="6"/>
  <c r="AX14" i="6"/>
  <c r="AR14" i="6"/>
  <c r="AL14" i="6"/>
  <c r="AF14" i="6"/>
  <c r="Z14" i="6"/>
  <c r="T14" i="6"/>
  <c r="N14" i="6"/>
  <c r="H14" i="6"/>
  <c r="BA13" i="6"/>
  <c r="AX13" i="6"/>
  <c r="AR13" i="6"/>
  <c r="AL13" i="6"/>
  <c r="AF13" i="6"/>
  <c r="Z13" i="6"/>
  <c r="T13" i="6"/>
  <c r="N13" i="6"/>
  <c r="H13" i="6"/>
  <c r="BA12" i="6"/>
  <c r="AX12" i="6"/>
  <c r="AR12" i="6"/>
  <c r="AL12" i="6"/>
  <c r="AF12" i="6"/>
  <c r="Z12" i="6"/>
  <c r="T12" i="6"/>
  <c r="N12" i="6"/>
  <c r="H12" i="6"/>
  <c r="BA11" i="6"/>
  <c r="AX11" i="6"/>
  <c r="AR11" i="6"/>
  <c r="AL11" i="6"/>
  <c r="AF11" i="6"/>
  <c r="Z11" i="6"/>
  <c r="T11" i="6"/>
  <c r="N11" i="6"/>
  <c r="H11" i="6"/>
  <c r="BA10" i="6"/>
  <c r="AX10" i="6"/>
  <c r="AR10" i="6"/>
  <c r="AL10" i="6"/>
  <c r="AF10" i="6"/>
  <c r="Z10" i="6"/>
  <c r="T10" i="6"/>
  <c r="N10" i="6"/>
  <c r="H10" i="6"/>
  <c r="BA9" i="6"/>
  <c r="AX9" i="6"/>
  <c r="AR9" i="6"/>
  <c r="AL9" i="6"/>
  <c r="AF9" i="6"/>
  <c r="Z9" i="6"/>
  <c r="T9" i="6"/>
  <c r="N9" i="6"/>
  <c r="H9" i="6"/>
  <c r="BA8" i="6"/>
  <c r="AX8" i="6"/>
  <c r="AR8" i="6"/>
  <c r="AL8" i="6"/>
  <c r="AF8" i="6"/>
  <c r="Z8" i="6"/>
  <c r="T8" i="6"/>
  <c r="N8" i="6"/>
  <c r="H8" i="6"/>
  <c r="BA7" i="6"/>
  <c r="AX7" i="6"/>
  <c r="AR7" i="6"/>
  <c r="AL7" i="6"/>
  <c r="AF7" i="6"/>
  <c r="Z7" i="6"/>
  <c r="T7" i="6"/>
  <c r="N7" i="6"/>
  <c r="H7" i="6"/>
  <c r="BA6" i="6"/>
  <c r="AX6" i="6"/>
  <c r="AR6" i="6"/>
  <c r="AL6" i="6"/>
  <c r="AF6" i="6"/>
  <c r="Z6" i="6"/>
  <c r="T6" i="6"/>
  <c r="N6" i="6"/>
  <c r="H6" i="6"/>
  <c r="BA5" i="6"/>
  <c r="AX5" i="6"/>
  <c r="AR5" i="6"/>
  <c r="AL5" i="6"/>
  <c r="AF5" i="6"/>
  <c r="Z5" i="6"/>
  <c r="T5" i="6"/>
  <c r="N5" i="6"/>
  <c r="H5" i="6"/>
  <c r="BA4" i="6"/>
  <c r="AX4" i="6"/>
  <c r="AR4" i="6"/>
  <c r="AL4" i="6"/>
  <c r="AF4" i="6"/>
  <c r="Z4" i="6"/>
  <c r="T4" i="6"/>
  <c r="N4" i="6"/>
  <c r="H4" i="6"/>
  <c r="BA3" i="6"/>
  <c r="AX3" i="6"/>
  <c r="AR3" i="6"/>
  <c r="AL3" i="6"/>
  <c r="AF3" i="6"/>
  <c r="Z3" i="6"/>
  <c r="T3" i="6"/>
  <c r="N3" i="6"/>
  <c r="H3" i="6"/>
  <c r="BA2" i="6"/>
  <c r="AX2" i="6"/>
  <c r="AR2" i="6"/>
  <c r="AL2" i="6"/>
  <c r="AF2" i="6"/>
  <c r="Z2" i="6"/>
  <c r="T2" i="6"/>
  <c r="N2" i="6"/>
  <c r="H2" i="6"/>
  <c r="BA17" i="5"/>
  <c r="AX17" i="5"/>
  <c r="AR17" i="5"/>
  <c r="AL17" i="5"/>
  <c r="AF17" i="5"/>
  <c r="Z17" i="5"/>
  <c r="T17" i="5"/>
  <c r="N17" i="5"/>
  <c r="H17" i="5"/>
  <c r="BA16" i="5"/>
  <c r="AX16" i="5"/>
  <c r="AR16" i="5"/>
  <c r="AL16" i="5"/>
  <c r="AF16" i="5"/>
  <c r="Z16" i="5"/>
  <c r="T16" i="5"/>
  <c r="N16" i="5"/>
  <c r="H16" i="5"/>
  <c r="BA15" i="5"/>
  <c r="AX15" i="5"/>
  <c r="AR15" i="5"/>
  <c r="AL15" i="5"/>
  <c r="AF15" i="5"/>
  <c r="Z15" i="5"/>
  <c r="T15" i="5"/>
  <c r="N15" i="5"/>
  <c r="H15" i="5"/>
  <c r="BA14" i="5"/>
  <c r="AX14" i="5"/>
  <c r="AR14" i="5"/>
  <c r="AL14" i="5"/>
  <c r="AF14" i="5"/>
  <c r="Z14" i="5"/>
  <c r="T14" i="5"/>
  <c r="N14" i="5"/>
  <c r="H14" i="5"/>
  <c r="BA13" i="5"/>
  <c r="AX13" i="5"/>
  <c r="AR13" i="5"/>
  <c r="AL13" i="5"/>
  <c r="AF13" i="5"/>
  <c r="Z13" i="5"/>
  <c r="T13" i="5"/>
  <c r="N13" i="5"/>
  <c r="H13" i="5"/>
  <c r="BA12" i="5"/>
  <c r="AX12" i="5"/>
  <c r="AR12" i="5"/>
  <c r="AL12" i="5"/>
  <c r="AF12" i="5"/>
  <c r="Z12" i="5"/>
  <c r="T12" i="5"/>
  <c r="N12" i="5"/>
  <c r="H12" i="5"/>
  <c r="BA11" i="5"/>
  <c r="AX11" i="5"/>
  <c r="AR11" i="5"/>
  <c r="AL11" i="5"/>
  <c r="AF11" i="5"/>
  <c r="Z11" i="5"/>
  <c r="T11" i="5"/>
  <c r="N11" i="5"/>
  <c r="H11" i="5"/>
  <c r="BA10" i="5"/>
  <c r="AX10" i="5"/>
  <c r="AR10" i="5"/>
  <c r="AL10" i="5"/>
  <c r="AF10" i="5"/>
  <c r="Z10" i="5"/>
  <c r="T10" i="5"/>
  <c r="N10" i="5"/>
  <c r="H10" i="5"/>
  <c r="BA9" i="5"/>
  <c r="AX9" i="5"/>
  <c r="AR9" i="5"/>
  <c r="AL9" i="5"/>
  <c r="AF9" i="5"/>
  <c r="Z9" i="5"/>
  <c r="T9" i="5"/>
  <c r="N9" i="5"/>
  <c r="H9" i="5"/>
  <c r="BA8" i="5"/>
  <c r="AX8" i="5"/>
  <c r="AR8" i="5"/>
  <c r="AL8" i="5"/>
  <c r="AF8" i="5"/>
  <c r="Z8" i="5"/>
  <c r="T8" i="5"/>
  <c r="N8" i="5"/>
  <c r="H8" i="5"/>
  <c r="BA7" i="5"/>
  <c r="AX7" i="5"/>
  <c r="AR7" i="5"/>
  <c r="AL7" i="5"/>
  <c r="AF7" i="5"/>
  <c r="Z7" i="5"/>
  <c r="T7" i="5"/>
  <c r="N7" i="5"/>
  <c r="H7" i="5"/>
  <c r="BA6" i="5"/>
  <c r="AX6" i="5"/>
  <c r="AR6" i="5"/>
  <c r="AL6" i="5"/>
  <c r="AF6" i="5"/>
  <c r="Z6" i="5"/>
  <c r="T6" i="5"/>
  <c r="N6" i="5"/>
  <c r="H6" i="5"/>
  <c r="BA5" i="5"/>
  <c r="AX5" i="5"/>
  <c r="AR5" i="5"/>
  <c r="AL5" i="5"/>
  <c r="AF5" i="5"/>
  <c r="Z5" i="5"/>
  <c r="T5" i="5"/>
  <c r="N5" i="5"/>
  <c r="H5" i="5"/>
  <c r="BA4" i="5"/>
  <c r="AX4" i="5"/>
  <c r="AR4" i="5"/>
  <c r="AL4" i="5"/>
  <c r="AF4" i="5"/>
  <c r="Z4" i="5"/>
  <c r="T4" i="5"/>
  <c r="N4" i="5"/>
  <c r="H4" i="5"/>
  <c r="BA3" i="5"/>
  <c r="AX3" i="5"/>
  <c r="AR3" i="5"/>
  <c r="AL3" i="5"/>
  <c r="AF3" i="5"/>
  <c r="Z3" i="5"/>
  <c r="T3" i="5"/>
  <c r="N3" i="5"/>
  <c r="H3" i="5"/>
  <c r="BA2" i="5"/>
  <c r="AX2" i="5"/>
  <c r="AR2" i="5"/>
  <c r="AL2" i="5"/>
  <c r="AF2" i="5"/>
  <c r="Z2" i="5"/>
  <c r="T2" i="5"/>
  <c r="N2" i="5"/>
  <c r="H2" i="5"/>
  <c r="BA17" i="4"/>
  <c r="AX17" i="4"/>
  <c r="AR17" i="4"/>
  <c r="AL17" i="4"/>
  <c r="AF17" i="4"/>
  <c r="Z17" i="4"/>
  <c r="T17" i="4"/>
  <c r="N17" i="4"/>
  <c r="H17" i="4"/>
  <c r="BA16" i="4"/>
  <c r="AX16" i="4"/>
  <c r="AR16" i="4"/>
  <c r="AL16" i="4"/>
  <c r="AF16" i="4"/>
  <c r="Z16" i="4"/>
  <c r="T16" i="4"/>
  <c r="N16" i="4"/>
  <c r="H16" i="4"/>
  <c r="BA15" i="4"/>
  <c r="AX15" i="4"/>
  <c r="AR15" i="4"/>
  <c r="AL15" i="4"/>
  <c r="AF15" i="4"/>
  <c r="Z15" i="4"/>
  <c r="T15" i="4"/>
  <c r="N15" i="4"/>
  <c r="H15" i="4"/>
  <c r="BA14" i="4"/>
  <c r="AX14" i="4"/>
  <c r="AR14" i="4"/>
  <c r="AL14" i="4"/>
  <c r="AF14" i="4"/>
  <c r="Z14" i="4"/>
  <c r="T14" i="4"/>
  <c r="N14" i="4"/>
  <c r="H14" i="4"/>
  <c r="BA13" i="4"/>
  <c r="AX13" i="4"/>
  <c r="AR13" i="4"/>
  <c r="AL13" i="4"/>
  <c r="AF13" i="4"/>
  <c r="Z13" i="4"/>
  <c r="T13" i="4"/>
  <c r="N13" i="4"/>
  <c r="H13" i="4"/>
  <c r="BA12" i="4"/>
  <c r="AX12" i="4"/>
  <c r="AR12" i="4"/>
  <c r="AL12" i="4"/>
  <c r="AF12" i="4"/>
  <c r="Z12" i="4"/>
  <c r="T12" i="4"/>
  <c r="N12" i="4"/>
  <c r="H12" i="4"/>
  <c r="BA11" i="4"/>
  <c r="AX11" i="4"/>
  <c r="AR11" i="4"/>
  <c r="AL11" i="4"/>
  <c r="AF11" i="4"/>
  <c r="Z11" i="4"/>
  <c r="T11" i="4"/>
  <c r="N11" i="4"/>
  <c r="H11" i="4"/>
  <c r="BA10" i="4"/>
  <c r="AX10" i="4"/>
  <c r="AR10" i="4"/>
  <c r="AL10" i="4"/>
  <c r="AF10" i="4"/>
  <c r="Z10" i="4"/>
  <c r="T10" i="4"/>
  <c r="N10" i="4"/>
  <c r="H10" i="4"/>
  <c r="BA9" i="4"/>
  <c r="AX9" i="4"/>
  <c r="AR9" i="4"/>
  <c r="AL9" i="4"/>
  <c r="AF9" i="4"/>
  <c r="Z9" i="4"/>
  <c r="T9" i="4"/>
  <c r="N9" i="4"/>
  <c r="H9" i="4"/>
  <c r="BA8" i="4"/>
  <c r="AX8" i="4"/>
  <c r="AR8" i="4"/>
  <c r="AL8" i="4"/>
  <c r="AF8" i="4"/>
  <c r="Z8" i="4"/>
  <c r="T8" i="4"/>
  <c r="N8" i="4"/>
  <c r="H8" i="4"/>
  <c r="BA7" i="4"/>
  <c r="AX7" i="4"/>
  <c r="AR7" i="4"/>
  <c r="AL7" i="4"/>
  <c r="AF7" i="4"/>
  <c r="Z7" i="4"/>
  <c r="T7" i="4"/>
  <c r="N7" i="4"/>
  <c r="H7" i="4"/>
  <c r="BA6" i="4"/>
  <c r="AX6" i="4"/>
  <c r="AR6" i="4"/>
  <c r="AL6" i="4"/>
  <c r="AF6" i="4"/>
  <c r="Z6" i="4"/>
  <c r="T6" i="4"/>
  <c r="N6" i="4"/>
  <c r="H6" i="4"/>
  <c r="BA5" i="4"/>
  <c r="AX5" i="4"/>
  <c r="AR5" i="4"/>
  <c r="AL5" i="4"/>
  <c r="AF5" i="4"/>
  <c r="Z5" i="4"/>
  <c r="T5" i="4"/>
  <c r="N5" i="4"/>
  <c r="H5" i="4"/>
  <c r="BA4" i="4"/>
  <c r="AX4" i="4"/>
  <c r="AR4" i="4"/>
  <c r="AL4" i="4"/>
  <c r="AF4" i="4"/>
  <c r="Z4" i="4"/>
  <c r="T4" i="4"/>
  <c r="N4" i="4"/>
  <c r="H4" i="4"/>
  <c r="BA3" i="4"/>
  <c r="AX3" i="4"/>
  <c r="AR3" i="4"/>
  <c r="AL3" i="4"/>
  <c r="AF3" i="4"/>
  <c r="Z3" i="4"/>
  <c r="T3" i="4"/>
  <c r="N3" i="4"/>
  <c r="H3" i="4"/>
  <c r="BA2" i="4"/>
  <c r="AX2" i="4"/>
  <c r="AR2" i="4"/>
  <c r="AL2" i="4"/>
  <c r="AF2" i="4"/>
  <c r="Z2" i="4"/>
  <c r="T2" i="4"/>
  <c r="N2" i="4"/>
  <c r="H2" i="4"/>
  <c r="G11" i="3" l="1"/>
  <c r="E11" i="3"/>
  <c r="E16" i="3"/>
  <c r="F12" i="3"/>
  <c r="F11" i="3"/>
  <c r="E12" i="3"/>
  <c r="K3" i="3"/>
  <c r="K2" i="3"/>
  <c r="K6" i="3"/>
  <c r="K17" i="3"/>
  <c r="K16" i="3"/>
  <c r="K15" i="3"/>
  <c r="K14" i="3"/>
  <c r="K13" i="3"/>
  <c r="C13" i="3"/>
  <c r="K12" i="3"/>
  <c r="K11" i="3"/>
  <c r="K10" i="3"/>
  <c r="D10" i="3"/>
  <c r="K9" i="3"/>
  <c r="K8" i="3"/>
  <c r="K5" i="3"/>
  <c r="K7" i="3"/>
  <c r="D12" i="3"/>
  <c r="D11" i="3"/>
  <c r="C12" i="3"/>
  <c r="C11" i="3"/>
  <c r="K4" i="3"/>
  <c r="BD3" i="2" l="1"/>
  <c r="BD2" i="2"/>
  <c r="BD3" i="1"/>
  <c r="BD2" i="1"/>
  <c r="AX3" i="2"/>
  <c r="AX2" i="2"/>
  <c r="AR3" i="2"/>
  <c r="AR2" i="2"/>
  <c r="AL3" i="2"/>
  <c r="AL2" i="2"/>
  <c r="AF3" i="2"/>
  <c r="AF2" i="2"/>
  <c r="Z3" i="2"/>
  <c r="Z2" i="2"/>
  <c r="T3" i="2"/>
  <c r="T2" i="2"/>
  <c r="N2" i="2"/>
  <c r="N3" i="2"/>
  <c r="H3" i="2"/>
  <c r="H2" i="2"/>
  <c r="AX3" i="1"/>
  <c r="AR3" i="1"/>
  <c r="AL3" i="1"/>
  <c r="AF3" i="1"/>
  <c r="Z3" i="1"/>
  <c r="T3" i="1"/>
  <c r="N3" i="1"/>
  <c r="H3" i="1"/>
  <c r="AX2" i="1"/>
  <c r="AR2" i="1"/>
  <c r="AL2" i="1"/>
  <c r="AF2" i="1"/>
  <c r="Z2" i="1"/>
  <c r="T2" i="1"/>
  <c r="N2" i="1"/>
  <c r="H2" i="1"/>
  <c r="G12" i="3"/>
  <c r="I12" i="3" l="1"/>
  <c r="J12" i="3"/>
  <c r="E15" i="3"/>
  <c r="C2" i="3"/>
  <c r="F6" i="3"/>
  <c r="D15" i="3"/>
  <c r="D3" i="3"/>
  <c r="D2" i="3"/>
  <c r="I14" i="3"/>
  <c r="I13" i="3"/>
  <c r="F15" i="3"/>
  <c r="H13" i="3"/>
  <c r="J14" i="3"/>
  <c r="H14" i="3"/>
  <c r="F14" i="3"/>
  <c r="D13" i="3"/>
  <c r="D14" i="3"/>
  <c r="G14" i="3"/>
  <c r="C14" i="3"/>
  <c r="J13" i="3"/>
  <c r="F13" i="3"/>
  <c r="E14" i="3"/>
  <c r="E13" i="3"/>
  <c r="F3" i="3"/>
  <c r="E17" i="3"/>
  <c r="E10" i="3"/>
  <c r="E9" i="3"/>
  <c r="E7" i="3"/>
  <c r="E6" i="3"/>
  <c r="E4" i="3"/>
  <c r="E3" i="3"/>
  <c r="H10" i="3"/>
  <c r="H8" i="3"/>
  <c r="H7" i="3"/>
  <c r="H6" i="3"/>
  <c r="H5" i="3"/>
  <c r="H3" i="3"/>
  <c r="H2" i="3"/>
  <c r="G17" i="3"/>
  <c r="C17" i="3"/>
  <c r="C16" i="3"/>
  <c r="C15" i="3"/>
  <c r="C6" i="3"/>
  <c r="E5" i="3"/>
  <c r="E8" i="3"/>
  <c r="E2" i="3"/>
  <c r="H4" i="3"/>
  <c r="H9" i="3"/>
  <c r="H17" i="3"/>
  <c r="D17" i="3"/>
  <c r="D16" i="3"/>
  <c r="I4" i="3"/>
  <c r="I8" i="3"/>
  <c r="I16" i="3"/>
  <c r="J3" i="3"/>
  <c r="J6" i="3"/>
  <c r="F16" i="3"/>
  <c r="F10" i="3"/>
  <c r="F9" i="3"/>
  <c r="F8" i="3"/>
  <c r="F7" i="3"/>
  <c r="F5" i="3"/>
  <c r="F4" i="3"/>
  <c r="F2" i="3"/>
  <c r="C10" i="3"/>
  <c r="C9" i="3"/>
  <c r="C8" i="3"/>
  <c r="C7" i="3"/>
  <c r="C5" i="3"/>
  <c r="C4" i="3"/>
  <c r="J17" i="3"/>
  <c r="J16" i="3"/>
  <c r="J15" i="3"/>
  <c r="J10" i="3"/>
  <c r="J9" i="3"/>
  <c r="J8" i="3"/>
  <c r="J7" i="3"/>
  <c r="J5" i="3"/>
  <c r="J4" i="3"/>
  <c r="I17" i="3"/>
  <c r="I9" i="3"/>
  <c r="I7" i="3"/>
  <c r="I6" i="3"/>
  <c r="I3" i="3"/>
  <c r="I2" i="3"/>
  <c r="D9" i="3"/>
  <c r="D8" i="3"/>
  <c r="D7" i="3"/>
  <c r="D6" i="3"/>
  <c r="D5" i="3"/>
  <c r="D4" i="3"/>
  <c r="I5" i="3"/>
  <c r="I10" i="3"/>
  <c r="I15" i="3"/>
  <c r="G16" i="3"/>
  <c r="G15" i="3"/>
  <c r="G10" i="3"/>
  <c r="G9" i="3"/>
  <c r="G8" i="3"/>
  <c r="G7" i="3"/>
  <c r="G6" i="3"/>
  <c r="G5" i="3"/>
  <c r="G4" i="3"/>
  <c r="G3" i="3"/>
  <c r="G2" i="3"/>
  <c r="F17" i="3"/>
  <c r="C3" i="3"/>
  <c r="J2" i="3"/>
</calcChain>
</file>

<file path=xl/sharedStrings.xml><?xml version="1.0" encoding="utf-8"?>
<sst xmlns="http://schemas.openxmlformats.org/spreadsheetml/2006/main" count="679" uniqueCount="110">
  <si>
    <t>Caixas consultadas em pesquisa de desarquivamento</t>
  </si>
  <si>
    <t>Caixas separadas para classificação</t>
  </si>
  <si>
    <t>Processos/Documentos classificados</t>
  </si>
  <si>
    <t>Caixas separadas para eliminação</t>
  </si>
  <si>
    <t>Caixas inventariadas</t>
  </si>
  <si>
    <t>Processos/documentos inventariados</t>
  </si>
  <si>
    <t>Orientação técnica / atendimentos realizados</t>
  </si>
  <si>
    <t>Caixas remanejadas</t>
  </si>
  <si>
    <t>Documentos administrativos produzidos (Despacho, Nota Técnica, minutas diversas)</t>
  </si>
  <si>
    <t>INDICADORES</t>
  </si>
  <si>
    <t>OBSERVAÇÃO</t>
  </si>
  <si>
    <t xml:space="preserve">OUTRA ATIVIDADE. QUAL? </t>
  </si>
  <si>
    <t>Processos/Documentos listados para eliminação</t>
  </si>
  <si>
    <t>Caixas listadas para eliminação</t>
  </si>
  <si>
    <t>Caixas conferidas</t>
  </si>
  <si>
    <t>TOTAL SEMANA</t>
  </si>
  <si>
    <t>Recebimento de Documentos - Guia de Transferência</t>
  </si>
  <si>
    <t>Retorno de Processos/Documentos Desarquivados</t>
  </si>
  <si>
    <t>Desarquivamento de Processos/Documentos - Saída de Guia Fora</t>
  </si>
  <si>
    <t>Caixas remanejada</t>
  </si>
  <si>
    <t>Fonte</t>
  </si>
  <si>
    <t>SEI</t>
  </si>
  <si>
    <t>CONTAGEM INDIVIDUAL (das caixas abertas para verificação de conteúdo em contexto de pesquisa para desarquivamento)</t>
  </si>
  <si>
    <t>PLANILHA</t>
  </si>
  <si>
    <t>CONTAGEM INDIVIDUAL (das caixas "puxadas" nas estantes como uma pré-seleção para eliminação)</t>
  </si>
  <si>
    <t xml:space="preserve">Caixas listadas para eliminação </t>
  </si>
  <si>
    <t>SEI, E-MAIL, TELEFONE</t>
  </si>
  <si>
    <t>CONTAGEM INDIVIDUAL (de caixas deslocadas visando reorganização temporária ou permanente)</t>
  </si>
  <si>
    <t>CONTAGEM INDIVIDUAL (de caixas para simples conferência de quantitativo ou do conteúdo do espelho em atividades diversas)</t>
  </si>
  <si>
    <t>FONTE</t>
  </si>
  <si>
    <t>SEI (Depachos ou Ofícios assinados na unidade Diarq)</t>
  </si>
  <si>
    <t>CONTAGEM INDIVIDUAL (Caixas abertas para verificação de conteúdo em contexto de pesquisa para desarquivamento)</t>
  </si>
  <si>
    <t>SEI  (Depachos ou Ofícios assinados na unidade Diarq)</t>
  </si>
  <si>
    <t>CONTAGEM INDIVIDUAL (Caixas  "puxadas" nas estantes como uma pré-seleção para classificação)</t>
  </si>
  <si>
    <t>CONTAGEM INDIVIDUAL (Caixas "puxadas" nas estantes como uma pré-seleção para eliminação)</t>
  </si>
  <si>
    <t>CONTAGEM INDIVIDUAL (Caixas deslocadas/movimentadas visando reorganização temporária ou permanente)</t>
  </si>
  <si>
    <t>CONTAGEM INDIVIDUAL (Caixas consultadas para simples 'conferência de quantitativo' ou do 'conteúdo do espelho' em atividades diversas)</t>
  </si>
  <si>
    <t>SEI (Depachos, Ofícios ou outros documentos assinados na unidade Diarq)</t>
  </si>
  <si>
    <t>CONTAGEM INDIVIDUAL (das caixas "puxadas" nas estantes como uma pré-seleção para classificação)</t>
  </si>
  <si>
    <t>Caixas substituídas(trocadas)</t>
  </si>
  <si>
    <t>Substituição de caixas degradadas por novas</t>
  </si>
  <si>
    <t>04/05 a 08/05/2026</t>
  </si>
  <si>
    <t>11/05 a 15/05/2026</t>
  </si>
  <si>
    <t>18/05 a 22/05/2026</t>
  </si>
  <si>
    <t>25/05 a 29/05/2026</t>
  </si>
  <si>
    <t>01/06 a 05/06/2026</t>
  </si>
  <si>
    <t>08/06 a 12/06/2026</t>
  </si>
  <si>
    <t>15/06 a 19/06/2026</t>
  </si>
  <si>
    <t>22/06 a 26/06/2026</t>
  </si>
  <si>
    <t>29/06 a 30/06/2026</t>
  </si>
  <si>
    <t>ACOMPANHAMENTO DA LIMPEZA DAS ESTANTES E CAIXAS DO BLOCO A E CONFERÊNCIA DE 06 CAIXAS SNAS/DNIT</t>
  </si>
  <si>
    <t>ACOMPANHAMENTO DA LIMPEZA DAS ESTANTES E CAIXAS DO BLOCO A E CONFERÊNCIA DE 05 CAIXAS SNAS/DNIT</t>
  </si>
  <si>
    <t xml:space="preserve">ORGANIZAÇÃO DE 50 CAIXAS PARA CONFERENCIA </t>
  </si>
  <si>
    <t>ORGANIZAÃO DE 50 CAIXA PARA O LOCAL DE ORIGEM, APÓS RETORNO DE DESARQUIVAMENTO</t>
  </si>
  <si>
    <t>ACOMPANHAMENTO DA LIMPESA DAS ESTANTES E CAIXAS DO BLOCO A E RECEBIMENTO DE 50 CAIXAS E ENVIO DE 50 CAIXAS DO FNAS/CGCPC E TROCA DE 28 CAIXAS NO BLOCO A</t>
  </si>
  <si>
    <t>ACOMPANHAMENTO DA LIMPESA DAS ESTANTES E CAIXAS DO BLOCO A E TROCA DE 28 CAIXAS BLOCO A</t>
  </si>
  <si>
    <t>ACOMPANHAMENTO DA LIMPESA DAS ESTANTES E CAIXAS DO BLOCO A</t>
  </si>
  <si>
    <t>Pesquisa e busca
processo 23132.000438/95-22, convênio nº 214/95, SIAFI nº 138116, Fundação de Desporto e
 Lazer de Mato Grosso</t>
  </si>
  <si>
    <t>Atestado</t>
  </si>
  <si>
    <t>CONFERÊNCIA DE 10 CAIXAS SNAS/DNIT E ACOMPANHAMENTO LIMPESA SALA 3.11 NO DNIT</t>
  </si>
  <si>
    <t>CONFERÊNCIA DE 15 CAIXAS SNAS/DNIT E ACOMPANHAMENTO LIMPESA ARQUIVO 3.61 NO DNIT</t>
  </si>
  <si>
    <t>CONFERÊNCIA DE 11 CAIXAS SNAS/DNIT E ACOMPANHAMENTO LIMPESA ARQUIVO 4.47 NO DNIT</t>
  </si>
  <si>
    <t>50 CAIXAS REMANEJADAS PARA FNAS E ACOMPANHAMENTO DA LIMPESA SALA 3.25</t>
  </si>
  <si>
    <t>CONFERÊNCIA DE 14 CAIXAS SNAS/DNIT E ACOMPANHAMENTO LIMPESA ARQUIVO 3.71 NO DNIT</t>
  </si>
  <si>
    <t>Alimentação de planilha de controle de atividades (Gustavo)/</t>
  </si>
  <si>
    <t>ACOMPANHAMENTO DA LIMPEZA DAS ESTANTES E CAIXAS DO BLOCO A E CONFERÊNCIA DE 03 CAIXAS SNAS/DNIT</t>
  </si>
  <si>
    <t xml:space="preserve">ACOMPANHAMENTO DA LIMPESA DAS ESTANTES E CAIXAS DO BLOCO ACONFERÊNCIA DE 03 CAIXAS SNAS/DNIT </t>
  </si>
  <si>
    <t>Programando o sistema da Diarq</t>
  </si>
  <si>
    <t xml:space="preserve">CONFERÊNCIA DE 11 CAIXAS SNAS/DNIT E 102 CAIXAS LEVADA PARA 2° ANDAR DA  SNAS/CGCEB E RETIRADA  83 CAIXAS PARA O 1° SUBSOLO </t>
  </si>
  <si>
    <t xml:space="preserve">CONFERÊNCIA DE 10 CAIXAS SNAS/DNIT  </t>
  </si>
  <si>
    <t>ARQUIVAMENTO DE 83 CAIXAS DA SNAS/CGCEB E CONFERÊNCIA DE 09 CAIXAS DA SNAS</t>
  </si>
  <si>
    <t xml:space="preserve">CONFERÊNCIA DE 15 CAIXAS SNAS/DNIT  </t>
  </si>
  <si>
    <t xml:space="preserve">CONFERÊNCIA DE 05 CAIXAS SNAS/DNIT , ARQUIVAMENTO DE 50 CAIXAS SNAS E DESAQUIVAMENTO DE 50 CAIXAS SNAS PARA ENVIO ED MONTES </t>
  </si>
  <si>
    <t>Documentos administrativos produzidos (Despacho, Nota Técnica, minutas diversas, e-mails)</t>
  </si>
  <si>
    <t>Acompanhamento de processo SEI - CPAD</t>
  </si>
  <si>
    <t>REMANEJAMENTO DE 50 CAIXAS RECEBIDAS DA SNAS DO ED. MONTES E ACOMPANHAMENTO DA FINALIZAÇÃO DO REPARO DO FORRO DO TETO DOS ARQUIVOS</t>
  </si>
  <si>
    <t>https://www.google.com.br/search?q=Depois+de+contestar+um+conta+da+neonergia%2C+e+responderem+com+negativa%2C+o+que+fazer%3F&amp;sca_esv=4da7261d6af0beeb&amp;hl=pt-BR&amp;ei=gjsXapWnL7vd5OUPn9iRiQU&amp;biw=2133&amp;bih=1058&amp;ved=0ahUKEwiV8MD-j9qUAxW7LrkGHR9sJFEQ4dUDCBA&amp;uact=5&amp;oq=Depois+de+contestar+um+conta+da+neonergia%2C+e+responderem+com+negativa%2C+o+que+fazer%3F&amp;gs_lp=Egxnd3Mtd2l6LXNlcnAiU0RlcG9pcyBkZSBjb250ZXN0YXIgdW0gY29udGEgZGEgbmVvbmVyZ2lhLCBlIHJlc3BvbmRlcmVtIGNvbSBuZWdhdGl2YSwgbyBxdWUgZmF6ZXI_SPXxAVCqKVjQ7wFwBHgCkAEHmAHLBaABk8cBqgERMS4zMC4xNS4xNy4xMS44LjK4AQPIAQD4AQGYAjWgAuiKAagCFMICBBAAGEfCAgoQABhHGNYEGLADwgIIEAAYgAQYsQPCAgUQABiABMICIBAAGIAEGIoFGNQDGOUCGOcGGOoCGLQCGIoDGLcD2AEBwgIQEAAYAxiPARjqAhi0AtgBAsICEBAuGAMYjwEY6gIYtALYAQLCAhAQLhiABBiKBRhDGMcBGNEDwgIKEAAYgAQYigUYQ8ICCxAAGIAEGLEDGIMBwgIOEC4YgAQYsQMYxwEY0QPCAh8QLhiABBiKBRhDGMcBGNEDGJcFGNwEGN4EGOAE2AECwgILEC4YgAQYsQMYgwHCAgsQABiABBixAxjJA8ICCxAAGIAEGIoFGJIDwgIIEC4YgAQYsQPCAhoQLhiABBixAxiDARiXBRjcBBjeBBjgBNgBAsICBRAuGIAEwgIXEC4YgAQYsQMYlwUY3AQY3gQY4ATYAQLCAgQQABgDwgIGEAAYFhgewgIFEAAY7wXCAggQABiABBiiBMICBRAhGKABwgIFECEYnwXCAgcQIRgKGKABwgIEECEYCpgDF_EFksqHGephp-SIBgGQBgi6BgQIARgHugYGCAIQARgKkgcONC4xMi44LjEwLjE0LjWgB_-jA7IHDjAuMTIuOC4xMC4xNC41uAe5igHCBwwwLjEyLjI5LjExLjHIB6kCgAgB&amp;sclient=gws-wiz-serp</t>
  </si>
  <si>
    <t>CONFERÊNCIA DE 17 CAIXAS SNAS/DNIT  e ARQUIVAMENTO DE 17 CAIXAS DO SNAS</t>
  </si>
  <si>
    <t xml:space="preserve">99 CAIXAS LEVADA PARA 2° ANDAR DA  SNAS/CGCEB E RETIRADA  108 CAIXAS PARA O 1° SUBSOLO </t>
  </si>
  <si>
    <t>108 CAIXAS ARQUIVADAS NA SALA 3.61 E 3.25 DA SNAS/CGCEB</t>
  </si>
  <si>
    <t xml:space="preserve">CONFERÊNCIA DE 13 CAIXAS SNAS/DNIT  </t>
  </si>
  <si>
    <t xml:space="preserve">CONTAGEM DAS CAIXAS DO ARQUIVO </t>
  </si>
  <si>
    <r>
      <rPr>
        <b/>
        <sz val="11"/>
        <color theme="1"/>
        <rFont val="Aptos Narrow"/>
        <scheme val="minor"/>
      </rPr>
      <t>1.</t>
    </r>
    <r>
      <rPr>
        <sz val="11"/>
        <color theme="1"/>
        <rFont val="Aptos Narrow"/>
        <scheme val="minor"/>
      </rPr>
      <t xml:space="preserve"> Contagem caixas no DNIT
Eu e Diego contamos as caixas das salas:
3,71 - 11.157 caixas
3.25 - 14,197caixas
LBA
Sala 3.25 - 29
Sala 3.25 - 9
Total = 38 caixas</t>
    </r>
    <r>
      <rPr>
        <b/>
        <sz val="11"/>
        <color theme="1"/>
        <rFont val="Aptos Narrow"/>
        <scheme val="minor"/>
      </rPr>
      <t xml:space="preserve">
2</t>
    </r>
    <r>
      <rPr>
        <sz val="11"/>
        <color theme="1"/>
        <rFont val="Aptos Narrow"/>
        <family val="2"/>
        <scheme val="minor"/>
      </rPr>
      <t xml:space="preserve"> À pedido da Juelice, por ordem do Pedro, EM CARÁTER DE URGÊNCIA, disponibilizei o documento (18750823) para assinatura à Ariane da SAA.
</t>
    </r>
    <r>
      <rPr>
        <b/>
        <sz val="11"/>
        <color theme="1"/>
        <rFont val="Aptos Narrow"/>
        <scheme val="minor"/>
      </rPr>
      <t>3.</t>
    </r>
    <r>
      <rPr>
        <sz val="11"/>
        <color theme="1"/>
        <rFont val="Aptos Narrow"/>
        <family val="2"/>
        <scheme val="minor"/>
      </rPr>
      <t xml:space="preserve"> Pesquisa e busca
processo 23132.000438/95-22, convênio nº 214/95, SIAFI nº 138116, Fundação de Desporto e
 Lazer de Mato Grosso</t>
    </r>
  </si>
  <si>
    <t>FERIADO
CORPUS CHRISTI</t>
  </si>
  <si>
    <t>PONTO 
FACULTATIVO</t>
  </si>
  <si>
    <t>CONTAGEM DAS CAIXAS DA SALA 3.61 E 3.60 E 05 CAIXAIS DA SNAS CONFERIDA</t>
  </si>
  <si>
    <t xml:space="preserve">CONFERÊNCIA DE 10 CAIXAS SNAS/DNIT </t>
  </si>
  <si>
    <r>
      <rPr>
        <b/>
        <sz val="11"/>
        <color theme="1"/>
        <rFont val="Aptos Narrow"/>
        <family val="2"/>
        <scheme val="minor"/>
      </rPr>
      <t>Alimentação de planilha de controle de atividades (Gustavo)</t>
    </r>
    <r>
      <rPr>
        <sz val="11"/>
        <color theme="1"/>
        <rFont val="Aptos Narrow"/>
        <family val="2"/>
        <scheme val="minor"/>
      </rPr>
      <t xml:space="preserve">
Acompanhamento de processo SEI - CPAD
</t>
    </r>
    <r>
      <rPr>
        <b/>
        <sz val="11"/>
        <color theme="1"/>
        <rFont val="Aptos Narrow"/>
        <family val="2"/>
        <scheme val="minor"/>
      </rPr>
      <t>Contagem de Caixas Acervo Sala 4.47 (DNIT)</t>
    </r>
  </si>
  <si>
    <r>
      <rPr>
        <b/>
        <sz val="11"/>
        <color theme="1"/>
        <rFont val="Aptos Narrow"/>
        <family val="2"/>
        <scheme val="minor"/>
      </rPr>
      <t xml:space="preserve">Alimentação de planilha de controle de atividades (Gustavo)/
 </t>
    </r>
    <r>
      <rPr>
        <sz val="11"/>
        <color theme="1"/>
        <rFont val="Aptos Narrow"/>
        <family val="2"/>
        <scheme val="minor"/>
      </rPr>
      <t>Pesquisa de contatos de empresas de manutenção de deslizantes e confirmação de e-mails enviados</t>
    </r>
  </si>
  <si>
    <t>Alimentação de planilha de controle de atividades (Gustavo)</t>
  </si>
  <si>
    <t>CONFERÊNCIA DE 05 CAIXAS SNAS/DNIT E ARQUIVAMENTO DAS 50 RECEBIDAS</t>
  </si>
  <si>
    <t>FERIADO</t>
  </si>
  <si>
    <t>PONTO FACUTATIVO</t>
  </si>
  <si>
    <t>fazendo login no GoDocs para o Mesp</t>
  </si>
  <si>
    <t xml:space="preserve">ACOMPANHAMENTO DA LIMPESA DAS ESTANTES E CAIXAS DO BLOCO ACONFERÊNCIA DE 04 CAIXAS SNAS/DNIT </t>
  </si>
  <si>
    <t xml:space="preserve">ACOMPANHAMENTO DA LIMPESA DAS ESTANTES E CAIXAS DO BLOCO ACONFERÊNCIA DE 02 CAIXAS SNAS/DNIT </t>
  </si>
  <si>
    <t>RECESSO</t>
  </si>
  <si>
    <t>CONFERÊNCIA DAS CAIXAS DO PROTOCOLO MESP</t>
  </si>
  <si>
    <t>CONFERÊNCIA DAS CAIXAS DO PROTOCOLO MDS</t>
  </si>
  <si>
    <t>SEPARAÇÃO DE 70 CAIXAS PARA ENVIO ED. MONTES</t>
  </si>
  <si>
    <t>RECEBIMENTO DE 50 CAIXAS DO ED. MONTES E CONFERÊNCIA DE 05 CAIXAS DA SNAS VINDAS DO ED. MOTES</t>
  </si>
  <si>
    <r>
      <rPr>
        <b/>
        <sz val="11"/>
        <color theme="1"/>
        <rFont val="Aptos Narrow"/>
        <family val="2"/>
        <scheme val="minor"/>
      </rPr>
      <t>Alimentação de planilha de controle de atividades (Gustavo)</t>
    </r>
    <r>
      <rPr>
        <sz val="11"/>
        <color theme="1"/>
        <rFont val="Aptos Narrow"/>
        <family val="2"/>
        <scheme val="minor"/>
      </rPr>
      <t xml:space="preserve">
Acompanhamento de processo SEI - CPAD</t>
    </r>
  </si>
  <si>
    <r>
      <t xml:space="preserve">Acompanhamento de processo SEI - CPAD
</t>
    </r>
    <r>
      <rPr>
        <b/>
        <sz val="11"/>
        <color theme="1"/>
        <rFont val="Aptos Narrow"/>
        <family val="2"/>
        <scheme val="minor"/>
      </rPr>
      <t>Atualização de dados do Sistema CGLA (Pedro)</t>
    </r>
  </si>
  <si>
    <t>10 CAIXAS DA SNAS VINDAS DO ED. MONTES</t>
  </si>
  <si>
    <t>REUNIÃO NO MESP</t>
  </si>
  <si>
    <t>reunião no bloco A com a Pátricia sobre o MESP</t>
  </si>
  <si>
    <t>10 CAIXAS DA SNAS VINDAS DO ED. MOTES CONFERIDAS E 15 CAIXAS ARQUIVADAS DO SNAS</t>
  </si>
  <si>
    <t>5 CAIXAS DA SNAS VINDAS DO ED. MOTES CONFERIDAS E 25 CAIXAS ARQUIVADAS DO SNAS</t>
  </si>
  <si>
    <t>ARQUIVAMENTO DE 10 CAIXAS SNAS RECEBIDAS ED. MONTES, RETIRADA E 100 CAIXAS ENVIADAS PARA 2° ANDAR</t>
  </si>
  <si>
    <t>ARQUIVAMENTO DE 109 CAIXAS DO 2° ANDAR E 05 CAIXAS CONFERIDAS DO SNAS/CGCEB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</si>
</sst>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9"/>
      <name val="Calibri"/>
      <family val="2"/>
    </font>
    <font>
      <b/>
      <sz val="18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rgb="FFF2F2F2"/>
        <bgColor rgb="FFDDDDD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DDDDD"/>
      </patternFill>
    </fill>
    <fill>
      <patternFill patternType="solid">
        <fgColor rgb="FFFFFF00"/>
        <bgColor rgb="FFEDEDED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DEDED"/>
      </patternFill>
    </fill>
    <fill>
      <patternFill patternType="solid">
        <fgColor theme="0"/>
        <bgColor rgb="FFDDDDDD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7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0" fillId="0" borderId="10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textRotation="255" wrapText="1" readingOrder="2"/>
    </xf>
    <xf numFmtId="0" fontId="2" fillId="8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7" borderId="4" xfId="0" applyFont="1" applyFill="1" applyBorder="1" applyAlignment="1">
      <alignment horizontal="right" vertical="center" wrapText="1"/>
    </xf>
    <xf numFmtId="0" fontId="10" fillId="2" borderId="4" xfId="0" applyFont="1" applyFill="1" applyBorder="1" applyAlignment="1">
      <alignment horizontal="right" vertical="center" wrapText="1"/>
    </xf>
    <xf numFmtId="0" fontId="10" fillId="6" borderId="4" xfId="0" applyFont="1" applyFill="1" applyBorder="1" applyAlignment="1">
      <alignment horizontal="right" vertical="center" wrapText="1"/>
    </xf>
    <xf numFmtId="0" fontId="10" fillId="3" borderId="4" xfId="0" applyFont="1" applyFill="1" applyBorder="1" applyAlignment="1">
      <alignment horizontal="right" vertical="center" wrapText="1"/>
    </xf>
    <xf numFmtId="0" fontId="8" fillId="5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16" fontId="0" fillId="0" borderId="12" xfId="0" applyNumberFormat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1" fillId="2" borderId="15" xfId="0" applyFont="1" applyFill="1" applyBorder="1" applyAlignment="1">
      <alignment horizontal="right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1" xfId="0" applyFont="1" applyFill="1" applyBorder="1" applyAlignment="1">
      <alignment horizontal="right" vertical="center" wrapText="1"/>
    </xf>
    <xf numFmtId="0" fontId="1" fillId="3" borderId="11" xfId="0" applyFont="1" applyFill="1" applyBorder="1" applyAlignment="1">
      <alignment horizontal="right" vertical="center" wrapText="1"/>
    </xf>
    <xf numFmtId="0" fontId="0" fillId="0" borderId="15" xfId="0" applyBorder="1" applyAlignment="1">
      <alignment horizontal="center" vertical="center"/>
    </xf>
    <xf numFmtId="0" fontId="1" fillId="2" borderId="13" xfId="0" applyFont="1" applyFill="1" applyBorder="1" applyAlignment="1">
      <alignment horizontal="right" vertical="center" wrapText="1"/>
    </xf>
    <xf numFmtId="0" fontId="1" fillId="3" borderId="13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Alignment="1">
      <alignment horizontal="center" vertical="center"/>
    </xf>
    <xf numFmtId="0" fontId="1" fillId="10" borderId="1" xfId="0" applyFont="1" applyFill="1" applyBorder="1" applyAlignment="1">
      <alignment horizontal="righ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0" fillId="9" borderId="0" xfId="0" applyFill="1"/>
    <xf numFmtId="0" fontId="1" fillId="11" borderId="1" xfId="0" applyFont="1" applyFill="1" applyBorder="1" applyAlignment="1">
      <alignment horizontal="righ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 wrapText="1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2" borderId="5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735" Type="http://schemas.openxmlformats.org/officeDocument/2006/relationships/revisionLog" Target="revisionLog2.xml"/><Relationship Id="rId756" Type="http://schemas.openxmlformats.org/officeDocument/2006/relationships/revisionLog" Target="revisionLog15.xml"/><Relationship Id="rId714" Type="http://schemas.openxmlformats.org/officeDocument/2006/relationships/revisionLog" Target="revisionLog38.xml"/><Relationship Id="rId722" Type="http://schemas.openxmlformats.org/officeDocument/2006/relationships/revisionLog" Target="revisionLog46.xml"/><Relationship Id="rId727" Type="http://schemas.openxmlformats.org/officeDocument/2006/relationships/revisionLog" Target="revisionLog51.xml"/><Relationship Id="rId748" Type="http://schemas.openxmlformats.org/officeDocument/2006/relationships/revisionLog" Target="revisionLog8.xml"/><Relationship Id="rId719" Type="http://schemas.openxmlformats.org/officeDocument/2006/relationships/revisionLog" Target="revisionLog43.xml"/><Relationship Id="rId769" Type="http://schemas.openxmlformats.org/officeDocument/2006/relationships/revisionLog" Target="revisionLog28.xml"/><Relationship Id="rId730" Type="http://schemas.openxmlformats.org/officeDocument/2006/relationships/revisionLog" Target="revisionLog54.xml"/><Relationship Id="rId743" Type="http://schemas.openxmlformats.org/officeDocument/2006/relationships/revisionLog" Target="revisionLog62.xml"/><Relationship Id="rId751" Type="http://schemas.openxmlformats.org/officeDocument/2006/relationships/revisionLog" Target="revisionLog10.xml"/><Relationship Id="rId764" Type="http://schemas.openxmlformats.org/officeDocument/2006/relationships/revisionLog" Target="revisionLog23.xml"/><Relationship Id="rId725" Type="http://schemas.openxmlformats.org/officeDocument/2006/relationships/revisionLog" Target="revisionLog49.xml"/><Relationship Id="rId717" Type="http://schemas.openxmlformats.org/officeDocument/2006/relationships/revisionLog" Target="revisionLog41.xml"/><Relationship Id="rId712" Type="http://schemas.openxmlformats.org/officeDocument/2006/relationships/revisionLog" Target="revisionLog36.xml"/><Relationship Id="rId738" Type="http://schemas.openxmlformats.org/officeDocument/2006/relationships/revisionLog" Target="revisionLog5.xml"/><Relationship Id="rId746" Type="http://schemas.openxmlformats.org/officeDocument/2006/relationships/revisionLog" Target="revisionLog6.xml"/><Relationship Id="rId759" Type="http://schemas.openxmlformats.org/officeDocument/2006/relationships/revisionLog" Target="revisionLog18.xml"/><Relationship Id="rId720" Type="http://schemas.openxmlformats.org/officeDocument/2006/relationships/revisionLog" Target="revisionLog44.xml"/><Relationship Id="rId733" Type="http://schemas.openxmlformats.org/officeDocument/2006/relationships/revisionLog" Target="revisionLog57.xml"/><Relationship Id="rId741" Type="http://schemas.openxmlformats.org/officeDocument/2006/relationships/revisionLog" Target="revisionLog60.xml"/><Relationship Id="rId754" Type="http://schemas.openxmlformats.org/officeDocument/2006/relationships/revisionLog" Target="revisionLog13.xml"/><Relationship Id="rId762" Type="http://schemas.openxmlformats.org/officeDocument/2006/relationships/revisionLog" Target="revisionLog21.xml"/><Relationship Id="rId767" Type="http://schemas.openxmlformats.org/officeDocument/2006/relationships/revisionLog" Target="revisionLog26.xml"/><Relationship Id="rId770" Type="http://schemas.openxmlformats.org/officeDocument/2006/relationships/revisionLog" Target="revisionLog29.xml"/><Relationship Id="rId749" Type="http://schemas.openxmlformats.org/officeDocument/2006/relationships/revisionLog" Target="revisionLog65.xml"/><Relationship Id="rId736" Type="http://schemas.openxmlformats.org/officeDocument/2006/relationships/revisionLog" Target="revisionLog3.xml"/><Relationship Id="rId728" Type="http://schemas.openxmlformats.org/officeDocument/2006/relationships/revisionLog" Target="revisionLog52.xml"/><Relationship Id="rId715" Type="http://schemas.openxmlformats.org/officeDocument/2006/relationships/revisionLog" Target="revisionLog39.xml"/><Relationship Id="rId765" Type="http://schemas.openxmlformats.org/officeDocument/2006/relationships/revisionLog" Target="revisionLog24.xml"/><Relationship Id="rId731" Type="http://schemas.openxmlformats.org/officeDocument/2006/relationships/revisionLog" Target="revisionLog55.xml"/><Relationship Id="rId723" Type="http://schemas.openxmlformats.org/officeDocument/2006/relationships/revisionLog" Target="revisionLog47.xml"/><Relationship Id="rId744" Type="http://schemas.openxmlformats.org/officeDocument/2006/relationships/revisionLog" Target="revisionLog63.xml"/><Relationship Id="rId752" Type="http://schemas.openxmlformats.org/officeDocument/2006/relationships/revisionLog" Target="revisionLog11.xml"/><Relationship Id="rId757" Type="http://schemas.openxmlformats.org/officeDocument/2006/relationships/revisionLog" Target="revisionLog16.xml"/><Relationship Id="rId760" Type="http://schemas.openxmlformats.org/officeDocument/2006/relationships/revisionLog" Target="revisionLog19.xml"/><Relationship Id="rId739" Type="http://schemas.openxmlformats.org/officeDocument/2006/relationships/revisionLog" Target="revisionLog58.xml"/><Relationship Id="rId718" Type="http://schemas.openxmlformats.org/officeDocument/2006/relationships/revisionLog" Target="revisionLog42.xml"/><Relationship Id="rId747" Type="http://schemas.openxmlformats.org/officeDocument/2006/relationships/revisionLog" Target="revisionLog7.xml"/><Relationship Id="rId755" Type="http://schemas.openxmlformats.org/officeDocument/2006/relationships/revisionLog" Target="revisionLog14.xml"/><Relationship Id="rId713" Type="http://schemas.openxmlformats.org/officeDocument/2006/relationships/revisionLog" Target="revisionLog37.xml"/><Relationship Id="rId721" Type="http://schemas.openxmlformats.org/officeDocument/2006/relationships/revisionLog" Target="revisionLog45.xml"/><Relationship Id="rId726" Type="http://schemas.openxmlformats.org/officeDocument/2006/relationships/revisionLog" Target="revisionLog50.xml"/><Relationship Id="rId734" Type="http://schemas.openxmlformats.org/officeDocument/2006/relationships/revisionLog" Target="revisionLog1.xml"/><Relationship Id="rId742" Type="http://schemas.openxmlformats.org/officeDocument/2006/relationships/revisionLog" Target="revisionLog61.xml"/><Relationship Id="rId763" Type="http://schemas.openxmlformats.org/officeDocument/2006/relationships/revisionLog" Target="revisionLog22.xml"/><Relationship Id="rId768" Type="http://schemas.openxmlformats.org/officeDocument/2006/relationships/revisionLog" Target="revisionLog27.xml"/><Relationship Id="rId750" Type="http://schemas.openxmlformats.org/officeDocument/2006/relationships/revisionLog" Target="revisionLog9.xml"/><Relationship Id="rId771" Type="http://schemas.openxmlformats.org/officeDocument/2006/relationships/revisionLog" Target="revisionLog30.xml"/><Relationship Id="rId729" Type="http://schemas.openxmlformats.org/officeDocument/2006/relationships/revisionLog" Target="revisionLog53.xml"/><Relationship Id="rId732" Type="http://schemas.openxmlformats.org/officeDocument/2006/relationships/revisionLog" Target="revisionLog56.xml"/><Relationship Id="rId758" Type="http://schemas.openxmlformats.org/officeDocument/2006/relationships/revisionLog" Target="revisionLog17.xml"/><Relationship Id="rId711" Type="http://schemas.openxmlformats.org/officeDocument/2006/relationships/revisionLog" Target="revisionLog35.xml"/><Relationship Id="rId716" Type="http://schemas.openxmlformats.org/officeDocument/2006/relationships/revisionLog" Target="revisionLog40.xml"/><Relationship Id="rId724" Type="http://schemas.openxmlformats.org/officeDocument/2006/relationships/revisionLog" Target="revisionLog48.xml"/><Relationship Id="rId737" Type="http://schemas.openxmlformats.org/officeDocument/2006/relationships/revisionLog" Target="revisionLog4.xml"/><Relationship Id="rId745" Type="http://schemas.openxmlformats.org/officeDocument/2006/relationships/revisionLog" Target="revisionLog64.xml"/><Relationship Id="rId753" Type="http://schemas.openxmlformats.org/officeDocument/2006/relationships/revisionLog" Target="revisionLog12.xml"/><Relationship Id="rId766" Type="http://schemas.openxmlformats.org/officeDocument/2006/relationships/revisionLog" Target="revisionLog25.xml"/><Relationship Id="rId740" Type="http://schemas.openxmlformats.org/officeDocument/2006/relationships/revisionLog" Target="revisionLog59.xml"/><Relationship Id="rId761" Type="http://schemas.openxmlformats.org/officeDocument/2006/relationships/revisionLog" Target="revisionLog20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0C2E78D3-50AC-4E81-B314-D1DB804184D4}" diskRevisions="1" revisionId="20427" version="95">
  <header guid="{5F6CF508-BB08-4538-AA35-FD2E6AF04887}" dateTime="2026-05-18T11:53:31" maxSheetId="13" userName="Danilo Rafael Basilio da Silva" r:id="rId711" minRId="19626" maxRId="19635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15911608-96B8-48DD-B702-F6C5236AD964}" dateTime="2026-05-18T14:15:21" maxSheetId="13" userName="Aelton de Jesus Nunes" r:id="rId712" minRId="19646" maxRId="19650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C5388791-7CA5-45DF-949A-77A7C84D45ED}" dateTime="2026-05-18T14:21:35" maxSheetId="13" userName="Diego Santos de Abreu" r:id="rId713" minRId="19661" maxRId="19666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58A544B4-160D-4E4E-997A-0D5D0DC089FA}" dateTime="2026-05-19T08:11:31" maxSheetId="13" userName="Marcos Neves de Almeida" r:id="rId714" minRId="19677" maxRId="19678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CC2E7D29-CA7F-4267-A081-1BCBACBF0DC2}" dateTime="2026-05-19T10:32:43" maxSheetId="13" userName="Leonam Morrison Monteiro de Oliveira" r:id="rId715" minRId="19689" maxRId="19695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2F93F812-0B97-49D1-B2BE-E9EC2E0B444E}" dateTime="2026-05-19T10:51:15" maxSheetId="13" userName="Marcos Neves de Almeida" r:id="rId716" minRId="19706" maxRId="19707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4B8BA2AD-8FCC-4082-81E0-21F864ABE39B}" dateTime="2026-05-19T10:52:11" maxSheetId="13" userName="Marcos Neves de Almeida" r:id="rId717" minRId="19718" maxRId="19722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BD67F300-1840-4965-AE43-F85E1E8986DB}" dateTime="2026-05-20T09:18:16" maxSheetId="13" userName="Marcos Neves de Almeida" r:id="rId718" minRId="19723" maxRId="19725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806CE093-431C-46D3-8749-B98710EA2ACD}" dateTime="2026-05-21T08:43:40" maxSheetId="13" userName="Aelton de Jesus Nunes" r:id="rId719" minRId="19726" maxRId="19730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2F9B19B8-BF1F-4E0F-ADD9-5B21E1A87D85}" dateTime="2026-05-21T10:40:43" maxSheetId="13" userName="Marcos Neves de Almeida" r:id="rId720" minRId="19741" maxRId="19742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AF250AE4-7646-40FF-9A04-DE23E7E991A2}" dateTime="2026-05-22T08:54:35" maxSheetId="13" userName="Marcos Neves de Almeida" r:id="rId721" minRId="19753" maxRId="19755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21A8502D-2AE7-4BE6-86E0-CEB39402A580}" dateTime="2026-05-25T10:47:04" maxSheetId="13" userName="Alessandro Borges de Araújo" r:id="rId722" minRId="19756" maxRId="19786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E7F576AE-B4D2-436D-8D7B-B5EE1FEA87EC}" dateTime="2026-05-25T13:51:20" maxSheetId="13" userName="Diego Santos de Abreu" r:id="rId723" minRId="19797" maxRId="19801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6985DCA0-B375-4D1B-B1E2-AAC0CFF32F93}" dateTime="2026-05-25T14:05:25" maxSheetId="13" userName="Aelton de Jesus Nunes" r:id="rId724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DD732187-CD16-4BA6-B60E-950D4CF6FBF1}" dateTime="2026-05-25T14:23:50" maxSheetId="13" userName="Danilo Rafael Basilio da Silva" r:id="rId725" minRId="19822" maxRId="19831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D7566482-DA39-4CD4-8282-6B16C737DD2E}" dateTime="2026-05-25T17:32:43" maxSheetId="13" userName="Alessandro Borges de Araújo" r:id="rId726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5C1A1DBD-9D82-4722-9C51-C6B59E93BD34}" dateTime="2026-05-26T08:37:31" maxSheetId="13" userName="Marcos Neves de Almeida" r:id="rId727" minRId="19842" maxRId="19843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B7923A5F-EA0A-413A-8671-60D6FF844375}" dateTime="2026-05-26T09:55:13" maxSheetId="13" userName="Marcos Neves de Almeida" r:id="rId728" minRId="19854" maxRId="19855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F6CB60C8-C3DD-4189-9143-454A7CD29077}" dateTime="2026-05-26T10:05:43" maxSheetId="13" userName="Marcos Neves de Almeida" r:id="rId729" minRId="19856" maxRId="19857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DCDC95B7-6E79-44E2-93A0-09EAAC43D205}" dateTime="2026-05-26T14:37:55" maxSheetId="13" userName="Marcos Neves de Almeida" r:id="rId730" minRId="19858" maxRId="19859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DAAC1EF5-88AA-4BC4-8DF2-C0ACF4CCD02E}" dateTime="2026-05-26T14:49:07" maxSheetId="13" userName="Marcos Neves de Almeida" r:id="rId731" minRId="19860" maxRId="19861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8E605039-8E18-4BFF-A623-4E3881A44FA3}" dateTime="2026-05-26T14:49:40" maxSheetId="13" userName="Marcos Neves de Almeida" r:id="rId732" minRId="19862" maxRId="19863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04756D9C-1F5C-4AFD-8CBB-17FA712AC53A}" dateTime="2026-05-28T10:59:58" maxSheetId="13" userName="Alessandro Borges de Araújo" r:id="rId733" minRId="19864" maxRId="19865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114B4F92-ADB8-46C1-A3ED-67718CDE8DBB}" dateTime="2026-05-28T14:03:26" maxSheetId="13" userName="Marcos Neves de Almeida" r:id="rId734" minRId="19866" maxRId="19867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F08EB3F4-D3CE-474B-A927-C6C0E322113C}" dateTime="2026-05-29T08:58:37" maxSheetId="13" userName="Marcos Neves de Almeida" r:id="rId735" minRId="19878" maxRId="19881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EFB4DC82-3C7E-4077-85F2-24E6FBDEA61C}" dateTime="2026-05-29T10:52:08" maxSheetId="13" userName="Alessandro Borges de Araújo" r:id="rId736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A5846271-48C8-435A-9E3D-42579418B5CF}" dateTime="2026-06-01T13:11:08" maxSheetId="13" userName="Marcos Neves de Almeida" r:id="rId737" minRId="19902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3921D418-3D27-45DB-9B1A-7406004A98F7}" dateTime="2026-06-01T14:19:26" maxSheetId="13" userName="Diego Santos de Abreu" r:id="rId738" minRId="19913" maxRId="19918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AB1744BB-5599-4855-A44A-DCF23B7DCD8E}" dateTime="2026-06-01T14:53:46" maxSheetId="13" userName="Aelton de Jesus Nunes" r:id="rId739" minRId="19929" maxRId="19938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5886829B-8AFE-4399-9D11-D4EA2ECFC26E}" dateTime="2026-06-01T14:54:12" maxSheetId="13" userName="Aelton de Jesus Nunes" r:id="rId740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86625538-738F-4A77-8983-1140D9F5BB9F}" dateTime="2026-06-02T08:17:32" maxSheetId="13" userName="Marcos Neves de Almeida" r:id="rId741" minRId="19949" maxRId="19950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9B5FA40B-3E2B-4592-B8CD-DAF66E97D067}" dateTime="2026-06-02T08:19:28" maxSheetId="13" userName="Marcos Neves de Almeida" r:id="rId742" minRId="19961" maxRId="19962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B400B402-A091-40D1-990B-D1BB0DACEC0F}" dateTime="2026-06-02T10:47:28" maxSheetId="13" userName="Alessandro Borges de Araújo" r:id="rId743" minRId="19963" maxRId="19992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AF7F8697-644F-4A23-A3CA-CD241AED083C}" dateTime="2026-06-02T11:02:01" maxSheetId="13" userName="Alessandro Borges de Araújo" r:id="rId744" minRId="19993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10B54D77-4E01-4665-9A42-04F4F45AD1E3}" dateTime="2026-06-03T07:12:55" maxSheetId="13" userName="Marcos Neves de Almeida" r:id="rId745" minRId="19994" maxRId="19997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8A41CB8D-3218-4DD7-9731-BE382B774114}" dateTime="2026-06-03T08:22:19" maxSheetId="13" userName="Marcos Neves de Almeida" r:id="rId746" minRId="20008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51512E52-0D15-4959-B21E-DD5B0B6A52E8}" dateTime="2026-06-03T14:26:44" maxSheetId="13" userName="Leonam Morrison Monteiro de Oliveira" r:id="rId747" minRId="20009" maxRId="20021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C31A0BE7-1634-498C-84FB-AC09BC53D1CF}" dateTime="2026-06-03T16:05:20" maxSheetId="13" userName="Leonam Morrison Monteiro de Oliveira" r:id="rId748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6E4845C7-EDFE-4819-AC7D-03DC838BAC05}" dateTime="2026-06-08T08:12:43" maxSheetId="13" userName="Marcos Neves de Almeida" r:id="rId749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EB2A0205-7CE9-461B-9B0D-27E2E89E66BC}" dateTime="2026-06-08T11:44:12" maxSheetId="13" userName="Danilo Rafael Basilio da Silva" r:id="rId750" minRId="20032" maxRId="20057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070321DD-DBAB-4B6A-BDA6-EAE065326749}" dateTime="2026-06-08T11:48:15" maxSheetId="13" userName="Danilo Rafael Basilio da Silva" r:id="rId751" minRId="20068" maxRId="20072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9324FADA-231B-4870-A880-4964C9E02B4E}" dateTime="2026-06-08T11:50:08" maxSheetId="13" userName="Danilo Rafael Basilio da Silva" r:id="rId752" minRId="20073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D1D11F83-91DB-4C6B-95A2-18018F6D80A0}" dateTime="2026-06-09T11:06:00" maxSheetId="13" userName="Alessandro Borges de Araújo" r:id="rId753" minRId="20074" maxRId="20215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3EE916BE-81DC-4389-ABEE-2CFDFC73F108}" dateTime="2026-06-09T14:42:16" maxSheetId="13" userName="Marcos Neves de Almeida" r:id="rId754" minRId="20216" maxRId="20219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9EF5959F-22E6-4CA9-92BC-ABC2A88121E9}" dateTime="2026-06-11T08:39:02" maxSheetId="13" userName="Leonam Morrison Monteiro de Oliveira" r:id="rId755" minRId="20230" maxRId="20236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8D5CB969-B53F-44FA-ABBE-CC84B43AD888}" dateTime="2026-06-11T11:13:13" maxSheetId="13" userName="Marcos Neves de Almeida" r:id="rId756" minRId="20247" maxRId="20250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B2BFE587-7CC7-4DB8-9315-54D63294D92F}" dateTime="2026-06-12T09:18:04" maxSheetId="13" userName="Marcos Neves de Almeida" r:id="rId757" minRId="20261" maxRId="20264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9C87E62E-3A0E-409B-BC05-5819EABB2B45}" dateTime="2026-06-15T10:24:45" maxSheetId="13" userName="Diego Santos de Abreu" r:id="rId758" minRId="20265" maxRId="20271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F55B6EF0-2D20-4DC5-8CE6-135151EDA51C}" dateTime="2026-06-15T10:59:29" maxSheetId="13" userName="Alessandro Borges de Araújo" r:id="rId759" minRId="20282" maxRId="20308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7AF4AADD-7892-40B3-BBFE-1278AB993E14}" dateTime="2026-06-15T11:30:47" maxSheetId="13" userName="Alessandro Borges de Araújo" r:id="rId760" minRId="20309" maxRId="20312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CD705B3E-4EA1-4281-8D03-731758113BD4}" dateTime="2026-06-15T13:28:54" maxSheetId="13" userName="Aelton de Jesus Nunes" r:id="rId761" minRId="20323" maxRId="20327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8575988E-390F-40B9-8FA5-446A2945E792}" dateTime="2026-06-15T14:00:44" maxSheetId="13" userName="Marcos Neves de Almeida" r:id="rId762" minRId="20338" maxRId="20340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1C2202EF-3E54-4201-97AD-714C86820A7E}" dateTime="2026-06-15T14:27:39" maxSheetId="13" userName="Marcos Neves de Almeida" r:id="rId763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4E994C56-9468-4367-A18B-DDD86D39386E}" dateTime="2026-06-16T08:57:49" maxSheetId="13" userName="Diego Santos de Abreu" r:id="rId764" minRId="20361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033D2C50-70C1-4BFD-A844-CF281DCFD840}" dateTime="2026-06-16T09:31:04" maxSheetId="13" userName="Leonam Morrison Monteiro de Oliveira" r:id="rId765" minRId="20372" maxRId="20375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72039581-333B-4CE7-9B21-FEFEED644FBA}" dateTime="2026-06-16T09:51:43" maxSheetId="13" userName="Leonam Morrison Monteiro de Oliveira" r:id="rId766" minRId="20386" maxRId="20388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C3D5B718-2AB2-45C5-A3A4-7D4D1E11AB1D}" dateTime="2026-06-16T10:02:10" maxSheetId="13" userName="Marcos Neves de Almeida" r:id="rId767" minRId="20389" maxRId="20392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E8ABC7BD-6219-4B92-8B3B-F22849944D28}" dateTime="2026-06-17T09:03:27" maxSheetId="13" userName="Marcos Neves de Almeida" r:id="rId768" minRId="20403" maxRId="20404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8F5C5E44-CF51-4240-9952-89744E59815A}" dateTime="2026-06-17T12:33:04" maxSheetId="13" userName="Marcos Neves de Almeida" r:id="rId769" minRId="20405" maxRId="20406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8AF6027A-AE30-4E5E-9AE6-C7436C4D234D}" dateTime="2026-06-17T16:50:59" maxSheetId="13" userName="Alessandro Borges de Araújo" r:id="rId770" minRId="20407" maxRId="20412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0C2E78D3-50AC-4E81-B314-D1DB804184D4}" dateTime="2026-06-18T13:23:48" maxSheetId="13" userName="Marcos Neves de Almeida" r:id="rId771" minRId="20413" maxRId="20417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xfDxf="1" sqref="W18" start="0" length="0">
    <dxf>
      <alignment horizontal="center" vertical="center" wrapText="1"/>
      <border outline="0">
        <top style="thin">
          <color indexed="64"/>
        </top>
      </border>
    </dxf>
  </rfmt>
  <rcc rId="19866" sId="8">
    <nc r="W18" t="inlineStr">
      <is>
        <t xml:space="preserve">99 CAIXAS LEVADA PARA 2° ANDAR DA  SNAS/CGCEB E RETIRADA  108 CAIXAS PARA O 1° SUBSOLO </t>
      </is>
    </nc>
  </rcc>
  <rcc rId="19867" sId="8">
    <nc r="W15">
      <v>207</v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78" sId="8">
    <nc r="X15">
      <v>108</v>
    </nc>
  </rcc>
  <rcc rId="19879" sId="8">
    <nc r="X18" t="inlineStr">
      <is>
        <t>108 CAIXAS ARQUIVADAS NA SALA 3.61 E 3.25 DA SNAS/CGCEB</t>
      </is>
    </nc>
  </rcc>
  <rcc rId="19880" sId="8">
    <nc r="Y16">
      <v>13</v>
    </nc>
  </rcc>
  <rcc rId="19881" sId="8">
    <nc r="Y18" t="inlineStr">
      <is>
        <t xml:space="preserve">CONFERÊNCIA DE 13 CAIXAS SNAS/DNIT  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02" sId="8">
    <nc r="AA18" t="inlineStr">
      <is>
        <t>CONTAGEM DAS CAIXAS DA SALA 3.61 E 3.60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13" sId="4" odxf="1" dxf="1">
    <nc r="V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914" sId="4" odxf="1" dxf="1">
    <nc r="W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915" sId="4" odxf="1" dxf="1">
    <nc r="X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916" sId="4" odxf="1" dxf="1">
    <nc r="Y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917" sId="4" odxf="1" dxf="1">
    <nc r="AA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918" sId="4">
    <nc r="AA19" t="inlineStr">
      <is>
        <t xml:space="preserve">CONTAGEM DAS CAIXAS DO ARQUIVO </t>
      </is>
    </nc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Leonardo!$A$1:$A$5</formula>
    <oldFormula>Leonardo!$A$1:$A$5</oldFormula>
  </rdn>
  <rdn rId="0" localSheetId="3" customView="1" name="Z_20CB6D8F_C24D_4D4B_A424_AF380F620455_.wvu.FilterData" hidden="1" oldHidden="1">
    <formula>TOTAL!$A$1:$J$19</formula>
    <oldFormula>TOTAL!$A$1:$J$19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08" sId="8">
    <nc r="AC15">
      <v>50</v>
    </nc>
  </rcc>
  <rfmt sheetId="8" sqref="AD18:AE18">
    <dxf>
      <fill>
        <patternFill patternType="solid">
          <bgColor rgb="FF92D050"/>
        </patternFill>
      </fill>
    </dxf>
  </rfmt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09" sId="6">
    <nc r="Q18" t="inlineStr">
      <is>
        <t>Programando o sistema da Diarq</t>
      </is>
    </nc>
  </rcc>
  <rcc rId="20010" sId="6">
    <nc r="R18" t="inlineStr">
      <is>
        <t>Programando o sistema da Diarq</t>
      </is>
    </nc>
  </rcc>
  <rcc rId="20011" sId="6">
    <nc r="S18" t="inlineStr">
      <is>
        <t>Programando o sistema da Diarq</t>
      </is>
    </nc>
  </rcc>
  <rcc rId="20012" sId="6">
    <nc r="U18" t="inlineStr">
      <is>
        <t>Programando o sistema da Diarq</t>
      </is>
    </nc>
  </rcc>
  <rcc rId="20013" sId="6">
    <nc r="V18" t="inlineStr">
      <is>
        <t>Programando o sistema da Diarq</t>
      </is>
    </nc>
  </rcc>
  <rcc rId="20014" sId="6">
    <nc r="W18" t="inlineStr">
      <is>
        <t>Programando o sistema da Diarq</t>
      </is>
    </nc>
  </rcc>
  <rcc rId="20015" sId="6">
    <nc r="X18" t="inlineStr">
      <is>
        <t>Programando o sistema da Diarq</t>
      </is>
    </nc>
  </rcc>
  <rcc rId="20016" sId="6">
    <nc r="Y18" t="inlineStr">
      <is>
        <t>Programando o sistema da Diarq</t>
      </is>
    </nc>
  </rcc>
  <rcc rId="20017" sId="6">
    <nc r="AC18" t="inlineStr">
      <is>
        <t>Programando o sistema da Diarq</t>
      </is>
    </nc>
  </rcc>
  <rcc rId="20018" sId="6">
    <nc r="AB18" t="inlineStr">
      <is>
        <t>Programando o sistema da Diarq</t>
      </is>
    </nc>
  </rcc>
  <rcc rId="20019" sId="6">
    <nc r="AA18" t="inlineStr">
      <is>
        <t>Programando o sistema da Diarq</t>
      </is>
    </nc>
  </rcc>
  <rcc rId="20020" sId="6">
    <nc r="AC19" t="inlineStr">
      <is>
        <t>fazendo login no GoDocs para o Mesp</t>
      </is>
    </nc>
  </rcc>
  <rcc rId="20021" sId="6" odxf="1" dxf="1">
    <nc r="AA19" t="inlineStr">
      <is>
        <t>CONTAGEM DAS CAIXAS DA SALA 3.61 E 3.60 E 05 CAIXAIS DA SNAS CONFERIDA</t>
      </is>
    </nc>
    <ndxf>
      <border outline="0">
        <top style="thin">
          <color indexed="64"/>
        </top>
      </border>
    </ndxf>
  </rcc>
  <rfmt sheetId="6" sqref="AB19">
    <dxf>
      <alignment wrapText="1"/>
    </dxf>
  </rfmt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AC19">
    <dxf>
      <alignment wrapText="1"/>
    </dxf>
  </rfmt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32" sId="7" odxf="1" dxf="1">
    <nc r="U18" t="inlineStr">
      <is>
        <t xml:space="preserve">ACOMPANHAMENTO DA LIMPESA DAS ESTANTES E CAIXAS DO BLOCO ACONFERÊNCIA DE 03 CAIXAS SNAS/DNIT </t>
      </is>
    </nc>
    <odxf>
      <border outline="0">
        <top/>
      </border>
    </odxf>
    <ndxf>
      <border outline="0">
        <top style="thin">
          <color indexed="64"/>
        </top>
      </border>
    </ndxf>
  </rcc>
  <rfmt sheetId="7" sqref="V18" start="0" length="0">
    <dxf>
      <border outline="0">
        <top style="thin">
          <color indexed="64"/>
        </top>
      </border>
    </dxf>
  </rfmt>
  <rcc rId="20033" sId="7" odxf="1" dxf="1">
    <nc r="W18" t="inlineStr">
      <is>
        <t xml:space="preserve">ACOMPANHAMENTO DA LIMPESA DAS ESTANTES E CAIXAS DO BLOCO ACONFERÊNCIA DE 03 CAIXAS SNAS/DNIT </t>
      </is>
    </nc>
    <odxf>
      <border outline="0">
        <top/>
      </border>
    </odxf>
    <ndxf>
      <border outline="0">
        <top style="thin">
          <color indexed="64"/>
        </top>
      </border>
    </ndxf>
  </rcc>
  <rfmt sheetId="7" sqref="X18" start="0" length="0">
    <dxf>
      <border outline="0">
        <top style="thin">
          <color indexed="64"/>
        </top>
      </border>
    </dxf>
  </rfmt>
  <rcc rId="20034" sId="7" odxf="1" dxf="1">
    <nc r="Y18" t="inlineStr">
      <is>
        <t xml:space="preserve">ACOMPANHAMENTO DA LIMPESA DAS ESTANTES E CAIXAS DO BLOCO ACONFERÊNCIA DE 03 CAIXAS SNAS/DNIT </t>
      </is>
    </nc>
    <odxf>
      <border outline="0">
        <top/>
      </border>
    </odxf>
    <ndxf>
      <border outline="0">
        <top style="thin">
          <color indexed="64"/>
        </top>
      </border>
    </ndxf>
  </rcc>
  <rfmt sheetId="7" sqref="Z18" start="0" length="0">
    <dxf>
      <alignment wrapText="1" readingOrder="0"/>
      <border outline="0">
        <top style="thin">
          <color indexed="64"/>
        </top>
      </border>
    </dxf>
  </rfmt>
  <rfmt sheetId="7" sqref="AA18" start="0" length="0">
    <dxf>
      <border outline="0">
        <left/>
        <right/>
        <bottom/>
      </border>
    </dxf>
  </rfmt>
  <rfmt sheetId="7" sqref="AB18" start="0" length="0">
    <dxf>
      <border outline="0">
        <left/>
        <right/>
        <bottom/>
      </border>
    </dxf>
  </rfmt>
  <rcc rId="20035" sId="7" odxf="1" dxf="1">
    <nc r="AC18" t="inlineStr">
      <is>
        <t xml:space="preserve">ACOMPANHAMENTO DA LIMPESA DAS ESTANTES E CAIXAS DO BLOCO ACONFERÊNCIA DE 03 CAIXAS SNAS/DNIT </t>
      </is>
    </nc>
    <odxf>
      <border outline="0">
        <left style="thin">
          <color auto="1"/>
        </left>
        <right style="thin">
          <color auto="1"/>
        </right>
        <bottom style="thin">
          <color auto="1"/>
        </bottom>
      </border>
    </odxf>
    <ndxf>
      <border outline="0">
        <left/>
        <right/>
        <bottom/>
      </border>
    </ndxf>
  </rcc>
  <rcc rId="20036" sId="7" odxf="1" dxf="1">
    <nc r="AD18" t="inlineStr">
      <is>
        <t xml:space="preserve">ACOMPANHAMENTO DA LIMPESA DAS ESTANTES E CAIXAS DO BLOCO ACONFERÊNCIA DE 03 CAIXAS SNAS/DNIT </t>
      </is>
    </nc>
    <odxf>
      <border outline="0">
        <left style="thin">
          <color auto="1"/>
        </left>
        <right style="thin">
          <color auto="1"/>
        </right>
        <bottom style="thin">
          <color auto="1"/>
        </bottom>
      </border>
    </odxf>
    <ndxf>
      <border outline="0">
        <left/>
        <right/>
        <bottom/>
      </border>
    </ndxf>
  </rcc>
  <rcc rId="20037" sId="7" odxf="1" dxf="1">
    <nc r="AE18" t="inlineStr">
      <is>
        <t xml:space="preserve">ACOMPANHAMENTO DA LIMPESA DAS ESTANTES E CAIXAS DO BLOCO ACONFERÊNCIA DE 03 CAIXAS SNAS/DNIT </t>
      </is>
    </nc>
    <odxf>
      <border outline="0">
        <top/>
      </border>
    </odxf>
    <ndxf>
      <border outline="0">
        <top style="thin">
          <color indexed="64"/>
        </top>
      </border>
    </ndxf>
  </rcc>
  <rfmt sheetId="7" sqref="AF18" start="0" length="0">
    <dxf>
      <alignment wrapText="1" readingOrder="0"/>
      <border outline="0">
        <top style="thin">
          <color indexed="64"/>
        </top>
      </border>
    </dxf>
  </rfmt>
  <rcc rId="20038" sId="7">
    <nc r="V18" t="inlineStr">
      <is>
        <t xml:space="preserve">ACOMPANHAMENTO DA LIMPESA DAS ESTANTES E CAIXAS DO BLOCO ACONFERÊNCIA DE 04 CAIXAS SNAS/DNIT </t>
      </is>
    </nc>
  </rcc>
  <rcc rId="20039" sId="7">
    <nc r="X18" t="inlineStr">
      <is>
        <t xml:space="preserve">ACOMPANHAMENTO DA LIMPESA DAS ESTANTES E CAIXAS DO BLOCO ACONFERÊNCIA DE 02 CAIXAS SNAS/DNIT </t>
      </is>
    </nc>
  </rcc>
  <rcc rId="20040" sId="7">
    <nc r="U17">
      <v>10</v>
    </nc>
  </rcc>
  <rcc rId="20041" sId="7">
    <nc r="W17">
      <v>5</v>
    </nc>
  </rcc>
  <rcc rId="20042" sId="7">
    <nc r="U16">
      <v>3</v>
    </nc>
  </rcc>
  <rcc rId="20043" sId="7">
    <nc r="V16">
      <v>4</v>
    </nc>
  </rcc>
  <rcc rId="20044" sId="7">
    <nc r="W16">
      <v>3</v>
    </nc>
  </rcc>
  <rcc rId="20045" sId="7">
    <nc r="X16">
      <v>2</v>
    </nc>
  </rcc>
  <rcc rId="20046" sId="7">
    <nc r="Y16">
      <v>3</v>
    </nc>
  </rcc>
  <rcc rId="20047" sId="7">
    <nc r="AA17">
      <v>5</v>
    </nc>
  </rcc>
  <rcc rId="20048" sId="7">
    <nc r="AB17">
      <v>7</v>
    </nc>
  </rcc>
  <rcc rId="20049" sId="7">
    <nc r="AC17">
      <v>3</v>
    </nc>
  </rcc>
  <rcc rId="20050" sId="7">
    <nc r="AD17">
      <v>3</v>
    </nc>
  </rcc>
  <rcc rId="20051" sId="7">
    <nc r="AA16">
      <v>2</v>
    </nc>
  </rcc>
  <rcc rId="20052" sId="7">
    <nc r="AB16">
      <v>4</v>
    </nc>
  </rcc>
  <rcc rId="20053" sId="7">
    <nc r="AC16">
      <v>3</v>
    </nc>
  </rcc>
  <rcc rId="20054" sId="7">
    <nc r="AD16">
      <v>3</v>
    </nc>
  </rcc>
  <rcc rId="20055" sId="7">
    <nc r="AE16">
      <v>3</v>
    </nc>
  </rcc>
  <rcc rId="20056" sId="7">
    <nc r="AA18" t="inlineStr">
      <is>
        <t xml:space="preserve">ACOMPANHAMENTO DA LIMPESA DAS ESTANTES E CAIXAS DO BLOCO ACONFERÊNCIA DE 02 CAIXAS SNAS/DNIT </t>
      </is>
    </nc>
  </rcc>
  <rcc rId="20057" sId="7">
    <nc r="AB18" t="inlineStr">
      <is>
        <t xml:space="preserve">ACOMPANHAMENTO DA LIMPESA DAS ESTANTES E CAIXAS DO BLOCO ACONFERÊNCIA DE 04 CAIXAS SNAS/DNIT </t>
      </is>
    </nc>
  </rcc>
  <rcv guid="{B3CDE377-BA5D-4E06-91D9-3A48E1959BA5}" action="delete"/>
  <rdn rId="0" localSheetId="1" customView="1" name="Z_B3CDE377_BA5D_4E06_91D9_3A48E1959BA5_.wvu.FilterData" hidden="1" oldHidden="1">
    <formula>Patrícia!$A$1:$A$5</formula>
    <oldFormula>Patrícia!$A$1:$A$5</oldFormula>
  </rdn>
  <rdn rId="0" localSheetId="2" customView="1" name="Z_B3CDE377_BA5D_4E06_91D9_3A48E1959BA5_.wvu.FilterData" hidden="1" oldHidden="1">
    <formula>Leonardo!$A$1:$A$5</formula>
    <oldFormula>Leonardo!$A$1:$A$5</oldFormula>
  </rdn>
  <rdn rId="0" localSheetId="3" customView="1" name="Z_B3CDE377_BA5D_4E06_91D9_3A48E1959BA5_.wvu.FilterData" hidden="1" oldHidden="1">
    <formula>TOTAL!$A$1:$A$19</formula>
    <oldFormula>TOTAL!$A$1:$J$19</oldFormula>
  </rdn>
  <rdn rId="0" localSheetId="4" customView="1" name="Z_B3CDE377_BA5D_4E06_91D9_3A48E1959BA5_.wvu.FilterData" hidden="1" oldHidden="1">
    <formula>Diego!$A$1:$A$20</formula>
    <oldFormula>Diego!$A$1:$A$20</oldFormula>
  </rdn>
  <rdn rId="0" localSheetId="5" customView="1" name="Z_B3CDE377_BA5D_4E06_91D9_3A48E1959BA5_.wvu.FilterData" hidden="1" oldHidden="1">
    <formula>Aelton!$A$1:$A$19</formula>
    <oldFormula>Aelton!$A$1:$A$19</oldFormula>
  </rdn>
  <rdn rId="0" localSheetId="6" customView="1" name="Z_B3CDE377_BA5D_4E06_91D9_3A48E1959BA5_.wvu.FilterData" hidden="1" oldHidden="1">
    <formula>Leonam!$A$1:$B$19</formula>
    <oldFormula>Leonam!$A$1:$B$19</oldFormula>
  </rdn>
  <rdn rId="0" localSheetId="7" customView="1" name="Z_B3CDE377_BA5D_4E06_91D9_3A48E1959BA5_.wvu.FilterData" hidden="1" oldHidden="1">
    <formula>Danilo!$A$1:$A$19</formula>
    <oldFormula>Danilo!$A$1:$A$19</oldFormula>
  </rdn>
  <rdn rId="0" localSheetId="10" customView="1" name="Z_B3CDE377_BA5D_4E06_91D9_3A48E1959BA5_.wvu.FilterData" hidden="1" oldHidden="1">
    <formula>Alessandro!$A$1:$A$19</formula>
    <oldFormula>Alessandro!$A$1:$A$19</oldFormula>
  </rdn>
  <rdn rId="0" localSheetId="8" customView="1" name="Z_B3CDE377_BA5D_4E06_91D9_3A48E1959BA5_.wvu.FilterData" hidden="1" oldHidden="1">
    <formula>Marcos!$A$1:$A$20</formula>
    <oldFormula>Marcos!$A$1:$A$20</oldFormula>
  </rdn>
  <rdn rId="0" localSheetId="9" customView="1" name="Z_B3CDE377_BA5D_4E06_91D9_3A48E1959BA5_.wvu.FilterData" hidden="1" oldHidden="1">
    <formula>Carlos!$A$1:$A$19</formula>
    <oldFormula>Carlos!$A$1:$A$19</oldFormula>
  </rdn>
  <rcv guid="{B3CDE377-BA5D-4E06-91D9-3A48E1959BA5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68" sId="7" odxf="1" dxf="1">
    <oc r="AD18" t="inlineStr">
      <is>
        <t xml:space="preserve">ACOMPANHAMENTO DA LIMPESA DAS ESTANTES E CAIXAS DO BLOCO ACONFERÊNCIA DE 03 CAIXAS SNAS/DNIT </t>
      </is>
    </oc>
    <nc r="AD18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20069" sId="7" odxf="1" dxf="1">
    <oc r="AE18" t="inlineStr">
      <is>
        <t xml:space="preserve">ACOMPANHAMENTO DA LIMPESA DAS ESTANTES E CAIXAS DO BLOCO ACONFERÊNCIA DE 03 CAIXAS SNAS/DNIT </t>
      </is>
    </oc>
    <nc r="AE18" t="inlineStr">
      <is>
        <t>PONTO FACUTATIVO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fmt sheetId="7" sqref="AD18" start="0" length="0">
    <dxf>
      <border>
        <left style="thin">
          <color indexed="64"/>
        </left>
      </border>
    </dxf>
  </rfmt>
  <rfmt sheetId="7" sqref="AE18" start="0" length="0">
    <dxf>
      <border>
        <right style="thin">
          <color indexed="64"/>
        </right>
      </border>
    </dxf>
  </rfmt>
  <rfmt sheetId="7" sqref="AD18:AE18" start="0" length="0">
    <dxf>
      <border>
        <bottom style="thin">
          <color indexed="64"/>
        </bottom>
      </border>
    </dxf>
  </rfmt>
  <rfmt sheetId="7" sqref="AD18:AE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20070" sId="7">
    <oc r="AD16">
      <v>3</v>
    </oc>
    <nc r="AD16"/>
  </rcc>
  <rcc rId="20071" sId="7">
    <oc r="AE16">
      <v>3</v>
    </oc>
    <nc r="AE16"/>
  </rcc>
  <rcc rId="20072" sId="7">
    <oc r="AD17">
      <v>3</v>
    </oc>
    <nc r="AD17"/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73" sId="7" odxf="1" dxf="1">
    <nc r="X19" t="inlineStr">
      <is>
        <t>108 CAIXAS ARQUIVADAS NA SALA 3.61 E 3.25 DA SNAS/CGCEB</t>
      </is>
    </nc>
    <odxf>
      <alignment wrapText="0" readingOrder="0"/>
      <border outline="0">
        <top/>
      </border>
    </odxf>
    <ndxf>
      <alignment wrapText="1" readingOrder="0"/>
      <border outline="0">
        <top style="thin">
          <color indexed="64"/>
        </top>
      </border>
    </ndxf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74" sId="9" xfDxf="1" dxf="1">
    <nc r="AD2" t="inlineStr">
      <is>
        <t>RECESSO</t>
      </is>
    </nc>
    <ndxf>
      <alignment horizontal="center" vertical="center"/>
    </ndxf>
  </rcc>
  <rcc rId="20075" sId="9" xfDxf="1" dxf="1">
    <nc r="AE2" t="inlineStr">
      <is>
        <t>FERIADO</t>
      </is>
    </nc>
    <ndxf>
      <alignment horizontal="center" vertical="center"/>
    </ndxf>
  </rcc>
  <rcc rId="20076" sId="9" xfDxf="1" dxf="1">
    <nc r="AD3" t="inlineStr">
      <is>
        <t>RECESSO</t>
      </is>
    </nc>
    <ndxf>
      <alignment horizontal="center" vertical="center"/>
    </ndxf>
  </rcc>
  <rcc rId="20077" sId="9" xfDxf="1" dxf="1">
    <nc r="AE3" t="inlineStr">
      <is>
        <t>FERIADO</t>
      </is>
    </nc>
    <ndxf>
      <alignment horizontal="center" vertical="center"/>
    </ndxf>
  </rcc>
  <rcc rId="20078" sId="9" xfDxf="1" dxf="1">
    <nc r="AD4" t="inlineStr">
      <is>
        <t>RECESSO</t>
      </is>
    </nc>
    <ndxf>
      <alignment horizontal="center" vertical="center"/>
    </ndxf>
  </rcc>
  <rcc rId="20079" sId="9" xfDxf="1" dxf="1">
    <nc r="AE4" t="inlineStr">
      <is>
        <t>FERIADO</t>
      </is>
    </nc>
    <ndxf>
      <alignment horizontal="center" vertical="center"/>
    </ndxf>
  </rcc>
  <rcc rId="20080" sId="9" xfDxf="1" dxf="1">
    <nc r="AD5" t="inlineStr">
      <is>
        <t>RECESSO</t>
      </is>
    </nc>
    <ndxf>
      <alignment horizontal="center" vertical="center"/>
    </ndxf>
  </rcc>
  <rcc rId="20081" sId="9" xfDxf="1" dxf="1">
    <nc r="AE5" t="inlineStr">
      <is>
        <t>FERIADO</t>
      </is>
    </nc>
    <ndxf>
      <alignment horizontal="center" vertical="center"/>
    </ndxf>
  </rcc>
  <rcc rId="20082" sId="9" xfDxf="1" dxf="1">
    <nc r="AD6" t="inlineStr">
      <is>
        <t>RECESSO</t>
      </is>
    </nc>
    <ndxf>
      <alignment horizontal="center" vertical="center"/>
    </ndxf>
  </rcc>
  <rcc rId="20083" sId="9" xfDxf="1" dxf="1">
    <nc r="AE6" t="inlineStr">
      <is>
        <t>FERIADO</t>
      </is>
    </nc>
    <ndxf>
      <alignment horizontal="center" vertical="center"/>
    </ndxf>
  </rcc>
  <rcc rId="20084" sId="9" xfDxf="1" dxf="1">
    <nc r="AD7" t="inlineStr">
      <is>
        <t>RECESSO</t>
      </is>
    </nc>
    <ndxf>
      <alignment horizontal="center" vertical="center"/>
    </ndxf>
  </rcc>
  <rcc rId="20085" sId="9" xfDxf="1" dxf="1">
    <nc r="AE7" t="inlineStr">
      <is>
        <t>FERIADO</t>
      </is>
    </nc>
    <ndxf>
      <alignment horizontal="center" vertical="center"/>
    </ndxf>
  </rcc>
  <rcc rId="20086" sId="9" xfDxf="1" dxf="1">
    <nc r="AD8" t="inlineStr">
      <is>
        <t>RECESSO</t>
      </is>
    </nc>
    <ndxf>
      <alignment horizontal="center" vertical="center"/>
    </ndxf>
  </rcc>
  <rcc rId="20087" sId="9" xfDxf="1" dxf="1">
    <nc r="AE8" t="inlineStr">
      <is>
        <t>FERIADO</t>
      </is>
    </nc>
    <ndxf>
      <alignment horizontal="center" vertical="center"/>
    </ndxf>
  </rcc>
  <rcc rId="20088" sId="9" xfDxf="1" dxf="1">
    <nc r="AD9" t="inlineStr">
      <is>
        <t>RECESSO</t>
      </is>
    </nc>
    <ndxf>
      <alignment horizontal="center" vertical="center"/>
    </ndxf>
  </rcc>
  <rcc rId="20089" sId="9" xfDxf="1" dxf="1">
    <nc r="AE9" t="inlineStr">
      <is>
        <t>FERIADO</t>
      </is>
    </nc>
    <ndxf>
      <alignment horizontal="center" vertical="center"/>
    </ndxf>
  </rcc>
  <rcc rId="20090" sId="9" xfDxf="1" dxf="1">
    <nc r="AD10" t="inlineStr">
      <is>
        <t>RECESSO</t>
      </is>
    </nc>
    <ndxf>
      <alignment horizontal="center" vertical="center"/>
    </ndxf>
  </rcc>
  <rcc rId="20091" sId="9" xfDxf="1" dxf="1">
    <nc r="AE10" t="inlineStr">
      <is>
        <t>FERIADO</t>
      </is>
    </nc>
    <ndxf>
      <alignment horizontal="center" vertical="center"/>
    </ndxf>
  </rcc>
  <rcc rId="20092" sId="9" xfDxf="1" dxf="1">
    <nc r="AD11" t="inlineStr">
      <is>
        <t>RECESSO</t>
      </is>
    </nc>
    <ndxf>
      <alignment horizontal="center" vertical="center"/>
    </ndxf>
  </rcc>
  <rcc rId="20093" sId="9" xfDxf="1" dxf="1">
    <nc r="AE11" t="inlineStr">
      <is>
        <t>FERIADO</t>
      </is>
    </nc>
    <ndxf>
      <alignment horizontal="center" vertical="center"/>
    </ndxf>
  </rcc>
  <rcc rId="20094" sId="9" xfDxf="1" dxf="1">
    <nc r="AD12" t="inlineStr">
      <is>
        <t>RECESSO</t>
      </is>
    </nc>
    <ndxf>
      <alignment horizontal="center" vertical="center"/>
    </ndxf>
  </rcc>
  <rcc rId="20095" sId="9" xfDxf="1" dxf="1">
    <nc r="AE12" t="inlineStr">
      <is>
        <t>FERIADO</t>
      </is>
    </nc>
    <ndxf>
      <alignment horizontal="center" vertical="center"/>
    </ndxf>
  </rcc>
  <rcc rId="20096" sId="9" xfDxf="1" dxf="1">
    <nc r="AD13" t="inlineStr">
      <is>
        <t>RECESSO</t>
      </is>
    </nc>
    <ndxf>
      <alignment horizontal="center" vertical="center"/>
    </ndxf>
  </rcc>
  <rcc rId="20097" sId="9" xfDxf="1" dxf="1">
    <nc r="AE13" t="inlineStr">
      <is>
        <t>FERIADO</t>
      </is>
    </nc>
    <ndxf>
      <alignment horizontal="center" vertical="center"/>
    </ndxf>
  </rcc>
  <rcc rId="20098" sId="9" xfDxf="1" dxf="1">
    <nc r="AD14" t="inlineStr">
      <is>
        <t>RECESSO</t>
      </is>
    </nc>
    <ndxf>
      <alignment horizontal="center" vertical="center"/>
    </ndxf>
  </rcc>
  <rcc rId="20099" sId="9" xfDxf="1" dxf="1">
    <nc r="AE14" t="inlineStr">
      <is>
        <t>FERIADO</t>
      </is>
    </nc>
    <ndxf>
      <alignment horizontal="center" vertical="center"/>
    </ndxf>
  </rcc>
  <rcc rId="20100" sId="9" xfDxf="1" dxf="1">
    <nc r="AD15" t="inlineStr">
      <is>
        <t>RECESSO</t>
      </is>
    </nc>
    <ndxf>
      <alignment horizontal="center" vertical="center"/>
    </ndxf>
  </rcc>
  <rcc rId="20101" sId="9" xfDxf="1" dxf="1">
    <nc r="AE15" t="inlineStr">
      <is>
        <t>FERIADO</t>
      </is>
    </nc>
    <ndxf>
      <alignment horizontal="center" vertical="center"/>
    </ndxf>
  </rcc>
  <rcc rId="20102" sId="9" xfDxf="1" dxf="1">
    <nc r="AD16" t="inlineStr">
      <is>
        <t>RECESSO</t>
      </is>
    </nc>
    <ndxf>
      <alignment horizontal="center" vertical="center"/>
    </ndxf>
  </rcc>
  <rcc rId="20103" sId="9" xfDxf="1" dxf="1">
    <nc r="AE16" t="inlineStr">
      <is>
        <t>FERIADO</t>
      </is>
    </nc>
    <ndxf>
      <alignment horizontal="center" vertical="center"/>
    </ndxf>
  </rcc>
  <rcc rId="20104" sId="9" xfDxf="1" dxf="1">
    <nc r="AD17" t="inlineStr">
      <is>
        <t>RECESSO</t>
      </is>
    </nc>
    <ndxf>
      <alignment horizontal="center" vertical="center"/>
      <border outline="0">
        <bottom style="thin">
          <color indexed="64"/>
        </bottom>
      </border>
    </ndxf>
  </rcc>
  <rcc rId="20105" sId="9" xfDxf="1" dxf="1">
    <nc r="AE17" t="inlineStr">
      <is>
        <t>FERIADO</t>
      </is>
    </nc>
    <ndxf>
      <alignment horizontal="center" vertical="center"/>
      <border outline="0">
        <bottom style="thin">
          <color indexed="64"/>
        </bottom>
      </border>
    </ndxf>
  </rcc>
  <rfmt sheetId="9" sqref="AD2:AE17" start="0" length="2147483647">
    <dxf>
      <font>
        <b/>
      </font>
    </dxf>
  </rfmt>
  <rcc rId="20106" sId="10" odxf="1" dxf="1">
    <nc r="AD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07" sId="10" odxf="1" dxf="1">
    <nc r="AE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08" sId="10" odxf="1" dxf="1">
    <nc r="AD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09" sId="10" odxf="1" dxf="1">
    <nc r="AE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10" sId="10" odxf="1" dxf="1">
    <nc r="AD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11" sId="10" odxf="1" dxf="1">
    <nc r="AE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12" sId="10" odxf="1" dxf="1">
    <nc r="AD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13" sId="10" odxf="1" dxf="1">
    <nc r="AE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14" sId="10" odxf="1" dxf="1">
    <nc r="AD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15" sId="10" odxf="1" dxf="1">
    <nc r="AE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16" sId="10" odxf="1" dxf="1">
    <nc r="AD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17" sId="10" odxf="1" dxf="1">
    <nc r="AE7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18" sId="10" odxf="1" dxf="1">
    <nc r="AD8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19" sId="10" odxf="1" dxf="1">
    <nc r="AE8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20" sId="10" odxf="1" dxf="1">
    <nc r="AD9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21" sId="10" odxf="1" dxf="1">
    <nc r="AE9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22" sId="10" odxf="1" dxf="1">
    <nc r="AD10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23" sId="10" odxf="1" dxf="1">
    <nc r="AE10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24" sId="10" odxf="1" dxf="1">
    <nc r="AD11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25" sId="10" odxf="1" dxf="1">
    <nc r="AE11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26" sId="10" odxf="1" dxf="1">
    <nc r="AD1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27" sId="10" odxf="1" dxf="1">
    <nc r="AE1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28" sId="10" odxf="1" dxf="1">
    <nc r="AD1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29" sId="10" odxf="1" dxf="1">
    <nc r="AE1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30" sId="10" odxf="1" dxf="1">
    <nc r="AD1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31" sId="10" odxf="1" dxf="1">
    <nc r="AE1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32" sId="10" odxf="1" dxf="1">
    <nc r="AD1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33" sId="10" odxf="1" dxf="1">
    <nc r="AE1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34" sId="10" odxf="1" dxf="1">
    <nc r="AD1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35" sId="10" odxf="1" dxf="1">
    <nc r="AE1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36" sId="10" odxf="1" dxf="1">
    <nc r="AD1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37" sId="10" odxf="1" dxf="1">
    <nc r="AE17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38" sId="4" odxf="1" dxf="1">
    <nc r="AD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39" sId="4" odxf="1" dxf="1">
    <nc r="AE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40" sId="4" odxf="1" dxf="1">
    <nc r="AD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41" sId="4" odxf="1" dxf="1">
    <nc r="AE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42" sId="4" odxf="1" dxf="1">
    <nc r="AD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43" sId="4" odxf="1" dxf="1">
    <nc r="AE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44" sId="4" odxf="1" dxf="1">
    <nc r="AD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45" sId="4" odxf="1" dxf="1">
    <nc r="AE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46" sId="4" odxf="1" dxf="1">
    <nc r="AD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47" sId="4" odxf="1" dxf="1">
    <nc r="AE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48" sId="4" odxf="1" dxf="1">
    <nc r="AD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49" sId="4" odxf="1" dxf="1">
    <nc r="AE7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50" sId="4" odxf="1" dxf="1">
    <nc r="AD8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51" sId="4" odxf="1" dxf="1">
    <nc r="AE8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52" sId="4" odxf="1" dxf="1">
    <nc r="AD9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53" sId="4" odxf="1" dxf="1">
    <nc r="AE9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54" sId="4" odxf="1" dxf="1">
    <nc r="AD10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55" sId="4" odxf="1" dxf="1">
    <nc r="AE10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56" sId="4" odxf="1" dxf="1">
    <nc r="AD11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57" sId="4" odxf="1" dxf="1">
    <nc r="AE11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58" sId="4" odxf="1" dxf="1">
    <nc r="AD1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59" sId="4" odxf="1" dxf="1">
    <nc r="AE1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60" sId="4" odxf="1" dxf="1">
    <nc r="AD1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61" sId="4" odxf="1" dxf="1">
    <nc r="AE1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62" sId="4" odxf="1" dxf="1">
    <nc r="AD1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63" sId="4" odxf="1" dxf="1">
    <nc r="AE1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64" sId="4" odxf="1" dxf="1">
    <nc r="AD1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65" sId="4" odxf="1" dxf="1">
    <nc r="AE1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66" sId="4" odxf="1" dxf="1">
    <nc r="AD1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67" sId="4" odxf="1" dxf="1">
    <nc r="AE1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68" sId="4" odxf="1" dxf="1">
    <nc r="AD17" t="inlineStr">
      <is>
        <t>RECESSO</t>
      </is>
    </nc>
    <odxf>
      <font>
        <b val="0"/>
        <sz val="11"/>
        <color theme="1"/>
        <name val="Aptos Narrow"/>
        <family val="2"/>
        <scheme val="minor"/>
      </font>
      <border outline="0">
        <bottom/>
      </border>
    </odxf>
    <ndxf>
      <font>
        <b/>
        <sz val="11"/>
        <color theme="1"/>
        <name val="Aptos Narrow"/>
        <family val="2"/>
        <scheme val="minor"/>
      </font>
      <border outline="0">
        <bottom style="thin">
          <color indexed="64"/>
        </bottom>
      </border>
    </ndxf>
  </rcc>
  <rcc rId="20169" sId="4" odxf="1" dxf="1">
    <nc r="AE17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border outline="0">
        <bottom/>
      </border>
    </odxf>
    <ndxf>
      <font>
        <b/>
        <sz val="11"/>
        <color theme="1"/>
        <name val="Aptos Narrow"/>
        <family val="2"/>
        <scheme val="minor"/>
      </font>
      <border outline="0">
        <bottom style="thin">
          <color indexed="64"/>
        </bottom>
      </border>
    </ndxf>
  </rcc>
  <rcc rId="20170" sId="6" odxf="1" dxf="1">
    <nc r="AD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71" sId="6" odxf="1" dxf="1">
    <nc r="AE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72" sId="6" odxf="1" dxf="1">
    <nc r="AD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73" sId="6" odxf="1" dxf="1">
    <nc r="AE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74" sId="6" odxf="1" dxf="1">
    <nc r="AD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75" sId="6" odxf="1" dxf="1">
    <nc r="AE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76" sId="6" odxf="1" dxf="1">
    <nc r="AD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77" sId="6" odxf="1" dxf="1">
    <nc r="AE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78" sId="6" odxf="1" dxf="1">
    <nc r="AD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79" sId="6" odxf="1" dxf="1">
    <nc r="AE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80" sId="6" odxf="1" dxf="1">
    <nc r="AD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81" sId="6" odxf="1" dxf="1">
    <nc r="AE7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82" sId="6" odxf="1" dxf="1">
    <nc r="AD8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83" sId="6" odxf="1" dxf="1">
    <nc r="AE8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84" sId="6" odxf="1" dxf="1">
    <nc r="AD9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85" sId="6" odxf="1" dxf="1">
    <nc r="AE9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86" sId="6" odxf="1" dxf="1">
    <nc r="AD10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87" sId="6" odxf="1" dxf="1">
    <nc r="AE10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88" sId="6" odxf="1" dxf="1">
    <nc r="AD11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89" sId="6" odxf="1" dxf="1">
    <nc r="AE11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90" sId="6" odxf="1" dxf="1">
    <nc r="AD1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91" sId="6" odxf="1" dxf="1">
    <nc r="AE1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92" sId="6" odxf="1" dxf="1">
    <nc r="AD1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93" sId="6" odxf="1" dxf="1">
    <nc r="AE1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94" sId="6" odxf="1" dxf="1">
    <nc r="AD1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95" sId="6" odxf="1" dxf="1">
    <nc r="AE1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96" sId="6" odxf="1" dxf="1">
    <nc r="AD1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97" sId="6" odxf="1" dxf="1">
    <nc r="AE1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98" sId="6" odxf="1" dxf="1">
    <nc r="AD1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199" sId="6" odxf="1" dxf="1">
    <nc r="AE1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200" sId="6" odxf="1" dxf="1">
    <nc r="AD1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201" sId="6" odxf="1" dxf="1">
    <nc r="AE17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20202" sId="10">
    <nc r="AA12">
      <v>50</v>
    </nc>
  </rcc>
  <rcc rId="20203" sId="10">
    <nc r="AA11">
      <v>7</v>
    </nc>
  </rcc>
  <rcc rId="20204" sId="10">
    <nc r="AB11">
      <v>4</v>
    </nc>
  </rcc>
  <rcc rId="20205" sId="10">
    <nc r="AB12">
      <v>21</v>
    </nc>
  </rcc>
  <rcc rId="20206" sId="10">
    <nc r="AC12">
      <v>52</v>
    </nc>
  </rcc>
  <rcc rId="20207" sId="10" odxf="1" dxf="1">
    <nc r="AC18" t="inlineStr">
      <is>
        <t>Acompanhamento de processo SEI - CPAD</t>
      </is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20208" sId="9">
    <nc r="AA11">
      <v>5</v>
    </nc>
  </rcc>
  <rcc rId="20209" sId="9">
    <nc r="AA12">
      <v>43</v>
    </nc>
  </rcc>
  <rcc rId="20210" sId="9">
    <nc r="AB11">
      <v>4</v>
    </nc>
  </rcc>
  <rcc rId="20211" sId="9">
    <nc r="AB12">
      <v>32</v>
    </nc>
  </rcc>
  <rcc rId="20212" sId="9">
    <nc r="AC12">
      <v>41</v>
    </nc>
  </rcc>
  <rcc rId="20213" sId="3">
    <oc r="G11">
      <f>Diego!AW11+Aelton!AW11+Leonam!AW11+Danilo!AW11+Marcos!AW11+Alessandro!AW11+Carlos!AW11</f>
    </oc>
    <nc r="G11">
      <f>Diego!AF11+Aelton!AF11+Leonam!AF11+Danilo!AF11+Alessandro!AF11+Marcos!AF11+Carlos!AF11</f>
    </nc>
  </rcc>
  <rcc rId="20214" sId="9">
    <nc r="AC11">
      <v>5</v>
    </nc>
  </rcc>
  <rcc rId="20215" sId="10">
    <nc r="AC11">
      <v>6</v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16" sId="8">
    <nc r="AG18" t="inlineStr">
      <is>
        <t>CONFERÊNCIA DAS CAIXAS DO PROTOCOLO MESP</t>
      </is>
    </nc>
  </rcc>
  <rcc rId="20217" sId="8">
    <nc r="AH18" t="inlineStr">
      <is>
        <t>CONFERÊNCIA DAS CAIXAS DO PROTOCOLO MDS</t>
      </is>
    </nc>
  </rcc>
  <rcc rId="20218" sId="8">
    <nc r="AG16">
      <v>3</v>
    </nc>
  </rcc>
  <rcc rId="20219" sId="8">
    <nc r="AH16">
      <v>4</v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30" sId="6">
    <nc r="AG18" t="inlineStr">
      <is>
        <t>Programando o sistema da Diarq</t>
      </is>
    </nc>
  </rcc>
  <rcc rId="20231" sId="6">
    <nc r="AH18" t="inlineStr">
      <is>
        <t>Programando o sistema da Diarq</t>
      </is>
    </nc>
  </rcc>
  <rcc rId="20232" sId="6">
    <nc r="AI18" t="inlineStr">
      <is>
        <t>Programando o sistema da Diarq</t>
      </is>
    </nc>
  </rcc>
  <rcc rId="20233" sId="6">
    <nc r="AJ18" t="inlineStr">
      <is>
        <t>Programando o sistema da Diarq</t>
      </is>
    </nc>
  </rcc>
  <rcc rId="20234" sId="6">
    <nc r="AK18" t="inlineStr">
      <is>
        <t>Programando o sistema da Diarq</t>
      </is>
    </nc>
  </rcc>
  <rcc rId="20235" sId="6">
    <nc r="AI15">
      <v>70</v>
    </nc>
  </rcc>
  <rcc rId="20236" sId="6">
    <nc r="AI16">
      <v>70</v>
    </nc>
  </rcc>
  <rcv guid="{9B623083-AA7B-440B-95EA-C33E1AB3D963}" action="delete"/>
  <rdn rId="0" localSheetId="1" customView="1" name="Z_9B623083_AA7B_440B_95EA_C33E1AB3D963_.wvu.FilterData" hidden="1" oldHidden="1">
    <formula>Patrícia!$A$1:$A$5</formula>
    <oldFormula>Patrícia!$A$1:$A$5</oldFormula>
  </rdn>
  <rdn rId="0" localSheetId="2" customView="1" name="Z_9B623083_AA7B_440B_95EA_C33E1AB3D963_.wvu.FilterData" hidden="1" oldHidden="1">
    <formula>Leonardo!$A$1:$A$5</formula>
    <oldFormula>Leonardo!$A$1:$A$5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Diego!$A$1:$A$20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Leonam!$A$1:$B$19</formula>
    <oldFormula>Leonam!$A$1:$B$19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8" customView="1" name="Z_9B623083_AA7B_440B_95EA_C33E1AB3D963_.wvu.FilterData" hidden="1" oldHidden="1">
    <formula>Marcos!$A$1:$A$20</formula>
    <oldFormula>Marcos!$A$1:$A$20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47" sId="8">
    <nc r="AI18" t="inlineStr">
      <is>
        <t>SEPARAÇÃO DE 70 CAIXAS PARA ENVIO ED. MONTES</t>
      </is>
    </nc>
  </rcc>
  <rcc rId="20248" sId="8">
    <nc r="AI15">
      <v>70</v>
    </nc>
  </rcc>
  <rcc rId="20249" sId="8">
    <nc r="AJ15">
      <v>50</v>
    </nc>
  </rcc>
  <rcc rId="20250" sId="8">
    <nc r="AJ18" t="inlineStr">
      <is>
        <t>RECEBIMENTO DE 50 CAIXAS DO ED. MONTES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TOTAL!$A$1:$A$19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61" sId="8">
    <nc r="AJ16">
      <v>5</v>
    </nc>
  </rcc>
  <rcc rId="20262" sId="8">
    <oc r="AJ18" t="inlineStr">
      <is>
        <t>RECEBIMENTO DE 50 CAIXAS DO ED. MONTES</t>
      </is>
    </oc>
    <nc r="AJ18" t="inlineStr">
      <is>
        <t>RECEBIMENTO DE 50 CAIXAS DO ED. MONTES E CONFERÊNCIA DE 05 CAIXAS DA SNAS VINDAS DO ED. MOTES</t>
      </is>
    </nc>
  </rcc>
  <rcc rId="20263" sId="8">
    <nc r="AK16">
      <v>10</v>
    </nc>
  </rcc>
  <rfmt sheetId="8" xfDxf="1" sqref="AK18" start="0" length="0">
    <dxf>
      <alignment horizontal="center" vertical="center" wrapText="1"/>
      <border outline="0">
        <top style="thin">
          <color indexed="64"/>
        </top>
      </border>
    </dxf>
  </rfmt>
  <rcc rId="20264" sId="8">
    <nc r="AK18" t="inlineStr">
      <is>
        <t>10 CAIXAS DA SNAS VINDAS DO ED. MOTES</t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65" sId="4" odxf="1" dxf="1">
    <nc r="AB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20266" sId="4" odxf="1" dxf="1">
    <nc r="AC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20267" sId="4" odxf="1" dxf="1">
    <nc r="AG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20268" sId="4" odxf="1" dxf="1">
    <nc r="AH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20269" sId="4" odxf="1" dxf="1">
    <nc r="AI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20270" sId="4" odxf="1" dxf="1">
    <nc r="AJ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20271" sId="4" odxf="1" dxf="1">
    <nc r="AK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Leonardo!$A$1:$A$5</formula>
    <oldFormula>Leonardo!$A$1:$A$5</oldFormula>
  </rdn>
  <rdn rId="0" localSheetId="3" customView="1" name="Z_20CB6D8F_C24D_4D4B_A424_AF380F620455_.wvu.FilterData" hidden="1" oldHidden="1">
    <formula>TOTAL!$A$1:$A$19</formula>
    <oldFormula>TOTAL!$A$1:$J$19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82" sId="9">
    <nc r="AG11">
      <v>4</v>
    </nc>
  </rcc>
  <rcc rId="20283" sId="9">
    <nc r="AG12">
      <v>27</v>
    </nc>
  </rcc>
  <rcc rId="20284" sId="9">
    <nc r="AH11">
      <v>7</v>
    </nc>
  </rcc>
  <rcc rId="20285" sId="9">
    <nc r="AH12">
      <v>46</v>
    </nc>
  </rcc>
  <rcc rId="20286" sId="9">
    <nc r="AI11">
      <v>6</v>
    </nc>
  </rcc>
  <rcc rId="20287" sId="9">
    <nc r="AI12">
      <v>39</v>
    </nc>
  </rcc>
  <rcc rId="20288" sId="9">
    <nc r="AJ11">
      <v>6</v>
    </nc>
  </rcc>
  <rcc rId="20289" sId="9">
    <nc r="AJ12">
      <v>31</v>
    </nc>
  </rcc>
  <rcc rId="20290" sId="9">
    <nc r="AK11">
      <v>2</v>
    </nc>
  </rcc>
  <rcc rId="20291" sId="9">
    <nc r="AK12">
      <v>15</v>
    </nc>
  </rcc>
  <rcc rId="20292" sId="10">
    <nc r="AG18" t="inlineStr">
      <is>
        <r>
          <rPr>
            <b/>
            <sz val="11"/>
            <color theme="1"/>
            <rFont val="Aptos Narrow"/>
            <family val="2"/>
          </rPr>
          <t>Alimentação de planilha de controle de atividades (Gustavo)</t>
        </r>
        <r>
          <rPr>
            <sz val="11"/>
            <color theme="1"/>
            <rFont val="Aptos Narrow"/>
            <family val="2"/>
          </rPr>
          <t xml:space="preserve">
Acompanhamento de processo SEI - CPAD</t>
        </r>
      </is>
    </nc>
  </rcc>
  <rcc rId="20293" sId="10" odxf="1" dxf="1">
    <nc r="AH18" t="inlineStr">
      <is>
        <t>Acompanhamento de processo SEI - CPAD</t>
      </is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fmt sheetId="10" sqref="AJ18" start="0" length="0">
    <dxf>
      <font>
        <b val="0"/>
        <sz val="11"/>
        <color theme="1"/>
        <name val="Aptos Narrow"/>
        <family val="2"/>
        <scheme val="minor"/>
      </font>
    </dxf>
  </rfmt>
  <rfmt sheetId="10" sqref="AK18" start="0" length="0">
    <dxf>
      <font>
        <b val="0"/>
        <sz val="11"/>
        <color theme="1"/>
        <name val="Aptos Narrow"/>
        <family val="2"/>
        <scheme val="minor"/>
      </font>
    </dxf>
  </rfmt>
  <rcc rId="20294" sId="10">
    <nc r="AG13">
      <v>1</v>
    </nc>
  </rcc>
  <rcc rId="20295" sId="10">
    <nc r="AI13">
      <v>1</v>
    </nc>
  </rcc>
  <rcc rId="20296" sId="10">
    <nc r="AG11">
      <v>4</v>
    </nc>
  </rcc>
  <rcc rId="20297" sId="10">
    <nc r="AG12">
      <v>33</v>
    </nc>
  </rcc>
  <rcc rId="20298" sId="10">
    <nc r="AH11">
      <v>5</v>
    </nc>
  </rcc>
  <rcc rId="20299" sId="10">
    <nc r="AH12">
      <v>44</v>
    </nc>
  </rcc>
  <rcc rId="20300" sId="10">
    <nc r="AI11">
      <v>5</v>
    </nc>
  </rcc>
  <rcc rId="20301" sId="10">
    <nc r="AI12">
      <v>35</v>
    </nc>
  </rcc>
  <rcc rId="20302" sId="10">
    <nc r="AJ11">
      <v>2</v>
    </nc>
  </rcc>
  <rcc rId="20303" sId="10">
    <nc r="AJ12">
      <v>16</v>
    </nc>
  </rcc>
  <rcc rId="20304" sId="10">
    <nc r="AK11">
      <v>3</v>
    </nc>
  </rcc>
  <rcc rId="20305" sId="10">
    <nc r="AK12">
      <v>24</v>
    </nc>
  </rcc>
  <rcc rId="20306" sId="10">
    <nc r="AI18" t="inlineStr">
      <is>
        <r>
          <t xml:space="preserve">Acompanhamento de processo SEI - CPAD
</t>
        </r>
        <r>
          <rPr>
            <b/>
            <sz val="11"/>
            <color theme="1"/>
            <rFont val="Aptos Narrow"/>
            <family val="2"/>
          </rPr>
          <t>Atualização de dados do Sistema CGLA (Pedro)</t>
        </r>
      </is>
    </nc>
  </rcc>
  <rcc rId="20307" sId="10">
    <nc r="AJ18" t="inlineStr">
      <is>
        <r>
          <t xml:space="preserve">Acompanhamento de processo SEI - CPAD
</t>
        </r>
        <r>
          <rPr>
            <b/>
            <sz val="11"/>
            <color theme="1"/>
            <rFont val="Aptos Narrow"/>
            <family val="2"/>
          </rPr>
          <t>Atualização de dados do Sistema CGLA (Pedro)</t>
        </r>
      </is>
    </nc>
  </rcc>
  <rcc rId="20308" sId="10">
    <nc r="AK18" t="inlineStr">
      <is>
        <r>
          <t xml:space="preserve">Acompanhamento de processo SEI - CPAD
</t>
        </r>
        <r>
          <rPr>
            <b/>
            <sz val="11"/>
            <color theme="1"/>
            <rFont val="Aptos Narrow"/>
            <family val="2"/>
          </rPr>
          <t>Atualização de dados do Sistema CGLA (Pedro)</t>
        </r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09" sId="3">
    <oc r="H11">
      <f>Diego!AX11+Aelton!AX11+Leonam!AX11+Danilo!AX11+Marcos!AX11+Alessandro!AX11+Carlos!AX11</f>
    </oc>
    <nc r="H11">
      <f>Diego!AL11+Aelton!AL11+Leonam!AL11+Danilo!AL11+Alessandro!AL11+Marcos!AL11+Carlos!AL11</f>
    </nc>
  </rcc>
  <rcc rId="20310" sId="3">
    <oc r="H12">
      <f>Diego!AL12+Aelton!AL12+Leonam!AL12+Danilo!AL12+Marcos!AL12+Alessandro!AL12+Carlos!AL12</f>
    </oc>
    <nc r="H12">
      <f>Diego!AL12+Aelton!AL12+Leonam!AL12+Danilo!AL12+Alessandro!AL12+Marcos!AL12+Carlos!AL12</f>
    </nc>
  </rcc>
  <rcc rId="20311" sId="3" numFmtId="4">
    <oc r="H15">
      <f>Diego!AL15+Aelton!AL15+Leonam!AL15+Danilo!AL15+Marcos!AL15+Alessandro!AL15</f>
    </oc>
    <nc r="H15">
      <v>120</v>
    </nc>
  </rcc>
  <rcc rId="20312" sId="3" numFmtId="4">
    <oc r="H16">
      <f>Diego!AL16+Aelton!AL16+Leonam!AL16+Danilo!AL16+Marcos!AL16+Alessandro!AL16</f>
    </oc>
    <nc r="H16">
      <v>22</v>
    </nc>
  </rc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23" sId="5" odxf="1" dxf="1">
    <nc r="AG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20324" sId="5" odxf="1" dxf="1">
    <nc r="AH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20325" sId="5" odxf="1" dxf="1">
    <nc r="AI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20326" sId="5" odxf="1" dxf="1">
    <nc r="AJ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20327" sId="5" odxf="1" dxf="1">
    <nc r="AK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38" sId="8">
    <nc r="AM16">
      <v>10</v>
    </nc>
  </rcc>
  <rcc rId="20339" sId="8">
    <nc r="AM15">
      <v>15</v>
    </nc>
  </rcc>
  <rcc rId="20340" sId="8">
    <nc r="AM18" t="inlineStr">
      <is>
        <t>10 CAIXAS DA SNAS VINDAS DO ED. MOTES E 15 CAIXAS ARQUIVADAS DO SNAS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61" sId="4">
    <nc r="AM18" t="inlineStr">
      <is>
        <t>REUNIÃO NO MESP</t>
      </is>
    </nc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Leonardo!$A$1:$A$5</formula>
    <oldFormula>Leonardo!$A$1:$A$5</oldFormula>
  </rdn>
  <rdn rId="0" localSheetId="3" customView="1" name="Z_20CB6D8F_C24D_4D4B_A424_AF380F620455_.wvu.FilterData" hidden="1" oldHidden="1">
    <formula>TOTAL!$A$1:$J$19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72" sId="6">
    <oc r="AI15">
      <v>70</v>
    </oc>
    <nc r="AI15">
      <v>120</v>
    </nc>
  </rcc>
  <rcc rId="20373" sId="6">
    <oc r="AI16">
      <v>70</v>
    </oc>
    <nc r="AI16">
      <v>120</v>
    </nc>
  </rcc>
  <rcc rId="20374" sId="6">
    <nc r="AI3">
      <v>70</v>
    </nc>
  </rcc>
  <rcc rId="20375" sId="6">
    <nc r="AI4">
      <v>50</v>
    </nc>
  </rcc>
  <rcv guid="{9B623083-AA7B-440B-95EA-C33E1AB3D963}" action="delete"/>
  <rdn rId="0" localSheetId="1" customView="1" name="Z_9B623083_AA7B_440B_95EA_C33E1AB3D963_.wvu.FilterData" hidden="1" oldHidden="1">
    <formula>Patrícia!$A$1:$A$5</formula>
    <oldFormula>Patrícia!$A$1:$A$5</oldFormula>
  </rdn>
  <rdn rId="0" localSheetId="2" customView="1" name="Z_9B623083_AA7B_440B_95EA_C33E1AB3D963_.wvu.FilterData" hidden="1" oldHidden="1">
    <formula>Leonardo!$A$1:$A$5</formula>
    <oldFormula>Leonardo!$A$1:$A$5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Diego!$A$1:$A$20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Leonam!$A$1:$B$19</formula>
    <oldFormula>Leonam!$A$1:$B$19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8" customView="1" name="Z_9B623083_AA7B_440B_95EA_C33E1AB3D963_.wvu.FilterData" hidden="1" oldHidden="1">
    <formula>Marcos!$A$1:$A$20</formula>
    <oldFormula>Marcos!$A$1:$A$20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86" sId="6" odxf="1" dxf="1">
    <nc r="AM18" t="inlineStr">
      <is>
        <t>Programando o sistema da Diarq</t>
      </is>
    </nc>
    <odxf>
      <alignment wrapText="0"/>
    </odxf>
    <ndxf>
      <alignment wrapText="1"/>
    </ndxf>
  </rcc>
  <rcc rId="20387" sId="6">
    <nc r="AM19" t="inlineStr">
      <is>
        <t>reunião no bloco A com a Pátricia sobre o MESP</t>
      </is>
    </nc>
  </rcc>
  <rfmt sheetId="6" sqref="AM19">
    <dxf>
      <alignment wrapText="1"/>
    </dxf>
  </rfmt>
  <rcc rId="20388" sId="6" odxf="1" dxf="1">
    <nc r="AN18" t="inlineStr">
      <is>
        <t>Programando o sistema da Diarq</t>
      </is>
    </nc>
    <odxf>
      <alignment wrapText="0"/>
    </odxf>
    <ndxf>
      <alignment wrapText="1"/>
    </ndxf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89" sId="8">
    <nc r="AN16">
      <v>5</v>
    </nc>
  </rcc>
  <rcc rId="20390" sId="8">
    <nc r="AN15">
      <v>25</v>
    </nc>
  </rcc>
  <rcc rId="20391" sId="8">
    <oc r="AM18" t="inlineStr">
      <is>
        <t>10 CAIXAS DA SNAS VINDAS DO ED. MOTES E 15 CAIXAS ARQUIVADAS DO SNAS</t>
      </is>
    </oc>
    <nc r="AM18" t="inlineStr">
      <is>
        <t>10 CAIXAS DA SNAS VINDAS DO ED. MOTES CONFERIDAS E 15 CAIXAS ARQUIVADAS DO SNAS</t>
      </is>
    </nc>
  </rcc>
  <rcc rId="20392" sId="8">
    <nc r="AN18" t="inlineStr">
      <is>
        <t>5 CAIXAS DA SNAS VINDAS DO ED. MOTES CONFERIDAS E 25 CAIXAS ARQUIVADAS DO SNAS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TOTAL!$A$1:$A$19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03" sId="8">
    <nc r="AO18" t="inlineStr">
      <is>
        <t>ARQUIVAMENTO DE 10 CAIXAS SNAS RECEBIDAS ED. MONTES</t>
      </is>
    </nc>
  </rcc>
  <rcc rId="20404" sId="8">
    <nc r="AO15">
      <v>10</v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05" sId="8">
    <nc r="AO14">
      <v>209</v>
    </nc>
  </rcc>
  <rcc rId="20406" sId="8">
    <oc r="AO18" t="inlineStr">
      <is>
        <t>ARQUIVAMENTO DE 10 CAIXAS SNAS RECEBIDAS ED. MONTES</t>
      </is>
    </oc>
    <nc r="AO18" t="inlineStr">
      <is>
        <t>ARQUIVAMENTO DE 10 CAIXAS SNAS RECEBIDAS ED. MONTES, RETIRADA E ARQUIVAMENTO DE 109 CAIXAS DO 2° ANDAR E 100 CAIXAS ENVIADAS PARA 2° ANDAR</t>
      </is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G18" start="0" length="0">
    <dxf>
      <border outline="0">
        <top style="thin">
          <color indexed="64"/>
        </top>
      </border>
    </dxf>
  </rfmt>
  <rfmt sheetId="7" sqref="AH18" start="0" length="0">
    <dxf>
      <border outline="0">
        <top style="thin">
          <color indexed="64"/>
        </top>
      </border>
    </dxf>
  </rfmt>
  <rfmt sheetId="7" sqref="AI18" start="0" length="0">
    <dxf>
      <border outline="0">
        <top style="thin">
          <color indexed="64"/>
        </top>
      </border>
    </dxf>
  </rfmt>
  <rcc rId="20407" sId="7">
    <nc r="AG18" t="inlineStr">
      <is>
        <t>ACOMPANHAMENTO DA LIMPESA DAS ESTANTES E CAIXAS DO BLOCO A</t>
      </is>
    </nc>
  </rcc>
  <rcc rId="20408" sId="7">
    <nc r="AH18" t="inlineStr">
      <is>
        <t>ACOMPANHAMENTO DA LIMPESA DAS ESTANTES E CAIXAS DO BLOCO A</t>
      </is>
    </nc>
  </rcc>
  <rcc rId="20409" sId="7">
    <nc r="AI18" t="inlineStr">
      <is>
        <t>ACOMPANHAMENTO DA LIMPESA DAS ESTANTES E CAIXAS DO BLOCO A</t>
      </is>
    </nc>
  </rcc>
  <rcc rId="20410" sId="7" odxf="1" dxf="1">
    <nc r="AJ18" t="inlineStr">
      <is>
        <t>ACOMPANHAMENTO DA LIMPESA DAS ESTANTES E CAIXAS DO BLOCO A</t>
      </is>
    </nc>
    <odxf>
      <border outline="0">
        <top/>
      </border>
    </odxf>
    <ndxf>
      <border outline="0">
        <top style="thin">
          <color indexed="64"/>
        </top>
      </border>
    </ndxf>
  </rcc>
  <rcc rId="20411" sId="7" odxf="1" dxf="1">
    <nc r="AK18" t="inlineStr">
      <is>
        <t>ACOMPANHAMENTO DA LIMPESA DAS ESTANTES E CAIXAS DO BLOCO A</t>
      </is>
    </nc>
    <odxf>
      <border outline="0">
        <top/>
      </border>
    </odxf>
    <ndxf>
      <border outline="0">
        <top style="thin">
          <color indexed="64"/>
        </top>
      </border>
    </ndxf>
  </rcc>
  <rcc rId="20412" sId="8">
    <oc r="AK18" t="inlineStr">
      <is>
        <t>10 CAIXAS DA SNAS VINDAS DO ED. MOTES</t>
      </is>
    </oc>
    <nc r="AK18" t="inlineStr">
      <is>
        <t>10 CAIXAS DA SNAS VINDAS DO ED. MONTES</t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13" sId="8">
    <oc r="AO18" t="inlineStr">
      <is>
        <t>ARQUIVAMENTO DE 10 CAIXAS SNAS RECEBIDAS ED. MONTES, RETIRADA E ARQUIVAMENTO DE 109 CAIXAS DO 2° ANDAR E 100 CAIXAS ENVIADAS PARA 2° ANDAR</t>
      </is>
    </oc>
    <nc r="AO18" t="inlineStr">
      <is>
        <t>ARQUIVAMENTO DE 10 CAIXAS SNAS RECEBIDAS ED. MONTES, RETIRADA E 100 CAIXAS ENVIADAS PARA 2° ANDAR</t>
      </is>
    </nc>
  </rcc>
  <rfmt sheetId="8" xfDxf="1" sqref="AP18" start="0" length="0">
    <dxf>
      <alignment horizontal="center" vertical="center" wrapText="1"/>
      <border outline="0">
        <top style="thin">
          <color indexed="64"/>
        </top>
      </border>
    </dxf>
  </rfmt>
  <rcc rId="20414" sId="8">
    <nc r="AP14">
      <v>109</v>
    </nc>
  </rcc>
  <rcc rId="20415" sId="8">
    <oc r="AO14">
      <v>209</v>
    </oc>
    <nc r="AO14">
      <v>100</v>
    </nc>
  </rcc>
  <rcc rId="20416" sId="8">
    <nc r="AP16">
      <v>5</v>
    </nc>
  </rcc>
  <rcc rId="20417" sId="8">
    <nc r="AP18" t="inlineStr">
      <is>
        <t>ARQUIVAMENTO DE 109 CAIXAS DO 2° ANDAR E 05 CAIXAS CONFERIDAS DO SNAS/CGCEB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I18" start="0" length="0">
    <dxf>
      <border outline="0">
        <top style="thin">
          <color indexed="64"/>
        </top>
      </border>
    </dxf>
  </rfmt>
  <rfmt sheetId="7" sqref="J18" start="0" length="0">
    <dxf>
      <border outline="0">
        <top style="thin">
          <color indexed="64"/>
        </top>
      </border>
    </dxf>
  </rfmt>
  <rfmt sheetId="7" sqref="K18" start="0" length="0">
    <dxf>
      <border outline="0">
        <top style="thin">
          <color indexed="64"/>
        </top>
      </border>
    </dxf>
  </rfmt>
  <rfmt sheetId="7" sqref="L18" start="0" length="0">
    <dxf>
      <border outline="0">
        <top style="thin">
          <color indexed="64"/>
        </top>
      </border>
    </dxf>
  </rfmt>
  <rfmt sheetId="7" sqref="M18" start="0" length="0">
    <dxf>
      <border outline="0">
        <top style="thin">
          <color indexed="64"/>
        </top>
      </border>
    </dxf>
  </rfmt>
  <rcc rId="19626" sId="7">
    <nc r="I18" t="inlineStr">
      <is>
        <t>ACOMPANHAMENTO DA LIMPEZA DAS ESTANTES E CAIXAS DO BLOCO A E CONFERÊNCIA DE 03 CAIXAS SNAS/DNIT</t>
      </is>
    </nc>
  </rcc>
  <rcc rId="19627" sId="7">
    <nc r="J18" t="inlineStr">
      <is>
        <t>ACOMPANHAMENTO DA LIMPEZA DAS ESTANTES E CAIXAS DO BLOCO A E CONFERÊNCIA DE 03 CAIXAS SNAS/DNIT</t>
      </is>
    </nc>
  </rcc>
  <rcc rId="19628" sId="7">
    <nc r="K18" t="inlineStr">
      <is>
        <t xml:space="preserve">ACOMPANHAMENTO DA LIMPESA DAS ESTANTES E CAIXAS DO BLOCO ACONFERÊNCIA DE 03 CAIXAS SNAS/DNIT </t>
      </is>
    </nc>
  </rcc>
  <rcc rId="19629" sId="7">
    <nc r="L18" t="inlineStr">
      <is>
        <t xml:space="preserve">ACOMPANHAMENTO DA LIMPESA DAS ESTANTES E CAIXAS DO BLOCO ACONFERÊNCIA DE 03 CAIXAS SNAS/DNIT </t>
      </is>
    </nc>
  </rcc>
  <rcc rId="19630" sId="7">
    <nc r="M18" t="inlineStr">
      <is>
        <t xml:space="preserve">ACOMPANHAMENTO DA LIMPESA DAS ESTANTES E CAIXAS DO BLOCO ACONFERÊNCIA DE 03 CAIXAS SNAS/DNIT </t>
      </is>
    </nc>
  </rcc>
  <rcc rId="19631" sId="7">
    <nc r="I16">
      <v>3</v>
    </nc>
  </rcc>
  <rcc rId="19632" sId="7">
    <nc r="J16">
      <v>3</v>
    </nc>
  </rcc>
  <rcc rId="19633" sId="7">
    <nc r="K16">
      <v>3</v>
    </nc>
  </rcc>
  <rcc rId="19634" sId="7">
    <nc r="L16">
      <v>3</v>
    </nc>
  </rcc>
  <rcc rId="19635" sId="7">
    <nc r="M16">
      <v>3</v>
    </nc>
  </rcc>
  <rcv guid="{B3CDE377-BA5D-4E06-91D9-3A48E1959BA5}" action="delete"/>
  <rdn rId="0" localSheetId="1" customView="1" name="Z_B3CDE377_BA5D_4E06_91D9_3A48E1959BA5_.wvu.FilterData" hidden="1" oldHidden="1">
    <formula>Patrícia!$A$1:$A$5</formula>
    <oldFormula>Patrícia!$A$1:$A$5</oldFormula>
  </rdn>
  <rdn rId="0" localSheetId="2" customView="1" name="Z_B3CDE377_BA5D_4E06_91D9_3A48E1959BA5_.wvu.FilterData" hidden="1" oldHidden="1">
    <formula>Leonardo!$A$1:$A$5</formula>
    <oldFormula>Leonardo!$A$1:$A$5</oldFormula>
  </rdn>
  <rdn rId="0" localSheetId="3" customView="1" name="Z_B3CDE377_BA5D_4E06_91D9_3A48E1959BA5_.wvu.FilterData" hidden="1" oldHidden="1">
    <formula>TOTAL!$A$1:$J$19</formula>
    <oldFormula>TOTAL!$A$1:$J$19</oldFormula>
  </rdn>
  <rdn rId="0" localSheetId="4" customView="1" name="Z_B3CDE377_BA5D_4E06_91D9_3A48E1959BA5_.wvu.FilterData" hidden="1" oldHidden="1">
    <formula>Diego!$A$1:$A$20</formula>
    <oldFormula>Diego!$A$1:$A$20</oldFormula>
  </rdn>
  <rdn rId="0" localSheetId="5" customView="1" name="Z_B3CDE377_BA5D_4E06_91D9_3A48E1959BA5_.wvu.FilterData" hidden="1" oldHidden="1">
    <formula>Aelton!$A$1:$A$19</formula>
    <oldFormula>Aelton!$A$1:$A$19</oldFormula>
  </rdn>
  <rdn rId="0" localSheetId="6" customView="1" name="Z_B3CDE377_BA5D_4E06_91D9_3A48E1959BA5_.wvu.FilterData" hidden="1" oldHidden="1">
    <formula>Leonam!$A$1:$B$19</formula>
    <oldFormula>Leonam!$A$1:$B$19</oldFormula>
  </rdn>
  <rdn rId="0" localSheetId="7" customView="1" name="Z_B3CDE377_BA5D_4E06_91D9_3A48E1959BA5_.wvu.FilterData" hidden="1" oldHidden="1">
    <formula>Danilo!$A$1:$A$19</formula>
    <oldFormula>Danilo!$A$1:$A$19</oldFormula>
  </rdn>
  <rdn rId="0" localSheetId="10" customView="1" name="Z_B3CDE377_BA5D_4E06_91D9_3A48E1959BA5_.wvu.FilterData" hidden="1" oldHidden="1">
    <formula>Alessandro!$A$1:$A$19</formula>
    <oldFormula>Alessandro!$A$1:$A$19</oldFormula>
  </rdn>
  <rdn rId="0" localSheetId="8" customView="1" name="Z_B3CDE377_BA5D_4E06_91D9_3A48E1959BA5_.wvu.FilterData" hidden="1" oldHidden="1">
    <formula>Marcos!$A$1:$A$20</formula>
    <oldFormula>Marcos!$A$1:$A$20</oldFormula>
  </rdn>
  <rdn rId="0" localSheetId="9" customView="1" name="Z_B3CDE377_BA5D_4E06_91D9_3A48E1959BA5_.wvu.FilterData" hidden="1" oldHidden="1">
    <formula>Carlos!$A$1:$A$19</formula>
    <oldFormula>Carlos!$A$1:$A$19</oldFormula>
  </rdn>
  <rcv guid="{B3CDE377-BA5D-4E06-91D9-3A48E1959BA5}" action="add"/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L5" start="0" length="0">
    <dxf>
      <font>
        <b val="0"/>
        <sz val="11"/>
        <color theme="1"/>
        <name val="Aptos Narrow"/>
        <scheme val="minor"/>
      </font>
    </dxf>
  </rfmt>
  <rfmt sheetId="5" sqref="L6" start="0" length="0">
    <dxf>
      <font>
        <b val="0"/>
        <sz val="11"/>
        <color theme="1"/>
        <name val="Aptos Narrow"/>
        <scheme val="minor"/>
      </font>
    </dxf>
  </rfmt>
  <rcc rId="19646" sId="5" odxf="1" dxf="1">
    <nc r="I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9647" sId="5" odxf="1" dxf="1">
    <nc r="J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9648" sId="5" odxf="1" dxf="1">
    <nc r="K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9649" sId="5" odxf="1" dxf="1">
    <nc r="L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9650" sId="5" odxf="1" dxf="1">
    <nc r="M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61" sId="4" odxf="1" dxf="1">
    <nc r="I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662" sId="4" odxf="1" dxf="1">
    <nc r="J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663" sId="4" odxf="1" dxf="1">
    <nc r="K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664" sId="4" odxf="1" dxf="1">
    <nc r="L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665" sId="4" odxf="1" dxf="1">
    <nc r="M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666" sId="4" odxf="1" dxf="1">
    <nc r="O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Leonardo!$A$1:$A$5</formula>
    <oldFormula>Leonardo!$A$1:$A$5</oldFormula>
  </rdn>
  <rdn rId="0" localSheetId="3" customView="1" name="Z_20CB6D8F_C24D_4D4B_A424_AF380F620455_.wvu.FilterData" hidden="1" oldHidden="1">
    <formula>TOTAL!$A$1:$J$19</formula>
    <oldFormula>TOTAL!$A$1:$J$19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77" sId="8">
    <nc r="O16">
      <v>10</v>
    </nc>
  </rcc>
  <rcc rId="19678" sId="8">
    <nc r="O18" t="inlineStr">
      <is>
        <t xml:space="preserve">CONFERÊNCIA DE 10 CAIXAS SNAS/DNIT 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89" sId="6">
    <nc r="I18" t="inlineStr">
      <is>
        <t>Programando o sistema da Diarq</t>
      </is>
    </nc>
  </rcc>
  <rcc rId="19690" sId="6">
    <nc r="J18" t="inlineStr">
      <is>
        <t>Programando o sistema da Diarq</t>
      </is>
    </nc>
  </rcc>
  <rcc rId="19691" sId="6">
    <nc r="K18" t="inlineStr">
      <is>
        <t>Programando o sistema da Diarq</t>
      </is>
    </nc>
  </rcc>
  <rcc rId="19692" sId="6">
    <nc r="L18" t="inlineStr">
      <is>
        <t>Programando o sistema da Diarq</t>
      </is>
    </nc>
  </rcc>
  <rcc rId="19693" sId="6">
    <nc r="M18" t="inlineStr">
      <is>
        <t>Programando o sistema da Diarq</t>
      </is>
    </nc>
  </rcc>
  <rcc rId="19694" sId="6">
    <nc r="O18" t="inlineStr">
      <is>
        <t>Programando o sistema da Diarq</t>
      </is>
    </nc>
  </rcc>
  <rcc rId="19695" sId="6">
    <nc r="P18" t="inlineStr">
      <is>
        <t>Programando o sistema da Diarq</t>
      </is>
    </nc>
  </rcc>
  <rcv guid="{9B623083-AA7B-440B-95EA-C33E1AB3D963}" action="delete"/>
  <rdn rId="0" localSheetId="1" customView="1" name="Z_9B623083_AA7B_440B_95EA_C33E1AB3D963_.wvu.FilterData" hidden="1" oldHidden="1">
    <formula>Patrícia!$A$1:$A$5</formula>
    <oldFormula>Patrícia!$A$1:$A$5</oldFormula>
  </rdn>
  <rdn rId="0" localSheetId="2" customView="1" name="Z_9B623083_AA7B_440B_95EA_C33E1AB3D963_.wvu.FilterData" hidden="1" oldHidden="1">
    <formula>Leonardo!$A$1:$A$5</formula>
    <oldFormula>Leonardo!$A$1:$A$5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Diego!$A$1:$A$20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Leonam!$A$1:$B$19</formula>
    <oldFormula>Leonam!$A$1:$B$19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8" customView="1" name="Z_9B623083_AA7B_440B_95EA_C33E1AB3D963_.wvu.FilterData" hidden="1" oldHidden="1">
    <formula>Marcos!$A$1:$A$20</formula>
    <oldFormula>Marcos!$A$1:$A$20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06" sId="8">
    <oc r="O18" t="inlineStr">
      <is>
        <t xml:space="preserve">CONFERÊNCIA DE 10 CAIXAS SNAS/DNIT </t>
      </is>
    </oc>
    <nc r="O18" t="inlineStr">
      <is>
        <t xml:space="preserve">CONFERÊNCIA DE 10 CAIXAS SNAS/DNIT E 102 CAIXAS LEVADA PARA 2° ANDAR DA  SNAS/CGCEB E RETIRADA  83 CAIXAS PARA O 1° SUBSOLO </t>
      </is>
    </nc>
  </rcc>
  <rcc rId="19707" sId="8">
    <nc r="O15">
      <v>185</v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TOTAL!$A$1:$A$19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18" sId="8">
    <nc r="P15">
      <v>185</v>
    </nc>
  </rcc>
  <rcc rId="19719" sId="8">
    <oc r="O15">
      <v>185</v>
    </oc>
    <nc r="O15"/>
  </rcc>
  <rcc rId="19720" sId="8">
    <nc r="P16">
      <v>11</v>
    </nc>
  </rcc>
  <rcc rId="19721" sId="8">
    <nc r="P18" t="inlineStr">
      <is>
        <t xml:space="preserve">CONFERÊNCIA DE 11 CAIXAS SNAS/DNIT E 102 CAIXAS LEVADA PARA 2° ANDAR DA  SNAS/CGCEB E RETIRADA  83 CAIXAS PARA O 1° SUBSOLO </t>
      </is>
    </nc>
  </rcc>
  <rcc rId="19722" sId="8">
    <oc r="O18" t="inlineStr">
      <is>
        <t xml:space="preserve">CONFERÊNCIA DE 10 CAIXAS SNAS/DNIT E 102 CAIXAS LEVADA PARA 2° ANDAR DA  SNAS/CGCEB E RETIRADA  83 CAIXAS PARA O 1° SUBSOLO </t>
      </is>
    </oc>
    <nc r="O18" t="inlineStr">
      <is>
        <t xml:space="preserve">CONFERÊNCIA DE 10 CAIXAS SNAS/DNIT  </t>
      </is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23" sId="8">
    <nc r="Q15">
      <v>83</v>
    </nc>
  </rcc>
  <rcc rId="19724" sId="8">
    <nc r="Q16">
      <v>9</v>
    </nc>
  </rcc>
  <rcc rId="19725" sId="8">
    <nc r="Q18" t="inlineStr">
      <is>
        <t>ARQUIVAMENTO DE 83 CAIXAS DA SNAS/CGCEB E CONFERÊNCIA DE 09 CAIXAS DA SNAS</t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26" sId="5" odxf="1" dxf="1">
    <nc r="O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9727" sId="5" odxf="1" dxf="1">
    <nc r="P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9728" sId="5" odxf="1" dxf="1">
    <nc r="Q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9729" sId="5" odxf="1" dxf="1">
    <nc r="R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9730" sId="5" odxf="1" dxf="1">
    <nc r="S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TOTAL!$A$1:$A$19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41" sId="8">
    <nc r="R16">
      <v>15</v>
    </nc>
  </rcc>
  <rcc rId="19742" sId="8">
    <nc r="R18" t="inlineStr">
      <is>
        <t xml:space="preserve">CONFERÊNCIA DE 15 CAIXAS SNAS/DNIT  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TOTAL!$A$1:$A$19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53" sId="8">
    <nc r="S16">
      <v>5</v>
    </nc>
  </rcc>
  <rcc rId="19754" sId="8">
    <nc r="S15">
      <v>100</v>
    </nc>
  </rcc>
  <rcc rId="19755" sId="8">
    <nc r="S18" t="inlineStr">
      <is>
        <t xml:space="preserve">CONFERÊNCIA DE 05 CAIXAS SNAS/DNIT , ARQUIVAMENTO DE 50 CAIXAS SNAS E DESAQUIVAMENTO DE 50 CAIXAS SNAS PARA ENVIO ED MONTES </t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56" sId="9">
    <nc r="O11">
      <v>6</v>
    </nc>
  </rcc>
  <rcc rId="19757" sId="9">
    <nc r="O12">
      <v>37</v>
    </nc>
  </rcc>
  <rcc rId="19758" sId="9">
    <nc r="P11">
      <v>8</v>
    </nc>
  </rcc>
  <rcc rId="19759" sId="9">
    <nc r="P12">
      <v>37</v>
    </nc>
  </rcc>
  <rcc rId="19760" sId="9">
    <nc r="Q11">
      <v>7</v>
    </nc>
  </rcc>
  <rcc rId="19761" sId="9">
    <nc r="Q12">
      <v>36</v>
    </nc>
  </rcc>
  <rcc rId="19762" sId="9">
    <nc r="R12">
      <v>41</v>
    </nc>
  </rcc>
  <rcc rId="19763" sId="9">
    <nc r="R11">
      <v>7</v>
    </nc>
  </rcc>
  <rcc rId="19764" sId="9">
    <nc r="S11">
      <v>3</v>
    </nc>
  </rcc>
  <rcc rId="19765" sId="9">
    <nc r="S12">
      <v>13</v>
    </nc>
  </rcc>
  <rcc rId="19766" sId="3">
    <oc r="E11">
      <f>Diego!AU11+Aelton!AU11+Leonam!AU11+Danilo!AU11+Marcos!AU11+Alessandro!AU11+Carlos!AU11</f>
    </oc>
    <nc r="E11">
      <f>+Diego!T12+Aelton!T11+Leonam!T11+Danilo!T11+Alessandro!T11+Marcos!T11+Carlos!T11</f>
    </nc>
  </rcc>
  <rcc rId="19767" sId="3">
    <oc r="E12">
      <f>Diego!T12+Aelton!T12+Leonam!T12+Danilo!T12+Marcos!T12+Alessandro!T12</f>
    </oc>
    <nc r="E12">
      <f>+Diego!T12+Aelton!T12+Leonam!T12+Danilo!T12+Alessandro!T12+Marcos!T12+Carlos!T12</f>
    </nc>
  </rcc>
  <rcc rId="19768" sId="3">
    <oc r="F11">
      <f>Diego!AV11+Aelton!AV11+Leonam!AV11+Danilo!AV11+Marcos!AV11+Alessandro!AV11+Carlos!AV11</f>
    </oc>
    <nc r="F11">
      <f>+Diego!Z11+Aelton!Z11+Leonam!Z11+Danilo!Z11+Alessandro!Z11+Marcos!Z11+Carlos!Z11</f>
    </nc>
  </rcc>
  <rcc rId="19769" sId="3">
    <oc r="F12">
      <f>Diego!Z12+Aelton!Z12+Leonam!Z12+Danilo!Z12+Marcos!Z12+Alessandro!Z12</f>
    </oc>
    <nc r="F12">
      <f>Diego!Z12+Aelton!Z12+Leonam!Z12+Danilo!Z12+Alessandro!Z12+Marcos!Z12+Carlos!Z12</f>
    </nc>
  </rcc>
  <rcc rId="19770" sId="10">
    <nc r="O12">
      <v>31</v>
    </nc>
  </rcc>
  <rcc rId="19771" sId="10">
    <nc r="O11">
      <v>5</v>
    </nc>
  </rcc>
  <rcc rId="19772" sId="10">
    <nc r="P11">
      <v>7</v>
    </nc>
  </rcc>
  <rcc rId="19773" sId="10">
    <nc r="P12">
      <v>51</v>
    </nc>
  </rcc>
  <rcc rId="19774" sId="10">
    <nc r="Q11">
      <v>8</v>
    </nc>
  </rcc>
  <rcc rId="19775" sId="10">
    <nc r="Q12">
      <v>60</v>
    </nc>
  </rcc>
  <rcc rId="19776" sId="10">
    <nc r="R11">
      <v>7</v>
    </nc>
  </rcc>
  <rcc rId="19777" sId="10">
    <nc r="R12">
      <v>61</v>
    </nc>
  </rcc>
  <rcc rId="19778" sId="10">
    <nc r="S11">
      <v>9</v>
    </nc>
  </rcc>
  <rcc rId="19779" sId="10">
    <nc r="S12">
      <v>63</v>
    </nc>
  </rcc>
  <rcc rId="19780" sId="10">
    <nc r="O18" t="inlineStr">
      <is>
        <t>Alimentação de planilha de controle de atividades (Gustavo)/</t>
      </is>
    </nc>
  </rcc>
  <rcc rId="19781" sId="10">
    <oc r="A13" t="inlineStr">
      <is>
        <t>Documentos administrativos produzidos (Despacho, Nota Técnica, minutas diversas)</t>
      </is>
    </oc>
    <nc r="A13" t="inlineStr">
      <is>
        <t>Documentos administrativos produzidos (Despacho, Nota Técnica, minutas diversas, e-mails)</t>
      </is>
    </nc>
  </rcc>
  <rcc rId="19782" sId="10">
    <nc r="O13">
      <v>1</v>
    </nc>
  </rcc>
  <rcc rId="19783" sId="10">
    <nc r="R13">
      <v>1</v>
    </nc>
  </rcc>
  <rcc rId="19784" sId="10">
    <nc r="Q18" t="inlineStr">
      <is>
        <t>Acompanhamento de processo SEI - CPAD</t>
      </is>
    </nc>
  </rcc>
  <rcc rId="19785" sId="10">
    <nc r="R18" t="inlineStr">
      <is>
        <t>Acompanhamento de processo SEI - CPAD</t>
      </is>
    </nc>
  </rcc>
  <rcc rId="19786" sId="10">
    <nc r="S18" t="inlineStr">
      <is>
        <t>Acompanhamento de processo SEI - CPAD</t>
      </is>
    </nc>
  </rcc>
  <rfmt sheetId="10" sqref="Q18:S18" start="0" length="2147483647">
    <dxf>
      <font>
        <b val="0"/>
      </font>
    </dxf>
  </rfmt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97" sId="4" odxf="1" dxf="1">
    <nc r="P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798" sId="4" odxf="1" dxf="1">
    <nc r="Q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799" sId="4" odxf="1" dxf="1">
    <nc r="R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800" sId="4" odxf="1" dxf="1">
    <nc r="S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801" sId="4" odxf="1" dxf="1">
    <nc r="U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Leonardo!$A$1:$A$5</formula>
    <oldFormula>Leonardo!$A$1:$A$5</oldFormula>
  </rdn>
  <rdn rId="0" localSheetId="3" customView="1" name="Z_20CB6D8F_C24D_4D4B_A424_AF380F620455_.wvu.FilterData" hidden="1" oldHidden="1">
    <formula>TOTAL!$A$1:$J$19</formula>
    <oldFormula>TOTAL!$A$1:$J$19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TOTAL!$A$1:$A$19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22" sId="7">
    <nc r="O16">
      <v>3</v>
    </nc>
  </rcc>
  <rcc rId="19823" sId="7">
    <nc r="P16">
      <v>3</v>
    </nc>
  </rcc>
  <rcc rId="19824" sId="7">
    <nc r="Q16">
      <v>3</v>
    </nc>
  </rcc>
  <rcc rId="19825" sId="7">
    <nc r="R16">
      <v>3</v>
    </nc>
  </rcc>
  <rcc rId="19826" sId="7">
    <nc r="S16">
      <v>3</v>
    </nc>
  </rcc>
  <rcc rId="19827" sId="7" odxf="1" dxf="1">
    <nc r="O18" t="inlineStr">
      <is>
        <t>ACOMPANHAMENTO DA LIMPEZA DAS ESTANTES E CAIXAS DO BLOCO A E CONFERÊNCIA DE 03 CAIXAS SNAS/DNIT</t>
      </is>
    </nc>
    <odxf>
      <border outline="0">
        <top/>
      </border>
    </odxf>
    <ndxf>
      <border outline="0">
        <top style="thin">
          <color indexed="64"/>
        </top>
      </border>
    </ndxf>
  </rcc>
  <rcc rId="19828" sId="7" odxf="1" dxf="1">
    <nc r="P18" t="inlineStr">
      <is>
        <t>ACOMPANHAMENTO DA LIMPEZA DAS ESTANTES E CAIXAS DO BLOCO A E CONFERÊNCIA DE 03 CAIXAS SNAS/DNIT</t>
      </is>
    </nc>
    <odxf>
      <border outline="0">
        <top/>
      </border>
    </odxf>
    <ndxf>
      <border outline="0">
        <top style="thin">
          <color indexed="64"/>
        </top>
      </border>
    </ndxf>
  </rcc>
  <rcc rId="19829" sId="7" odxf="1" dxf="1">
    <nc r="Q18" t="inlineStr">
      <is>
        <t xml:space="preserve">ACOMPANHAMENTO DA LIMPESA DAS ESTANTES E CAIXAS DO BLOCO ACONFERÊNCIA DE 03 CAIXAS SNAS/DNIT </t>
      </is>
    </nc>
    <odxf>
      <border outline="0">
        <top/>
      </border>
    </odxf>
    <ndxf>
      <border outline="0">
        <top style="thin">
          <color indexed="64"/>
        </top>
      </border>
    </ndxf>
  </rcc>
  <rcc rId="19830" sId="7" odxf="1" dxf="1">
    <nc r="R18" t="inlineStr">
      <is>
        <t xml:space="preserve">ACOMPANHAMENTO DA LIMPESA DAS ESTANTES E CAIXAS DO BLOCO ACONFERÊNCIA DE 03 CAIXAS SNAS/DNIT </t>
      </is>
    </nc>
    <odxf>
      <border outline="0">
        <top/>
      </border>
    </odxf>
    <ndxf>
      <border outline="0">
        <top style="thin">
          <color indexed="64"/>
        </top>
      </border>
    </ndxf>
  </rcc>
  <rcc rId="19831" sId="7" odxf="1" dxf="1">
    <nc r="S18" t="inlineStr">
      <is>
        <t xml:space="preserve">ACOMPANHAMENTO DA LIMPESA DAS ESTANTES E CAIXAS DO BLOCO ACONFERÊNCIA DE 03 CAIXAS SNAS/DNIT </t>
      </is>
    </nc>
    <odxf>
      <border outline="0">
        <top/>
      </border>
    </odxf>
    <ndxf>
      <border outline="0">
        <top style="thin">
          <color indexed="64"/>
        </top>
      </border>
    </ndxf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42" sId="8">
    <nc r="U15">
      <v>50</v>
    </nc>
  </rcc>
  <rcc rId="19843" sId="8">
    <nc r="U18" t="inlineStr">
      <is>
        <t>REMANEJAMENTO DE 50 CAIXAS RECEBIDAS DA SNAS DO ED. MONTES E ACOMPANHAMENTO DA FINALIZAÇÃO DO REPARO DO FORRO DO TETO DOS ARQUIVOS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54" sId="8">
    <nc r="V16">
      <v>15</v>
    </nc>
  </rcc>
  <rcc rId="19855" sId="8">
    <nc r="V18" t="inlineStr">
      <is>
        <t>CONFERÊNCIA DE 15 CAIXAS SNAS/DNIT  e ARQUIVAMENTO DE 15 CAIXAS DO SNAS</t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56" sId="8">
    <oc r="V16">
      <v>15</v>
    </oc>
    <nc r="V16">
      <v>20</v>
    </nc>
  </rcc>
  <rcc rId="19857" sId="8">
    <oc r="V18" t="inlineStr">
      <is>
        <t>CONFERÊNCIA DE 15 CAIXAS SNAS/DNIT  e ARQUIVAMENTO DE 15 CAIXAS DO SNAS</t>
      </is>
    </oc>
    <nc r="V18" t="inlineStr">
      <is>
        <t>CONFERÊNCIA DE 20 CAIXAS SNAS/DNIT  e ARQUIVAMENTO DE 20 CAIXAS DO SNAS</t>
      </is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58" sId="8">
    <oc r="V18" t="inlineStr">
      <is>
        <t>CONFERÊNCIA DE 20 CAIXAS SNAS/DNIT  e ARQUIVAMENTO DE 20 CAIXAS DO SNAS</t>
      </is>
    </oc>
    <nc r="V18" t="inlineStr">
      <is>
        <t>CONFERÊNCIA DE 15 CAIXAS SNAS/DNIT  e ARQUIVAMENTO DE 15 CAIXAS DO SNAS</t>
      </is>
    </nc>
  </rcc>
  <rcc rId="19859" sId="8">
    <oc r="V16">
      <v>20</v>
    </oc>
    <nc r="V16">
      <v>15</v>
    </nc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60" sId="8">
    <oc r="V16">
      <v>15</v>
    </oc>
    <nc r="V16">
      <v>16</v>
    </nc>
  </rcc>
  <rcc rId="19861" sId="8">
    <oc r="V18" t="inlineStr">
      <is>
        <t>CONFERÊNCIA DE 15 CAIXAS SNAS/DNIT  e ARQUIVAMENTO DE 15 CAIXAS DO SNAS</t>
      </is>
    </oc>
    <nc r="V18" t="inlineStr">
      <is>
        <t>CONFERÊNCIA DE 16 CAIXAS SNAS/DNIT  e ARQUIVAMENTO DE 16 CAIXAS DO SNAS</t>
      </is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62" sId="8">
    <oc r="V16">
      <v>16</v>
    </oc>
    <nc r="V16">
      <v>17</v>
    </nc>
  </rcc>
  <rcc rId="19863" sId="8">
    <oc r="V18" t="inlineStr">
      <is>
        <t>CONFERÊNCIA DE 16 CAIXAS SNAS/DNIT  e ARQUIVAMENTO DE 16 CAIXAS DO SNAS</t>
      </is>
    </oc>
    <nc r="V18" t="inlineStr">
      <is>
        <t>CONFERÊNCIA DE 17 CAIXAS SNAS/DNIT  e ARQUIVAMENTO DE 17 CAIXAS DO SNAS</t>
      </is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64" sId="3">
    <oc r="E16">
      <f>Diego!T16+Aelton!T16+Leonam!T16+Danilo!T16+Marcos!T16+Alessandro!T16</f>
    </oc>
    <nc r="E16">
      <f>Diego!T16+Aelton!T16+Leonam!T16+Danilo!T16+Marcos!T16+Alessandro!T16</f>
    </nc>
  </rcc>
  <rcc rId="19865" sId="10" xfDxf="1" dxf="1">
    <nc r="P21" t="inlineStr">
      <is>
        <t>https://www.google.com.br/search?q=Depois+de+contestar+um+conta+da+neonergia%2C+e+responderem+com+negativa%2C+o+que+fazer%3F&amp;sca_esv=4da7261d6af0beeb&amp;hl=pt-BR&amp;ei=gjsXapWnL7vd5OUPn9iRiQU&amp;biw=2133&amp;bih=1058&amp;ved=0ahUKEwiV8MD-j9qUAxW7LrkGHR9sJFEQ4dUDCBA&amp;uact=5&amp;oq=Depois+de+contestar+um+conta+da+neonergia%2C+e+responderem+com+negativa%2C+o+que+fazer%3F&amp;gs_lp=Egxnd3Mtd2l6LXNlcnAiU0RlcG9pcyBkZSBjb250ZXN0YXIgdW0gY29udGEgZGEgbmVvbmVyZ2lhLCBlIHJlc3BvbmRlcmVtIGNvbSBuZWdhdGl2YSwgbyBxdWUgZmF6ZXI_SPXxAVCqKVjQ7wFwBHgCkAEHmAHLBaABk8cBqgERMS4zMC4xNS4xNy4xMS44LjK4AQPIAQD4AQGYAjWgAuiKAagCFMICBBAAGEfCAgoQABhHGNYEGLADwgIIEAAYgAQYsQPCAgUQABiABMICIBAAGIAEGIoFGNQDGOUCGOcGGOoCGLQCGIoDGLcD2AEBwgIQEAAYAxiPARjqAhi0AtgBAsICEBAuGAMYjwEY6gIYtALYAQLCAhAQLhiABBiKBRhDGMcBGNEDwgIKEAAYgAQYigUYQ8ICCxAAGIAEGLEDGIMBwgIOEC4YgAQYsQMYxwEY0QPCAh8QLhiABBiKBRhDGMcBGNEDGJcFGNwEGN4EGOAE2AECwgILEC4YgAQYsQMYgwHCAgsQABiABBixAxjJA8ICCxAAGIAEGIoFGJIDwgIIEC4YgAQYsQPCAhoQLhiABBixAxiDARiXBRjcBBjeBBjgBNgBAsICBRAuGIAEwgIXEC4YgAQYsQMYlwUY3AQY3gQY4ATYAQLCAgQQABgDwgIGEAAYFhgewgIFEAAY7wXCAggQABiABBiiBMICBRAhGKABwgIFECEYnwXCAgcQIRgKGKABwgIEECEYCpgDF_EFksqHGephp-SIBgGQBgi6BgQIARgHugYGCAIQARgKkgcONC4xMi44LjEwLjE0LjWgB_-jA7IHDjAuMTIuOC4xMC4xNC41uAe5igHCBwwwLjEyLjI5LjExLjHIB6kCgAgB&amp;sclient=gws-wiz-serp</t>
      </is>
    </nc>
    <ndxf>
      <alignment horizontal="center" vertical="center"/>
    </ndxf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29" sId="5" odxf="1" dxf="1">
    <nc r="U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9930" sId="5" odxf="1" dxf="1">
    <nc r="V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9931" sId="5" odxf="1" dxf="1">
    <nc r="W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9932" sId="5" odxf="1" dxf="1">
    <nc r="X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9933" sId="5" odxf="1" dxf="1">
    <nc r="Y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fmt sheetId="5" sqref="AD2" start="0" length="0">
    <dxf>
      <fill>
        <patternFill patternType="solid">
          <bgColor theme="9" tint="0.59999389629810485"/>
        </patternFill>
      </fill>
    </dxf>
  </rfmt>
  <rfmt sheetId="5" sqref="AE2" start="0" length="0">
    <dxf>
      <fill>
        <patternFill patternType="solid">
          <bgColor theme="9" tint="0.59999389629810485"/>
        </patternFill>
      </fill>
    </dxf>
  </rfmt>
  <rfmt sheetId="5" sqref="AD3" start="0" length="0">
    <dxf>
      <fill>
        <patternFill patternType="solid">
          <bgColor theme="9" tint="0.59999389629810485"/>
        </patternFill>
      </fill>
    </dxf>
  </rfmt>
  <rfmt sheetId="5" sqref="AE3" start="0" length="0">
    <dxf>
      <fill>
        <patternFill patternType="solid">
          <bgColor theme="9" tint="0.59999389629810485"/>
        </patternFill>
      </fill>
    </dxf>
  </rfmt>
  <rfmt sheetId="5" sqref="AD4" start="0" length="0">
    <dxf>
      <fill>
        <patternFill patternType="solid">
          <bgColor theme="9" tint="0.59999389629810485"/>
        </patternFill>
      </fill>
    </dxf>
  </rfmt>
  <rfmt sheetId="5" sqref="AE4" start="0" length="0">
    <dxf>
      <fill>
        <patternFill patternType="solid">
          <bgColor theme="9" tint="0.59999389629810485"/>
        </patternFill>
      </fill>
    </dxf>
  </rfmt>
  <rfmt sheetId="5" sqref="AD5" start="0" length="0">
    <dxf>
      <fill>
        <patternFill patternType="solid">
          <bgColor theme="9" tint="0.59999389629810485"/>
        </patternFill>
      </fill>
    </dxf>
  </rfmt>
  <rfmt sheetId="5" sqref="AE5" start="0" length="0">
    <dxf>
      <fill>
        <patternFill patternType="solid">
          <bgColor theme="9" tint="0.59999389629810485"/>
        </patternFill>
      </fill>
    </dxf>
  </rfmt>
  <rfmt sheetId="5" sqref="AD6" start="0" length="0">
    <dxf>
      <fill>
        <patternFill patternType="solid">
          <bgColor theme="9" tint="0.59999389629810485"/>
        </patternFill>
      </fill>
    </dxf>
  </rfmt>
  <rfmt sheetId="5" sqref="AE6" start="0" length="0">
    <dxf>
      <fill>
        <patternFill patternType="solid">
          <bgColor theme="9" tint="0.59999389629810485"/>
        </patternFill>
      </fill>
    </dxf>
  </rfmt>
  <rfmt sheetId="5" sqref="AD7" start="0" length="0">
    <dxf>
      <fill>
        <patternFill patternType="solid">
          <bgColor theme="9" tint="0.59999389629810485"/>
        </patternFill>
      </fill>
    </dxf>
  </rfmt>
  <rfmt sheetId="5" sqref="AE7" start="0" length="0">
    <dxf>
      <fill>
        <patternFill patternType="solid">
          <bgColor theme="9" tint="0.59999389629810485"/>
        </patternFill>
      </fill>
    </dxf>
  </rfmt>
  <rfmt sheetId="5" sqref="AD8" start="0" length="0">
    <dxf>
      <fill>
        <patternFill patternType="solid">
          <bgColor theme="9" tint="0.59999389629810485"/>
        </patternFill>
      </fill>
    </dxf>
  </rfmt>
  <rfmt sheetId="5" sqref="AE8" start="0" length="0">
    <dxf>
      <fill>
        <patternFill patternType="solid">
          <bgColor theme="9" tint="0.59999389629810485"/>
        </patternFill>
      </fill>
    </dxf>
  </rfmt>
  <rfmt sheetId="5" sqref="AD9" start="0" length="0">
    <dxf>
      <fill>
        <patternFill patternType="solid">
          <bgColor theme="9" tint="0.59999389629810485"/>
        </patternFill>
      </fill>
    </dxf>
  </rfmt>
  <rfmt sheetId="5" sqref="AE9" start="0" length="0">
    <dxf>
      <fill>
        <patternFill patternType="solid">
          <bgColor theme="9" tint="0.59999389629810485"/>
        </patternFill>
      </fill>
    </dxf>
  </rfmt>
  <rfmt sheetId="5" sqref="AD10" start="0" length="0">
    <dxf>
      <fill>
        <patternFill patternType="solid">
          <bgColor theme="9" tint="0.59999389629810485"/>
        </patternFill>
      </fill>
    </dxf>
  </rfmt>
  <rfmt sheetId="5" sqref="AE10" start="0" length="0">
    <dxf>
      <fill>
        <patternFill patternType="solid">
          <bgColor theme="9" tint="0.59999389629810485"/>
        </patternFill>
      </fill>
    </dxf>
  </rfmt>
  <rfmt sheetId="5" sqref="AD11" start="0" length="0">
    <dxf>
      <fill>
        <patternFill patternType="solid">
          <bgColor theme="9" tint="0.59999389629810485"/>
        </patternFill>
      </fill>
    </dxf>
  </rfmt>
  <rfmt sheetId="5" sqref="AE11" start="0" length="0">
    <dxf>
      <fill>
        <patternFill patternType="solid">
          <bgColor theme="9" tint="0.59999389629810485"/>
        </patternFill>
      </fill>
    </dxf>
  </rfmt>
  <rfmt sheetId="5" sqref="AD12" start="0" length="0">
    <dxf>
      <fill>
        <patternFill patternType="solid">
          <bgColor theme="9" tint="0.59999389629810485"/>
        </patternFill>
      </fill>
    </dxf>
  </rfmt>
  <rfmt sheetId="5" sqref="AE12" start="0" length="0">
    <dxf>
      <fill>
        <patternFill patternType="solid">
          <bgColor theme="9" tint="0.59999389629810485"/>
        </patternFill>
      </fill>
    </dxf>
  </rfmt>
  <rfmt sheetId="5" sqref="AD13" start="0" length="0">
    <dxf>
      <fill>
        <patternFill patternType="solid">
          <bgColor theme="9" tint="0.59999389629810485"/>
        </patternFill>
      </fill>
    </dxf>
  </rfmt>
  <rfmt sheetId="5" sqref="AE13" start="0" length="0">
    <dxf>
      <fill>
        <patternFill patternType="solid">
          <bgColor theme="9" tint="0.59999389629810485"/>
        </patternFill>
      </fill>
    </dxf>
  </rfmt>
  <rfmt sheetId="5" sqref="AD14" start="0" length="0">
    <dxf>
      <fill>
        <patternFill patternType="solid">
          <bgColor theme="9" tint="0.59999389629810485"/>
        </patternFill>
      </fill>
    </dxf>
  </rfmt>
  <rfmt sheetId="5" sqref="AE14" start="0" length="0">
    <dxf>
      <fill>
        <patternFill patternType="solid">
          <bgColor theme="9" tint="0.59999389629810485"/>
        </patternFill>
      </fill>
    </dxf>
  </rfmt>
  <rfmt sheetId="5" sqref="AD15" start="0" length="0">
    <dxf>
      <fill>
        <patternFill patternType="solid">
          <bgColor theme="9" tint="0.59999389629810485"/>
        </patternFill>
      </fill>
    </dxf>
  </rfmt>
  <rfmt sheetId="5" sqref="AE15" start="0" length="0">
    <dxf>
      <fill>
        <patternFill patternType="solid">
          <bgColor theme="9" tint="0.59999389629810485"/>
        </patternFill>
      </fill>
    </dxf>
  </rfmt>
  <rfmt sheetId="5" sqref="AD16" start="0" length="0">
    <dxf>
      <fill>
        <patternFill patternType="solid">
          <bgColor theme="9" tint="0.59999389629810485"/>
        </patternFill>
      </fill>
    </dxf>
  </rfmt>
  <rfmt sheetId="5" sqref="AE16" start="0" length="0">
    <dxf>
      <fill>
        <patternFill patternType="solid">
          <bgColor theme="9" tint="0.59999389629810485"/>
        </patternFill>
      </fill>
    </dxf>
  </rfmt>
  <rfmt sheetId="5" sqref="AD17" start="0" length="0">
    <dxf>
      <fill>
        <patternFill patternType="solid">
          <bgColor theme="9" tint="0.59999389629810485"/>
        </patternFill>
      </fill>
    </dxf>
  </rfmt>
  <rfmt sheetId="5" sqref="AE17" start="0" length="0">
    <dxf>
      <fill>
        <patternFill patternType="solid">
          <bgColor theme="9" tint="0.59999389629810485"/>
        </patternFill>
      </fill>
    </dxf>
  </rfmt>
  <rcc rId="19934" sId="5" odxf="1" dxf="1">
    <nc r="AA18" t="inlineStr">
      <is>
        <r>
          <rPr>
            <b/>
            <sz val="11"/>
            <color theme="1"/>
            <rFont val="Aptos Narrow"/>
          </rPr>
          <t>1.</t>
        </r>
        <r>
          <rPr>
            <sz val="11"/>
            <color theme="1"/>
            <rFont val="Aptos Narrow"/>
          </rPr>
          <t xml:space="preserve"> Contagem caixas no DNIT
Eu e Diego contamos as caixas das salas:
3,71 - 11.157 caixas
3.25 - 14,197caixas
LBA
Sala 3.25 - 29
Sala 3.25 - 9
Total = 38 caixas</t>
        </r>
        <r>
          <rPr>
            <b/>
            <sz val="11"/>
            <color theme="1"/>
            <rFont val="Aptos Narrow"/>
          </rPr>
          <t xml:space="preserve">
2</t>
        </r>
        <r>
          <rPr>
            <sz val="11"/>
            <color theme="1"/>
            <rFont val="Aptos Narrow"/>
            <family val="2"/>
          </rPr>
          <t xml:space="preserve"> À pedido da Juelice, por ordem do Pedro, EM CARÁTER DE URGÊNCIA, disponibilizei o documento (18750823) para assinatura à Ariane da SAA.
</t>
        </r>
        <r>
          <rPr>
            <b/>
            <sz val="11"/>
            <color theme="1"/>
            <rFont val="Aptos Narrow"/>
          </rPr>
          <t>3.</t>
        </r>
        <r>
          <rPr>
            <sz val="11"/>
            <color theme="1"/>
            <rFont val="Aptos Narrow"/>
            <family val="2"/>
          </rPr>
          <t xml:space="preserve"> Pesquisa e busca
processo 23132.000438/95-22, convênio nº 214/95, SIAFI nº 138116, Fundação de Desporto e
 Lazer de Mato Grosso</t>
        </r>
      </is>
    </nc>
    <odxf>
      <font>
        <sz val="11"/>
        <color theme="1"/>
        <name val="Aptos Narrow"/>
        <scheme val="minor"/>
      </font>
      <fill>
        <patternFill patternType="solid">
          <bgColor theme="0"/>
        </patternFill>
      </fill>
    </odxf>
    <ndxf>
      <font>
        <sz val="11"/>
        <color theme="1"/>
        <name val="Aptos Narrow"/>
        <scheme val="minor"/>
      </font>
      <fill>
        <patternFill patternType="none">
          <bgColor indexed="65"/>
        </patternFill>
      </fill>
    </ndxf>
  </rcc>
  <rcc rId="19935" sId="5" odxf="1" dxf="1">
    <nc r="AB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9936" sId="5" odxf="1" dxf="1">
    <nc r="AC18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9937" sId="5" odxf="1" dxf="1">
    <nc r="AD18" t="inlineStr">
      <is>
        <t>FERIADO
CORPUS CHRISTI</t>
      </is>
    </nc>
    <odxf>
      <fill>
        <patternFill>
          <bgColor theme="0"/>
        </patternFill>
      </fill>
    </odxf>
    <ndxf>
      <fill>
        <patternFill>
          <bgColor theme="9" tint="0.59999389629810485"/>
        </patternFill>
      </fill>
    </ndxf>
  </rcc>
  <rcc rId="19938" sId="5" odxf="1" dxf="1">
    <nc r="AE18" t="inlineStr">
      <is>
        <t>PONTO 
FACULTATIVO</t>
      </is>
    </nc>
    <odxf>
      <fill>
        <patternFill>
          <bgColor theme="0"/>
        </patternFill>
      </fill>
    </odxf>
    <ndxf>
      <fill>
        <patternFill>
          <bgColor theme="9" tint="0.59999389629810485"/>
        </patternFill>
      </fill>
    </ndxf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A2:AE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49" sId="8">
    <nc r="AA16">
      <v>5</v>
    </nc>
  </rcc>
  <rcc rId="19950" sId="8">
    <oc r="AA18" t="inlineStr">
      <is>
        <t>CONTAGEM DAS CAIXAS DA SALA 3.61 E 3.60</t>
      </is>
    </oc>
    <nc r="AA18" t="inlineStr">
      <is>
        <t>CONTAGEM DAS CAIXAS DA SALA 3.61 E 3.60 E 05 CAIXAIS DA SNAS CONFERIDA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61" sId="8">
    <nc r="AB16">
      <v>10</v>
    </nc>
  </rcc>
  <rcc rId="19962" sId="8">
    <nc r="AB18" t="inlineStr">
      <is>
        <t xml:space="preserve">CONFERÊNCIA DE 10 CAIXAS SNAS/DNIT </t>
      </is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63" sId="9">
    <nc r="U12">
      <v>31</v>
    </nc>
  </rcc>
  <rcc rId="19964" sId="9">
    <nc r="U11">
      <v>7</v>
    </nc>
  </rcc>
  <rcc rId="19965" sId="9">
    <nc r="V11">
      <v>9</v>
    </nc>
  </rcc>
  <rcc rId="19966" sId="9">
    <nc r="V12">
      <v>44</v>
    </nc>
  </rcc>
  <rcc rId="19967" sId="9">
    <nc r="W11">
      <v>6</v>
    </nc>
  </rcc>
  <rcc rId="19968" sId="9">
    <nc r="W12">
      <v>34</v>
    </nc>
  </rcc>
  <rcc rId="19969" sId="9">
    <nc r="X11">
      <v>4</v>
    </nc>
  </rcc>
  <rcc rId="19970" sId="9">
    <nc r="X12">
      <v>35</v>
    </nc>
  </rcc>
  <rcc rId="19971" sId="9">
    <nc r="Y11">
      <v>2</v>
    </nc>
  </rcc>
  <rcc rId="19972" sId="9">
    <nc r="Y12">
      <v>14</v>
    </nc>
  </rcc>
  <rcc rId="19973" sId="10">
    <nc r="U11">
      <v>4</v>
    </nc>
  </rcc>
  <rcc rId="19974" sId="10">
    <nc r="U12">
      <v>25</v>
    </nc>
  </rcc>
  <rcc rId="19975" sId="10">
    <nc r="V11">
      <v>11</v>
    </nc>
  </rcc>
  <rcc rId="19976" sId="10">
    <nc r="V12">
      <v>62</v>
    </nc>
  </rcc>
  <rcc rId="19977" sId="10">
    <nc r="W11">
      <v>11</v>
    </nc>
  </rcc>
  <rcc rId="19978" sId="10">
    <nc r="W12">
      <v>80</v>
    </nc>
  </rcc>
  <rcc rId="19979" sId="10">
    <nc r="X11">
      <v>6</v>
    </nc>
  </rcc>
  <rcc rId="19980" sId="10">
    <nc r="X12">
      <v>42</v>
    </nc>
  </rcc>
  <rcc rId="19981" sId="10">
    <nc r="Y11">
      <v>7</v>
    </nc>
  </rcc>
  <rcc rId="19982" sId="10">
    <nc r="Y12">
      <v>48</v>
    </nc>
  </rcc>
  <rcc rId="19983" sId="10">
    <nc r="U18" t="inlineStr">
      <is>
        <t>Alimentação de planilha de controle de atividades (Gustavo)/</t>
      </is>
    </nc>
  </rcc>
  <rcc rId="19984" sId="10" odxf="1" dxf="1">
    <nc r="V18" t="inlineStr">
      <is>
        <t>Acompanhamento de processo SEI - CPAD</t>
      </is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19985" sId="10" odxf="1" dxf="1">
    <nc r="W18" t="inlineStr">
      <is>
        <t>Acompanhamento de processo SEI - CPAD</t>
      </is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19986" sId="10" odxf="1" dxf="1">
    <nc r="X18" t="inlineStr">
      <is>
        <t>Acompanhamento de processo SEI - CPAD</t>
      </is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19987" sId="10" odxf="1" dxf="1">
    <nc r="Y18" t="inlineStr">
      <is>
        <t>Acompanhamento de processo SEI - CPAD</t>
      </is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fmt sheetId="10" sqref="AA18" start="0" length="0">
    <dxf>
      <font>
        <b val="0"/>
        <sz val="11"/>
        <color theme="1"/>
        <name val="Aptos Narrow"/>
        <family val="2"/>
        <scheme val="minor"/>
      </font>
    </dxf>
  </rfmt>
  <rcc rId="19988" sId="10" odxf="1" dxf="1">
    <nc r="AB18" t="inlineStr">
      <is>
        <t>Acompanhamento de processo SEI - CPAD</t>
      </is>
    </nc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19989" sId="10">
    <nc r="AA18" t="inlineStr">
      <is>
        <r>
          <rPr>
            <b/>
            <sz val="11"/>
            <color theme="1"/>
            <rFont val="Aptos Narrow"/>
            <family val="2"/>
          </rPr>
          <t>Alimentação de planilha de controle de atividades (Gustavo)</t>
        </r>
        <r>
          <rPr>
            <sz val="11"/>
            <color theme="1"/>
            <rFont val="Aptos Narrow"/>
            <family val="2"/>
          </rPr>
          <t xml:space="preserve">
Acompanhamento de processo SEI - CPAD
</t>
        </r>
        <r>
          <rPr>
            <b/>
            <sz val="11"/>
            <color theme="1"/>
            <rFont val="Aptos Narrow"/>
            <family val="2"/>
          </rPr>
          <t>Contagem de Caixas Acervo Sala 4.47 (DNIT)</t>
        </r>
      </is>
    </nc>
  </rcc>
  <rcc rId="19990" sId="10">
    <oc r="C18" t="inlineStr">
      <is>
        <r>
          <rPr>
            <b/>
            <sz val="11"/>
            <color theme="1"/>
            <rFont val="Aptos Narrow"/>
            <family val="2"/>
          </rPr>
          <t xml:space="preserve">Alimentação de planilha de controle de atividades (Gustavo)/ </t>
        </r>
        <r>
          <rPr>
            <sz val="11"/>
            <color theme="1"/>
            <rFont val="Aptos Narrow"/>
            <family val="2"/>
          </rPr>
          <t>Pesquisa de contatos de empresas de manutenção de deslizantes e confirmação de e-mails enviados</t>
        </r>
      </is>
    </oc>
    <nc r="C18" t="inlineStr">
      <is>
        <r>
          <rPr>
            <b/>
            <sz val="11"/>
            <color theme="1"/>
            <rFont val="Aptos Narrow"/>
            <family val="2"/>
          </rPr>
          <t xml:space="preserve">Alimentação de planilha de controle de atividades (Gustavo)/
 </t>
        </r>
        <r>
          <rPr>
            <sz val="11"/>
            <color theme="1"/>
            <rFont val="Aptos Narrow"/>
            <family val="2"/>
          </rPr>
          <t>Pesquisa de contatos de empresas de manutenção de deslizantes e confirmação de e-mails enviados</t>
        </r>
      </is>
    </nc>
  </rcc>
  <rcc rId="19991" sId="10">
    <oc r="I18" t="inlineStr">
      <is>
        <t>Alimentação de planilha de controle de atividades (Gustavo)/</t>
      </is>
    </oc>
    <nc r="I18" t="inlineStr">
      <is>
        <t>Alimentação de planilha de controle de atividades (Gustavo)</t>
      </is>
    </nc>
  </rcc>
  <rcc rId="19992" sId="10">
    <nc r="AA11">
      <v>7</v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93" sId="10">
    <oc r="AA11">
      <v>7</v>
    </oc>
    <nc r="AA11"/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94" sId="8">
    <nc r="AC16">
      <v>5</v>
    </nc>
  </rcc>
  <rcc rId="19995" sId="8">
    <nc r="AC18" t="inlineStr">
      <is>
        <t>CONFERÊNCIA DE 05 CAIXAS SNAS/DNIT E ARQUIVAMENTO DAS 50 RECEBIDAS</t>
      </is>
    </nc>
  </rcc>
  <rcc rId="19996" sId="8">
    <nc r="AD18" t="inlineStr">
      <is>
        <t>FERIADO</t>
      </is>
    </nc>
  </rcc>
  <rcc rId="19997" sId="8">
    <nc r="AE18" t="inlineStr">
      <is>
        <t>PONTO FACUTATIVO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TOTAL!$A$1:$A$19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6">
  <userInfo guid="{5F6CF508-BB08-4538-AA35-FD2E6AF04887}" name="Danilo Rafael Basilio da Silva" id="-1332248911" dateTime="2026-05-18T11:50:44"/>
  <userInfo guid="{C5388791-7CA5-45DF-949A-77A7C84D45ED}" name="Alessandro Borges de Araújo" id="-864260375" dateTime="2026-05-18T15:27:05"/>
  <userInfo guid="{58A544B4-160D-4E4E-997A-0D5D0DC089FA}" name="Alessandro Borges de Araújo" id="-864226041" dateTime="2026-05-19T09:56:19"/>
  <userInfo guid="{21A8502D-2AE7-4BE6-86E0-CEB39402A580}" name="Alessandro Borges de Araújo" id="-864240152" dateTime="2026-05-25T12:38:39"/>
  <userInfo guid="{6E4845C7-EDFE-4819-AC7D-03DC838BAC05}" name="Alessandro Borges de Araújo" id="-864266211" dateTime="2026-06-08T09:54:23"/>
  <userInfo guid="{1C2202EF-3E54-4201-97AD-714C86820A7E}" name="Diego Santos de Abreu" id="-678697632" dateTime="2026-06-16T08:54:07"/>
</us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3" sqref="B13"/>
    </sheetView>
  </sheetViews>
  <sheetFormatPr defaultRowHeight="15" x14ac:dyDescent="0.25"/>
  <cols>
    <col min="1" max="1" width="77.42578125" bestFit="1" customWidth="1"/>
    <col min="2" max="2" width="97.42578125" customWidth="1"/>
  </cols>
  <sheetData>
    <row r="1" spans="1:2" ht="24" x14ac:dyDescent="0.25">
      <c r="A1" s="22" t="s">
        <v>9</v>
      </c>
      <c r="B1" s="21" t="s">
        <v>29</v>
      </c>
    </row>
    <row r="2" spans="1:2" ht="18.75" x14ac:dyDescent="0.25">
      <c r="A2" s="23" t="s">
        <v>18</v>
      </c>
      <c r="B2" s="27" t="s">
        <v>30</v>
      </c>
    </row>
    <row r="3" spans="1:2" ht="31.5" x14ac:dyDescent="0.25">
      <c r="A3" s="24" t="s">
        <v>0</v>
      </c>
      <c r="B3" s="28" t="s">
        <v>31</v>
      </c>
    </row>
    <row r="4" spans="1:2" ht="18.75" x14ac:dyDescent="0.25">
      <c r="A4" s="25" t="s">
        <v>17</v>
      </c>
      <c r="B4" s="27" t="s">
        <v>30</v>
      </c>
    </row>
    <row r="5" spans="1:2" ht="18.75" x14ac:dyDescent="0.25">
      <c r="A5" s="26" t="s">
        <v>16</v>
      </c>
      <c r="B5" s="28" t="s">
        <v>32</v>
      </c>
    </row>
    <row r="6" spans="1:2" ht="31.5" x14ac:dyDescent="0.25">
      <c r="A6" s="25" t="s">
        <v>1</v>
      </c>
      <c r="B6" s="30" t="s">
        <v>33</v>
      </c>
    </row>
    <row r="7" spans="1:2" ht="18.75" x14ac:dyDescent="0.25">
      <c r="A7" s="26" t="s">
        <v>2</v>
      </c>
      <c r="B7" s="28" t="s">
        <v>23</v>
      </c>
    </row>
    <row r="8" spans="1:2" ht="18.75" x14ac:dyDescent="0.25">
      <c r="A8" s="25" t="s">
        <v>3</v>
      </c>
      <c r="B8" s="30" t="s">
        <v>34</v>
      </c>
    </row>
    <row r="9" spans="1:2" ht="18.75" x14ac:dyDescent="0.25">
      <c r="A9" s="26" t="s">
        <v>25</v>
      </c>
      <c r="B9" s="28" t="s">
        <v>23</v>
      </c>
    </row>
    <row r="10" spans="1:2" ht="18.75" x14ac:dyDescent="0.25">
      <c r="A10" s="25" t="s">
        <v>12</v>
      </c>
      <c r="B10" s="29" t="s">
        <v>23</v>
      </c>
    </row>
    <row r="11" spans="1:2" ht="18.75" x14ac:dyDescent="0.25">
      <c r="A11" s="26" t="s">
        <v>4</v>
      </c>
      <c r="B11" s="31" t="s">
        <v>23</v>
      </c>
    </row>
    <row r="12" spans="1:2" ht="18.75" x14ac:dyDescent="0.25">
      <c r="A12" s="25" t="s">
        <v>5</v>
      </c>
      <c r="B12" s="30" t="s">
        <v>23</v>
      </c>
    </row>
    <row r="13" spans="1:2" ht="37.5" x14ac:dyDescent="0.25">
      <c r="A13" s="26" t="s">
        <v>8</v>
      </c>
      <c r="B13" s="28" t="s">
        <v>37</v>
      </c>
    </row>
    <row r="14" spans="1:2" ht="18.75" x14ac:dyDescent="0.25">
      <c r="A14" s="25" t="s">
        <v>6</v>
      </c>
      <c r="B14" s="30" t="s">
        <v>26</v>
      </c>
    </row>
    <row r="15" spans="1:2" ht="31.5" x14ac:dyDescent="0.25">
      <c r="A15" s="24" t="s">
        <v>19</v>
      </c>
      <c r="B15" s="28" t="s">
        <v>35</v>
      </c>
    </row>
    <row r="16" spans="1:2" ht="31.5" x14ac:dyDescent="0.25">
      <c r="A16" s="23" t="s">
        <v>14</v>
      </c>
      <c r="B16" s="30" t="s">
        <v>36</v>
      </c>
    </row>
  </sheetData>
  <customSheetViews>
    <customSheetView guid="{E3841903-5B68-44FD-8F09-58E03D1025C5}">
      <selection activeCell="B13" sqref="B13"/>
      <pageMargins left="0.511811024" right="0.511811024" top="0.78740157499999996" bottom="0.78740157499999996" header="0.31496062000000002" footer="0.31496062000000002"/>
    </customSheetView>
    <customSheetView guid="{18A482E0-C8B6-4AA1-9E04-15FA7C9CD5E3}">
      <selection activeCell="B13" sqref="B13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B13" sqref="B13"/>
      <pageMargins left="0.511811024" right="0.511811024" top="0.78740157499999996" bottom="0.78740157499999996" header="0.31496062000000002" footer="0.31496062000000002"/>
    </customSheetView>
    <customSheetView guid="{3D987F8E-A6EA-454D-9537-6BFC5053CB00}">
      <selection activeCell="B13" sqref="B13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B13" sqref="B13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B13" sqref="B13"/>
      <pageMargins left="0.511811024" right="0.511811024" top="0.78740157499999996" bottom="0.78740157499999996" header="0.31496062000000002" footer="0.31496062000000002"/>
    </customSheetView>
    <customSheetView guid="{9B623083-AA7B-440B-95EA-C33E1AB3D963}">
      <selection activeCell="B13" sqref="B13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5"/>
  <sheetViews>
    <sheetView workbookViewId="0">
      <selection activeCell="A9" sqref="A9:XFD9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8" width="7.140625" style="1" bestFit="1" customWidth="1"/>
    <col min="19" max="19" width="7.5703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16384" width="9.140625" style="1"/>
  </cols>
  <sheetData>
    <row r="1" spans="1:56" x14ac:dyDescent="0.25">
      <c r="A1" s="14" t="s">
        <v>9</v>
      </c>
      <c r="B1" s="5"/>
      <c r="C1" s="32">
        <v>46083</v>
      </c>
      <c r="D1" s="32">
        <v>46084</v>
      </c>
      <c r="E1" s="32">
        <v>46085</v>
      </c>
      <c r="F1" s="32">
        <v>46086</v>
      </c>
      <c r="G1" s="32">
        <v>46087</v>
      </c>
      <c r="H1" s="10" t="s">
        <v>15</v>
      </c>
      <c r="I1" s="32">
        <v>46090</v>
      </c>
      <c r="J1" s="32">
        <v>46091</v>
      </c>
      <c r="K1" s="32">
        <v>46092</v>
      </c>
      <c r="L1" s="32">
        <v>46093</v>
      </c>
      <c r="M1" s="32">
        <v>46094</v>
      </c>
      <c r="N1" s="10" t="s">
        <v>15</v>
      </c>
      <c r="O1" s="19">
        <v>46097</v>
      </c>
      <c r="P1" s="19">
        <v>46098</v>
      </c>
      <c r="Q1" s="19">
        <v>46099</v>
      </c>
      <c r="R1" s="19">
        <v>46100</v>
      </c>
      <c r="S1" s="19">
        <v>46101</v>
      </c>
      <c r="T1" s="10" t="s">
        <v>15</v>
      </c>
      <c r="U1" s="32">
        <v>46104</v>
      </c>
      <c r="V1" s="32">
        <v>46105</v>
      </c>
      <c r="W1" s="32">
        <v>46106</v>
      </c>
      <c r="X1" s="32">
        <v>46107</v>
      </c>
      <c r="Y1" s="32">
        <v>46108</v>
      </c>
      <c r="Z1" s="10" t="s">
        <v>15</v>
      </c>
      <c r="AA1" s="32">
        <v>46111</v>
      </c>
      <c r="AB1" s="32">
        <v>46112</v>
      </c>
      <c r="AC1" s="32">
        <v>46113</v>
      </c>
      <c r="AD1" s="32">
        <v>46114</v>
      </c>
      <c r="AE1" s="32">
        <v>46115</v>
      </c>
      <c r="AF1" s="10" t="s">
        <v>15</v>
      </c>
      <c r="AG1" s="32">
        <v>46118</v>
      </c>
      <c r="AH1" s="32">
        <v>46119</v>
      </c>
      <c r="AI1" s="32">
        <v>46120</v>
      </c>
      <c r="AJ1" s="32">
        <v>46121</v>
      </c>
      <c r="AK1" s="32">
        <v>46122</v>
      </c>
      <c r="AL1" s="10" t="s">
        <v>15</v>
      </c>
      <c r="AM1" s="32">
        <v>46125</v>
      </c>
      <c r="AN1" s="32">
        <v>46126</v>
      </c>
      <c r="AO1" s="32">
        <v>46127</v>
      </c>
      <c r="AP1" s="32">
        <v>46128</v>
      </c>
      <c r="AQ1" s="32">
        <v>46129</v>
      </c>
      <c r="AR1" s="10" t="s">
        <v>15</v>
      </c>
      <c r="AS1" s="19">
        <v>46132</v>
      </c>
      <c r="AT1" s="19">
        <v>46133</v>
      </c>
      <c r="AU1" s="19">
        <v>46134</v>
      </c>
      <c r="AV1" s="19">
        <v>46135</v>
      </c>
      <c r="AW1" s="67">
        <v>46136</v>
      </c>
      <c r="AX1" s="10" t="s">
        <v>15</v>
      </c>
      <c r="AY1" s="67">
        <v>46139</v>
      </c>
      <c r="AZ1" s="67">
        <v>46140</v>
      </c>
      <c r="BA1" s="67">
        <v>46141</v>
      </c>
      <c r="BB1" s="67">
        <v>46142</v>
      </c>
      <c r="BC1" s="67">
        <v>46143</v>
      </c>
      <c r="BD1" s="10" t="s">
        <v>15</v>
      </c>
    </row>
    <row r="2" spans="1:56" x14ac:dyDescent="0.25">
      <c r="A2" s="2" t="s">
        <v>8</v>
      </c>
      <c r="B2" s="17">
        <v>1</v>
      </c>
      <c r="C2" s="11"/>
      <c r="G2" s="62"/>
      <c r="H2" s="33">
        <f t="shared" ref="H2:H3" si="0">SUM(C2:G2)</f>
        <v>0</v>
      </c>
      <c r="N2" s="33">
        <f t="shared" ref="N2:N3" si="1">SUM(I2:M2)</f>
        <v>0</v>
      </c>
      <c r="T2" s="33">
        <f t="shared" ref="T2:T3" si="2">SUM(O2:S2)</f>
        <v>0</v>
      </c>
      <c r="Z2" s="33">
        <f t="shared" ref="Z2:Z3" si="3">SUM(U2:Y2)</f>
        <v>0</v>
      </c>
      <c r="AF2" s="33">
        <f t="shared" ref="AF2:AF3" si="4">SUM(AA2:AE2)</f>
        <v>0</v>
      </c>
      <c r="AL2" s="33">
        <f t="shared" ref="AL2:AL3" si="5">SUM(AG2:AK2)</f>
        <v>0</v>
      </c>
      <c r="AR2" s="33">
        <f t="shared" ref="AR2:AR3" si="6">SUM(AM2:AQ2)</f>
        <v>0</v>
      </c>
      <c r="AX2" s="33">
        <f t="shared" ref="AX2:AX3" si="7">SUM(AS2:AW2)</f>
        <v>0</v>
      </c>
      <c r="BD2" s="33">
        <f>SUM(AY2:BC2)</f>
        <v>0</v>
      </c>
    </row>
    <row r="3" spans="1:56" x14ac:dyDescent="0.25">
      <c r="A3" s="3" t="s">
        <v>6</v>
      </c>
      <c r="B3" s="16">
        <v>2</v>
      </c>
      <c r="C3" s="12"/>
      <c r="D3" s="13"/>
      <c r="E3" s="13"/>
      <c r="F3" s="13"/>
      <c r="G3" s="63"/>
      <c r="H3" s="34">
        <f t="shared" si="0"/>
        <v>0</v>
      </c>
      <c r="I3" s="13"/>
      <c r="J3" s="13"/>
      <c r="K3" s="13"/>
      <c r="L3" s="13"/>
      <c r="M3" s="13"/>
      <c r="N3" s="34">
        <f t="shared" si="1"/>
        <v>0</v>
      </c>
      <c r="O3" s="13"/>
      <c r="P3" s="13"/>
      <c r="Q3" s="13"/>
      <c r="R3" s="13"/>
      <c r="S3" s="13"/>
      <c r="T3" s="34">
        <f t="shared" si="2"/>
        <v>0</v>
      </c>
      <c r="U3" s="13"/>
      <c r="V3" s="13"/>
      <c r="W3" s="13"/>
      <c r="X3" s="13"/>
      <c r="Y3" s="13"/>
      <c r="Z3" s="34">
        <f t="shared" si="3"/>
        <v>0</v>
      </c>
      <c r="AA3" s="13"/>
      <c r="AB3" s="13"/>
      <c r="AC3" s="13"/>
      <c r="AD3" s="13"/>
      <c r="AE3" s="13"/>
      <c r="AF3" s="34">
        <f t="shared" si="4"/>
        <v>0</v>
      </c>
      <c r="AG3" s="13"/>
      <c r="AH3" s="13"/>
      <c r="AI3" s="13"/>
      <c r="AJ3" s="13"/>
      <c r="AK3" s="13"/>
      <c r="AL3" s="34">
        <f t="shared" si="5"/>
        <v>0</v>
      </c>
      <c r="AM3" s="13"/>
      <c r="AN3" s="13"/>
      <c r="AO3" s="13"/>
      <c r="AP3" s="13"/>
      <c r="AQ3" s="13"/>
      <c r="AR3" s="34">
        <f t="shared" si="6"/>
        <v>0</v>
      </c>
      <c r="AS3" s="13"/>
      <c r="AT3" s="13"/>
      <c r="AU3" s="13"/>
      <c r="AV3" s="13"/>
      <c r="AW3" s="13"/>
      <c r="AX3" s="34">
        <f t="shared" si="7"/>
        <v>0</v>
      </c>
      <c r="AY3" s="13"/>
      <c r="AZ3" s="13"/>
      <c r="BA3" s="13"/>
      <c r="BB3" s="13"/>
      <c r="BC3" s="13"/>
      <c r="BD3" s="34">
        <f>SUM(AY3:BC3)</f>
        <v>0</v>
      </c>
    </row>
    <row r="4" spans="1:56" x14ac:dyDescent="0.25">
      <c r="A4" s="1" t="s">
        <v>11</v>
      </c>
    </row>
    <row r="5" spans="1:56" x14ac:dyDescent="0.25">
      <c r="A5" s="1" t="s">
        <v>10</v>
      </c>
    </row>
  </sheetData>
  <customSheetViews>
    <customSheetView guid="{E3841903-5B68-44FD-8F09-58E03D1025C5}">
      <selection activeCell="A9" sqref="A9:XFD9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T1" activePane="topRight" state="frozen"/>
      <selection pane="topRight" activeCell="CE1" sqref="CE1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A14" sqref="A14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D12" sqref="D12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A16" sqref="A16:XFD16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AW1" activePane="topRight" state="frozen"/>
      <selection pane="topRight" activeCell="BA11" sqref="BA11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>
      <selection activeCell="A14" sqref="A14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86039CF8-B158-4D70-9A6F-A10C29CBD68A}">
      <selection activeCell="E1" sqref="E1:E1048576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selection activeCell="E4" sqref="E4"/>
      <pageMargins left="0.511811024" right="0.511811024" top="0.78740157499999996" bottom="0.78740157499999996" header="0.31496062000000002" footer="0.31496062000000002"/>
      <autoFilter ref="A1:A5" xr:uid="{5BF81BEB-E0EE-4E44-8DCA-CE2F5BCA6238}"/>
    </customSheetView>
  </customSheetView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5"/>
  <sheetViews>
    <sheetView workbookViewId="0">
      <selection activeCell="A9" sqref="A9:XFD9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8" width="7.140625" style="1" bestFit="1" customWidth="1"/>
    <col min="19" max="19" width="7.5703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16384" width="9.140625" style="1"/>
  </cols>
  <sheetData>
    <row r="1" spans="1:56" x14ac:dyDescent="0.25">
      <c r="A1" s="14" t="s">
        <v>9</v>
      </c>
      <c r="B1" s="5"/>
      <c r="C1" s="32">
        <v>46083</v>
      </c>
      <c r="D1" s="32">
        <v>46084</v>
      </c>
      <c r="E1" s="32">
        <v>46085</v>
      </c>
      <c r="F1" s="32">
        <v>46086</v>
      </c>
      <c r="G1" s="32">
        <v>46087</v>
      </c>
      <c r="H1" s="10" t="s">
        <v>15</v>
      </c>
      <c r="I1" s="32">
        <v>46090</v>
      </c>
      <c r="J1" s="32">
        <v>46091</v>
      </c>
      <c r="K1" s="32">
        <v>46092</v>
      </c>
      <c r="L1" s="32">
        <v>46093</v>
      </c>
      <c r="M1" s="32">
        <v>46094</v>
      </c>
      <c r="N1" s="10" t="s">
        <v>15</v>
      </c>
      <c r="O1" s="19">
        <v>46097</v>
      </c>
      <c r="P1" s="19">
        <v>46098</v>
      </c>
      <c r="Q1" s="19">
        <v>46099</v>
      </c>
      <c r="R1" s="19">
        <v>46100</v>
      </c>
      <c r="S1" s="19">
        <v>46101</v>
      </c>
      <c r="T1" s="10" t="s">
        <v>15</v>
      </c>
      <c r="U1" s="32">
        <v>46104</v>
      </c>
      <c r="V1" s="32">
        <v>46105</v>
      </c>
      <c r="W1" s="32">
        <v>46106</v>
      </c>
      <c r="X1" s="32">
        <v>46107</v>
      </c>
      <c r="Y1" s="32">
        <v>46108</v>
      </c>
      <c r="Z1" s="10" t="s">
        <v>15</v>
      </c>
      <c r="AA1" s="32">
        <v>46111</v>
      </c>
      <c r="AB1" s="32">
        <v>46112</v>
      </c>
      <c r="AC1" s="32">
        <v>46113</v>
      </c>
      <c r="AD1" s="32">
        <v>46114</v>
      </c>
      <c r="AE1" s="32">
        <v>46115</v>
      </c>
      <c r="AF1" s="10" t="s">
        <v>15</v>
      </c>
      <c r="AG1" s="32">
        <v>46118</v>
      </c>
      <c r="AH1" s="32">
        <v>46119</v>
      </c>
      <c r="AI1" s="32">
        <v>46120</v>
      </c>
      <c r="AJ1" s="32">
        <v>46121</v>
      </c>
      <c r="AK1" s="32">
        <v>46122</v>
      </c>
      <c r="AL1" s="10" t="s">
        <v>15</v>
      </c>
      <c r="AM1" s="32">
        <v>46125</v>
      </c>
      <c r="AN1" s="32">
        <v>46126</v>
      </c>
      <c r="AO1" s="32">
        <v>46127</v>
      </c>
      <c r="AP1" s="32">
        <v>46128</v>
      </c>
      <c r="AQ1" s="32">
        <v>46129</v>
      </c>
      <c r="AR1" s="10" t="s">
        <v>15</v>
      </c>
      <c r="AS1" s="19">
        <v>46132</v>
      </c>
      <c r="AT1" s="19">
        <v>46133</v>
      </c>
      <c r="AU1" s="19">
        <v>46134</v>
      </c>
      <c r="AV1" s="19">
        <v>46135</v>
      </c>
      <c r="AW1" s="67">
        <v>46136</v>
      </c>
      <c r="AX1" s="10" t="s">
        <v>15</v>
      </c>
      <c r="AY1" s="67">
        <v>46139</v>
      </c>
      <c r="AZ1" s="67">
        <v>46140</v>
      </c>
      <c r="BA1" s="67">
        <v>46141</v>
      </c>
      <c r="BB1" s="67">
        <v>46142</v>
      </c>
      <c r="BC1" s="67">
        <v>46143</v>
      </c>
      <c r="BD1" s="10" t="s">
        <v>15</v>
      </c>
    </row>
    <row r="2" spans="1:56" ht="30" x14ac:dyDescent="0.25">
      <c r="A2" s="2" t="s">
        <v>8</v>
      </c>
      <c r="B2" s="17">
        <v>1</v>
      </c>
      <c r="H2" s="65">
        <f>SUM(C2:G2)</f>
        <v>0</v>
      </c>
      <c r="N2" s="65">
        <f>SUM(I2:M2)</f>
        <v>0</v>
      </c>
      <c r="T2" s="65">
        <f>SUM(O2:S2)</f>
        <v>0</v>
      </c>
      <c r="Z2" s="65">
        <f>SUM(U2:Y2)</f>
        <v>0</v>
      </c>
      <c r="AF2" s="65">
        <f>SUM(AA2:AE2)</f>
        <v>0</v>
      </c>
      <c r="AL2" s="65">
        <f>SUM(AG2:AK2)</f>
        <v>0</v>
      </c>
      <c r="AR2" s="65">
        <f>SUM(AM2:AQ2)</f>
        <v>0</v>
      </c>
      <c r="AX2" s="65">
        <f>SUM(AS2:AW2)</f>
        <v>0</v>
      </c>
      <c r="BD2" s="65">
        <f>SUM(AY2:BC2)</f>
        <v>0</v>
      </c>
    </row>
    <row r="3" spans="1:56" x14ac:dyDescent="0.25">
      <c r="A3" s="3" t="s">
        <v>6</v>
      </c>
      <c r="B3" s="64">
        <v>2</v>
      </c>
      <c r="C3" s="13"/>
      <c r="D3" s="13"/>
      <c r="E3" s="13"/>
      <c r="F3" s="13"/>
      <c r="G3" s="13"/>
      <c r="H3" s="66">
        <f>SUM(C3:G3)</f>
        <v>0</v>
      </c>
      <c r="I3" s="13"/>
      <c r="J3" s="13"/>
      <c r="K3" s="13"/>
      <c r="L3" s="13"/>
      <c r="M3" s="13"/>
      <c r="N3" s="66">
        <f>SUM(I3:M3)</f>
        <v>0</v>
      </c>
      <c r="O3" s="13"/>
      <c r="P3" s="13"/>
      <c r="Q3" s="13"/>
      <c r="R3" s="13"/>
      <c r="S3" s="13"/>
      <c r="T3" s="66">
        <f>SUM(O3:S3)</f>
        <v>0</v>
      </c>
      <c r="U3" s="13"/>
      <c r="V3" s="13"/>
      <c r="W3" s="13"/>
      <c r="X3" s="13"/>
      <c r="Y3" s="13"/>
      <c r="Z3" s="66">
        <f>SUM(U3:Y3)</f>
        <v>0</v>
      </c>
      <c r="AA3" s="13"/>
      <c r="AB3" s="13"/>
      <c r="AC3" s="13"/>
      <c r="AD3" s="13"/>
      <c r="AE3" s="13"/>
      <c r="AF3" s="66">
        <f>SUM(AA3:AE3)</f>
        <v>0</v>
      </c>
      <c r="AG3" s="13"/>
      <c r="AH3" s="13"/>
      <c r="AI3" s="13"/>
      <c r="AJ3" s="13"/>
      <c r="AK3" s="13"/>
      <c r="AL3" s="66">
        <f>SUM(AG3:AK3)</f>
        <v>0</v>
      </c>
      <c r="AM3" s="13"/>
      <c r="AN3" s="13"/>
      <c r="AO3" s="13"/>
      <c r="AP3" s="13"/>
      <c r="AQ3" s="13"/>
      <c r="AR3" s="66">
        <f>SUM(AM3:AQ3)</f>
        <v>0</v>
      </c>
      <c r="AS3" s="13"/>
      <c r="AT3" s="13"/>
      <c r="AU3" s="13"/>
      <c r="AV3" s="13"/>
      <c r="AW3" s="13"/>
      <c r="AX3" s="66">
        <f>SUM(AS3:AW3)</f>
        <v>0</v>
      </c>
      <c r="AY3" s="13"/>
      <c r="AZ3" s="13"/>
      <c r="BA3" s="13"/>
      <c r="BB3" s="13"/>
      <c r="BC3" s="13"/>
      <c r="BD3" s="66">
        <f>SUM(AY3:BC3)</f>
        <v>0</v>
      </c>
    </row>
    <row r="4" spans="1:56" x14ac:dyDescent="0.25">
      <c r="A4" s="1" t="s">
        <v>11</v>
      </c>
    </row>
    <row r="5" spans="1:56" x14ac:dyDescent="0.25">
      <c r="A5" s="1" t="s">
        <v>10</v>
      </c>
    </row>
  </sheetData>
  <customSheetViews>
    <customSheetView guid="{E3841903-5B68-44FD-8F09-58E03D1025C5}">
      <selection activeCell="A9" sqref="A9:XFD9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S1" activePane="topRight" state="frozen"/>
      <selection pane="topRight" activeCell="CF1" sqref="CF1"/>
      <pageMargins left="0.511811024" right="0.511811024" top="0.78740157499999996" bottom="0.78740157499999996" header="0.31496062000000002" footer="0.31496062000000002"/>
    </customSheetView>
    <customSheetView guid="{C69767F5-CD39-44C1-AD4B-CE19DC8285A6}" topLeftCell="A12">
      <selection activeCell="A9" sqref="A9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C13" sqref="C13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E1" sqref="E1:E1048576"/>
      <pageMargins left="0.511811024" right="0.511811024" top="0.78740157499999996" bottom="0.78740157499999996" header="0.31496062000000002" footer="0.31496062000000002"/>
    </customSheetView>
    <customSheetView guid="{3D987F8E-A6EA-454D-9537-6BFC5053CB00}" topLeftCell="AN1">
      <selection activeCell="AW21" sqref="AW21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 topLeftCell="A12">
      <selection activeCell="A9" sqref="A9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86039CF8-B158-4D70-9A6F-A10C29CBD68A}">
      <selection activeCell="S1" sqref="S1:S1048576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selection sqref="A1:XFD1048576"/>
      <pageMargins left="0.511811024" right="0.511811024" top="0.78740157499999996" bottom="0.78740157499999996" header="0.31496062000000002" footer="0.31496062000000002"/>
      <autoFilter ref="A1:A5" xr:uid="{92B1027F-F690-464C-B210-F08490F5ACF3}"/>
    </customSheetView>
  </customSheetView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zoomScaleNormal="110" workbookViewId="0">
      <selection activeCell="C1" sqref="C1:C1048576"/>
    </sheetView>
  </sheetViews>
  <sheetFormatPr defaultRowHeight="15" x14ac:dyDescent="0.25"/>
  <cols>
    <col min="1" max="1" width="77.140625" customWidth="1"/>
    <col min="2" max="2" width="46.42578125" style="6" customWidth="1"/>
    <col min="3" max="3" width="9.5703125" customWidth="1"/>
    <col min="4" max="4" width="9.28515625" customWidth="1"/>
    <col min="5" max="5" width="11.7109375" customWidth="1"/>
    <col min="6" max="6" width="10.140625" customWidth="1"/>
    <col min="7" max="8" width="9.28515625" bestFit="1" customWidth="1"/>
    <col min="9" max="9" width="13.85546875" bestFit="1" customWidth="1"/>
    <col min="10" max="10" width="9.28515625" bestFit="1" customWidth="1"/>
  </cols>
  <sheetData>
    <row r="1" spans="1:11" ht="36" x14ac:dyDescent="0.25">
      <c r="A1" s="44" t="s">
        <v>9</v>
      </c>
      <c r="B1" s="45" t="s">
        <v>20</v>
      </c>
      <c r="C1" s="46" t="s">
        <v>41</v>
      </c>
      <c r="D1" s="46" t="s">
        <v>42</v>
      </c>
      <c r="E1" s="46" t="s">
        <v>43</v>
      </c>
      <c r="F1" s="46" t="s">
        <v>44</v>
      </c>
      <c r="G1" s="46" t="s">
        <v>45</v>
      </c>
      <c r="H1" s="46" t="s">
        <v>46</v>
      </c>
      <c r="I1" s="69" t="s">
        <v>47</v>
      </c>
      <c r="J1" s="46" t="s">
        <v>48</v>
      </c>
      <c r="K1" s="46" t="s">
        <v>49</v>
      </c>
    </row>
    <row r="2" spans="1:11" x14ac:dyDescent="0.25">
      <c r="A2" s="47" t="s">
        <v>18</v>
      </c>
      <c r="B2" s="48" t="s">
        <v>21</v>
      </c>
      <c r="C2" s="49">
        <f>Diego!H2+Aelton!H2+Leonam!H2+Danilo!H2+Marcos!H2+Alessandro!H2</f>
        <v>0</v>
      </c>
      <c r="D2" s="49">
        <f>Diego!N2+Aelton!N2+Leonam!N2+Danilo!N2+Marcos!N2+Alessandro!AL2+Carlos!N2</f>
        <v>0</v>
      </c>
      <c r="E2" s="49">
        <f>Diego!T2+Aelton!T2+Leonam!T2+Danilo!T2+Marcos!T2+Alessandro!T2</f>
        <v>0</v>
      </c>
      <c r="F2" s="49">
        <f>Diego!Z2+Aelton!Z2+Leonam!Z2+Danilo!Z2+Marcos!Z2+Alessandro!Z2</f>
        <v>0</v>
      </c>
      <c r="G2" s="49">
        <f>Diego!AF2+Aelton!AF2+Leonam!AF2+Danilo!AF2+Marcos!AF2+Alessandro!AF2</f>
        <v>0</v>
      </c>
      <c r="H2" s="49">
        <f>Diego!AL2+Aelton!AL2+Leonam!AL2+Danilo!AL2+Marcos!AL2+Alessandro!AL2</f>
        <v>0</v>
      </c>
      <c r="I2" s="49">
        <f>Diego!AR2+Aelton!AR2+Leonam!AR2+Danilo!AR2+Marcos!AR2+Alessandro!AR2</f>
        <v>0</v>
      </c>
      <c r="J2" s="49">
        <f>Diego!AX2+Aelton!AX2+Leonam!AX2+Danilo!AX2+Marcos!AX2+Alessandro!AX2</f>
        <v>0</v>
      </c>
      <c r="K2" s="49">
        <f>Diego!BA2+Aelton!BA2+Leonam!BA2+Danilo!BA2+Marcos!BA2+Alessandro!BA2+Carlos!BA2</f>
        <v>0</v>
      </c>
    </row>
    <row r="3" spans="1:11" s="58" customFormat="1" ht="24" x14ac:dyDescent="0.25">
      <c r="A3" s="56" t="s">
        <v>0</v>
      </c>
      <c r="B3" s="57" t="s">
        <v>22</v>
      </c>
      <c r="C3" s="50">
        <f>Diego!H3+Aelton!H3+Leonam!H3+Danilo!H3+Marcos!H3+Alessandro!H3</f>
        <v>0</v>
      </c>
      <c r="D3" s="50">
        <f>Diego!N3+Aelton!N3+Leonam!N3+Danilo!N3+Marcos!N3+Alessandro!AL3+Carlos!N3</f>
        <v>0</v>
      </c>
      <c r="E3" s="50">
        <f>Diego!T3+Aelton!T3+Leonam!T3+Danilo!T3+Marcos!T3+Alessandro!T3</f>
        <v>0</v>
      </c>
      <c r="F3" s="50">
        <f>Diego!Z3+Aelton!Z3+Leonam!Z3+Danilo!Z3+Marcos!Z3+Alessandro!Z3</f>
        <v>0</v>
      </c>
      <c r="G3" s="50">
        <f>Diego!AF3+Aelton!AF3+Leonam!AF3+Danilo!AF3+Marcos!AF3+Alessandro!AF3</f>
        <v>0</v>
      </c>
      <c r="H3" s="50">
        <f>Diego!AL3+Aelton!AL3+Leonam!AL3+Danilo!AL3+Marcos!AL3+Alessandro!AL3</f>
        <v>70</v>
      </c>
      <c r="I3" s="50">
        <f>Diego!AR3+Aelton!AR3+Leonam!AR3+Danilo!AR3+Marcos!AR3+Alessandro!AR3</f>
        <v>0</v>
      </c>
      <c r="J3" s="50">
        <f>Diego!AX3+Aelton!AX3+Leonam!AX3+Danilo!AX3+Marcos!AX3+Alessandro!AX3</f>
        <v>0</v>
      </c>
      <c r="K3" s="50">
        <f>Diego!BA3+Aelton!BA3+Leonam!BA3+Danilo!BA3+Marcos!BA3+Alessandro!BA3+Carlos!BA3</f>
        <v>0</v>
      </c>
    </row>
    <row r="4" spans="1:11" x14ac:dyDescent="0.25">
      <c r="A4" s="51" t="s">
        <v>17</v>
      </c>
      <c r="B4" s="52" t="s">
        <v>21</v>
      </c>
      <c r="C4" s="49">
        <f>Diego!H4+Aelton!H4+Leonam!H4+Danilo!H4+Marcos!H4+Alessandro!H4</f>
        <v>57</v>
      </c>
      <c r="D4" s="49">
        <f>Diego!N4+Aelton!N4+Leonam!N4+Danilo!N4+Marcos!N4+Alessandro!N4</f>
        <v>0</v>
      </c>
      <c r="E4" s="49">
        <f>Diego!T4+Aelton!T4+Leonam!T4+Danilo!T4+Marcos!T4+Alessandro!T4</f>
        <v>0</v>
      </c>
      <c r="F4" s="49">
        <f>Diego!Z4+Aelton!Z4+Leonam!Z4+Danilo!Z4+Marcos!Z4+Alessandro!Z4</f>
        <v>0</v>
      </c>
      <c r="G4" s="49">
        <f>Diego!AF4+Aelton!AF4+Leonam!AF4+Danilo!AF4+Marcos!AF4+Alessandro!AF4</f>
        <v>0</v>
      </c>
      <c r="H4" s="49">
        <f>Diego!AL4+Aelton!AL4+Leonam!AL4+Danilo!AL4+Marcos!AL4+Alessandro!AL4</f>
        <v>50</v>
      </c>
      <c r="I4" s="49">
        <f>Diego!AR4+Aelton!AR4+Leonam!AR4+Danilo!AR4+Marcos!AR4+Alessandro!AR4</f>
        <v>0</v>
      </c>
      <c r="J4" s="49">
        <f>Diego!AX4+Aelton!AX4+Leonam!AX4+Danilo!AX4+Marcos!AX4+Alessandro!AX4</f>
        <v>0</v>
      </c>
      <c r="K4" s="49">
        <f>Diego!BA4+Aelton!BA4+Leonam!BA4+Danilo!BA4+Marcos!BA4+Alessandro!BA4+Carlos!BA4</f>
        <v>0</v>
      </c>
    </row>
    <row r="5" spans="1:11" s="58" customFormat="1" x14ac:dyDescent="0.25">
      <c r="A5" s="59" t="s">
        <v>16</v>
      </c>
      <c r="B5" s="57" t="s">
        <v>21</v>
      </c>
      <c r="C5" s="50">
        <f>Diego!H5+Aelton!H5+Leonam!H5+Danilo!H5+Marcos!H5+Alessandro!H5</f>
        <v>0</v>
      </c>
      <c r="D5" s="50">
        <f>Diego!N5+Aelton!N5+Leonam!N5+Danilo!N5+Marcos!N5+Alessandro!N5</f>
        <v>0</v>
      </c>
      <c r="E5" s="50">
        <f>Diego!T5+Aelton!T5+Leonam!T5+Danilo!T5+Marcos!T5+Alessandro!T5</f>
        <v>0</v>
      </c>
      <c r="F5" s="50">
        <f>Diego!Z5+Aelton!Z5+Leonam!Z5+Danilo!Z5+Marcos!Z5+Alessandro!Z5</f>
        <v>0</v>
      </c>
      <c r="G5" s="50">
        <f>Diego!AF5+Aelton!AF5+Leonam!AF5+Danilo!AF5+Marcos!AF5+Alessandro!AF5</f>
        <v>0</v>
      </c>
      <c r="H5" s="50">
        <f>Diego!AL5+Aelton!AL5+Leonam!AL5+Danilo!AL5+Marcos!AL5+Alessandro!AL5</f>
        <v>0</v>
      </c>
      <c r="I5" s="50">
        <f>Diego!AR5+Aelton!AR5+Leonam!AR5+Danilo!AR5+Marcos!AR5+Alessandro!AR5</f>
        <v>0</v>
      </c>
      <c r="J5" s="50">
        <f>Diego!AX5+Aelton!AX5+Leonam!AX5+Danilo!AX5+Marcos!AX5+Alessandro!AX5</f>
        <v>0</v>
      </c>
      <c r="K5" s="50">
        <f>Diego!BA5+Aelton!BA5+Leonam!BA5+Danilo!BA5+Marcos!BA5+Alessandro!BA5+Carlos!BA5</f>
        <v>0</v>
      </c>
    </row>
    <row r="6" spans="1:11" ht="24" x14ac:dyDescent="0.25">
      <c r="A6" s="51" t="s">
        <v>1</v>
      </c>
      <c r="B6" s="53" t="s">
        <v>38</v>
      </c>
      <c r="C6" s="49">
        <f>Diego!H6+Aelton!H6+Leonam!H6+Danilo!H6+Marcos!H6+Alessandro!H6</f>
        <v>0</v>
      </c>
      <c r="D6" s="49">
        <f>Diego!N6+Aelton!N6+Leonam!N6+Danilo!N6+Marcos!N6+Alessandro!N6</f>
        <v>0</v>
      </c>
      <c r="E6" s="49">
        <f>Diego!T6+Aelton!T6+Leonam!T6+Danilo!T6+Marcos!T6+Alessandro!T6</f>
        <v>0</v>
      </c>
      <c r="F6" s="49">
        <f>Diego!Z6+Aelton!Z6+Leonam!Z6+Danilo!Z6+Marcos!Z6+Alessandro!Z6</f>
        <v>0</v>
      </c>
      <c r="G6" s="49">
        <f>Diego!AF6+Aelton!AF6+Leonam!AF6+Danilo!AF6+Marcos!AF6+Alessandro!AF6</f>
        <v>0</v>
      </c>
      <c r="H6" s="49">
        <f>Diego!AL6+Aelton!AL6+Leonam!AL6+Danilo!AL6+Marcos!AL6+Alessandro!AL6</f>
        <v>0</v>
      </c>
      <c r="I6" s="49">
        <f>Diego!AR6+Aelton!AR6+Leonam!AR6+Danilo!AR6+Marcos!AR6+Alessandro!AR6</f>
        <v>0</v>
      </c>
      <c r="J6" s="49">
        <f>Diego!AX6+Aelton!AX6+Leonam!AX6+Danilo!AX6+Marcos!AX6+Alessandro!AX6</f>
        <v>0</v>
      </c>
      <c r="K6" s="49">
        <f>Diego!BA6+Aelton!BA6+Leonam!BA6+Danilo!BA6+Marcos!BA6+Alessandro!BA6+Carlos!BA6</f>
        <v>0</v>
      </c>
    </row>
    <row r="7" spans="1:11" s="58" customFormat="1" x14ac:dyDescent="0.25">
      <c r="A7" s="59" t="s">
        <v>2</v>
      </c>
      <c r="B7" s="57" t="s">
        <v>23</v>
      </c>
      <c r="C7" s="50">
        <f>Diego!H7+Aelton!H7+Leonam!H7+Danilo!H7+Marcos!H7+Alessandro!H7</f>
        <v>0</v>
      </c>
      <c r="D7" s="50">
        <f>Diego!N7+Aelton!N7+Leonam!N7+Danilo!N7+Marcos!N7+Alessandro!N7</f>
        <v>0</v>
      </c>
      <c r="E7" s="50">
        <f>Diego!T7+Aelton!T7+Leonam!T7+Danilo!T7+Marcos!T7+Alessandro!T7</f>
        <v>0</v>
      </c>
      <c r="F7" s="50">
        <f>Diego!Z7+Aelton!Z7+Leonam!Z7+Danilo!Z7+Marcos!Z7+Alessandro!Z7</f>
        <v>0</v>
      </c>
      <c r="G7" s="50">
        <f>Diego!AF7+Aelton!AF7+Leonam!AF7+Danilo!AF7+Marcos!AF7+Alessandro!AF7</f>
        <v>0</v>
      </c>
      <c r="H7" s="50">
        <f>Diego!AL7+Aelton!AL7+Leonam!AL7+Danilo!AL7+Marcos!AL7+Alessandro!AL7</f>
        <v>0</v>
      </c>
      <c r="I7" s="50">
        <f>Diego!AR7+Aelton!AR7+Leonam!AR7+Danilo!AR7+Marcos!AR7+Alessandro!AR7</f>
        <v>0</v>
      </c>
      <c r="J7" s="50">
        <f>Diego!AX7+Aelton!AX7+Leonam!AX7+Danilo!AX7+Marcos!AX7+Alessandro!AX7</f>
        <v>0</v>
      </c>
      <c r="K7" s="50">
        <f>Diego!BA7+Aelton!BA7+Leonam!BA7+Danilo!BA7+Marcos!BA7+Alessandro!BA7+Carlos!BA7</f>
        <v>0</v>
      </c>
    </row>
    <row r="8" spans="1:11" ht="24" x14ac:dyDescent="0.25">
      <c r="A8" s="51" t="s">
        <v>3</v>
      </c>
      <c r="B8" s="53" t="s">
        <v>24</v>
      </c>
      <c r="C8" s="49">
        <f>Diego!H8+Aelton!H8+Leonam!H8+Danilo!H8+Marcos!H8+Alessandro!H8</f>
        <v>0</v>
      </c>
      <c r="D8" s="49">
        <f>Diego!N8+Aelton!N8+Leonam!N8+Danilo!N8+Marcos!N8+Alessandro!N8</f>
        <v>0</v>
      </c>
      <c r="E8" s="49">
        <f>Diego!T8+Aelton!T8+Leonam!T8+Danilo!T8+Marcos!T8+Alessandro!T8</f>
        <v>0</v>
      </c>
      <c r="F8" s="49">
        <f>Diego!Z8+Aelton!Z8+Leonam!Z8+Danilo!Z8+Marcos!Z8+Alessandro!Z8</f>
        <v>0</v>
      </c>
      <c r="G8" s="49">
        <f>Diego!AF8+Aelton!AF8+Leonam!AF8+Danilo!AF8+Marcos!AF8+Alessandro!AF8</f>
        <v>0</v>
      </c>
      <c r="H8" s="49">
        <f>Diego!AL8+Aelton!AL8+Leonam!AL8+Danilo!AL8+Marcos!AL8+Alessandro!AL8</f>
        <v>0</v>
      </c>
      <c r="I8" s="49">
        <f>Diego!AR8+Aelton!AR8+Leonam!AR8+Danilo!AR8+Marcos!AR8+Alessandro!AR8</f>
        <v>0</v>
      </c>
      <c r="J8" s="49">
        <f>Diego!AX8+Aelton!AX8+Leonam!AX8+Danilo!AX8+Marcos!AX8+Alessandro!AX8</f>
        <v>0</v>
      </c>
      <c r="K8" s="49">
        <f>Diego!BA8+Aelton!BA8+Leonam!BA8+Danilo!BA8+Marcos!BA8+Alessandro!BA8+Carlos!BA8</f>
        <v>0</v>
      </c>
    </row>
    <row r="9" spans="1:11" s="58" customFormat="1" x14ac:dyDescent="0.25">
      <c r="A9" s="59" t="s">
        <v>25</v>
      </c>
      <c r="B9" s="57" t="s">
        <v>23</v>
      </c>
      <c r="C9" s="50">
        <f>Diego!H9+Aelton!H9+Leonam!H9+Danilo!H9+Marcos!H9+Alessandro!H9</f>
        <v>0</v>
      </c>
      <c r="D9" s="50">
        <f>Diego!N9+Aelton!N9+Leonam!N9+Danilo!N9+Marcos!N9+Alessandro!N9</f>
        <v>0</v>
      </c>
      <c r="E9" s="50">
        <f>Diego!T9+Aelton!T9+Leonam!T9+Danilo!T9+Marcos!T9+Alessandro!T9</f>
        <v>0</v>
      </c>
      <c r="F9" s="50">
        <f>Diego!Z9+Aelton!Z9+Leonam!Z9+Danilo!Z9+Marcos!Z9+Alessandro!Z9</f>
        <v>0</v>
      </c>
      <c r="G9" s="50">
        <f>Diego!AF9+Aelton!AF9+Leonam!AF9+Danilo!AF9+Marcos!AF9+Alessandro!AF9</f>
        <v>0</v>
      </c>
      <c r="H9" s="50">
        <f>Diego!AL9+Aelton!AL9+Leonam!AL9+Danilo!AL9+Marcos!AL9+Alessandro!AL9</f>
        <v>0</v>
      </c>
      <c r="I9" s="50">
        <f>Diego!AR9+Aelton!AR9+Leonam!AR9+Danilo!AR9+Marcos!AR9+Alessandro!AR9</f>
        <v>0</v>
      </c>
      <c r="J9" s="50">
        <f>Diego!AX9+Aelton!AX9+Leonam!AX9+Danilo!AX9+Marcos!AX9+Alessandro!AX9</f>
        <v>0</v>
      </c>
      <c r="K9" s="50">
        <f>Diego!BA9+Aelton!BA9+Leonam!BA9+Danilo!BA9+Marcos!BA9+Alessandro!BA9+Carlos!BA9</f>
        <v>0</v>
      </c>
    </row>
    <row r="10" spans="1:11" x14ac:dyDescent="0.25">
      <c r="A10" s="51" t="s">
        <v>12</v>
      </c>
      <c r="B10" s="52" t="s">
        <v>23</v>
      </c>
      <c r="C10" s="49">
        <f>Diego!H10+Aelton!H10+Leonam!H10+Danilo!H10+Marcos!H10+Alessandro!H10</f>
        <v>0</v>
      </c>
      <c r="D10" s="49">
        <f>Diego!N10+Aelton!N10+Leonam!N10+Danilo!N10+Marcos!N10+Alessandro!N10</f>
        <v>0</v>
      </c>
      <c r="E10" s="49">
        <f>Diego!T10+Aelton!T10+Leonam!T10+Danilo!T10+Marcos!T10+Alessandro!T10</f>
        <v>0</v>
      </c>
      <c r="F10" s="49">
        <f>Diego!Z10+Aelton!Z10+Leonam!Z10+Danilo!Z10+Marcos!Z10+Alessandro!Z10</f>
        <v>0</v>
      </c>
      <c r="G10" s="49">
        <f>Diego!AF10+Aelton!AF10+Leonam!AF10+Danilo!AF10+Marcos!AF10+Alessandro!AF10</f>
        <v>0</v>
      </c>
      <c r="H10" s="49">
        <f>Diego!AL10+Aelton!AL10+Leonam!AL10+Danilo!AL10+Marcos!AL10+Alessandro!AL10</f>
        <v>0</v>
      </c>
      <c r="I10" s="49">
        <f>Diego!AR10+Aelton!AR10+Leonam!AR10+Danilo!AR10+Marcos!AR10+Alessandro!AR10</f>
        <v>0</v>
      </c>
      <c r="J10" s="49">
        <f>Diego!AX10+Aelton!AX10+Leonam!AX10+Danilo!AX10+Marcos!AX10+Alessandro!AX10</f>
        <v>0</v>
      </c>
      <c r="K10" s="49">
        <f>Diego!BA10+Aelton!BA10+Leonam!BA10+Danilo!BA10+Marcos!BA10+Alessandro!BA10+Carlos!BA10</f>
        <v>0</v>
      </c>
    </row>
    <row r="11" spans="1:11" s="58" customFormat="1" x14ac:dyDescent="0.25">
      <c r="A11" s="59" t="s">
        <v>4</v>
      </c>
      <c r="B11" s="60" t="s">
        <v>23</v>
      </c>
      <c r="C11" s="50">
        <f>Diego!H11+Aelton!H11+Leonam!H11+Danilo!H11+Alessandro!H11+Marcos!H11+Carlos!H11</f>
        <v>29</v>
      </c>
      <c r="D11" s="50">
        <f>Diego!N11+Aelton!N11+Leonam!N11+Danilo!N11+Alessandro!N11+Marcos!N11+Carlos!N11</f>
        <v>39</v>
      </c>
      <c r="E11" s="50">
        <f>+Diego!T12+Aelton!T11+Leonam!T11+Danilo!T11+Alessandro!T11+Marcos!T11+Carlos!T11</f>
        <v>67</v>
      </c>
      <c r="F11" s="50">
        <f>+Diego!Z11+Aelton!Z11+Leonam!Z11+Danilo!Z11+Alessandro!Z11+Marcos!Z11+Carlos!Z11</f>
        <v>67</v>
      </c>
      <c r="G11" s="50">
        <f>Diego!AF11+Aelton!AF11+Leonam!AF11+Danilo!AF11+Alessandro!AF11+Marcos!AF11+Carlos!AF11</f>
        <v>31</v>
      </c>
      <c r="H11" s="50">
        <f>Diego!AL11+Aelton!AL11+Leonam!AL11+Danilo!AL11+Alessandro!AL11+Marcos!AL11+Carlos!AL11</f>
        <v>44</v>
      </c>
      <c r="I11" s="50">
        <f>Diego!AY11+Aelton!AY11+Leonam!AY11+Danilo!AY11+Marcos!AY11+Alessandro!AY11+Carlos!AY11</f>
        <v>0</v>
      </c>
      <c r="J11" s="50">
        <f>Diego!AZ11+Aelton!AZ11+Leonam!AZ11+Danilo!AZ11+Marcos!AZ11+Alessandro!AZ11+Carlos!AZ11</f>
        <v>0</v>
      </c>
      <c r="K11" s="50">
        <f>Diego!BA11+Aelton!BA11+Leonam!BA11+Danilo!BA11+Marcos!BA11+Alessandro!BA11+Carlos!BA11</f>
        <v>0</v>
      </c>
    </row>
    <row r="12" spans="1:11" x14ac:dyDescent="0.25">
      <c r="A12" s="51" t="s">
        <v>5</v>
      </c>
      <c r="B12" s="53" t="s">
        <v>23</v>
      </c>
      <c r="C12" s="49">
        <f>Diego!H12+Aelton!H12+Leonam!H12+Danilo!H12+Alessandro!H12+Marcos!H12+Carlos!H12</f>
        <v>189</v>
      </c>
      <c r="D12" s="49">
        <f>Diego!N12+Aelton!N12+Leonam!N12+Danilo!N12+Marcos!N12+Alessandro!N12+Carlos!N12</f>
        <v>256</v>
      </c>
      <c r="E12" s="49">
        <f>+Diego!T12+Aelton!T12+Leonam!T12+Danilo!T12+Alessandro!T12+Marcos!T12+Carlos!T12</f>
        <v>430</v>
      </c>
      <c r="F12" s="49">
        <f>Diego!Z12+Aelton!Z12+Leonam!Z12+Danilo!Z12+Alessandro!Z12+Marcos!Z12+Carlos!Z12</f>
        <v>415</v>
      </c>
      <c r="G12" s="49">
        <f>Diego!AF12+Aelton!AF12+Leonam!AF12+Danilo!AF12+Marcos!AF12+Alessandro!AF12+Carlos!AF12</f>
        <v>239</v>
      </c>
      <c r="H12" s="49">
        <f>Diego!AL12+Aelton!AL12+Leonam!AL12+Danilo!AL12+Alessandro!AL12+Marcos!AL12+Carlos!AL12</f>
        <v>310</v>
      </c>
      <c r="I12" s="49">
        <f>Diego!AR12+Aelton!AR12+Leonam!AR12+Danilo!AR12+Marcos!AR12+Alessandro!AR12+Carlos!AR12</f>
        <v>0</v>
      </c>
      <c r="J12" s="49">
        <f>Diego!AX12+Aelton!AX12+Leonam!AX12+Danilo!AX12+Marcos!AX12+Alessandro!AX12+Carlos!AX12</f>
        <v>0</v>
      </c>
      <c r="K12" s="49">
        <f>Diego!BA12+Aelton!BA12+Leonam!BA12+Danilo!BA12+Marcos!BA12+Alessandro!BA12+Carlos!BA12</f>
        <v>0</v>
      </c>
    </row>
    <row r="13" spans="1:11" s="58" customFormat="1" ht="30" x14ac:dyDescent="0.25">
      <c r="A13" s="59" t="s">
        <v>8</v>
      </c>
      <c r="B13" s="57" t="s">
        <v>21</v>
      </c>
      <c r="C13" s="50">
        <f>Diego!H13+Aelton!H13+Leonam!H13+Danilo!H13+Alessandro!H13+Marcos!H13+Carlos!H13</f>
        <v>0</v>
      </c>
      <c r="D13" s="50">
        <f>Diego!N13+Aelton!N13+Leonam!N13+Danilo!N13+Marcos!N13+Alessandro!N13+Patrícia!N2+Leonardo!N2</f>
        <v>1</v>
      </c>
      <c r="E13" s="50">
        <f>Diego!T13+Aelton!T13+Leonam!T13+Danilo!T13+Marcos!T13+Alessandro!T13+Patrícia!T2+Leonardo!T2</f>
        <v>2</v>
      </c>
      <c r="F13" s="50">
        <f>Diego!Z13+Aelton!Z13+Leonam!Z13+Danilo!Z13+Marcos!Z13+Alessandro!Z13+Patrícia!Z2+Leonardo!Z2</f>
        <v>0</v>
      </c>
      <c r="G13" s="50">
        <f>Diego!AF13+Aelton!AF13+Leonam!AF13+Danilo!AF13+Marcos!AF13+Alessandro!AF13+Patrícia!AF2+Leonardo!AF2</f>
        <v>0</v>
      </c>
      <c r="H13" s="50">
        <f>Diego!AL13+Aelton!AL13+Leonam!AL13+Danilo!AL13+Marcos!AL13+Alessandro!AL13+Patrícia!AL2+Leonardo!AL2</f>
        <v>2</v>
      </c>
      <c r="I13" s="50">
        <f>Diego!AR13+Aelton!AR13+Leonam!AR13+Danilo!AR13+Marcos!AR13+Alessandro!AR13+Patrícia!AR2+Leonardo!AR2</f>
        <v>0</v>
      </c>
      <c r="J13" s="50">
        <f>Diego!AX13+Aelton!AX13+Leonam!AX13+Danilo!AX13+Marcos!AX13+Alessandro!AX13+Patrícia!AX2+Leonardo!AX2</f>
        <v>0</v>
      </c>
      <c r="K13" s="50">
        <f>Diego!BA13+Aelton!BA13+Leonam!BA13+Danilo!BA13+Marcos!BA13+Alessandro!BA13+Carlos!BA13</f>
        <v>0</v>
      </c>
    </row>
    <row r="14" spans="1:11" x14ac:dyDescent="0.25">
      <c r="A14" s="51" t="s">
        <v>6</v>
      </c>
      <c r="B14" s="53" t="s">
        <v>26</v>
      </c>
      <c r="C14" s="49">
        <f>Diego!H14+Aelton!H14+Leonam!H14+Danilo!H14+Marcos!H14+Alessandro!H14+Patrícia!H3+Leonardo!H3</f>
        <v>0</v>
      </c>
      <c r="D14" s="49">
        <f>Diego!N14+Aelton!N14+Leonam!N14+Danilo!N14+Marcos!N14+Alessandro!N14+Patrícia!N3+Leonardo!N3</f>
        <v>5</v>
      </c>
      <c r="E14" s="49">
        <f>Diego!T14+Aelton!T14+Leonam!T14+Danilo!T14+Marcos!T14+Alessandro!T14+Patrícia!T3+Leonardo!T3</f>
        <v>0</v>
      </c>
      <c r="F14" s="49">
        <f>Diego!Z14+Aelton!Z14+Leonam!Z14+Danilo!Z14+Marcos!Z14+Alessandro!Z14+Patrícia!Z3+Leonardo!Z3</f>
        <v>0</v>
      </c>
      <c r="G14" s="49">
        <f>Diego!AF14+Aelton!AF14+Leonam!AF14+Danilo!AF14+Marcos!AF14+Alessandro!AF14+Patrícia!AF3+Leonardo!AF3</f>
        <v>0</v>
      </c>
      <c r="H14" s="49">
        <f>Diego!AL14+Aelton!AL14+Leonam!AL14+Danilo!AL14+Marcos!AL14+Alessandro!AL14+Patrícia!AL3+Leonardo!AL3</f>
        <v>0</v>
      </c>
      <c r="I14" s="49">
        <f>Diego!AR14+Aelton!AR14+Leonam!AR14+Danilo!AR14+Marcos!AR14+Alessandro!AR14+Patrícia!AR3+Leonardo!AR3</f>
        <v>209</v>
      </c>
      <c r="J14" s="49">
        <f>Diego!AX14+Aelton!AX14+Leonam!AX14+Danilo!AX14+Marcos!AX14+Alessandro!AX14+Patrícia!AX3+Leonardo!AX3</f>
        <v>0</v>
      </c>
      <c r="K14" s="49">
        <f>Diego!BA14+Aelton!BA14+Leonam!BA14+Danilo!BA14+Marcos!BA14+Alessandro!BA14+Carlos!BA14</f>
        <v>0</v>
      </c>
    </row>
    <row r="15" spans="1:11" s="58" customFormat="1" ht="24" x14ac:dyDescent="0.25">
      <c r="A15" s="56" t="s">
        <v>7</v>
      </c>
      <c r="B15" s="57" t="s">
        <v>27</v>
      </c>
      <c r="C15" s="50">
        <f>Diego!H15+Aelton!H15+Leonam!H15+Danilo!H15+Marcos!H15+Alessandro!H15</f>
        <v>100</v>
      </c>
      <c r="D15" s="50">
        <f>Diego!N15+Aelton!N15+Leonam!N15+Danilo!N15+Marcos!N15+Alessandro!N15+Carlos!N15</f>
        <v>50</v>
      </c>
      <c r="E15" s="50">
        <f>Diego!T15+Aelton!T15+Leonam!T15+Danilo!T15+Marcos!T15+Alessandro!T15</f>
        <v>368</v>
      </c>
      <c r="F15" s="50">
        <f>Diego!Z15+Aelton!Z15+Leonam!Z15+Danilo!Z15+Marcos!Z15+Alessandro!Z15</f>
        <v>365</v>
      </c>
      <c r="G15" s="50">
        <f>Diego!AF15+Aelton!AF15+Leonam!AF15+Danilo!AF15+Marcos!AF15+Alessandro!AF15</f>
        <v>50</v>
      </c>
      <c r="H15" s="50">
        <v>120</v>
      </c>
      <c r="I15" s="50">
        <f>Diego!AR15+Aelton!AR15+Leonam!AR15+Danilo!AR15+Marcos!AR15+Alessandro!AR15</f>
        <v>50</v>
      </c>
      <c r="J15" s="50">
        <f>Diego!AX15+Aelton!AX15+Leonam!AX15+Danilo!AX15+Marcos!AX15+Alessandro!AX15</f>
        <v>0</v>
      </c>
      <c r="K15" s="50">
        <f>Diego!BA15+Aelton!BA15+Leonam!BA15+Danilo!BA15+Marcos!BA15+Alessandro!BA15+Carlos!BA15</f>
        <v>0</v>
      </c>
    </row>
    <row r="16" spans="1:11" ht="36" x14ac:dyDescent="0.25">
      <c r="A16" s="47" t="s">
        <v>14</v>
      </c>
      <c r="B16" s="53" t="s">
        <v>28</v>
      </c>
      <c r="C16" s="49">
        <f>Diego!H16+Aelton!H16+Leonam!H16+Danilo!H16+Marcos!H16+Alessandro!H16</f>
        <v>52</v>
      </c>
      <c r="D16" s="49">
        <f>Diego!N16+Aelton!N16+Leonam!N16+Danilo!N16+Marcos!N16+Alessandro!N16</f>
        <v>65</v>
      </c>
      <c r="E16" s="49">
        <f>Diego!T16+Aelton!T16+Leonam!T16+Danilo!T16+Marcos!T16+Alessandro!T16</f>
        <v>65</v>
      </c>
      <c r="F16" s="49">
        <f>Diego!Z16+Aelton!Z16+Leonam!Z16+Danilo!Z16+Marcos!Z16+Alessandro!Z16</f>
        <v>45</v>
      </c>
      <c r="G16" s="49">
        <f>Diego!AF16+Aelton!AF16+Leonam!AF16+Danilo!AF16+Marcos!AF16+Alessandro!AF16</f>
        <v>29</v>
      </c>
      <c r="H16" s="49">
        <v>22</v>
      </c>
      <c r="I16" s="49">
        <f>Diego!AR16+Aelton!AR16+Leonam!AR16+Danilo!AR16+Marcos!AR16+Alessandro!AR16</f>
        <v>20</v>
      </c>
      <c r="J16" s="49">
        <f>Diego!AX16+Aelton!AX16+Leonam!AX16+Danilo!AX16+Marcos!AX16+Alessandro!AX16</f>
        <v>0</v>
      </c>
      <c r="K16" s="49">
        <f>Diego!BA16+Aelton!BA16+Leonam!BA16+Danilo!BA16+Marcos!BA16+Alessandro!BA16+Carlos!BA16</f>
        <v>0</v>
      </c>
    </row>
    <row r="17" spans="1:11" s="58" customFormat="1" x14ac:dyDescent="0.25">
      <c r="A17" s="56" t="s">
        <v>39</v>
      </c>
      <c r="B17" s="57" t="s">
        <v>40</v>
      </c>
      <c r="C17" s="50">
        <f>Diego!H17+Aelton!H17+Leonam!H17+Danilo!H17+Marcos!H17+Alessandro!H17</f>
        <v>28</v>
      </c>
      <c r="D17" s="50">
        <f>Diego!N17+Aelton!N17+Leonam!N17+Danilo!N17+Marcos!N17+Alessandro!N17</f>
        <v>0</v>
      </c>
      <c r="E17" s="50">
        <f>Diego!T17+Aelton!T17+Leonam!T17+Danilo!T17+Marcos!T17+Alessandro!T17</f>
        <v>0</v>
      </c>
      <c r="F17" s="50">
        <f>Diego!Z17+Aelton!Z17+Leonam!Z17+Danilo!Z17+Marcos!Z17+Alessandro!Z17</f>
        <v>15</v>
      </c>
      <c r="G17" s="50">
        <f>Diego!AF17+Aelton!AF17+Leonam!AF17+Danilo!AF17+Marcos!AF17+Alessandro!AF17</f>
        <v>15</v>
      </c>
      <c r="H17" s="50">
        <f>Diego!AL17+Aelton!AL17+Leonam!AL17+Danilo!AL17+Marcos!AL17+Alessandro!AL17</f>
        <v>0</v>
      </c>
      <c r="I17" s="50">
        <f>Diego!AR17+Aelton!AR17+Leonam!AR17+Danilo!AR17+Marcos!AR17+Alessandro!AR17</f>
        <v>0</v>
      </c>
      <c r="J17" s="50">
        <f>Diego!AX17+Aelton!AX17+Leonam!AX17+Danilo!AX17+Marcos!AX17+Alessandro!AX17</f>
        <v>0</v>
      </c>
      <c r="K17" s="50">
        <f>Diego!BA17+Aelton!BA17+Leonam!BA17+Danilo!BA17+Marcos!BA17+Alessandro!BA17+Carlos!BA17</f>
        <v>0</v>
      </c>
    </row>
    <row r="18" spans="1:11" ht="408" customHeight="1" x14ac:dyDescent="0.25">
      <c r="A18" s="1" t="s">
        <v>11</v>
      </c>
      <c r="B18" s="1"/>
      <c r="C18" s="4"/>
      <c r="D18" s="4"/>
      <c r="E18" s="8"/>
      <c r="F18" s="4"/>
      <c r="G18" s="54"/>
      <c r="H18" s="4"/>
      <c r="I18" s="54"/>
      <c r="J18" s="54"/>
    </row>
    <row r="19" spans="1:11" x14ac:dyDescent="0.25">
      <c r="A19" s="1" t="s">
        <v>10</v>
      </c>
      <c r="B19" s="1"/>
    </row>
    <row r="21" spans="1:11" ht="38.25" customHeight="1" x14ac:dyDescent="0.25">
      <c r="A21" s="7"/>
    </row>
    <row r="23" spans="1:11" x14ac:dyDescent="0.25">
      <c r="A23" s="8"/>
    </row>
    <row r="24" spans="1:11" x14ac:dyDescent="0.25">
      <c r="A24" s="9"/>
    </row>
  </sheetData>
  <customSheetViews>
    <customSheetView guid="{E3841903-5B68-44FD-8F09-58E03D1025C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18A482E0-C8B6-4AA1-9E04-15FA7C9CD5E3}" scale="110">
      <pane xSplit="1" topLeftCell="H1" activePane="topRight" state="frozen"/>
      <selection pane="topRight" activeCell="Q13" sqref="Q13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3D987F8E-A6EA-454D-9537-6BFC5053CB00}" showAutoFilter="1">
      <pane xSplit="1" topLeftCell="G1" activePane="topRight" state="frozen"/>
      <selection pane="topRight" activeCell="H17" sqref="H17"/>
      <pageMargins left="0.511811024" right="0.511811024" top="0.78740157499999996" bottom="0.78740157499999996" header="0.31496062000000002" footer="0.31496062000000002"/>
      <autoFilter ref="A1:J19" xr:uid="{19B5D7DF-6E58-441D-AB44-089DAD0DCF09}"/>
    </customSheetView>
    <customSheetView guid="{20CB6D8F-C24D-4D4B-A424-AF380F62045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E3" sqref="E3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 topLeftCell="B1">
      <selection activeCell="H7" sqref="H7"/>
      <pageMargins left="0.511811024" right="0.511811024" top="0.78740157499999996" bottom="0.78740157499999996" header="0.31496062000000002" footer="0.31496062000000002"/>
      <autoFilter ref="A1:A19" xr:uid="{2C9A1648-6B65-4989-A2D3-3B5A6769F341}"/>
    </customSheetView>
  </customSheetView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20"/>
  <sheetViews>
    <sheetView topLeftCell="D4" zoomScale="70" zoomScaleNormal="70" workbookViewId="0">
      <selection activeCell="Q19" sqref="Q19:Q20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20.140625" style="1" customWidth="1"/>
    <col min="4" max="4" width="15.140625" style="1" customWidth="1"/>
    <col min="5" max="5" width="16.28515625" style="1" customWidth="1"/>
    <col min="6" max="6" width="15" style="1" customWidth="1"/>
    <col min="7" max="7" width="16.42578125" style="1" customWidth="1"/>
    <col min="8" max="8" width="14.28515625" style="1" bestFit="1" customWidth="1"/>
    <col min="9" max="9" width="10.5703125" style="1" customWidth="1"/>
    <col min="10" max="10" width="12.5703125" style="1" customWidth="1"/>
    <col min="11" max="11" width="14.5703125" style="1" customWidth="1"/>
    <col min="12" max="12" width="19.7109375" style="1" customWidth="1"/>
    <col min="13" max="13" width="33.140625" style="1" customWidth="1"/>
    <col min="14" max="14" width="14.28515625" style="1" bestFit="1" customWidth="1"/>
    <col min="15" max="17" width="13" style="1" customWidth="1"/>
    <col min="18" max="18" width="20.28515625" style="1" customWidth="1"/>
    <col min="19" max="19" width="16.85546875" style="1" customWidth="1"/>
    <col min="20" max="20" width="14.28515625" style="1" bestFit="1" customWidth="1"/>
    <col min="21" max="21" width="13.140625" style="1" customWidth="1"/>
    <col min="22" max="22" width="21.7109375" style="1" customWidth="1"/>
    <col min="23" max="23" width="19.5703125" style="1" customWidth="1"/>
    <col min="24" max="24" width="25.140625" style="1" customWidth="1"/>
    <col min="25" max="25" width="14.5703125" style="1" customWidth="1"/>
    <col min="26" max="26" width="15.28515625" style="1" customWidth="1"/>
    <col min="27" max="27" width="19.42578125" style="1" customWidth="1"/>
    <col min="28" max="28" width="17.140625" style="1" customWidth="1"/>
    <col min="29" max="29" width="20" style="1" customWidth="1"/>
    <col min="30" max="30" width="14.140625" style="1" customWidth="1"/>
    <col min="31" max="31" width="16.5703125" style="1" customWidth="1"/>
    <col min="32" max="32" width="14.28515625" style="1" bestFit="1" customWidth="1"/>
    <col min="33" max="33" width="23.140625" style="1" customWidth="1"/>
    <col min="34" max="34" width="19.42578125" style="1" customWidth="1"/>
    <col min="35" max="35" width="15.7109375" style="1" customWidth="1"/>
    <col min="36" max="36" width="13.42578125" style="1" customWidth="1"/>
    <col min="37" max="38" width="15.42578125" style="1" customWidth="1"/>
    <col min="39" max="39" width="13.42578125" style="1" customWidth="1"/>
    <col min="40" max="40" width="14.7109375" style="1" customWidth="1"/>
    <col min="41" max="41" width="14.28515625" style="1" customWidth="1"/>
    <col min="42" max="42" width="16.85546875" style="1" customWidth="1"/>
    <col min="43" max="43" width="14" style="1" customWidth="1"/>
    <col min="44" max="44" width="15.42578125" style="1" customWidth="1"/>
    <col min="45" max="45" width="13.42578125" style="1" customWidth="1"/>
    <col min="46" max="46" width="21" style="1" customWidth="1"/>
    <col min="47" max="47" width="13.85546875" style="1" customWidth="1"/>
    <col min="48" max="48" width="18.42578125" style="1" customWidth="1"/>
    <col min="49" max="49" width="14" style="1" customWidth="1"/>
    <col min="50" max="50" width="16.140625" style="1" customWidth="1"/>
    <col min="51" max="52" width="9.140625" style="1"/>
    <col min="53" max="53" width="13.7109375" style="1" customWidth="1"/>
    <col min="54" max="16384" width="9.140625" style="1"/>
  </cols>
  <sheetData>
    <row r="1" spans="1:53" x14ac:dyDescent="0.25">
      <c r="A1" s="14" t="s">
        <v>9</v>
      </c>
      <c r="B1" s="18"/>
      <c r="C1" s="32">
        <v>46146</v>
      </c>
      <c r="D1" s="32">
        <v>46147</v>
      </c>
      <c r="E1" s="32">
        <v>46148</v>
      </c>
      <c r="F1" s="32">
        <v>46149</v>
      </c>
      <c r="G1" s="32">
        <v>46150</v>
      </c>
      <c r="H1" s="10" t="s">
        <v>15</v>
      </c>
      <c r="I1" s="32">
        <v>46153</v>
      </c>
      <c r="J1" s="32">
        <v>46154</v>
      </c>
      <c r="K1" s="32">
        <v>46155</v>
      </c>
      <c r="L1" s="32">
        <v>46156</v>
      </c>
      <c r="M1" s="32">
        <v>46157</v>
      </c>
      <c r="N1" s="10" t="s">
        <v>15</v>
      </c>
      <c r="O1" s="19">
        <v>46160</v>
      </c>
      <c r="P1" s="19">
        <v>46161</v>
      </c>
      <c r="Q1" s="19">
        <v>46162</v>
      </c>
      <c r="R1" s="19">
        <v>46163</v>
      </c>
      <c r="S1" s="19">
        <v>46164</v>
      </c>
      <c r="T1" s="10" t="s">
        <v>15</v>
      </c>
      <c r="U1" s="32">
        <v>46167</v>
      </c>
      <c r="V1" s="32">
        <v>46168</v>
      </c>
      <c r="W1" s="32">
        <v>46169</v>
      </c>
      <c r="X1" s="32">
        <v>46170</v>
      </c>
      <c r="Y1" s="32">
        <v>46171</v>
      </c>
      <c r="Z1" s="10" t="s">
        <v>15</v>
      </c>
      <c r="AA1" s="32">
        <v>46174</v>
      </c>
      <c r="AB1" s="32">
        <v>46175</v>
      </c>
      <c r="AC1" s="32">
        <v>46176</v>
      </c>
      <c r="AD1" s="32">
        <v>46177</v>
      </c>
      <c r="AE1" s="32">
        <v>46178</v>
      </c>
      <c r="AF1" s="10" t="s">
        <v>15</v>
      </c>
      <c r="AG1" s="32">
        <v>46181</v>
      </c>
      <c r="AH1" s="32">
        <v>46182</v>
      </c>
      <c r="AI1" s="32">
        <v>46183</v>
      </c>
      <c r="AJ1" s="32">
        <v>46184</v>
      </c>
      <c r="AK1" s="32">
        <v>46185</v>
      </c>
      <c r="AL1" s="10" t="s">
        <v>15</v>
      </c>
      <c r="AM1" s="32">
        <v>46188</v>
      </c>
      <c r="AN1" s="32">
        <v>46189</v>
      </c>
      <c r="AO1" s="32">
        <v>46190</v>
      </c>
      <c r="AP1" s="32">
        <v>46191</v>
      </c>
      <c r="AQ1" s="32">
        <v>46192</v>
      </c>
      <c r="AR1" s="10" t="s">
        <v>15</v>
      </c>
      <c r="AS1" s="19">
        <v>46195</v>
      </c>
      <c r="AT1" s="19">
        <v>46196</v>
      </c>
      <c r="AU1" s="19">
        <v>46197</v>
      </c>
      <c r="AV1" s="19">
        <v>46198</v>
      </c>
      <c r="AW1" s="19">
        <v>46199</v>
      </c>
      <c r="AX1" s="10" t="s">
        <v>15</v>
      </c>
      <c r="AY1" s="67">
        <v>46202</v>
      </c>
      <c r="AZ1" s="67">
        <v>46203</v>
      </c>
      <c r="BA1" s="10" t="s">
        <v>15</v>
      </c>
    </row>
    <row r="2" spans="1:53" x14ac:dyDescent="0.25">
      <c r="A2" s="2" t="s">
        <v>18</v>
      </c>
      <c r="B2" s="16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D2" s="38" t="s">
        <v>96</v>
      </c>
      <c r="AE2" s="38" t="s">
        <v>91</v>
      </c>
      <c r="AF2" s="33">
        <f>SUM(AA2:AE2)</f>
        <v>0</v>
      </c>
      <c r="AL2" s="33">
        <f>SUM(AG2:AK2)</f>
        <v>0</v>
      </c>
      <c r="AR2" s="33">
        <f>SUM(AM2:AQ2)</f>
        <v>0</v>
      </c>
      <c r="AS2" s="55"/>
      <c r="AX2" s="33">
        <f>SUM(AS2:AW2)</f>
        <v>0</v>
      </c>
      <c r="BA2" s="33">
        <f t="shared" ref="BA2:BA17" si="2">SUM(AY2:AZ2)</f>
        <v>0</v>
      </c>
    </row>
    <row r="3" spans="1:53" x14ac:dyDescent="0.25">
      <c r="A3" s="2" t="s">
        <v>0</v>
      </c>
      <c r="B3" s="16">
        <v>2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D3" s="38" t="s">
        <v>96</v>
      </c>
      <c r="AE3" s="38" t="s">
        <v>91</v>
      </c>
      <c r="AF3" s="33">
        <f t="shared" ref="AF3:AF16" si="5">SUM(AA3:AE3)</f>
        <v>0</v>
      </c>
      <c r="AL3" s="33">
        <f t="shared" ref="AL3:AL16" si="6">SUM(AG3:AK3)</f>
        <v>0</v>
      </c>
      <c r="AR3" s="33">
        <f t="shared" ref="AR3:AR16" si="7">SUM(AM3:AQ3)</f>
        <v>0</v>
      </c>
      <c r="AX3" s="33">
        <f t="shared" ref="AX3:AX16" si="8">SUM(AS3:AW3)</f>
        <v>0</v>
      </c>
      <c r="BA3" s="33">
        <f t="shared" si="2"/>
        <v>0</v>
      </c>
    </row>
    <row r="4" spans="1:53" x14ac:dyDescent="0.25">
      <c r="A4" s="3" t="s">
        <v>17</v>
      </c>
      <c r="B4" s="17">
        <v>3</v>
      </c>
      <c r="H4" s="33">
        <f t="shared" si="3"/>
        <v>0</v>
      </c>
      <c r="N4" s="33">
        <f t="shared" si="0"/>
        <v>0</v>
      </c>
      <c r="T4" s="33">
        <f t="shared" si="1"/>
        <v>0</v>
      </c>
      <c r="Z4" s="33">
        <f t="shared" si="4"/>
        <v>0</v>
      </c>
      <c r="AD4" s="38" t="s">
        <v>96</v>
      </c>
      <c r="AE4" s="38" t="s">
        <v>91</v>
      </c>
      <c r="AF4" s="33">
        <f t="shared" si="5"/>
        <v>0</v>
      </c>
      <c r="AL4" s="33">
        <f t="shared" si="6"/>
        <v>0</v>
      </c>
      <c r="AR4" s="33">
        <f t="shared" si="7"/>
        <v>0</v>
      </c>
      <c r="AX4" s="33">
        <f t="shared" si="8"/>
        <v>0</v>
      </c>
      <c r="BA4" s="33">
        <f t="shared" si="2"/>
        <v>0</v>
      </c>
    </row>
    <row r="5" spans="1:53" x14ac:dyDescent="0.25">
      <c r="A5" s="3" t="s">
        <v>16</v>
      </c>
      <c r="B5" s="16">
        <v>4</v>
      </c>
      <c r="H5" s="33">
        <f t="shared" si="3"/>
        <v>0</v>
      </c>
      <c r="L5" s="38"/>
      <c r="N5" s="33">
        <f t="shared" si="0"/>
        <v>0</v>
      </c>
      <c r="T5" s="33">
        <f t="shared" si="1"/>
        <v>0</v>
      </c>
      <c r="Z5" s="33">
        <f t="shared" si="4"/>
        <v>0</v>
      </c>
      <c r="AD5" s="38" t="s">
        <v>96</v>
      </c>
      <c r="AE5" s="38" t="s">
        <v>91</v>
      </c>
      <c r="AF5" s="33">
        <f t="shared" si="5"/>
        <v>0</v>
      </c>
      <c r="AL5" s="33">
        <f t="shared" si="6"/>
        <v>0</v>
      </c>
      <c r="AR5" s="33">
        <f t="shared" si="7"/>
        <v>0</v>
      </c>
      <c r="AX5" s="33">
        <f t="shared" si="8"/>
        <v>0</v>
      </c>
      <c r="BA5" s="33">
        <f t="shared" si="2"/>
        <v>0</v>
      </c>
    </row>
    <row r="6" spans="1:53" x14ac:dyDescent="0.25">
      <c r="A6" s="3" t="s">
        <v>1</v>
      </c>
      <c r="B6" s="16">
        <v>5</v>
      </c>
      <c r="H6" s="33">
        <f t="shared" si="3"/>
        <v>0</v>
      </c>
      <c r="L6" s="38"/>
      <c r="N6" s="33">
        <f t="shared" si="0"/>
        <v>0</v>
      </c>
      <c r="T6" s="33">
        <f t="shared" si="1"/>
        <v>0</v>
      </c>
      <c r="Z6" s="33">
        <f t="shared" si="4"/>
        <v>0</v>
      </c>
      <c r="AD6" s="38" t="s">
        <v>96</v>
      </c>
      <c r="AE6" s="38" t="s">
        <v>91</v>
      </c>
      <c r="AF6" s="33">
        <f t="shared" si="5"/>
        <v>0</v>
      </c>
      <c r="AL6" s="33">
        <f t="shared" si="6"/>
        <v>0</v>
      </c>
      <c r="AR6" s="33">
        <f t="shared" si="7"/>
        <v>0</v>
      </c>
      <c r="AX6" s="33">
        <f t="shared" si="8"/>
        <v>0</v>
      </c>
      <c r="BA6" s="33">
        <f t="shared" si="2"/>
        <v>0</v>
      </c>
    </row>
    <row r="7" spans="1:53" x14ac:dyDescent="0.25">
      <c r="A7" s="3" t="s">
        <v>2</v>
      </c>
      <c r="B7" s="17">
        <v>6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D7" s="38" t="s">
        <v>96</v>
      </c>
      <c r="AE7" s="38" t="s">
        <v>91</v>
      </c>
      <c r="AF7" s="33">
        <f t="shared" si="5"/>
        <v>0</v>
      </c>
      <c r="AL7" s="33">
        <f t="shared" si="6"/>
        <v>0</v>
      </c>
      <c r="AR7" s="33">
        <f t="shared" si="7"/>
        <v>0</v>
      </c>
      <c r="AX7" s="33">
        <f t="shared" si="8"/>
        <v>0</v>
      </c>
      <c r="BA7" s="33">
        <f t="shared" si="2"/>
        <v>0</v>
      </c>
    </row>
    <row r="8" spans="1:53" x14ac:dyDescent="0.25">
      <c r="A8" s="3" t="s">
        <v>3</v>
      </c>
      <c r="B8" s="16">
        <v>7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D8" s="38" t="s">
        <v>96</v>
      </c>
      <c r="AE8" s="38" t="s">
        <v>91</v>
      </c>
      <c r="AF8" s="33">
        <f t="shared" si="5"/>
        <v>0</v>
      </c>
      <c r="AL8" s="33">
        <f t="shared" si="6"/>
        <v>0</v>
      </c>
      <c r="AR8" s="33">
        <f t="shared" si="7"/>
        <v>0</v>
      </c>
      <c r="AX8" s="33">
        <f t="shared" si="8"/>
        <v>0</v>
      </c>
      <c r="BA8" s="33">
        <f t="shared" si="2"/>
        <v>0</v>
      </c>
    </row>
    <row r="9" spans="1:53" x14ac:dyDescent="0.25">
      <c r="A9" s="3" t="s">
        <v>13</v>
      </c>
      <c r="B9" s="16">
        <v>8</v>
      </c>
      <c r="H9" s="33">
        <f t="shared" si="3"/>
        <v>0</v>
      </c>
      <c r="N9" s="33">
        <f t="shared" si="0"/>
        <v>0</v>
      </c>
      <c r="T9" s="33">
        <f t="shared" si="1"/>
        <v>0</v>
      </c>
      <c r="Z9" s="33">
        <f t="shared" si="4"/>
        <v>0</v>
      </c>
      <c r="AD9" s="38" t="s">
        <v>96</v>
      </c>
      <c r="AE9" s="38" t="s">
        <v>91</v>
      </c>
      <c r="AF9" s="33">
        <f t="shared" si="5"/>
        <v>0</v>
      </c>
      <c r="AL9" s="33">
        <f t="shared" si="6"/>
        <v>0</v>
      </c>
      <c r="AR9" s="33">
        <f t="shared" si="7"/>
        <v>0</v>
      </c>
      <c r="AX9" s="33">
        <f t="shared" si="8"/>
        <v>0</v>
      </c>
      <c r="BA9" s="33">
        <f t="shared" si="2"/>
        <v>0</v>
      </c>
    </row>
    <row r="10" spans="1:53" x14ac:dyDescent="0.25">
      <c r="A10" s="2" t="s">
        <v>12</v>
      </c>
      <c r="B10" s="17">
        <v>9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D10" s="38" t="s">
        <v>96</v>
      </c>
      <c r="AE10" s="38" t="s">
        <v>91</v>
      </c>
      <c r="AF10" s="33">
        <f t="shared" si="5"/>
        <v>0</v>
      </c>
      <c r="AL10" s="33">
        <f t="shared" si="6"/>
        <v>0</v>
      </c>
      <c r="AR10" s="33">
        <f t="shared" si="7"/>
        <v>0</v>
      </c>
      <c r="AX10" s="33">
        <f t="shared" si="8"/>
        <v>0</v>
      </c>
      <c r="BA10" s="33">
        <f t="shared" si="2"/>
        <v>0</v>
      </c>
    </row>
    <row r="11" spans="1:53" x14ac:dyDescent="0.25">
      <c r="A11" s="3" t="s">
        <v>4</v>
      </c>
      <c r="B11" s="16">
        <v>10</v>
      </c>
      <c r="H11" s="33">
        <f t="shared" si="3"/>
        <v>0</v>
      </c>
      <c r="N11" s="33">
        <f t="shared" si="0"/>
        <v>0</v>
      </c>
      <c r="T11" s="33">
        <f t="shared" si="1"/>
        <v>0</v>
      </c>
      <c r="Z11" s="33">
        <f t="shared" si="4"/>
        <v>0</v>
      </c>
      <c r="AD11" s="38" t="s">
        <v>96</v>
      </c>
      <c r="AE11" s="38" t="s">
        <v>91</v>
      </c>
      <c r="AF11" s="33">
        <f t="shared" si="5"/>
        <v>0</v>
      </c>
      <c r="AL11" s="33">
        <f t="shared" si="6"/>
        <v>0</v>
      </c>
      <c r="AR11" s="33">
        <f t="shared" si="7"/>
        <v>0</v>
      </c>
      <c r="AX11" s="33">
        <f t="shared" si="8"/>
        <v>0</v>
      </c>
      <c r="BA11" s="33">
        <f t="shared" si="2"/>
        <v>0</v>
      </c>
    </row>
    <row r="12" spans="1:53" x14ac:dyDescent="0.25">
      <c r="A12" s="3" t="s">
        <v>5</v>
      </c>
      <c r="B12" s="16">
        <v>11</v>
      </c>
      <c r="H12" s="33">
        <f t="shared" si="3"/>
        <v>0</v>
      </c>
      <c r="N12" s="33">
        <f t="shared" si="0"/>
        <v>0</v>
      </c>
      <c r="T12" s="33">
        <f t="shared" si="1"/>
        <v>0</v>
      </c>
      <c r="Z12" s="33">
        <f t="shared" si="4"/>
        <v>0</v>
      </c>
      <c r="AD12" s="38" t="s">
        <v>96</v>
      </c>
      <c r="AE12" s="38" t="s">
        <v>91</v>
      </c>
      <c r="AF12" s="33">
        <f t="shared" si="5"/>
        <v>0</v>
      </c>
      <c r="AL12" s="33">
        <f t="shared" si="6"/>
        <v>0</v>
      </c>
      <c r="AR12" s="33">
        <f t="shared" si="7"/>
        <v>0</v>
      </c>
      <c r="AX12" s="33">
        <f t="shared" si="8"/>
        <v>0</v>
      </c>
      <c r="BA12" s="33">
        <f t="shared" si="2"/>
        <v>0</v>
      </c>
    </row>
    <row r="13" spans="1:53" x14ac:dyDescent="0.25">
      <c r="A13" s="2" t="s">
        <v>8</v>
      </c>
      <c r="B13" s="17">
        <v>12</v>
      </c>
      <c r="H13" s="33">
        <f t="shared" si="3"/>
        <v>0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D13" s="38" t="s">
        <v>96</v>
      </c>
      <c r="AE13" s="38" t="s">
        <v>91</v>
      </c>
      <c r="AF13" s="33">
        <f t="shared" si="5"/>
        <v>0</v>
      </c>
      <c r="AL13" s="33">
        <f t="shared" si="6"/>
        <v>0</v>
      </c>
      <c r="AR13" s="33">
        <f t="shared" si="7"/>
        <v>0</v>
      </c>
      <c r="AX13" s="33">
        <f t="shared" si="8"/>
        <v>0</v>
      </c>
      <c r="BA13" s="33">
        <f t="shared" si="2"/>
        <v>0</v>
      </c>
    </row>
    <row r="14" spans="1:53" x14ac:dyDescent="0.25">
      <c r="A14" s="3" t="s">
        <v>6</v>
      </c>
      <c r="B14" s="16">
        <v>13</v>
      </c>
      <c r="H14" s="33">
        <f t="shared" si="3"/>
        <v>0</v>
      </c>
      <c r="N14" s="33">
        <f t="shared" si="0"/>
        <v>0</v>
      </c>
      <c r="T14" s="33">
        <f t="shared" si="1"/>
        <v>0</v>
      </c>
      <c r="Z14" s="33">
        <f t="shared" si="4"/>
        <v>0</v>
      </c>
      <c r="AD14" s="38" t="s">
        <v>96</v>
      </c>
      <c r="AE14" s="38" t="s">
        <v>91</v>
      </c>
      <c r="AF14" s="33">
        <f t="shared" si="5"/>
        <v>0</v>
      </c>
      <c r="AL14" s="33">
        <f t="shared" si="6"/>
        <v>0</v>
      </c>
      <c r="AR14" s="33">
        <f t="shared" si="7"/>
        <v>0</v>
      </c>
      <c r="AX14" s="33">
        <f t="shared" si="8"/>
        <v>0</v>
      </c>
      <c r="BA14" s="33">
        <f t="shared" si="2"/>
        <v>0</v>
      </c>
    </row>
    <row r="15" spans="1:53" x14ac:dyDescent="0.25">
      <c r="A15" s="2" t="s">
        <v>7</v>
      </c>
      <c r="B15" s="35">
        <v>14</v>
      </c>
      <c r="H15" s="33">
        <f t="shared" si="3"/>
        <v>0</v>
      </c>
      <c r="N15" s="33">
        <f t="shared" si="0"/>
        <v>0</v>
      </c>
      <c r="T15" s="33">
        <f t="shared" si="1"/>
        <v>0</v>
      </c>
      <c r="Z15" s="33">
        <f t="shared" si="4"/>
        <v>0</v>
      </c>
      <c r="AD15" s="38" t="s">
        <v>96</v>
      </c>
      <c r="AE15" s="38" t="s">
        <v>91</v>
      </c>
      <c r="AF15" s="33">
        <f t="shared" si="5"/>
        <v>0</v>
      </c>
      <c r="AL15" s="33">
        <f t="shared" si="6"/>
        <v>0</v>
      </c>
      <c r="AR15" s="33">
        <f t="shared" si="7"/>
        <v>0</v>
      </c>
      <c r="AX15" s="33">
        <f t="shared" si="8"/>
        <v>0</v>
      </c>
      <c r="BA15" s="33">
        <f t="shared" si="2"/>
        <v>0</v>
      </c>
    </row>
    <row r="16" spans="1:53" x14ac:dyDescent="0.25">
      <c r="A16" s="2" t="s">
        <v>14</v>
      </c>
      <c r="B16" s="36">
        <v>15</v>
      </c>
      <c r="H16" s="33">
        <f t="shared" si="3"/>
        <v>0</v>
      </c>
      <c r="N16" s="33">
        <f t="shared" si="0"/>
        <v>0</v>
      </c>
      <c r="T16" s="33">
        <f t="shared" si="1"/>
        <v>0</v>
      </c>
      <c r="Z16" s="33">
        <f t="shared" si="4"/>
        <v>0</v>
      </c>
      <c r="AD16" s="38" t="s">
        <v>96</v>
      </c>
      <c r="AE16" s="38" t="s">
        <v>91</v>
      </c>
      <c r="AF16" s="33">
        <f t="shared" si="5"/>
        <v>0</v>
      </c>
      <c r="AL16" s="33">
        <f t="shared" si="6"/>
        <v>0</v>
      </c>
      <c r="AR16" s="33">
        <f t="shared" si="7"/>
        <v>0</v>
      </c>
      <c r="AX16" s="33">
        <f t="shared" si="8"/>
        <v>0</v>
      </c>
      <c r="BA16" s="33">
        <f t="shared" si="2"/>
        <v>0</v>
      </c>
    </row>
    <row r="17" spans="1:53" x14ac:dyDescent="0.25">
      <c r="A17" s="2" t="s">
        <v>39</v>
      </c>
      <c r="B17" s="37">
        <v>16</v>
      </c>
      <c r="H17" s="33">
        <f>SUM(C17:G17)</f>
        <v>0</v>
      </c>
      <c r="N17" s="33">
        <f>SUM(I17:M17)</f>
        <v>0</v>
      </c>
      <c r="T17" s="33">
        <f t="shared" si="1"/>
        <v>0</v>
      </c>
      <c r="Z17" s="33">
        <f>SUM(U17:Y17)</f>
        <v>0</v>
      </c>
      <c r="AD17" s="82" t="s">
        <v>96</v>
      </c>
      <c r="AE17" s="82" t="s">
        <v>91</v>
      </c>
      <c r="AF17" s="33">
        <f>SUM(AA17:AE17)</f>
        <v>0</v>
      </c>
      <c r="AL17" s="33">
        <f>SUM(AG17:AK17)</f>
        <v>0</v>
      </c>
      <c r="AR17" s="33">
        <f>SUM(AM17:AQ17)</f>
        <v>0</v>
      </c>
      <c r="AX17" s="33">
        <f>SUM(AS17:AW17)</f>
        <v>0</v>
      </c>
      <c r="BA17" s="33">
        <f t="shared" si="2"/>
        <v>0</v>
      </c>
    </row>
    <row r="18" spans="1:53" ht="225" x14ac:dyDescent="0.25">
      <c r="A18" s="1" t="s">
        <v>11</v>
      </c>
      <c r="C18" s="68" t="s">
        <v>57</v>
      </c>
      <c r="D18" s="68" t="s">
        <v>57</v>
      </c>
      <c r="E18" s="68" t="s">
        <v>57</v>
      </c>
      <c r="F18" s="68" t="s">
        <v>57</v>
      </c>
      <c r="G18" s="68" t="s">
        <v>57</v>
      </c>
      <c r="H18" s="18"/>
      <c r="I18" s="68" t="s">
        <v>57</v>
      </c>
      <c r="J18" s="68" t="s">
        <v>57</v>
      </c>
      <c r="K18" s="68" t="s">
        <v>57</v>
      </c>
      <c r="L18" s="68" t="s">
        <v>57</v>
      </c>
      <c r="M18" s="68" t="s">
        <v>57</v>
      </c>
      <c r="N18" s="18"/>
      <c r="O18" s="68" t="s">
        <v>57</v>
      </c>
      <c r="P18" s="68" t="s">
        <v>57</v>
      </c>
      <c r="Q18" s="68" t="s">
        <v>57</v>
      </c>
      <c r="R18" s="68" t="s">
        <v>57</v>
      </c>
      <c r="S18" s="68" t="s">
        <v>57</v>
      </c>
      <c r="T18" s="18"/>
      <c r="U18" s="68" t="s">
        <v>57</v>
      </c>
      <c r="V18" s="68" t="s">
        <v>57</v>
      </c>
      <c r="W18" s="68" t="s">
        <v>57</v>
      </c>
      <c r="X18" s="68" t="s">
        <v>57</v>
      </c>
      <c r="Y18" s="68" t="s">
        <v>57</v>
      </c>
      <c r="Z18" s="18"/>
      <c r="AA18" s="68" t="s">
        <v>57</v>
      </c>
      <c r="AB18" s="68" t="s">
        <v>57</v>
      </c>
      <c r="AC18" s="68" t="s">
        <v>57</v>
      </c>
      <c r="AD18" s="70"/>
      <c r="AE18" s="70"/>
      <c r="AF18" s="18"/>
      <c r="AG18" s="68" t="s">
        <v>57</v>
      </c>
      <c r="AH18" s="68" t="s">
        <v>57</v>
      </c>
      <c r="AI18" s="68" t="s">
        <v>57</v>
      </c>
      <c r="AJ18" s="68" t="s">
        <v>57</v>
      </c>
      <c r="AK18" s="68" t="s">
        <v>57</v>
      </c>
      <c r="AL18" s="18"/>
      <c r="AM18" s="70" t="s">
        <v>104</v>
      </c>
      <c r="AN18" s="70"/>
      <c r="AO18" s="70"/>
      <c r="AP18" s="70"/>
      <c r="AQ18" s="70"/>
      <c r="AR18" s="18"/>
      <c r="AS18" s="70"/>
      <c r="AT18" s="70"/>
      <c r="AU18" s="70"/>
      <c r="AV18" s="70"/>
      <c r="AW18" s="70"/>
      <c r="AX18" s="70"/>
      <c r="AY18" s="18"/>
      <c r="AZ18" s="18"/>
      <c r="BA18" s="18"/>
    </row>
    <row r="19" spans="1:53" ht="30" x14ac:dyDescent="0.25">
      <c r="A19" s="1" t="s">
        <v>10</v>
      </c>
      <c r="C19" s="4"/>
      <c r="D19" s="4"/>
      <c r="E19" s="4"/>
      <c r="F19" s="4"/>
      <c r="G19" s="4"/>
      <c r="I19" s="4"/>
      <c r="J19" s="4"/>
      <c r="K19" s="4"/>
      <c r="L19" s="4"/>
      <c r="M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AA19" s="4" t="s">
        <v>81</v>
      </c>
      <c r="AB19" s="4"/>
      <c r="AC19" s="4"/>
      <c r="AD19" s="4"/>
      <c r="AE19" s="4"/>
      <c r="AG19" s="4"/>
      <c r="AH19" s="4"/>
      <c r="AI19" s="4"/>
      <c r="AJ19" s="4"/>
      <c r="AK19" s="4"/>
      <c r="AN19" s="4"/>
      <c r="AO19" s="4"/>
      <c r="AQ19" s="4"/>
      <c r="AS19" s="4"/>
      <c r="AT19" s="4"/>
      <c r="AU19" s="4"/>
      <c r="AV19" s="4"/>
    </row>
    <row r="20" spans="1:53" x14ac:dyDescent="0.25">
      <c r="Q20" s="4"/>
      <c r="V20" s="4"/>
    </row>
  </sheetData>
  <customSheetViews>
    <customSheetView guid="{E3841903-5B68-44FD-8F09-58E03D1025C5}" scale="70" topLeftCell="D4">
      <selection activeCell="Q19" sqref="Q19:Q20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S1" activePane="topRight" state="frozen"/>
      <selection pane="topRight" activeCell="CG1" sqref="CG1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D11" sqref="D11"/>
      <pageMargins left="0.511811024" right="0.511811024" top="0.78740157499999996" bottom="0.78740157499999996" header="0.31496062000000002" footer="0.31496062000000002"/>
    </customSheetView>
    <customSheetView guid="{552DFCCD-1786-4D75-8B10-27DD730384DD}">
      <pane xSplit="1" topLeftCell="I1" activePane="topRight" state="frozen"/>
      <selection pane="topRight" activeCell="M11" sqref="M11"/>
      <pageMargins left="0.511811024" right="0.511811024" top="0.78740157499999996" bottom="0.78740157499999996" header="0.31496062000000002" footer="0.31496062000000002"/>
    </customSheetView>
    <customSheetView guid="{B3CDE377-BA5D-4E06-91D9-3A48E1959BA5}" scale="90">
      <pane xSplit="1" topLeftCell="B1" activePane="topRight" state="frozen"/>
      <selection pane="topRight" activeCell="AJ18" sqref="AJ18"/>
      <pageMargins left="0.511811024" right="0.511811024" top="0.78740157499999996" bottom="0.78740157499999996" header="0.31496062000000002" footer="0.31496062000000002"/>
    </customSheetView>
    <customSheetView guid="{3D987F8E-A6EA-454D-9537-6BFC5053CB00}" scale="90">
      <pane xSplit="1" topLeftCell="AD1" activePane="topRight" state="frozen"/>
      <selection pane="topRight" activeCell="AG18" sqref="AG18"/>
      <pageMargins left="0.511811024" right="0.511811024" top="0.78740157499999996" bottom="0.78740157499999996" header="0.31496062000000002" footer="0.31496062000000002"/>
    </customSheetView>
    <customSheetView guid="{20CB6D8F-C24D-4D4B-A424-AF380F620455}" scale="90" showPageBreaks="1" topLeftCell="A4">
      <pane xSplit="1" topLeftCell="AG1" activePane="topRight" state="frozen"/>
      <selection pane="topRight" activeCell="AM18" sqref="AM18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86039CF8-B158-4D70-9A6F-A10C29CBD68A}" scale="90">
      <pane xSplit="1" topLeftCell="N1" activePane="topRight" state="frozen"/>
      <selection pane="topRight" activeCell="Y11" sqref="Y11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B1" activePane="topRight" state="frozen"/>
      <selection pane="topRight" activeCell="C17" sqref="C17:G19"/>
      <pageMargins left="0.511811024" right="0.511811024" top="0.78740157499999996" bottom="0.78740157499999996" header="0.31496062000000002" footer="0.31496062000000002"/>
      <autoFilter ref="A1:A20" xr:uid="{B691AD40-3DB2-4423-860A-EF1333F97480}"/>
    </customSheetView>
  </customSheetView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40"/>
  <sheetViews>
    <sheetView topLeftCell="J7" zoomScaleNormal="85" workbookViewId="0">
      <selection activeCell="S18" sqref="S18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20.140625" style="1" customWidth="1"/>
    <col min="8" max="8" width="14.28515625" style="1" bestFit="1" customWidth="1"/>
    <col min="9" max="9" width="17.28515625" style="1" customWidth="1"/>
    <col min="10" max="10" width="18.42578125" style="1" customWidth="1"/>
    <col min="11" max="11" width="14.5703125" style="1" customWidth="1"/>
    <col min="12" max="12" width="16" style="1" customWidth="1"/>
    <col min="13" max="13" width="17.7109375" style="1" customWidth="1"/>
    <col min="14" max="14" width="14.28515625" style="1" bestFit="1" customWidth="1"/>
    <col min="15" max="19" width="18.85546875" style="1" customWidth="1"/>
    <col min="20" max="20" width="14.28515625" style="1" bestFit="1" customWidth="1"/>
    <col min="21" max="25" width="20.42578125" style="1" customWidth="1"/>
    <col min="26" max="26" width="15.28515625" style="1" customWidth="1"/>
    <col min="27" max="27" width="29.85546875" style="1" customWidth="1"/>
    <col min="28" max="28" width="17.140625" style="1" customWidth="1"/>
    <col min="29" max="29" width="20" style="1" customWidth="1"/>
    <col min="30" max="30" width="14.140625" style="1" customWidth="1"/>
    <col min="31" max="31" width="16.5703125" style="1" customWidth="1"/>
    <col min="32" max="32" width="14.28515625" style="1" bestFit="1" customWidth="1"/>
    <col min="33" max="37" width="23.140625" style="1" customWidth="1"/>
    <col min="38" max="38" width="15.42578125" style="1" customWidth="1"/>
    <col min="39" max="43" width="19.7109375" style="1" customWidth="1"/>
    <col min="44" max="44" width="15.42578125" style="1" customWidth="1"/>
    <col min="45" max="45" width="19.5703125" style="1" customWidth="1"/>
    <col min="46" max="46" width="19.42578125" style="1" customWidth="1"/>
    <col min="47" max="49" width="19.5703125" style="1" customWidth="1"/>
    <col min="50" max="50" width="16.140625" style="1" customWidth="1"/>
    <col min="51" max="16384" width="9.140625" style="1"/>
  </cols>
  <sheetData>
    <row r="1" spans="1:53" x14ac:dyDescent="0.25">
      <c r="A1" s="14" t="s">
        <v>9</v>
      </c>
      <c r="B1" s="41"/>
      <c r="C1" s="32">
        <v>46146</v>
      </c>
      <c r="D1" s="32">
        <v>46147</v>
      </c>
      <c r="E1" s="32">
        <v>46148</v>
      </c>
      <c r="F1" s="32">
        <v>46149</v>
      </c>
      <c r="G1" s="32">
        <v>46150</v>
      </c>
      <c r="H1" s="10" t="s">
        <v>15</v>
      </c>
      <c r="I1" s="32">
        <v>46153</v>
      </c>
      <c r="J1" s="32">
        <v>46154</v>
      </c>
      <c r="K1" s="32">
        <v>46155</v>
      </c>
      <c r="L1" s="32">
        <v>46156</v>
      </c>
      <c r="M1" s="32">
        <v>46157</v>
      </c>
      <c r="N1" s="10" t="s">
        <v>15</v>
      </c>
      <c r="O1" s="19">
        <v>46160</v>
      </c>
      <c r="P1" s="19">
        <v>46161</v>
      </c>
      <c r="Q1" s="19">
        <v>46162</v>
      </c>
      <c r="R1" s="19">
        <v>46163</v>
      </c>
      <c r="S1" s="19">
        <v>46164</v>
      </c>
      <c r="T1" s="10" t="s">
        <v>15</v>
      </c>
      <c r="U1" s="32">
        <v>46167</v>
      </c>
      <c r="V1" s="32">
        <v>46168</v>
      </c>
      <c r="W1" s="32">
        <v>46169</v>
      </c>
      <c r="X1" s="32">
        <v>46170</v>
      </c>
      <c r="Y1" s="32">
        <v>46171</v>
      </c>
      <c r="Z1" s="10" t="s">
        <v>15</v>
      </c>
      <c r="AA1" s="32">
        <v>46174</v>
      </c>
      <c r="AB1" s="32">
        <v>46175</v>
      </c>
      <c r="AC1" s="32">
        <v>46176</v>
      </c>
      <c r="AD1" s="32">
        <v>46177</v>
      </c>
      <c r="AE1" s="32">
        <v>46178</v>
      </c>
      <c r="AF1" s="10" t="s">
        <v>15</v>
      </c>
      <c r="AG1" s="32">
        <v>46181</v>
      </c>
      <c r="AH1" s="32">
        <v>46182</v>
      </c>
      <c r="AI1" s="32">
        <v>46183</v>
      </c>
      <c r="AJ1" s="32">
        <v>46184</v>
      </c>
      <c r="AK1" s="32">
        <v>46185</v>
      </c>
      <c r="AL1" s="10" t="s">
        <v>15</v>
      </c>
      <c r="AM1" s="32">
        <v>46188</v>
      </c>
      <c r="AN1" s="32">
        <v>46189</v>
      </c>
      <c r="AO1" s="32">
        <v>46190</v>
      </c>
      <c r="AP1" s="32">
        <v>46191</v>
      </c>
      <c r="AQ1" s="32">
        <v>46192</v>
      </c>
      <c r="AR1" s="10" t="s">
        <v>15</v>
      </c>
      <c r="AS1" s="19">
        <v>46195</v>
      </c>
      <c r="AT1" s="19">
        <v>46196</v>
      </c>
      <c r="AU1" s="19">
        <v>46197</v>
      </c>
      <c r="AV1" s="19">
        <v>46198</v>
      </c>
      <c r="AW1" s="19">
        <v>46199</v>
      </c>
      <c r="AX1" s="10" t="s">
        <v>15</v>
      </c>
      <c r="AY1" s="67">
        <v>46202</v>
      </c>
      <c r="AZ1" s="67">
        <v>46203</v>
      </c>
      <c r="BA1" s="10" t="s">
        <v>15</v>
      </c>
    </row>
    <row r="2" spans="1:53" x14ac:dyDescent="0.25">
      <c r="A2" s="39" t="s">
        <v>18</v>
      </c>
      <c r="B2" s="42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A2" s="73"/>
      <c r="AB2" s="73"/>
      <c r="AC2" s="73"/>
      <c r="AD2" s="79"/>
      <c r="AE2" s="79"/>
      <c r="AF2" s="33">
        <f>SUM(AA2:AE2)</f>
        <v>0</v>
      </c>
      <c r="AL2" s="33">
        <f>SUM(AG2:AK2)</f>
        <v>0</v>
      </c>
      <c r="AR2" s="33">
        <f>SUM(AM2:AQ2)</f>
        <v>0</v>
      </c>
      <c r="AS2" s="55"/>
      <c r="AX2" s="33">
        <f>SUM(AS2:AW2)</f>
        <v>0</v>
      </c>
      <c r="BA2" s="33">
        <f t="shared" ref="BA2:BA17" si="2">SUM(AY2:AZ2)</f>
        <v>0</v>
      </c>
    </row>
    <row r="3" spans="1:53" x14ac:dyDescent="0.25">
      <c r="A3" s="39" t="s">
        <v>0</v>
      </c>
      <c r="B3" s="42">
        <v>2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A3" s="73"/>
      <c r="AB3" s="73"/>
      <c r="AC3" s="73"/>
      <c r="AD3" s="79"/>
      <c r="AE3" s="79"/>
      <c r="AF3" s="33">
        <f t="shared" ref="AF3:AF16" si="5">SUM(AA3:AE3)</f>
        <v>0</v>
      </c>
      <c r="AL3" s="33">
        <f t="shared" ref="AL3:AL16" si="6">SUM(AG3:AK3)</f>
        <v>0</v>
      </c>
      <c r="AR3" s="33">
        <f t="shared" ref="AR3:AR16" si="7">SUM(AM3:AQ3)</f>
        <v>0</v>
      </c>
      <c r="AX3" s="33">
        <f t="shared" ref="AX3:AX16" si="8">SUM(AS3:AW3)</f>
        <v>0</v>
      </c>
      <c r="BA3" s="33">
        <f t="shared" si="2"/>
        <v>0</v>
      </c>
    </row>
    <row r="4" spans="1:53" x14ac:dyDescent="0.25">
      <c r="A4" s="40" t="s">
        <v>17</v>
      </c>
      <c r="B4" s="43">
        <v>3</v>
      </c>
      <c r="H4" s="33">
        <f t="shared" si="3"/>
        <v>0</v>
      </c>
      <c r="N4" s="33">
        <f t="shared" si="0"/>
        <v>0</v>
      </c>
      <c r="T4" s="33">
        <f t="shared" si="1"/>
        <v>0</v>
      </c>
      <c r="Z4" s="33">
        <f t="shared" si="4"/>
        <v>0</v>
      </c>
      <c r="AA4" s="73"/>
      <c r="AB4" s="73"/>
      <c r="AC4" s="73"/>
      <c r="AD4" s="79"/>
      <c r="AE4" s="79"/>
      <c r="AF4" s="33">
        <f t="shared" si="5"/>
        <v>0</v>
      </c>
      <c r="AL4" s="33">
        <f t="shared" si="6"/>
        <v>0</v>
      </c>
      <c r="AR4" s="33">
        <f t="shared" si="7"/>
        <v>0</v>
      </c>
      <c r="AX4" s="33">
        <f t="shared" si="8"/>
        <v>0</v>
      </c>
      <c r="BA4" s="33">
        <f t="shared" si="2"/>
        <v>0</v>
      </c>
    </row>
    <row r="5" spans="1:53" x14ac:dyDescent="0.25">
      <c r="A5" s="40" t="s">
        <v>16</v>
      </c>
      <c r="B5" s="42">
        <v>4</v>
      </c>
      <c r="H5" s="33">
        <f t="shared" si="3"/>
        <v>0</v>
      </c>
      <c r="N5" s="33">
        <f t="shared" si="0"/>
        <v>0</v>
      </c>
      <c r="T5" s="33">
        <f t="shared" si="1"/>
        <v>0</v>
      </c>
      <c r="Z5" s="33">
        <f t="shared" si="4"/>
        <v>0</v>
      </c>
      <c r="AA5" s="73"/>
      <c r="AB5" s="73"/>
      <c r="AC5" s="73"/>
      <c r="AD5" s="79"/>
      <c r="AE5" s="79"/>
      <c r="AF5" s="33">
        <f t="shared" si="5"/>
        <v>0</v>
      </c>
      <c r="AL5" s="33">
        <f t="shared" si="6"/>
        <v>0</v>
      </c>
      <c r="AR5" s="33">
        <f t="shared" si="7"/>
        <v>0</v>
      </c>
      <c r="AX5" s="33">
        <f t="shared" si="8"/>
        <v>0</v>
      </c>
      <c r="BA5" s="33">
        <f t="shared" si="2"/>
        <v>0</v>
      </c>
    </row>
    <row r="6" spans="1:53" x14ac:dyDescent="0.25">
      <c r="A6" s="40" t="s">
        <v>1</v>
      </c>
      <c r="B6" s="42">
        <v>5</v>
      </c>
      <c r="H6" s="33">
        <f t="shared" si="3"/>
        <v>0</v>
      </c>
      <c r="N6" s="33">
        <f t="shared" si="0"/>
        <v>0</v>
      </c>
      <c r="T6" s="33">
        <f t="shared" si="1"/>
        <v>0</v>
      </c>
      <c r="Z6" s="33">
        <f t="shared" si="4"/>
        <v>0</v>
      </c>
      <c r="AA6" s="73"/>
      <c r="AB6" s="73"/>
      <c r="AC6" s="73"/>
      <c r="AD6" s="79"/>
      <c r="AE6" s="79"/>
      <c r="AF6" s="33">
        <f t="shared" si="5"/>
        <v>0</v>
      </c>
      <c r="AL6" s="33">
        <f t="shared" si="6"/>
        <v>0</v>
      </c>
      <c r="AR6" s="33">
        <f t="shared" si="7"/>
        <v>0</v>
      </c>
      <c r="AX6" s="33">
        <f t="shared" si="8"/>
        <v>0</v>
      </c>
      <c r="BA6" s="33">
        <f t="shared" si="2"/>
        <v>0</v>
      </c>
    </row>
    <row r="7" spans="1:53" x14ac:dyDescent="0.25">
      <c r="A7" s="40" t="s">
        <v>2</v>
      </c>
      <c r="B7" s="43">
        <v>6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A7" s="73"/>
      <c r="AB7" s="73"/>
      <c r="AC7" s="73"/>
      <c r="AD7" s="79"/>
      <c r="AE7" s="79"/>
      <c r="AF7" s="33">
        <f t="shared" si="5"/>
        <v>0</v>
      </c>
      <c r="AL7" s="33">
        <f t="shared" si="6"/>
        <v>0</v>
      </c>
      <c r="AR7" s="33">
        <f t="shared" si="7"/>
        <v>0</v>
      </c>
      <c r="AX7" s="33">
        <f t="shared" si="8"/>
        <v>0</v>
      </c>
      <c r="BA7" s="33">
        <f t="shared" si="2"/>
        <v>0</v>
      </c>
    </row>
    <row r="8" spans="1:53" x14ac:dyDescent="0.25">
      <c r="A8" s="40" t="s">
        <v>3</v>
      </c>
      <c r="B8" s="42">
        <v>7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A8" s="73"/>
      <c r="AB8" s="73"/>
      <c r="AC8" s="73"/>
      <c r="AD8" s="79"/>
      <c r="AE8" s="79"/>
      <c r="AF8" s="33">
        <f t="shared" si="5"/>
        <v>0</v>
      </c>
      <c r="AL8" s="33">
        <f t="shared" si="6"/>
        <v>0</v>
      </c>
      <c r="AR8" s="33">
        <f t="shared" si="7"/>
        <v>0</v>
      </c>
      <c r="AX8" s="33">
        <f t="shared" si="8"/>
        <v>0</v>
      </c>
      <c r="BA8" s="33">
        <f t="shared" si="2"/>
        <v>0</v>
      </c>
    </row>
    <row r="9" spans="1:53" x14ac:dyDescent="0.25">
      <c r="A9" s="40" t="s">
        <v>13</v>
      </c>
      <c r="B9" s="42">
        <v>8</v>
      </c>
      <c r="H9" s="33">
        <f t="shared" si="3"/>
        <v>0</v>
      </c>
      <c r="N9" s="33">
        <f t="shared" si="0"/>
        <v>0</v>
      </c>
      <c r="T9" s="33">
        <f t="shared" si="1"/>
        <v>0</v>
      </c>
      <c r="Z9" s="33">
        <f t="shared" si="4"/>
        <v>0</v>
      </c>
      <c r="AA9" s="73"/>
      <c r="AB9" s="73"/>
      <c r="AC9" s="73"/>
      <c r="AD9" s="79"/>
      <c r="AE9" s="79"/>
      <c r="AF9" s="33">
        <f t="shared" si="5"/>
        <v>0</v>
      </c>
      <c r="AL9" s="33">
        <f t="shared" si="6"/>
        <v>0</v>
      </c>
      <c r="AR9" s="33">
        <f t="shared" si="7"/>
        <v>0</v>
      </c>
      <c r="AX9" s="33">
        <f t="shared" si="8"/>
        <v>0</v>
      </c>
      <c r="BA9" s="33">
        <f t="shared" si="2"/>
        <v>0</v>
      </c>
    </row>
    <row r="10" spans="1:53" x14ac:dyDescent="0.25">
      <c r="A10" s="39" t="s">
        <v>12</v>
      </c>
      <c r="B10" s="43">
        <v>9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A10" s="73"/>
      <c r="AB10" s="73"/>
      <c r="AC10" s="73"/>
      <c r="AD10" s="79"/>
      <c r="AE10" s="79"/>
      <c r="AF10" s="33">
        <f t="shared" si="5"/>
        <v>0</v>
      </c>
      <c r="AL10" s="33">
        <f t="shared" si="6"/>
        <v>0</v>
      </c>
      <c r="AR10" s="33">
        <f t="shared" si="7"/>
        <v>0</v>
      </c>
      <c r="AX10" s="33">
        <f t="shared" si="8"/>
        <v>0</v>
      </c>
      <c r="BA10" s="33">
        <f t="shared" si="2"/>
        <v>0</v>
      </c>
    </row>
    <row r="11" spans="1:53" x14ac:dyDescent="0.25">
      <c r="A11" s="40" t="s">
        <v>4</v>
      </c>
      <c r="B11" s="42">
        <v>10</v>
      </c>
      <c r="H11" s="33">
        <f t="shared" si="3"/>
        <v>0</v>
      </c>
      <c r="N11" s="33">
        <f t="shared" si="0"/>
        <v>0</v>
      </c>
      <c r="T11" s="33">
        <f t="shared" si="1"/>
        <v>0</v>
      </c>
      <c r="Z11" s="33">
        <f t="shared" si="4"/>
        <v>0</v>
      </c>
      <c r="AA11" s="73"/>
      <c r="AB11" s="73"/>
      <c r="AC11" s="73"/>
      <c r="AD11" s="79"/>
      <c r="AE11" s="79"/>
      <c r="AF11" s="33">
        <f t="shared" si="5"/>
        <v>0</v>
      </c>
      <c r="AL11" s="33">
        <f t="shared" si="6"/>
        <v>0</v>
      </c>
      <c r="AR11" s="33">
        <f t="shared" si="7"/>
        <v>0</v>
      </c>
      <c r="AX11" s="33">
        <f t="shared" si="8"/>
        <v>0</v>
      </c>
      <c r="BA11" s="33">
        <f t="shared" si="2"/>
        <v>0</v>
      </c>
    </row>
    <row r="12" spans="1:53" x14ac:dyDescent="0.25">
      <c r="A12" s="40" t="s">
        <v>5</v>
      </c>
      <c r="B12" s="42">
        <v>11</v>
      </c>
      <c r="H12" s="33">
        <f t="shared" si="3"/>
        <v>0</v>
      </c>
      <c r="N12" s="33">
        <f t="shared" si="0"/>
        <v>0</v>
      </c>
      <c r="T12" s="33">
        <f t="shared" si="1"/>
        <v>0</v>
      </c>
      <c r="Z12" s="33">
        <f t="shared" si="4"/>
        <v>0</v>
      </c>
      <c r="AA12" s="73"/>
      <c r="AB12" s="73"/>
      <c r="AC12" s="73"/>
      <c r="AD12" s="79"/>
      <c r="AE12" s="79"/>
      <c r="AF12" s="33">
        <f t="shared" si="5"/>
        <v>0</v>
      </c>
      <c r="AL12" s="33">
        <f t="shared" si="6"/>
        <v>0</v>
      </c>
      <c r="AR12" s="33">
        <f t="shared" si="7"/>
        <v>0</v>
      </c>
      <c r="AX12" s="33">
        <f t="shared" si="8"/>
        <v>0</v>
      </c>
      <c r="BA12" s="33">
        <f t="shared" si="2"/>
        <v>0</v>
      </c>
    </row>
    <row r="13" spans="1:53" x14ac:dyDescent="0.25">
      <c r="A13" s="39" t="s">
        <v>8</v>
      </c>
      <c r="B13" s="43">
        <v>12</v>
      </c>
      <c r="H13" s="33">
        <f t="shared" si="3"/>
        <v>0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A13" s="73"/>
      <c r="AB13" s="73"/>
      <c r="AC13" s="73"/>
      <c r="AD13" s="79"/>
      <c r="AE13" s="79"/>
      <c r="AF13" s="33">
        <f t="shared" si="5"/>
        <v>0</v>
      </c>
      <c r="AL13" s="33">
        <f t="shared" si="6"/>
        <v>0</v>
      </c>
      <c r="AR13" s="33">
        <f t="shared" si="7"/>
        <v>0</v>
      </c>
      <c r="AX13" s="33">
        <f t="shared" si="8"/>
        <v>0</v>
      </c>
      <c r="BA13" s="33">
        <f t="shared" si="2"/>
        <v>0</v>
      </c>
    </row>
    <row r="14" spans="1:53" x14ac:dyDescent="0.25">
      <c r="A14" s="40" t="s">
        <v>6</v>
      </c>
      <c r="B14" s="42">
        <v>13</v>
      </c>
      <c r="H14" s="33">
        <f t="shared" si="3"/>
        <v>0</v>
      </c>
      <c r="N14" s="33">
        <f t="shared" si="0"/>
        <v>0</v>
      </c>
      <c r="T14" s="33">
        <f t="shared" si="1"/>
        <v>0</v>
      </c>
      <c r="Z14" s="33">
        <f t="shared" si="4"/>
        <v>0</v>
      </c>
      <c r="AA14" s="73"/>
      <c r="AB14" s="73"/>
      <c r="AC14" s="73"/>
      <c r="AD14" s="79"/>
      <c r="AE14" s="79"/>
      <c r="AF14" s="33">
        <f t="shared" si="5"/>
        <v>0</v>
      </c>
      <c r="AL14" s="33">
        <f t="shared" si="6"/>
        <v>0</v>
      </c>
      <c r="AR14" s="33">
        <f t="shared" si="7"/>
        <v>0</v>
      </c>
      <c r="AX14" s="33">
        <f t="shared" si="8"/>
        <v>0</v>
      </c>
      <c r="BA14" s="33">
        <f t="shared" si="2"/>
        <v>0</v>
      </c>
    </row>
    <row r="15" spans="1:53" x14ac:dyDescent="0.25">
      <c r="A15" s="39" t="s">
        <v>7</v>
      </c>
      <c r="B15" s="42">
        <v>14</v>
      </c>
      <c r="H15" s="33">
        <f t="shared" si="3"/>
        <v>0</v>
      </c>
      <c r="N15" s="33">
        <f t="shared" si="0"/>
        <v>0</v>
      </c>
      <c r="T15" s="33">
        <f t="shared" si="1"/>
        <v>0</v>
      </c>
      <c r="Z15" s="33">
        <f t="shared" si="4"/>
        <v>0</v>
      </c>
      <c r="AA15" s="73"/>
      <c r="AB15" s="73"/>
      <c r="AC15" s="73"/>
      <c r="AD15" s="79"/>
      <c r="AE15" s="79"/>
      <c r="AF15" s="33">
        <f t="shared" si="5"/>
        <v>0</v>
      </c>
      <c r="AL15" s="33">
        <f t="shared" si="6"/>
        <v>0</v>
      </c>
      <c r="AR15" s="33">
        <f t="shared" si="7"/>
        <v>0</v>
      </c>
      <c r="AX15" s="33">
        <f t="shared" si="8"/>
        <v>0</v>
      </c>
      <c r="BA15" s="33">
        <f t="shared" si="2"/>
        <v>0</v>
      </c>
    </row>
    <row r="16" spans="1:53" x14ac:dyDescent="0.25">
      <c r="A16" s="39" t="s">
        <v>14</v>
      </c>
      <c r="B16" s="36">
        <v>15</v>
      </c>
      <c r="H16" s="33">
        <f t="shared" si="3"/>
        <v>0</v>
      </c>
      <c r="N16" s="33">
        <f t="shared" si="0"/>
        <v>0</v>
      </c>
      <c r="T16" s="33">
        <f t="shared" si="1"/>
        <v>0</v>
      </c>
      <c r="Z16" s="33">
        <f t="shared" si="4"/>
        <v>0</v>
      </c>
      <c r="AA16" s="73"/>
      <c r="AB16" s="73"/>
      <c r="AC16" s="73"/>
      <c r="AD16" s="79"/>
      <c r="AE16" s="79"/>
      <c r="AF16" s="33">
        <f t="shared" si="5"/>
        <v>0</v>
      </c>
      <c r="AL16" s="33">
        <f t="shared" si="6"/>
        <v>0</v>
      </c>
      <c r="AR16" s="33">
        <f t="shared" si="7"/>
        <v>0</v>
      </c>
      <c r="AX16" s="33">
        <f t="shared" si="8"/>
        <v>0</v>
      </c>
      <c r="BA16" s="33">
        <f t="shared" si="2"/>
        <v>0</v>
      </c>
    </row>
    <row r="17" spans="1:53" x14ac:dyDescent="0.25">
      <c r="A17" s="72" t="s">
        <v>39</v>
      </c>
      <c r="B17" s="36">
        <v>16</v>
      </c>
      <c r="H17" s="33">
        <f>SUM(C17:G17)</f>
        <v>0</v>
      </c>
      <c r="N17" s="33">
        <f>SUM(I17:M17)</f>
        <v>0</v>
      </c>
      <c r="T17" s="33">
        <f t="shared" si="1"/>
        <v>0</v>
      </c>
      <c r="Z17" s="33">
        <f>SUM(U17:Y17)</f>
        <v>0</v>
      </c>
      <c r="AA17" s="73"/>
      <c r="AB17" s="73"/>
      <c r="AC17" s="73"/>
      <c r="AD17" s="79"/>
      <c r="AE17" s="79"/>
      <c r="AF17" s="33">
        <f>SUM(AA17:AE17)</f>
        <v>0</v>
      </c>
      <c r="AL17" s="33">
        <f>SUM(AG17:AK17)</f>
        <v>0</v>
      </c>
      <c r="AR17" s="33">
        <f>SUM(AM17:AQ17)</f>
        <v>0</v>
      </c>
      <c r="AX17" s="33">
        <f>SUM(AS17:AW17)</f>
        <v>0</v>
      </c>
      <c r="BA17" s="33">
        <f t="shared" si="2"/>
        <v>0</v>
      </c>
    </row>
    <row r="18" spans="1:53" s="73" customFormat="1" ht="244.5" customHeight="1" x14ac:dyDescent="0.25">
      <c r="A18" s="73" t="s">
        <v>11</v>
      </c>
      <c r="B18" s="74"/>
      <c r="C18" s="68" t="s">
        <v>57</v>
      </c>
      <c r="D18" s="68" t="s">
        <v>57</v>
      </c>
      <c r="E18" s="68" t="s">
        <v>57</v>
      </c>
      <c r="F18" s="68" t="s">
        <v>57</v>
      </c>
      <c r="G18" s="68" t="s">
        <v>57</v>
      </c>
      <c r="H18" s="76"/>
      <c r="I18" s="68" t="s">
        <v>57</v>
      </c>
      <c r="J18" s="68" t="s">
        <v>57</v>
      </c>
      <c r="K18" s="68" t="s">
        <v>57</v>
      </c>
      <c r="L18" s="68" t="s">
        <v>57</v>
      </c>
      <c r="M18" s="68" t="s">
        <v>57</v>
      </c>
      <c r="N18" s="76"/>
      <c r="O18" s="68" t="s">
        <v>57</v>
      </c>
      <c r="P18" s="68" t="s">
        <v>57</v>
      </c>
      <c r="Q18" s="68" t="s">
        <v>57</v>
      </c>
      <c r="R18" s="68" t="s">
        <v>57</v>
      </c>
      <c r="S18" s="68" t="s">
        <v>57</v>
      </c>
      <c r="T18" s="76"/>
      <c r="U18" s="68" t="s">
        <v>57</v>
      </c>
      <c r="V18" s="68" t="s">
        <v>57</v>
      </c>
      <c r="W18" s="68" t="s">
        <v>57</v>
      </c>
      <c r="X18" s="68" t="s">
        <v>57</v>
      </c>
      <c r="Y18" s="68" t="s">
        <v>57</v>
      </c>
      <c r="Z18" s="76"/>
      <c r="AA18" s="77" t="s">
        <v>82</v>
      </c>
      <c r="AB18" s="68" t="s">
        <v>57</v>
      </c>
      <c r="AC18" s="68" t="s">
        <v>57</v>
      </c>
      <c r="AD18" s="78" t="s">
        <v>83</v>
      </c>
      <c r="AE18" s="78" t="s">
        <v>84</v>
      </c>
      <c r="AF18" s="76"/>
      <c r="AG18" s="68" t="s">
        <v>57</v>
      </c>
      <c r="AH18" s="68" t="s">
        <v>57</v>
      </c>
      <c r="AI18" s="68" t="s">
        <v>57</v>
      </c>
      <c r="AJ18" s="68" t="s">
        <v>57</v>
      </c>
      <c r="AK18" s="68" t="s">
        <v>57</v>
      </c>
      <c r="AL18" s="76"/>
      <c r="AM18" s="75"/>
      <c r="AN18" s="75"/>
      <c r="AO18" s="75"/>
      <c r="AP18" s="75"/>
      <c r="AQ18" s="75"/>
      <c r="AR18" s="76"/>
      <c r="AS18" s="75"/>
      <c r="AT18" s="75"/>
      <c r="AU18" s="75"/>
      <c r="AV18" s="75"/>
      <c r="AW18" s="75"/>
      <c r="AX18" s="75"/>
      <c r="AY18" s="76"/>
      <c r="AZ18" s="76"/>
      <c r="BA18" s="76"/>
    </row>
    <row r="19" spans="1:53" s="73" customFormat="1" ht="160.5" customHeight="1" x14ac:dyDescent="0.25">
      <c r="A19" s="73" t="s">
        <v>10</v>
      </c>
      <c r="B19" s="74"/>
      <c r="C19" s="68"/>
      <c r="D19" s="68"/>
      <c r="E19" s="68"/>
      <c r="F19" s="68"/>
      <c r="G19" s="68"/>
      <c r="H19" s="76"/>
      <c r="I19" s="75"/>
      <c r="J19" s="76"/>
      <c r="K19" s="75"/>
      <c r="L19" s="76"/>
      <c r="M19" s="76"/>
      <c r="N19" s="76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6"/>
      <c r="AA19" s="75"/>
      <c r="AB19" s="75"/>
      <c r="AC19" s="76"/>
      <c r="AD19" s="75"/>
      <c r="AE19" s="75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5"/>
      <c r="AT19" s="75"/>
      <c r="AU19" s="75"/>
      <c r="AV19" s="75"/>
      <c r="AW19" s="75"/>
      <c r="AX19" s="76"/>
      <c r="AY19" s="76"/>
      <c r="AZ19" s="76"/>
      <c r="BA19" s="76"/>
    </row>
    <row r="20" spans="1:53" x14ac:dyDescent="0.25"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</row>
    <row r="21" spans="1:53" x14ac:dyDescent="0.25"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</row>
    <row r="22" spans="1:53" x14ac:dyDescent="0.25"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</row>
    <row r="23" spans="1:53" x14ac:dyDescent="0.25"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</row>
    <row r="24" spans="1:53" x14ac:dyDescent="0.25"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</row>
    <row r="25" spans="1:53" x14ac:dyDescent="0.25"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</row>
    <row r="26" spans="1:53" x14ac:dyDescent="0.25"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</row>
    <row r="27" spans="1:53" x14ac:dyDescent="0.25"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</row>
    <row r="28" spans="1:53" x14ac:dyDescent="0.25"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</row>
    <row r="29" spans="1:53" x14ac:dyDescent="0.25"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</row>
    <row r="30" spans="1:53" x14ac:dyDescent="0.25"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</row>
    <row r="31" spans="1:53" x14ac:dyDescent="0.25"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</row>
    <row r="32" spans="1:53" x14ac:dyDescent="0.25"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</row>
    <row r="33" spans="3:53" x14ac:dyDescent="0.25"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</row>
    <row r="34" spans="3:53" x14ac:dyDescent="0.25"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</row>
    <row r="35" spans="3:53" x14ac:dyDescent="0.25"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</row>
    <row r="36" spans="3:53" x14ac:dyDescent="0.25"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</row>
    <row r="37" spans="3:53" x14ac:dyDescent="0.25"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</row>
    <row r="38" spans="3:53" x14ac:dyDescent="0.25"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</row>
    <row r="39" spans="3:53" x14ac:dyDescent="0.25"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</row>
    <row r="40" spans="3:53" x14ac:dyDescent="0.25"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</row>
  </sheetData>
  <customSheetViews>
    <customSheetView guid="{E3841903-5B68-44FD-8F09-58E03D1025C5}" topLeftCell="J7">
      <selection activeCell="S18" sqref="S18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F5" sqref="F5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E3" sqref="E3"/>
      <pageMargins left="0.511811024" right="0.511811024" top="0.78740157499999996" bottom="0.78740157499999996" header="0.31496062000000002" footer="0.31496062000000002"/>
    </customSheetView>
    <customSheetView guid="{B3CDE377-BA5D-4E06-91D9-3A48E1959BA5}">
      <pane xSplit="1" topLeftCell="B1" activePane="topRight" state="frozen"/>
      <selection pane="topRight" activeCell="AE18" sqref="AE18"/>
      <pageMargins left="0.511811024" right="0.511811024" top="0.78740157499999996" bottom="0.78740157499999996" header="0.31496062000000002" footer="0.31496062000000002"/>
    </customSheetView>
    <customSheetView guid="{3D987F8E-A6EA-454D-9537-6BFC5053CB00}" showPageBreaks="1">
      <pane xSplit="1" topLeftCell="AG1" activePane="topRight" state="frozen"/>
      <selection pane="topRight" activeCell="AK10" sqref="AK10"/>
      <pageMargins left="0.51181102362204722" right="0.51181102362204722" top="0.78740157480314965" bottom="0.78740157480314965" header="0.31496062992125984" footer="0.31496062992125984"/>
      <printOptions gridLines="1"/>
      <pageSetup paperSize="9" orientation="portrait" r:id="rId1"/>
    </customSheetView>
    <customSheetView guid="{20CB6D8F-C24D-4D4B-A424-AF380F620455}" showPageBreaks="1" topLeftCell="I2">
      <selection activeCell="M18" sqref="M18"/>
      <pageMargins left="0.511811024" right="0.511811024" top="0.78740157499999996" bottom="0.78740157499999996" header="0.31496062000000002" footer="0.31496062000000002"/>
      <pageSetup paperSize="9" orientation="portrait" r:id="rId2"/>
    </customSheetView>
    <customSheetView guid="{86039CF8-B158-4D70-9A6F-A10C29CBD68A}">
      <pane xSplit="1" topLeftCell="AH1" activePane="topRight" state="frozen"/>
      <selection pane="topRight" activeCell="AJ1" sqref="AJ1"/>
      <pageMargins left="0.511811024" right="0.511811024" top="0.78740157499999996" bottom="0.78740157499999996" header="0.31496062000000002" footer="0.31496062000000002"/>
    </customSheetView>
    <customSheetView guid="{9B623083-AA7B-440B-95EA-C33E1AB3D963}" scale="90" showAutoFilter="1" topLeftCell="A4">
      <pane xSplit="1" topLeftCell="B1" activePane="topRight" state="frozen"/>
      <selection pane="topRight" activeCell="W17" sqref="W17"/>
      <pageMargins left="0.511811024" right="0.511811024" top="0.78740157499999996" bottom="0.78740157499999996" header="0.31496062000000002" footer="0.31496062000000002"/>
      <autoFilter ref="A1:A19" xr:uid="{F9346627-E44B-4D7A-9F30-29D987391336}"/>
    </customSheetView>
  </customSheetView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19"/>
  <sheetViews>
    <sheetView zoomScaleNormal="85" workbookViewId="0">
      <selection activeCell="P10" sqref="P10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9.140625" style="1"/>
    <col min="8" max="8" width="14.85546875" style="1" customWidth="1"/>
    <col min="9" max="13" width="9.140625" style="1"/>
    <col min="14" max="14" width="15.28515625" style="1" customWidth="1"/>
    <col min="15" max="19" width="9.140625" style="1"/>
    <col min="20" max="20" width="15.7109375" style="1" customWidth="1"/>
    <col min="21" max="25" width="9.140625" style="1"/>
    <col min="26" max="26" width="16.140625" style="1" customWidth="1"/>
    <col min="27" max="31" width="9.140625" style="1"/>
    <col min="32" max="32" width="15" style="1" customWidth="1"/>
    <col min="33" max="37" width="9.140625" style="1"/>
    <col min="38" max="38" width="15.5703125" style="1" customWidth="1"/>
    <col min="39" max="39" width="9.7109375" style="1" customWidth="1"/>
    <col min="40" max="40" width="11" style="1" customWidth="1"/>
    <col min="41" max="43" width="9.140625" style="1"/>
    <col min="44" max="44" width="15" style="1" customWidth="1"/>
    <col min="45" max="49" width="9.140625" style="1"/>
    <col min="50" max="50" width="16.28515625" style="1" customWidth="1"/>
    <col min="51" max="52" width="9.140625" style="1"/>
    <col min="53" max="53" width="14.85546875" style="1" customWidth="1"/>
    <col min="54" max="16384" width="9.140625" style="1"/>
  </cols>
  <sheetData>
    <row r="1" spans="1:53" x14ac:dyDescent="0.25">
      <c r="A1" s="14" t="s">
        <v>9</v>
      </c>
      <c r="B1" s="41"/>
      <c r="C1" s="32">
        <v>46146</v>
      </c>
      <c r="D1" s="32">
        <v>46147</v>
      </c>
      <c r="E1" s="32">
        <v>46148</v>
      </c>
      <c r="F1" s="32">
        <v>46149</v>
      </c>
      <c r="G1" s="32">
        <v>46150</v>
      </c>
      <c r="H1" s="10" t="s">
        <v>15</v>
      </c>
      <c r="I1" s="32">
        <v>46153</v>
      </c>
      <c r="J1" s="32">
        <v>46154</v>
      </c>
      <c r="K1" s="32">
        <v>46155</v>
      </c>
      <c r="L1" s="32">
        <v>46156</v>
      </c>
      <c r="M1" s="32">
        <v>46157</v>
      </c>
      <c r="N1" s="10" t="s">
        <v>15</v>
      </c>
      <c r="O1" s="19">
        <v>46160</v>
      </c>
      <c r="P1" s="19">
        <v>46161</v>
      </c>
      <c r="Q1" s="19">
        <v>46162</v>
      </c>
      <c r="R1" s="19">
        <v>46163</v>
      </c>
      <c r="S1" s="19">
        <v>46164</v>
      </c>
      <c r="T1" s="10" t="s">
        <v>15</v>
      </c>
      <c r="U1" s="32">
        <v>46167</v>
      </c>
      <c r="V1" s="32">
        <v>46168</v>
      </c>
      <c r="W1" s="32">
        <v>46169</v>
      </c>
      <c r="X1" s="32">
        <v>46170</v>
      </c>
      <c r="Y1" s="32">
        <v>46171</v>
      </c>
      <c r="Z1" s="10" t="s">
        <v>15</v>
      </c>
      <c r="AA1" s="32">
        <v>46174</v>
      </c>
      <c r="AB1" s="32">
        <v>46175</v>
      </c>
      <c r="AC1" s="32">
        <v>46176</v>
      </c>
      <c r="AD1" s="32">
        <v>46177</v>
      </c>
      <c r="AE1" s="32">
        <v>46178</v>
      </c>
      <c r="AF1" s="10" t="s">
        <v>15</v>
      </c>
      <c r="AG1" s="32">
        <v>46181</v>
      </c>
      <c r="AH1" s="32">
        <v>46182</v>
      </c>
      <c r="AI1" s="32">
        <v>46183</v>
      </c>
      <c r="AJ1" s="32">
        <v>46184</v>
      </c>
      <c r="AK1" s="32">
        <v>46185</v>
      </c>
      <c r="AL1" s="10" t="s">
        <v>15</v>
      </c>
      <c r="AM1" s="32">
        <v>46188</v>
      </c>
      <c r="AN1" s="32">
        <v>46189</v>
      </c>
      <c r="AO1" s="32">
        <v>46190</v>
      </c>
      <c r="AP1" s="32">
        <v>46191</v>
      </c>
      <c r="AQ1" s="32">
        <v>46192</v>
      </c>
      <c r="AR1" s="10" t="s">
        <v>15</v>
      </c>
      <c r="AS1" s="19">
        <v>46195</v>
      </c>
      <c r="AT1" s="19">
        <v>46196</v>
      </c>
      <c r="AU1" s="19">
        <v>46197</v>
      </c>
      <c r="AV1" s="19">
        <v>46198</v>
      </c>
      <c r="AW1" s="19">
        <v>46199</v>
      </c>
      <c r="AX1" s="10" t="s">
        <v>15</v>
      </c>
      <c r="AY1" s="67">
        <v>46202</v>
      </c>
      <c r="AZ1" s="67">
        <v>46203</v>
      </c>
      <c r="BA1" s="10" t="s">
        <v>15</v>
      </c>
    </row>
    <row r="2" spans="1:53" x14ac:dyDescent="0.25">
      <c r="A2" s="39" t="s">
        <v>18</v>
      </c>
      <c r="B2" s="42">
        <v>1</v>
      </c>
      <c r="C2" s="1" t="s">
        <v>58</v>
      </c>
      <c r="D2" s="1" t="s">
        <v>58</v>
      </c>
      <c r="E2" s="1" t="s">
        <v>58</v>
      </c>
      <c r="F2" s="1" t="s">
        <v>58</v>
      </c>
      <c r="G2" s="1" t="s">
        <v>58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D2" s="38" t="s">
        <v>96</v>
      </c>
      <c r="AE2" s="38" t="s">
        <v>91</v>
      </c>
      <c r="AF2" s="33">
        <f>SUM(AA2:AE2)</f>
        <v>0</v>
      </c>
      <c r="AL2" s="33">
        <f>SUM(AG2:AK2)</f>
        <v>0</v>
      </c>
      <c r="AR2" s="33">
        <f>SUM(AM2:AQ2)</f>
        <v>0</v>
      </c>
      <c r="AS2" s="55"/>
      <c r="AX2" s="33">
        <f>SUM(AS2:AW2)</f>
        <v>0</v>
      </c>
      <c r="BA2" s="33">
        <f t="shared" ref="BA2:BA17" si="2">SUM(AY2:AZ2)</f>
        <v>0</v>
      </c>
    </row>
    <row r="3" spans="1:53" x14ac:dyDescent="0.25">
      <c r="A3" s="39" t="s">
        <v>0</v>
      </c>
      <c r="B3" s="42">
        <v>2</v>
      </c>
      <c r="C3" s="1" t="s">
        <v>58</v>
      </c>
      <c r="D3" s="1" t="s">
        <v>58</v>
      </c>
      <c r="E3" s="1" t="s">
        <v>58</v>
      </c>
      <c r="F3" s="1" t="s">
        <v>58</v>
      </c>
      <c r="G3" s="1" t="s">
        <v>58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D3" s="38" t="s">
        <v>96</v>
      </c>
      <c r="AE3" s="38" t="s">
        <v>91</v>
      </c>
      <c r="AF3" s="33">
        <f t="shared" ref="AF3:AF16" si="5">SUM(AA3:AE3)</f>
        <v>0</v>
      </c>
      <c r="AI3" s="1">
        <v>70</v>
      </c>
      <c r="AL3" s="33">
        <f t="shared" ref="AL3:AL16" si="6">SUM(AG3:AK3)</f>
        <v>70</v>
      </c>
      <c r="AR3" s="33">
        <f t="shared" ref="AR3:AR16" si="7">SUM(AM3:AQ3)</f>
        <v>0</v>
      </c>
      <c r="AX3" s="33">
        <f t="shared" ref="AX3:AX16" si="8">SUM(AS3:AW3)</f>
        <v>0</v>
      </c>
      <c r="BA3" s="33">
        <f t="shared" si="2"/>
        <v>0</v>
      </c>
    </row>
    <row r="4" spans="1:53" x14ac:dyDescent="0.25">
      <c r="A4" s="40" t="s">
        <v>17</v>
      </c>
      <c r="B4" s="43">
        <v>3</v>
      </c>
      <c r="C4" s="1" t="s">
        <v>58</v>
      </c>
      <c r="D4" s="1" t="s">
        <v>58</v>
      </c>
      <c r="E4" s="1" t="s">
        <v>58</v>
      </c>
      <c r="F4" s="1" t="s">
        <v>58</v>
      </c>
      <c r="G4" s="1" t="s">
        <v>58</v>
      </c>
      <c r="H4" s="33">
        <f t="shared" si="3"/>
        <v>0</v>
      </c>
      <c r="N4" s="33">
        <f t="shared" si="0"/>
        <v>0</v>
      </c>
      <c r="T4" s="33">
        <f t="shared" si="1"/>
        <v>0</v>
      </c>
      <c r="Z4" s="33">
        <f t="shared" si="4"/>
        <v>0</v>
      </c>
      <c r="AD4" s="38" t="s">
        <v>96</v>
      </c>
      <c r="AE4" s="38" t="s">
        <v>91</v>
      </c>
      <c r="AF4" s="33">
        <f t="shared" si="5"/>
        <v>0</v>
      </c>
      <c r="AI4" s="1">
        <v>50</v>
      </c>
      <c r="AL4" s="33">
        <f t="shared" si="6"/>
        <v>50</v>
      </c>
      <c r="AR4" s="33">
        <f t="shared" si="7"/>
        <v>0</v>
      </c>
      <c r="AX4" s="33">
        <f t="shared" si="8"/>
        <v>0</v>
      </c>
      <c r="BA4" s="33">
        <f t="shared" si="2"/>
        <v>0</v>
      </c>
    </row>
    <row r="5" spans="1:53" x14ac:dyDescent="0.25">
      <c r="A5" s="40" t="s">
        <v>16</v>
      </c>
      <c r="B5" s="42">
        <v>4</v>
      </c>
      <c r="C5" s="1" t="s">
        <v>58</v>
      </c>
      <c r="D5" s="1" t="s">
        <v>58</v>
      </c>
      <c r="E5" s="1" t="s">
        <v>58</v>
      </c>
      <c r="F5" s="1" t="s">
        <v>58</v>
      </c>
      <c r="G5" s="1" t="s">
        <v>58</v>
      </c>
      <c r="H5" s="33">
        <f t="shared" si="3"/>
        <v>0</v>
      </c>
      <c r="L5" s="38"/>
      <c r="N5" s="33">
        <f t="shared" si="0"/>
        <v>0</v>
      </c>
      <c r="T5" s="33">
        <f t="shared" si="1"/>
        <v>0</v>
      </c>
      <c r="Z5" s="33">
        <f t="shared" si="4"/>
        <v>0</v>
      </c>
      <c r="AD5" s="38" t="s">
        <v>96</v>
      </c>
      <c r="AE5" s="38" t="s">
        <v>91</v>
      </c>
      <c r="AF5" s="33">
        <f t="shared" si="5"/>
        <v>0</v>
      </c>
      <c r="AL5" s="33">
        <f t="shared" si="6"/>
        <v>0</v>
      </c>
      <c r="AR5" s="33">
        <f t="shared" si="7"/>
        <v>0</v>
      </c>
      <c r="AX5" s="33">
        <f t="shared" si="8"/>
        <v>0</v>
      </c>
      <c r="BA5" s="33">
        <f t="shared" si="2"/>
        <v>0</v>
      </c>
    </row>
    <row r="6" spans="1:53" x14ac:dyDescent="0.25">
      <c r="A6" s="40" t="s">
        <v>1</v>
      </c>
      <c r="B6" s="42">
        <v>5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33">
        <f t="shared" si="3"/>
        <v>0</v>
      </c>
      <c r="L6" s="38"/>
      <c r="N6" s="33">
        <f t="shared" si="0"/>
        <v>0</v>
      </c>
      <c r="T6" s="33">
        <f t="shared" si="1"/>
        <v>0</v>
      </c>
      <c r="Z6" s="33">
        <f t="shared" si="4"/>
        <v>0</v>
      </c>
      <c r="AD6" s="38" t="s">
        <v>96</v>
      </c>
      <c r="AE6" s="38" t="s">
        <v>91</v>
      </c>
      <c r="AF6" s="33">
        <f t="shared" si="5"/>
        <v>0</v>
      </c>
      <c r="AL6" s="33">
        <f t="shared" si="6"/>
        <v>0</v>
      </c>
      <c r="AR6" s="33">
        <f t="shared" si="7"/>
        <v>0</v>
      </c>
      <c r="AX6" s="33">
        <f t="shared" si="8"/>
        <v>0</v>
      </c>
      <c r="BA6" s="33">
        <f t="shared" si="2"/>
        <v>0</v>
      </c>
    </row>
    <row r="7" spans="1:53" x14ac:dyDescent="0.25">
      <c r="A7" s="40" t="s">
        <v>2</v>
      </c>
      <c r="B7" s="43">
        <v>6</v>
      </c>
      <c r="C7" s="1" t="s">
        <v>58</v>
      </c>
      <c r="D7" s="1" t="s">
        <v>58</v>
      </c>
      <c r="E7" s="1" t="s">
        <v>58</v>
      </c>
      <c r="F7" s="1" t="s">
        <v>58</v>
      </c>
      <c r="G7" s="1" t="s">
        <v>58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D7" s="38" t="s">
        <v>96</v>
      </c>
      <c r="AE7" s="38" t="s">
        <v>91</v>
      </c>
      <c r="AF7" s="33">
        <f t="shared" si="5"/>
        <v>0</v>
      </c>
      <c r="AL7" s="33">
        <f t="shared" si="6"/>
        <v>0</v>
      </c>
      <c r="AR7" s="33">
        <f t="shared" si="7"/>
        <v>0</v>
      </c>
      <c r="AX7" s="33">
        <f t="shared" si="8"/>
        <v>0</v>
      </c>
      <c r="BA7" s="33">
        <f t="shared" si="2"/>
        <v>0</v>
      </c>
    </row>
    <row r="8" spans="1:53" x14ac:dyDescent="0.25">
      <c r="A8" s="40" t="s">
        <v>3</v>
      </c>
      <c r="B8" s="42">
        <v>7</v>
      </c>
      <c r="C8" s="1" t="s">
        <v>58</v>
      </c>
      <c r="D8" s="1" t="s">
        <v>58</v>
      </c>
      <c r="E8" s="1" t="s">
        <v>58</v>
      </c>
      <c r="F8" s="1" t="s">
        <v>58</v>
      </c>
      <c r="G8" s="1" t="s">
        <v>58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D8" s="38" t="s">
        <v>96</v>
      </c>
      <c r="AE8" s="38" t="s">
        <v>91</v>
      </c>
      <c r="AF8" s="33">
        <f t="shared" si="5"/>
        <v>0</v>
      </c>
      <c r="AL8" s="33">
        <f t="shared" si="6"/>
        <v>0</v>
      </c>
      <c r="AR8" s="33">
        <f t="shared" si="7"/>
        <v>0</v>
      </c>
      <c r="AX8" s="33">
        <f t="shared" si="8"/>
        <v>0</v>
      </c>
      <c r="BA8" s="33">
        <f t="shared" si="2"/>
        <v>0</v>
      </c>
    </row>
    <row r="9" spans="1:53" x14ac:dyDescent="0.25">
      <c r="A9" s="40" t="s">
        <v>13</v>
      </c>
      <c r="B9" s="42">
        <v>8</v>
      </c>
      <c r="C9" s="1" t="s">
        <v>58</v>
      </c>
      <c r="D9" s="1" t="s">
        <v>58</v>
      </c>
      <c r="E9" s="1" t="s">
        <v>58</v>
      </c>
      <c r="F9" s="1" t="s">
        <v>58</v>
      </c>
      <c r="G9" s="1" t="s">
        <v>58</v>
      </c>
      <c r="H9" s="33">
        <f t="shared" si="3"/>
        <v>0</v>
      </c>
      <c r="N9" s="33">
        <f t="shared" si="0"/>
        <v>0</v>
      </c>
      <c r="T9" s="33">
        <f t="shared" si="1"/>
        <v>0</v>
      </c>
      <c r="Z9" s="33">
        <f t="shared" si="4"/>
        <v>0</v>
      </c>
      <c r="AD9" s="38" t="s">
        <v>96</v>
      </c>
      <c r="AE9" s="38" t="s">
        <v>91</v>
      </c>
      <c r="AF9" s="33">
        <f t="shared" si="5"/>
        <v>0</v>
      </c>
      <c r="AL9" s="33">
        <f t="shared" si="6"/>
        <v>0</v>
      </c>
      <c r="AR9" s="33">
        <f t="shared" si="7"/>
        <v>0</v>
      </c>
      <c r="AX9" s="33">
        <f t="shared" si="8"/>
        <v>0</v>
      </c>
      <c r="BA9" s="33">
        <f t="shared" si="2"/>
        <v>0</v>
      </c>
    </row>
    <row r="10" spans="1:53" x14ac:dyDescent="0.25">
      <c r="A10" s="39" t="s">
        <v>12</v>
      </c>
      <c r="B10" s="43">
        <v>9</v>
      </c>
      <c r="C10" s="1" t="s">
        <v>58</v>
      </c>
      <c r="D10" s="1" t="s">
        <v>58</v>
      </c>
      <c r="E10" s="1" t="s">
        <v>58</v>
      </c>
      <c r="F10" s="1" t="s">
        <v>58</v>
      </c>
      <c r="G10" s="1" t="s">
        <v>58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D10" s="38" t="s">
        <v>96</v>
      </c>
      <c r="AE10" s="38" t="s">
        <v>91</v>
      </c>
      <c r="AF10" s="33">
        <f t="shared" si="5"/>
        <v>0</v>
      </c>
      <c r="AL10" s="33">
        <f t="shared" si="6"/>
        <v>0</v>
      </c>
      <c r="AR10" s="33">
        <f t="shared" si="7"/>
        <v>0</v>
      </c>
      <c r="AX10" s="33">
        <f t="shared" si="8"/>
        <v>0</v>
      </c>
      <c r="BA10" s="33">
        <f t="shared" si="2"/>
        <v>0</v>
      </c>
    </row>
    <row r="11" spans="1:53" x14ac:dyDescent="0.25">
      <c r="A11" s="40" t="s">
        <v>4</v>
      </c>
      <c r="B11" s="42">
        <v>10</v>
      </c>
      <c r="C11" s="1" t="s">
        <v>58</v>
      </c>
      <c r="D11" s="1" t="s">
        <v>58</v>
      </c>
      <c r="E11" s="1" t="s">
        <v>58</v>
      </c>
      <c r="F11" s="1" t="s">
        <v>58</v>
      </c>
      <c r="G11" s="1" t="s">
        <v>58</v>
      </c>
      <c r="H11" s="33">
        <f t="shared" si="3"/>
        <v>0</v>
      </c>
      <c r="N11" s="33">
        <f t="shared" si="0"/>
        <v>0</v>
      </c>
      <c r="T11" s="33">
        <f t="shared" si="1"/>
        <v>0</v>
      </c>
      <c r="Z11" s="33">
        <f t="shared" si="4"/>
        <v>0</v>
      </c>
      <c r="AD11" s="38" t="s">
        <v>96</v>
      </c>
      <c r="AE11" s="38" t="s">
        <v>91</v>
      </c>
      <c r="AF11" s="33">
        <f t="shared" si="5"/>
        <v>0</v>
      </c>
      <c r="AL11" s="33">
        <f t="shared" si="6"/>
        <v>0</v>
      </c>
      <c r="AR11" s="33">
        <f t="shared" si="7"/>
        <v>0</v>
      </c>
      <c r="AX11" s="33">
        <f t="shared" si="8"/>
        <v>0</v>
      </c>
      <c r="BA11" s="33">
        <f t="shared" si="2"/>
        <v>0</v>
      </c>
    </row>
    <row r="12" spans="1:53" x14ac:dyDescent="0.25">
      <c r="A12" s="40" t="s">
        <v>5</v>
      </c>
      <c r="B12" s="42">
        <v>11</v>
      </c>
      <c r="C12" s="1" t="s">
        <v>58</v>
      </c>
      <c r="D12" s="1" t="s">
        <v>58</v>
      </c>
      <c r="E12" s="1" t="s">
        <v>58</v>
      </c>
      <c r="F12" s="1" t="s">
        <v>58</v>
      </c>
      <c r="G12" s="1" t="s">
        <v>58</v>
      </c>
      <c r="H12" s="33">
        <f t="shared" si="3"/>
        <v>0</v>
      </c>
      <c r="N12" s="33">
        <f t="shared" si="0"/>
        <v>0</v>
      </c>
      <c r="T12" s="33">
        <f t="shared" si="1"/>
        <v>0</v>
      </c>
      <c r="Z12" s="33">
        <f t="shared" si="4"/>
        <v>0</v>
      </c>
      <c r="AD12" s="38" t="s">
        <v>96</v>
      </c>
      <c r="AE12" s="38" t="s">
        <v>91</v>
      </c>
      <c r="AF12" s="33">
        <f t="shared" si="5"/>
        <v>0</v>
      </c>
      <c r="AL12" s="33">
        <f t="shared" si="6"/>
        <v>0</v>
      </c>
      <c r="AR12" s="33">
        <f t="shared" si="7"/>
        <v>0</v>
      </c>
      <c r="AX12" s="33">
        <f t="shared" si="8"/>
        <v>0</v>
      </c>
      <c r="BA12" s="33">
        <f t="shared" si="2"/>
        <v>0</v>
      </c>
    </row>
    <row r="13" spans="1:53" x14ac:dyDescent="0.25">
      <c r="A13" s="39" t="s">
        <v>8</v>
      </c>
      <c r="B13" s="43">
        <v>12</v>
      </c>
      <c r="C13" s="1" t="s">
        <v>58</v>
      </c>
      <c r="D13" s="1" t="s">
        <v>58</v>
      </c>
      <c r="E13" s="1" t="s">
        <v>58</v>
      </c>
      <c r="F13" s="1" t="s">
        <v>58</v>
      </c>
      <c r="G13" s="1" t="s">
        <v>58</v>
      </c>
      <c r="H13" s="33">
        <f t="shared" si="3"/>
        <v>0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D13" s="38" t="s">
        <v>96</v>
      </c>
      <c r="AE13" s="38" t="s">
        <v>91</v>
      </c>
      <c r="AF13" s="33">
        <f t="shared" si="5"/>
        <v>0</v>
      </c>
      <c r="AL13" s="33">
        <f t="shared" si="6"/>
        <v>0</v>
      </c>
      <c r="AR13" s="33">
        <f t="shared" si="7"/>
        <v>0</v>
      </c>
      <c r="AX13" s="33">
        <f t="shared" si="8"/>
        <v>0</v>
      </c>
      <c r="BA13" s="33">
        <f t="shared" si="2"/>
        <v>0</v>
      </c>
    </row>
    <row r="14" spans="1:53" x14ac:dyDescent="0.25">
      <c r="A14" s="40" t="s">
        <v>6</v>
      </c>
      <c r="B14" s="42">
        <v>13</v>
      </c>
      <c r="C14" s="1" t="s">
        <v>58</v>
      </c>
      <c r="D14" s="1" t="s">
        <v>58</v>
      </c>
      <c r="E14" s="1" t="s">
        <v>58</v>
      </c>
      <c r="F14" s="1" t="s">
        <v>58</v>
      </c>
      <c r="G14" s="1" t="s">
        <v>58</v>
      </c>
      <c r="H14" s="33">
        <f t="shared" si="3"/>
        <v>0</v>
      </c>
      <c r="N14" s="33">
        <f t="shared" si="0"/>
        <v>0</v>
      </c>
      <c r="T14" s="33">
        <f t="shared" si="1"/>
        <v>0</v>
      </c>
      <c r="Z14" s="33">
        <f t="shared" si="4"/>
        <v>0</v>
      </c>
      <c r="AD14" s="38" t="s">
        <v>96</v>
      </c>
      <c r="AE14" s="38" t="s">
        <v>91</v>
      </c>
      <c r="AF14" s="33">
        <f t="shared" si="5"/>
        <v>0</v>
      </c>
      <c r="AL14" s="33">
        <f t="shared" si="6"/>
        <v>0</v>
      </c>
      <c r="AR14" s="33">
        <f t="shared" si="7"/>
        <v>0</v>
      </c>
      <c r="AX14" s="33">
        <f t="shared" si="8"/>
        <v>0</v>
      </c>
      <c r="BA14" s="33">
        <f t="shared" si="2"/>
        <v>0</v>
      </c>
    </row>
    <row r="15" spans="1:53" x14ac:dyDescent="0.25">
      <c r="A15" s="39" t="s">
        <v>7</v>
      </c>
      <c r="B15" s="42">
        <v>14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33">
        <f t="shared" si="3"/>
        <v>0</v>
      </c>
      <c r="N15" s="33">
        <f t="shared" si="0"/>
        <v>0</v>
      </c>
      <c r="T15" s="33">
        <f t="shared" si="1"/>
        <v>0</v>
      </c>
      <c r="Z15" s="33">
        <f t="shared" si="4"/>
        <v>0</v>
      </c>
      <c r="AD15" s="38" t="s">
        <v>96</v>
      </c>
      <c r="AE15" s="38" t="s">
        <v>91</v>
      </c>
      <c r="AF15" s="33">
        <f t="shared" si="5"/>
        <v>0</v>
      </c>
      <c r="AI15" s="1">
        <v>120</v>
      </c>
      <c r="AL15" s="33">
        <f t="shared" si="6"/>
        <v>120</v>
      </c>
      <c r="AR15" s="33">
        <f t="shared" si="7"/>
        <v>0</v>
      </c>
      <c r="AX15" s="33">
        <f t="shared" si="8"/>
        <v>0</v>
      </c>
      <c r="BA15" s="33">
        <f t="shared" si="2"/>
        <v>0</v>
      </c>
    </row>
    <row r="16" spans="1:53" x14ac:dyDescent="0.25">
      <c r="A16" s="39" t="s">
        <v>14</v>
      </c>
      <c r="B16" s="36">
        <v>15</v>
      </c>
      <c r="C16" s="1" t="s">
        <v>58</v>
      </c>
      <c r="D16" s="1" t="s">
        <v>58</v>
      </c>
      <c r="E16" s="1" t="s">
        <v>58</v>
      </c>
      <c r="F16" s="1" t="s">
        <v>58</v>
      </c>
      <c r="G16" s="1" t="s">
        <v>58</v>
      </c>
      <c r="H16" s="33">
        <f t="shared" si="3"/>
        <v>0</v>
      </c>
      <c r="N16" s="33">
        <f t="shared" si="0"/>
        <v>0</v>
      </c>
      <c r="T16" s="33">
        <f t="shared" si="1"/>
        <v>0</v>
      </c>
      <c r="Z16" s="33">
        <f t="shared" si="4"/>
        <v>0</v>
      </c>
      <c r="AD16" s="38" t="s">
        <v>96</v>
      </c>
      <c r="AE16" s="38" t="s">
        <v>91</v>
      </c>
      <c r="AF16" s="33">
        <f t="shared" si="5"/>
        <v>0</v>
      </c>
      <c r="AI16" s="1">
        <v>120</v>
      </c>
      <c r="AL16" s="33">
        <f t="shared" si="6"/>
        <v>120</v>
      </c>
      <c r="AR16" s="33">
        <f t="shared" si="7"/>
        <v>0</v>
      </c>
      <c r="AX16" s="33">
        <f t="shared" si="8"/>
        <v>0</v>
      </c>
      <c r="BA16" s="33">
        <f t="shared" si="2"/>
        <v>0</v>
      </c>
    </row>
    <row r="17" spans="1:53" x14ac:dyDescent="0.25">
      <c r="A17" s="15" t="s">
        <v>39</v>
      </c>
      <c r="B17" s="37">
        <v>16</v>
      </c>
      <c r="C17" s="13" t="s">
        <v>58</v>
      </c>
      <c r="D17" s="13" t="s">
        <v>58</v>
      </c>
      <c r="E17" s="13" t="s">
        <v>58</v>
      </c>
      <c r="F17" s="13" t="s">
        <v>58</v>
      </c>
      <c r="G17" s="13" t="s">
        <v>58</v>
      </c>
      <c r="H17" s="34">
        <f>SUM(C17:G17)</f>
        <v>0</v>
      </c>
      <c r="I17" s="13"/>
      <c r="J17" s="13"/>
      <c r="K17" s="13"/>
      <c r="L17" s="13"/>
      <c r="M17" s="13"/>
      <c r="N17" s="34">
        <f>SUM(I17:M17)</f>
        <v>0</v>
      </c>
      <c r="O17" s="13"/>
      <c r="P17" s="13"/>
      <c r="Q17" s="13"/>
      <c r="R17" s="13"/>
      <c r="S17" s="13"/>
      <c r="T17" s="34">
        <f t="shared" si="1"/>
        <v>0</v>
      </c>
      <c r="U17" s="13"/>
      <c r="V17" s="13"/>
      <c r="W17" s="13"/>
      <c r="X17" s="13"/>
      <c r="Y17" s="13"/>
      <c r="Z17" s="34">
        <f>SUM(U17:Y17)</f>
        <v>0</v>
      </c>
      <c r="AA17" s="13"/>
      <c r="AB17" s="13"/>
      <c r="AC17" s="13"/>
      <c r="AD17" s="82" t="s">
        <v>96</v>
      </c>
      <c r="AE17" s="82" t="s">
        <v>91</v>
      </c>
      <c r="AF17" s="34">
        <f>SUM(AA17:AE17)</f>
        <v>0</v>
      </c>
      <c r="AG17" s="13"/>
      <c r="AH17" s="13"/>
      <c r="AI17" s="13"/>
      <c r="AJ17" s="13"/>
      <c r="AK17" s="13"/>
      <c r="AL17" s="34">
        <f>SUM(AG17:AK17)</f>
        <v>0</v>
      </c>
      <c r="AM17" s="13"/>
      <c r="AN17" s="13"/>
      <c r="AO17" s="13"/>
      <c r="AP17" s="13"/>
      <c r="AQ17" s="13"/>
      <c r="AR17" s="34">
        <f>SUM(AM17:AQ17)</f>
        <v>0</v>
      </c>
      <c r="AS17" s="13"/>
      <c r="AT17" s="13"/>
      <c r="AU17" s="13"/>
      <c r="AV17" s="13"/>
      <c r="AW17" s="13"/>
      <c r="AX17" s="34">
        <f>SUM(AS17:AW17)</f>
        <v>0</v>
      </c>
      <c r="AY17" s="13"/>
      <c r="AZ17" s="13"/>
      <c r="BA17" s="34">
        <f t="shared" si="2"/>
        <v>0</v>
      </c>
    </row>
    <row r="18" spans="1:53" ht="60" x14ac:dyDescent="0.25">
      <c r="A18" s="1" t="s">
        <v>11</v>
      </c>
      <c r="C18" s="4"/>
      <c r="D18" s="4"/>
      <c r="E18" s="4"/>
      <c r="F18" s="4"/>
      <c r="G18" s="4"/>
      <c r="I18" s="4" t="s">
        <v>67</v>
      </c>
      <c r="J18" s="4" t="s">
        <v>67</v>
      </c>
      <c r="K18" s="4" t="s">
        <v>67</v>
      </c>
      <c r="L18" s="4" t="s">
        <v>67</v>
      </c>
      <c r="M18" s="4" t="s">
        <v>67</v>
      </c>
      <c r="O18" s="4" t="s">
        <v>67</v>
      </c>
      <c r="P18" s="4" t="s">
        <v>67</v>
      </c>
      <c r="Q18" s="4" t="s">
        <v>67</v>
      </c>
      <c r="R18" s="4" t="s">
        <v>67</v>
      </c>
      <c r="S18" s="4" t="s">
        <v>67</v>
      </c>
      <c r="U18" s="4" t="s">
        <v>67</v>
      </c>
      <c r="V18" s="4" t="s">
        <v>67</v>
      </c>
      <c r="W18" s="4" t="s">
        <v>67</v>
      </c>
      <c r="X18" s="4" t="s">
        <v>67</v>
      </c>
      <c r="Y18" s="4" t="s">
        <v>67</v>
      </c>
      <c r="AA18" s="4" t="s">
        <v>67</v>
      </c>
      <c r="AB18" s="4" t="s">
        <v>67</v>
      </c>
      <c r="AC18" s="4" t="s">
        <v>67</v>
      </c>
      <c r="AD18" s="4"/>
      <c r="AE18" s="4"/>
      <c r="AG18" s="4" t="s">
        <v>67</v>
      </c>
      <c r="AH18" s="4" t="s">
        <v>67</v>
      </c>
      <c r="AI18" s="4" t="s">
        <v>67</v>
      </c>
      <c r="AJ18" s="4" t="s">
        <v>67</v>
      </c>
      <c r="AK18" s="4" t="s">
        <v>67</v>
      </c>
      <c r="AM18" s="4" t="s">
        <v>67</v>
      </c>
      <c r="AN18" s="4" t="s">
        <v>67</v>
      </c>
      <c r="AO18" s="4"/>
      <c r="AP18" s="4"/>
      <c r="AQ18" s="4"/>
    </row>
    <row r="19" spans="1:53" ht="150" x14ac:dyDescent="0.25">
      <c r="A19" s="1" t="s">
        <v>10</v>
      </c>
      <c r="C19" s="4"/>
      <c r="D19" s="4"/>
      <c r="E19" s="4"/>
      <c r="F19" s="4"/>
      <c r="G19" s="4"/>
      <c r="I19" s="4"/>
      <c r="K19" s="4"/>
      <c r="L19" s="4"/>
      <c r="Q19" s="4"/>
      <c r="V19" s="4"/>
      <c r="Y19" s="4"/>
      <c r="AA19" s="70" t="s">
        <v>85</v>
      </c>
      <c r="AB19" s="4"/>
      <c r="AC19" s="4" t="s">
        <v>93</v>
      </c>
      <c r="AM19" s="4" t="s">
        <v>105</v>
      </c>
    </row>
  </sheetData>
  <customSheetViews>
    <customSheetView guid="{E3841903-5B68-44FD-8F09-58E03D1025C5}">
      <selection activeCell="P10" sqref="P10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C69767F5-CD39-44C1-AD4B-CE19DC8285A6}" topLeftCell="D1">
      <selection activeCell="L10" sqref="L10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G12" sqref="G12"/>
      <pageMargins left="0.511811024" right="0.511811024" top="0.78740157499999996" bottom="0.78740157499999996" header="0.31496062000000002" footer="0.31496062000000002"/>
    </customSheetView>
    <customSheetView guid="{B3CDE377-BA5D-4E06-91D9-3A48E1959BA5}">
      <pane xSplit="1" topLeftCell="B1" activePane="topRight" state="frozen"/>
      <selection pane="topRight" activeCell="I18" sqref="I18:L19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AA1" activePane="topRight" state="frozen"/>
      <selection pane="topRight" activeCell="AI14" sqref="AI14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 topLeftCell="Z7">
      <selection activeCell="AI18" sqref="AI18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86039CF8-B158-4D70-9A6F-A10C29CBD68A}" topLeftCell="C1">
      <selection activeCell="O8" sqref="O8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 topLeftCell="A7">
      <pane xSplit="1" topLeftCell="AA1" activePane="topRight" state="frozen"/>
      <selection pane="topRight" activeCell="AJ7" sqref="AJ7"/>
      <pageMargins left="0.511811024" right="0.511811024" top="0.78740157499999996" bottom="0.78740157499999996" header="0.31496062000000002" footer="0.31496062000000002"/>
      <pageSetup paperSize="9" orientation="portrait" horizontalDpi="200" verticalDpi="200" r:id="rId2"/>
      <autoFilter ref="A1:B19" xr:uid="{FDE61CBE-539D-4603-837B-4DEFB2CA2B07}"/>
    </customSheetView>
  </customSheetView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19"/>
  <sheetViews>
    <sheetView topLeftCell="BZ17" zoomScaleNormal="85" workbookViewId="0">
      <selection activeCell="CR18" sqref="CR18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13.28515625" style="1" customWidth="1"/>
    <col min="4" max="4" width="12.28515625" style="1" customWidth="1"/>
    <col min="5" max="7" width="9.140625" style="1"/>
    <col min="8" max="8" width="15.5703125" style="1" customWidth="1"/>
    <col min="9" max="13" width="9.140625" style="1"/>
    <col min="14" max="14" width="14.7109375" style="1" customWidth="1"/>
    <col min="15" max="19" width="9.140625" style="1"/>
    <col min="20" max="20" width="15.5703125" style="1" customWidth="1"/>
    <col min="21" max="25" width="9.140625" style="1"/>
    <col min="26" max="26" width="14.85546875" style="1" customWidth="1"/>
    <col min="27" max="31" width="9.140625" style="1"/>
    <col min="32" max="32" width="15.140625" style="1" customWidth="1"/>
    <col min="33" max="37" width="9.140625" style="1"/>
    <col min="38" max="38" width="16" style="1" customWidth="1"/>
    <col min="39" max="39" width="9.85546875" style="1" customWidth="1"/>
    <col min="40" max="40" width="10.28515625" style="1" customWidth="1"/>
    <col min="41" max="43" width="9.140625" style="1"/>
    <col min="44" max="44" width="15.28515625" style="1" customWidth="1"/>
    <col min="45" max="49" width="9.140625" style="1"/>
    <col min="50" max="50" width="15.85546875" style="1" customWidth="1"/>
    <col min="51" max="52" width="9.140625" style="1"/>
    <col min="53" max="53" width="14.28515625" style="1" customWidth="1"/>
    <col min="54" max="16384" width="9.140625" style="1"/>
  </cols>
  <sheetData>
    <row r="1" spans="1:53" x14ac:dyDescent="0.25">
      <c r="A1" s="14" t="s">
        <v>9</v>
      </c>
      <c r="B1" s="41"/>
      <c r="C1" s="32">
        <v>46146</v>
      </c>
      <c r="D1" s="32">
        <v>46147</v>
      </c>
      <c r="E1" s="32">
        <v>46148</v>
      </c>
      <c r="F1" s="32">
        <v>46149</v>
      </c>
      <c r="G1" s="32">
        <v>46150</v>
      </c>
      <c r="H1" s="10" t="s">
        <v>15</v>
      </c>
      <c r="I1" s="32">
        <v>46153</v>
      </c>
      <c r="J1" s="32">
        <v>46154</v>
      </c>
      <c r="K1" s="32">
        <v>46155</v>
      </c>
      <c r="L1" s="32">
        <v>46156</v>
      </c>
      <c r="M1" s="32">
        <v>46157</v>
      </c>
      <c r="N1" s="10" t="s">
        <v>15</v>
      </c>
      <c r="O1" s="19">
        <v>46160</v>
      </c>
      <c r="P1" s="19">
        <v>46161</v>
      </c>
      <c r="Q1" s="19">
        <v>46162</v>
      </c>
      <c r="R1" s="19">
        <v>46163</v>
      </c>
      <c r="S1" s="19">
        <v>46164</v>
      </c>
      <c r="T1" s="10" t="s">
        <v>15</v>
      </c>
      <c r="U1" s="32">
        <v>46167</v>
      </c>
      <c r="V1" s="32">
        <v>46168</v>
      </c>
      <c r="W1" s="32">
        <v>46169</v>
      </c>
      <c r="X1" s="32">
        <v>46170</v>
      </c>
      <c r="Y1" s="32">
        <v>46171</v>
      </c>
      <c r="Z1" s="10" t="s">
        <v>15</v>
      </c>
      <c r="AA1" s="32">
        <v>46174</v>
      </c>
      <c r="AB1" s="32">
        <v>46175</v>
      </c>
      <c r="AC1" s="32">
        <v>46176</v>
      </c>
      <c r="AD1" s="32">
        <v>46177</v>
      </c>
      <c r="AE1" s="32">
        <v>46178</v>
      </c>
      <c r="AF1" s="10" t="s">
        <v>15</v>
      </c>
      <c r="AG1" s="32">
        <v>46181</v>
      </c>
      <c r="AH1" s="32">
        <v>46182</v>
      </c>
      <c r="AI1" s="32">
        <v>46183</v>
      </c>
      <c r="AJ1" s="32">
        <v>46184</v>
      </c>
      <c r="AK1" s="32">
        <v>46185</v>
      </c>
      <c r="AL1" s="10" t="s">
        <v>15</v>
      </c>
      <c r="AM1" s="32">
        <v>46188</v>
      </c>
      <c r="AN1" s="32">
        <v>46189</v>
      </c>
      <c r="AO1" s="32">
        <v>46190</v>
      </c>
      <c r="AP1" s="32">
        <v>46191</v>
      </c>
      <c r="AQ1" s="32">
        <v>46192</v>
      </c>
      <c r="AR1" s="10" t="s">
        <v>15</v>
      </c>
      <c r="AS1" s="19">
        <v>46195</v>
      </c>
      <c r="AT1" s="19">
        <v>46196</v>
      </c>
      <c r="AU1" s="19">
        <v>46197</v>
      </c>
      <c r="AV1" s="19">
        <v>46198</v>
      </c>
      <c r="AW1" s="19">
        <v>46199</v>
      </c>
      <c r="AX1" s="10" t="s">
        <v>15</v>
      </c>
      <c r="AY1" s="67">
        <v>46202</v>
      </c>
      <c r="AZ1" s="67">
        <v>46203</v>
      </c>
      <c r="BA1" s="10" t="s">
        <v>15</v>
      </c>
    </row>
    <row r="2" spans="1:53" x14ac:dyDescent="0.25">
      <c r="A2" s="39" t="s">
        <v>18</v>
      </c>
      <c r="B2" s="42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F2" s="33">
        <f>SUM(AA2:AE2)</f>
        <v>0</v>
      </c>
      <c r="AL2" s="33">
        <f>SUM(AG2:AK2)</f>
        <v>0</v>
      </c>
      <c r="AR2" s="33">
        <f>SUM(AM2:AQ2)</f>
        <v>0</v>
      </c>
      <c r="AS2" s="55"/>
      <c r="AX2" s="33">
        <f>SUM(AS2:AW2)</f>
        <v>0</v>
      </c>
      <c r="BA2" s="33">
        <f t="shared" ref="BA2:BA17" si="2">SUM(AY2:AZ2)</f>
        <v>0</v>
      </c>
    </row>
    <row r="3" spans="1:53" x14ac:dyDescent="0.25">
      <c r="A3" s="39" t="s">
        <v>0</v>
      </c>
      <c r="B3" s="42">
        <v>2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F3" s="33">
        <f t="shared" ref="AF3:AF16" si="5">SUM(AA3:AE3)</f>
        <v>0</v>
      </c>
      <c r="AL3" s="33">
        <f t="shared" ref="AL3:AL16" si="6">SUM(AG3:AK3)</f>
        <v>0</v>
      </c>
      <c r="AR3" s="33">
        <f t="shared" ref="AR3:AR16" si="7">SUM(AM3:AQ3)</f>
        <v>0</v>
      </c>
      <c r="AX3" s="33">
        <f t="shared" ref="AX3:AX16" si="8">SUM(AS3:AW3)</f>
        <v>0</v>
      </c>
      <c r="BA3" s="33">
        <f t="shared" si="2"/>
        <v>0</v>
      </c>
    </row>
    <row r="4" spans="1:53" x14ac:dyDescent="0.25">
      <c r="A4" s="40" t="s">
        <v>17</v>
      </c>
      <c r="B4" s="43">
        <v>3</v>
      </c>
      <c r="E4" s="1">
        <v>50</v>
      </c>
      <c r="F4" s="1">
        <v>7</v>
      </c>
      <c r="H4" s="33">
        <f t="shared" si="3"/>
        <v>57</v>
      </c>
      <c r="N4" s="33">
        <f t="shared" si="0"/>
        <v>0</v>
      </c>
      <c r="T4" s="33">
        <f t="shared" si="1"/>
        <v>0</v>
      </c>
      <c r="Z4" s="33">
        <f t="shared" si="4"/>
        <v>0</v>
      </c>
      <c r="AF4" s="33">
        <f t="shared" si="5"/>
        <v>0</v>
      </c>
      <c r="AL4" s="33">
        <f t="shared" si="6"/>
        <v>0</v>
      </c>
      <c r="AR4" s="33">
        <f t="shared" si="7"/>
        <v>0</v>
      </c>
      <c r="AX4" s="33">
        <f t="shared" si="8"/>
        <v>0</v>
      </c>
      <c r="BA4" s="33">
        <f t="shared" si="2"/>
        <v>0</v>
      </c>
    </row>
    <row r="5" spans="1:53" x14ac:dyDescent="0.25">
      <c r="A5" s="40" t="s">
        <v>16</v>
      </c>
      <c r="B5" s="42">
        <v>4</v>
      </c>
      <c r="H5" s="33">
        <f t="shared" si="3"/>
        <v>0</v>
      </c>
      <c r="L5" s="38"/>
      <c r="N5" s="33">
        <f t="shared" si="0"/>
        <v>0</v>
      </c>
      <c r="T5" s="33">
        <f t="shared" si="1"/>
        <v>0</v>
      </c>
      <c r="Z5" s="33">
        <f t="shared" si="4"/>
        <v>0</v>
      </c>
      <c r="AF5" s="33">
        <f t="shared" si="5"/>
        <v>0</v>
      </c>
      <c r="AL5" s="33">
        <f t="shared" si="6"/>
        <v>0</v>
      </c>
      <c r="AR5" s="33">
        <f t="shared" si="7"/>
        <v>0</v>
      </c>
      <c r="AX5" s="33">
        <f t="shared" si="8"/>
        <v>0</v>
      </c>
      <c r="BA5" s="33">
        <f t="shared" si="2"/>
        <v>0</v>
      </c>
    </row>
    <row r="6" spans="1:53" x14ac:dyDescent="0.25">
      <c r="A6" s="40" t="s">
        <v>1</v>
      </c>
      <c r="B6" s="42">
        <v>5</v>
      </c>
      <c r="H6" s="33">
        <f t="shared" si="3"/>
        <v>0</v>
      </c>
      <c r="L6" s="38"/>
      <c r="N6" s="33">
        <f t="shared" si="0"/>
        <v>0</v>
      </c>
      <c r="T6" s="33">
        <f t="shared" si="1"/>
        <v>0</v>
      </c>
      <c r="Z6" s="33">
        <f t="shared" si="4"/>
        <v>0</v>
      </c>
      <c r="AF6" s="33">
        <f t="shared" si="5"/>
        <v>0</v>
      </c>
      <c r="AL6" s="33">
        <f t="shared" si="6"/>
        <v>0</v>
      </c>
      <c r="AR6" s="33">
        <f t="shared" si="7"/>
        <v>0</v>
      </c>
      <c r="AX6" s="33">
        <f t="shared" si="8"/>
        <v>0</v>
      </c>
      <c r="BA6" s="33">
        <f t="shared" si="2"/>
        <v>0</v>
      </c>
    </row>
    <row r="7" spans="1:53" x14ac:dyDescent="0.25">
      <c r="A7" s="40" t="s">
        <v>2</v>
      </c>
      <c r="B7" s="43">
        <v>6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F7" s="33">
        <f t="shared" si="5"/>
        <v>0</v>
      </c>
      <c r="AL7" s="33">
        <f t="shared" si="6"/>
        <v>0</v>
      </c>
      <c r="AR7" s="33">
        <f t="shared" si="7"/>
        <v>0</v>
      </c>
      <c r="AX7" s="33">
        <f t="shared" si="8"/>
        <v>0</v>
      </c>
      <c r="BA7" s="33">
        <f t="shared" si="2"/>
        <v>0</v>
      </c>
    </row>
    <row r="8" spans="1:53" x14ac:dyDescent="0.25">
      <c r="A8" s="40" t="s">
        <v>3</v>
      </c>
      <c r="B8" s="42">
        <v>7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F8" s="33">
        <f t="shared" si="5"/>
        <v>0</v>
      </c>
      <c r="AL8" s="33">
        <f t="shared" si="6"/>
        <v>0</v>
      </c>
      <c r="AR8" s="33">
        <f t="shared" si="7"/>
        <v>0</v>
      </c>
      <c r="AX8" s="33">
        <f t="shared" si="8"/>
        <v>0</v>
      </c>
      <c r="BA8" s="33">
        <f t="shared" si="2"/>
        <v>0</v>
      </c>
    </row>
    <row r="9" spans="1:53" x14ac:dyDescent="0.25">
      <c r="A9" s="40" t="s">
        <v>13</v>
      </c>
      <c r="B9" s="42">
        <v>8</v>
      </c>
      <c r="H9" s="33">
        <f t="shared" si="3"/>
        <v>0</v>
      </c>
      <c r="N9" s="33">
        <f t="shared" si="0"/>
        <v>0</v>
      </c>
      <c r="T9" s="33">
        <f t="shared" si="1"/>
        <v>0</v>
      </c>
      <c r="Z9" s="33">
        <f t="shared" si="4"/>
        <v>0</v>
      </c>
      <c r="AF9" s="33">
        <f t="shared" si="5"/>
        <v>0</v>
      </c>
      <c r="AL9" s="33">
        <f t="shared" si="6"/>
        <v>0</v>
      </c>
      <c r="AR9" s="33">
        <f t="shared" si="7"/>
        <v>0</v>
      </c>
      <c r="AX9" s="33">
        <f t="shared" si="8"/>
        <v>0</v>
      </c>
      <c r="BA9" s="33">
        <f t="shared" si="2"/>
        <v>0</v>
      </c>
    </row>
    <row r="10" spans="1:53" x14ac:dyDescent="0.25">
      <c r="A10" s="39" t="s">
        <v>12</v>
      </c>
      <c r="B10" s="43">
        <v>9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F10" s="33">
        <f t="shared" si="5"/>
        <v>0</v>
      </c>
      <c r="AL10" s="33">
        <f t="shared" si="6"/>
        <v>0</v>
      </c>
      <c r="AR10" s="33">
        <f t="shared" si="7"/>
        <v>0</v>
      </c>
      <c r="AX10" s="33">
        <f t="shared" si="8"/>
        <v>0</v>
      </c>
      <c r="BA10" s="33">
        <f t="shared" si="2"/>
        <v>0</v>
      </c>
    </row>
    <row r="11" spans="1:53" x14ac:dyDescent="0.25">
      <c r="A11" s="40" t="s">
        <v>4</v>
      </c>
      <c r="B11" s="42">
        <v>10</v>
      </c>
      <c r="H11" s="33">
        <f t="shared" si="3"/>
        <v>0</v>
      </c>
      <c r="N11" s="33">
        <f t="shared" si="0"/>
        <v>0</v>
      </c>
      <c r="T11" s="33">
        <f t="shared" si="1"/>
        <v>0</v>
      </c>
      <c r="Z11" s="33">
        <f t="shared" si="4"/>
        <v>0</v>
      </c>
      <c r="AF11" s="33">
        <f t="shared" si="5"/>
        <v>0</v>
      </c>
      <c r="AL11" s="33">
        <f t="shared" si="6"/>
        <v>0</v>
      </c>
      <c r="AR11" s="33">
        <f t="shared" si="7"/>
        <v>0</v>
      </c>
      <c r="AX11" s="33">
        <f t="shared" si="8"/>
        <v>0</v>
      </c>
      <c r="BA11" s="33">
        <f t="shared" si="2"/>
        <v>0</v>
      </c>
    </row>
    <row r="12" spans="1:53" x14ac:dyDescent="0.25">
      <c r="A12" s="40" t="s">
        <v>5</v>
      </c>
      <c r="B12" s="42">
        <v>11</v>
      </c>
      <c r="H12" s="33">
        <f t="shared" si="3"/>
        <v>0</v>
      </c>
      <c r="N12" s="33">
        <f t="shared" si="0"/>
        <v>0</v>
      </c>
      <c r="T12" s="33">
        <f t="shared" si="1"/>
        <v>0</v>
      </c>
      <c r="Z12" s="33">
        <f t="shared" si="4"/>
        <v>0</v>
      </c>
      <c r="AF12" s="33">
        <f t="shared" si="5"/>
        <v>0</v>
      </c>
      <c r="AL12" s="33">
        <f t="shared" si="6"/>
        <v>0</v>
      </c>
      <c r="AR12" s="33">
        <f t="shared" si="7"/>
        <v>0</v>
      </c>
      <c r="AX12" s="33">
        <f t="shared" si="8"/>
        <v>0</v>
      </c>
      <c r="BA12" s="33">
        <f t="shared" si="2"/>
        <v>0</v>
      </c>
    </row>
    <row r="13" spans="1:53" x14ac:dyDescent="0.25">
      <c r="A13" s="39" t="s">
        <v>8</v>
      </c>
      <c r="B13" s="43">
        <v>12</v>
      </c>
      <c r="H13" s="33">
        <f t="shared" si="3"/>
        <v>0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F13" s="33">
        <f t="shared" si="5"/>
        <v>0</v>
      </c>
      <c r="AL13" s="33">
        <f t="shared" si="6"/>
        <v>0</v>
      </c>
      <c r="AR13" s="33">
        <f t="shared" si="7"/>
        <v>0</v>
      </c>
      <c r="AX13" s="33">
        <f t="shared" si="8"/>
        <v>0</v>
      </c>
      <c r="BA13" s="33">
        <f t="shared" si="2"/>
        <v>0</v>
      </c>
    </row>
    <row r="14" spans="1:53" x14ac:dyDescent="0.25">
      <c r="A14" s="40" t="s">
        <v>6</v>
      </c>
      <c r="B14" s="42">
        <v>13</v>
      </c>
      <c r="H14" s="33">
        <f t="shared" si="3"/>
        <v>0</v>
      </c>
      <c r="N14" s="33">
        <f t="shared" si="0"/>
        <v>0</v>
      </c>
      <c r="T14" s="33">
        <f t="shared" si="1"/>
        <v>0</v>
      </c>
      <c r="Z14" s="33">
        <f t="shared" si="4"/>
        <v>0</v>
      </c>
      <c r="AF14" s="33">
        <f t="shared" si="5"/>
        <v>0</v>
      </c>
      <c r="AL14" s="33">
        <f t="shared" si="6"/>
        <v>0</v>
      </c>
      <c r="AR14" s="33">
        <f t="shared" si="7"/>
        <v>0</v>
      </c>
      <c r="AX14" s="33">
        <f t="shared" si="8"/>
        <v>0</v>
      </c>
      <c r="BA14" s="33">
        <f t="shared" si="2"/>
        <v>0</v>
      </c>
    </row>
    <row r="15" spans="1:53" x14ac:dyDescent="0.25">
      <c r="A15" s="39" t="s">
        <v>7</v>
      </c>
      <c r="B15" s="42">
        <v>14</v>
      </c>
      <c r="H15" s="33">
        <f t="shared" si="3"/>
        <v>0</v>
      </c>
      <c r="N15" s="33">
        <f t="shared" si="0"/>
        <v>0</v>
      </c>
      <c r="T15" s="33">
        <f t="shared" si="1"/>
        <v>0</v>
      </c>
      <c r="Z15" s="33">
        <f t="shared" si="4"/>
        <v>0</v>
      </c>
      <c r="AF15" s="33">
        <f t="shared" si="5"/>
        <v>0</v>
      </c>
      <c r="AL15" s="33">
        <f t="shared" si="6"/>
        <v>0</v>
      </c>
      <c r="AR15" s="33">
        <f t="shared" si="7"/>
        <v>0</v>
      </c>
      <c r="AX15" s="33">
        <f t="shared" si="8"/>
        <v>0</v>
      </c>
      <c r="BA15" s="33">
        <f t="shared" si="2"/>
        <v>0</v>
      </c>
    </row>
    <row r="16" spans="1:53" x14ac:dyDescent="0.25">
      <c r="A16" s="39" t="s">
        <v>14</v>
      </c>
      <c r="B16" s="36">
        <v>15</v>
      </c>
      <c r="C16" s="1">
        <v>10</v>
      </c>
      <c r="D16" s="1">
        <v>10</v>
      </c>
      <c r="G16" s="1">
        <v>10</v>
      </c>
      <c r="H16" s="33">
        <f t="shared" si="3"/>
        <v>30</v>
      </c>
      <c r="I16" s="1">
        <v>3</v>
      </c>
      <c r="J16" s="1">
        <v>3</v>
      </c>
      <c r="K16" s="1">
        <v>3</v>
      </c>
      <c r="L16" s="1">
        <v>3</v>
      </c>
      <c r="M16" s="1">
        <v>3</v>
      </c>
      <c r="N16" s="33">
        <f t="shared" si="0"/>
        <v>15</v>
      </c>
      <c r="O16" s="1">
        <v>3</v>
      </c>
      <c r="P16" s="1">
        <v>3</v>
      </c>
      <c r="Q16" s="1">
        <v>3</v>
      </c>
      <c r="R16" s="1">
        <v>3</v>
      </c>
      <c r="S16" s="1">
        <v>3</v>
      </c>
      <c r="T16" s="33">
        <f t="shared" si="1"/>
        <v>15</v>
      </c>
      <c r="U16" s="1">
        <v>3</v>
      </c>
      <c r="V16" s="1">
        <v>4</v>
      </c>
      <c r="W16" s="1">
        <v>3</v>
      </c>
      <c r="X16" s="1">
        <v>2</v>
      </c>
      <c r="Y16" s="1">
        <v>3</v>
      </c>
      <c r="Z16" s="33">
        <f t="shared" si="4"/>
        <v>15</v>
      </c>
      <c r="AA16" s="1">
        <v>2</v>
      </c>
      <c r="AB16" s="1">
        <v>4</v>
      </c>
      <c r="AC16" s="1">
        <v>3</v>
      </c>
      <c r="AF16" s="33">
        <f t="shared" si="5"/>
        <v>9</v>
      </c>
      <c r="AL16" s="33">
        <f t="shared" si="6"/>
        <v>0</v>
      </c>
      <c r="AR16" s="33">
        <f t="shared" si="7"/>
        <v>0</v>
      </c>
      <c r="AX16" s="33">
        <f t="shared" si="8"/>
        <v>0</v>
      </c>
      <c r="BA16" s="33">
        <f t="shared" si="2"/>
        <v>0</v>
      </c>
    </row>
    <row r="17" spans="1:53" x14ac:dyDescent="0.25">
      <c r="A17" s="15" t="s">
        <v>39</v>
      </c>
      <c r="B17" s="37">
        <v>16</v>
      </c>
      <c r="C17" s="13"/>
      <c r="D17" s="13"/>
      <c r="E17" s="13"/>
      <c r="F17" s="13"/>
      <c r="G17" s="13"/>
      <c r="H17" s="34">
        <f>SUM(C17:G17)</f>
        <v>0</v>
      </c>
      <c r="I17" s="13"/>
      <c r="J17" s="13"/>
      <c r="K17" s="13"/>
      <c r="L17" s="13"/>
      <c r="M17" s="13"/>
      <c r="N17" s="34">
        <f>SUM(I17:M17)</f>
        <v>0</v>
      </c>
      <c r="O17" s="13"/>
      <c r="P17" s="13"/>
      <c r="Q17" s="13"/>
      <c r="R17" s="13"/>
      <c r="S17" s="13"/>
      <c r="T17" s="34">
        <f t="shared" si="1"/>
        <v>0</v>
      </c>
      <c r="U17" s="13">
        <v>10</v>
      </c>
      <c r="V17" s="13"/>
      <c r="W17" s="13">
        <v>5</v>
      </c>
      <c r="X17" s="13"/>
      <c r="Y17" s="13"/>
      <c r="Z17" s="34">
        <f>SUM(U17:Y17)</f>
        <v>15</v>
      </c>
      <c r="AA17" s="13">
        <v>5</v>
      </c>
      <c r="AB17" s="13">
        <v>7</v>
      </c>
      <c r="AC17" s="13">
        <v>3</v>
      </c>
      <c r="AD17" s="13"/>
      <c r="AE17" s="13"/>
      <c r="AF17" s="34">
        <f>SUM(AA17:AE17)</f>
        <v>15</v>
      </c>
      <c r="AG17" s="13"/>
      <c r="AH17" s="13"/>
      <c r="AI17" s="13"/>
      <c r="AJ17" s="13"/>
      <c r="AK17" s="13"/>
      <c r="AL17" s="34">
        <f>SUM(AG17:AK17)</f>
        <v>0</v>
      </c>
      <c r="AM17" s="13"/>
      <c r="AN17" s="13"/>
      <c r="AO17" s="13"/>
      <c r="AP17" s="13"/>
      <c r="AQ17" s="13"/>
      <c r="AR17" s="34">
        <f>SUM(AM17:AQ17)</f>
        <v>0</v>
      </c>
      <c r="AS17" s="13"/>
      <c r="AT17" s="13"/>
      <c r="AU17" s="13"/>
      <c r="AV17" s="13"/>
      <c r="AW17" s="13"/>
      <c r="AX17" s="34">
        <f>SUM(AS17:AW17)</f>
        <v>0</v>
      </c>
      <c r="AY17" s="13"/>
      <c r="AZ17" s="13"/>
      <c r="BA17" s="34">
        <f t="shared" si="2"/>
        <v>0</v>
      </c>
    </row>
    <row r="18" spans="1:53" ht="255" x14ac:dyDescent="0.25">
      <c r="A18" s="1" t="s">
        <v>11</v>
      </c>
      <c r="C18" s="4"/>
      <c r="D18" s="4"/>
      <c r="E18" s="4" t="s">
        <v>53</v>
      </c>
      <c r="F18" s="4" t="s">
        <v>52</v>
      </c>
      <c r="G18" s="4"/>
      <c r="I18" s="70" t="s">
        <v>65</v>
      </c>
      <c r="J18" s="70" t="s">
        <v>65</v>
      </c>
      <c r="K18" s="70" t="s">
        <v>66</v>
      </c>
      <c r="L18" s="70" t="s">
        <v>66</v>
      </c>
      <c r="M18" s="70" t="s">
        <v>66</v>
      </c>
      <c r="O18" s="70" t="s">
        <v>65</v>
      </c>
      <c r="P18" s="70" t="s">
        <v>65</v>
      </c>
      <c r="Q18" s="70" t="s">
        <v>66</v>
      </c>
      <c r="R18" s="70" t="s">
        <v>66</v>
      </c>
      <c r="S18" s="70" t="s">
        <v>66</v>
      </c>
      <c r="U18" s="70" t="s">
        <v>66</v>
      </c>
      <c r="V18" s="70" t="s">
        <v>94</v>
      </c>
      <c r="W18" s="70" t="s">
        <v>66</v>
      </c>
      <c r="X18" s="70" t="s">
        <v>95</v>
      </c>
      <c r="Y18" s="70" t="s">
        <v>66</v>
      </c>
      <c r="Z18" s="70"/>
      <c r="AA18" s="70" t="s">
        <v>95</v>
      </c>
      <c r="AB18" s="70" t="s">
        <v>94</v>
      </c>
      <c r="AC18" s="70" t="s">
        <v>66</v>
      </c>
      <c r="AD18" s="81" t="s">
        <v>91</v>
      </c>
      <c r="AE18" s="81" t="s">
        <v>92</v>
      </c>
      <c r="AF18" s="70"/>
      <c r="AG18" s="70" t="s">
        <v>56</v>
      </c>
      <c r="AH18" s="70" t="s">
        <v>56</v>
      </c>
      <c r="AI18" s="70" t="s">
        <v>56</v>
      </c>
      <c r="AJ18" s="70" t="s">
        <v>56</v>
      </c>
      <c r="AK18" s="70" t="s">
        <v>56</v>
      </c>
      <c r="AM18" s="4"/>
      <c r="AN18" s="4"/>
      <c r="AO18" s="4"/>
      <c r="AP18" s="4"/>
      <c r="AQ18" s="4"/>
    </row>
    <row r="19" spans="1:53" ht="120" x14ac:dyDescent="0.25">
      <c r="A19" s="1" t="s">
        <v>10</v>
      </c>
      <c r="C19" s="4"/>
      <c r="D19" s="4"/>
      <c r="E19" s="4"/>
      <c r="F19" s="4"/>
      <c r="G19" s="4"/>
      <c r="I19" s="4"/>
      <c r="J19" s="4"/>
      <c r="K19" s="4"/>
      <c r="L19" s="4"/>
      <c r="S19" s="4"/>
      <c r="X19" s="70" t="s">
        <v>79</v>
      </c>
      <c r="AS19" s="4"/>
      <c r="AU19" s="4"/>
    </row>
  </sheetData>
  <customSheetViews>
    <customSheetView guid="{E3841903-5B68-44FD-8F09-58E03D1025C5}" topLeftCell="BZ17">
      <selection activeCell="CR18" sqref="CR18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A18" sqref="A18"/>
      <pageMargins left="0.511811024" right="0.511811024" top="0.78740157499999996" bottom="0.78740157499999996" header="0.31496062000000002" footer="0.31496062000000002"/>
    </customSheetView>
    <customSheetView guid="{552DFCCD-1786-4D75-8B10-27DD730384DD}">
      <pane xSplit="1" topLeftCell="J1" activePane="topRight" state="frozen"/>
      <selection pane="topRight" activeCell="L8" sqref="L8"/>
      <pageMargins left="0.511811024" right="0.511811024" top="0.78740157499999996" bottom="0.78740157499999996" header="0.31496062000000002" footer="0.31496062000000002"/>
    </customSheetView>
    <customSheetView guid="{B3CDE377-BA5D-4E06-91D9-3A48E1959BA5}">
      <pane xSplit="1" topLeftCell="Z1" activePane="topRight" state="frozen"/>
      <selection pane="topRight" activeCell="AF18" sqref="AF18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Z1" activePane="topRight" state="frozen"/>
      <selection pane="topRight" activeCell="AL18" sqref="AL18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>
      <selection activeCell="L18" sqref="L18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86039CF8-B158-4D70-9A6F-A10C29CBD68A}" topLeftCell="B1">
      <selection activeCell="S1" sqref="S1:S1048576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N1" activePane="topRight" state="frozen"/>
      <selection pane="topRight" activeCell="L18" sqref="L18"/>
      <pageMargins left="0.511811024" right="0.511811024" top="0.78740157499999996" bottom="0.78740157499999996" header="0.31496062000000002" footer="0.31496062000000002"/>
      <autoFilter ref="A1:A19" xr:uid="{AEED72D4-214A-4420-BA8E-B8292A81306C}"/>
    </customSheetView>
  </customSheetView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21"/>
  <sheetViews>
    <sheetView zoomScale="85" zoomScaleNormal="70" workbookViewId="0">
      <selection activeCell="M17" sqref="M17"/>
    </sheetView>
  </sheetViews>
  <sheetFormatPr defaultColWidth="9.140625" defaultRowHeight="15" x14ac:dyDescent="0.25"/>
  <cols>
    <col min="1" max="1" width="87.140625" style="1" customWidth="1"/>
    <col min="2" max="2" width="3" style="1" bestFit="1" customWidth="1"/>
    <col min="3" max="3" width="15.5703125" style="1" customWidth="1"/>
    <col min="4" max="4" width="9.42578125" style="1" customWidth="1"/>
    <col min="5" max="6" width="9.7109375" style="1" customWidth="1"/>
    <col min="7" max="7" width="10.5703125" style="1" bestFit="1" customWidth="1"/>
    <col min="8" max="8" width="14.85546875" style="1" customWidth="1"/>
    <col min="9" max="9" width="11.140625" style="1" bestFit="1" customWidth="1"/>
    <col min="10" max="10" width="11.42578125" style="1" customWidth="1"/>
    <col min="11" max="11" width="11.140625" style="1" customWidth="1"/>
    <col min="12" max="12" width="11.42578125" style="1" customWidth="1"/>
    <col min="13" max="13" width="13.28515625" style="1" customWidth="1"/>
    <col min="14" max="14" width="14.7109375" style="1" customWidth="1"/>
    <col min="15" max="15" width="13.140625" style="1" customWidth="1"/>
    <col min="16" max="16" width="12.140625" style="1" customWidth="1"/>
    <col min="17" max="17" width="11.28515625" style="1" customWidth="1"/>
    <col min="18" max="18" width="13.28515625" style="1" customWidth="1"/>
    <col min="19" max="19" width="10.85546875" style="1" customWidth="1"/>
    <col min="20" max="20" width="14.28515625" style="1" customWidth="1"/>
    <col min="21" max="21" width="11.85546875" style="1" customWidth="1"/>
    <col min="22" max="22" width="12.5703125" style="1" customWidth="1"/>
    <col min="23" max="23" width="16" style="1" customWidth="1"/>
    <col min="24" max="24" width="13" style="1" customWidth="1"/>
    <col min="25" max="25" width="14.42578125" style="1" customWidth="1"/>
    <col min="26" max="26" width="16.5703125" style="1" customWidth="1"/>
    <col min="27" max="27" width="12.5703125" style="1" customWidth="1"/>
    <col min="28" max="28" width="14.85546875" style="1" customWidth="1"/>
    <col min="29" max="31" width="9.140625" style="1"/>
    <col min="32" max="32" width="13.85546875" style="1" customWidth="1"/>
    <col min="33" max="33" width="13.42578125" style="1" customWidth="1"/>
    <col min="34" max="34" width="14.85546875" style="1" customWidth="1"/>
    <col min="35" max="36" width="17" style="1" customWidth="1"/>
    <col min="37" max="37" width="16.85546875" style="1" customWidth="1"/>
    <col min="38" max="38" width="15.85546875" style="1" customWidth="1"/>
    <col min="39" max="39" width="12.140625" style="1" customWidth="1"/>
    <col min="40" max="40" width="12" style="1" customWidth="1"/>
    <col min="41" max="42" width="9.140625" style="1"/>
    <col min="43" max="43" width="13.28515625" style="1" customWidth="1"/>
    <col min="44" max="44" width="16.85546875" style="1" customWidth="1"/>
    <col min="45" max="45" width="9.140625" style="1"/>
    <col min="46" max="46" width="9.7109375" style="1" customWidth="1"/>
    <col min="47" max="47" width="13.28515625" style="1" customWidth="1"/>
    <col min="48" max="48" width="16.140625" style="1" customWidth="1"/>
    <col min="49" max="49" width="9.140625" style="1"/>
    <col min="50" max="50" width="15.28515625" style="1" customWidth="1"/>
    <col min="51" max="52" width="9.140625" style="1"/>
    <col min="53" max="53" width="15" style="1" customWidth="1"/>
    <col min="54" max="16384" width="9.140625" style="1"/>
  </cols>
  <sheetData>
    <row r="1" spans="1:53" x14ac:dyDescent="0.25">
      <c r="A1" s="14" t="s">
        <v>9</v>
      </c>
      <c r="B1" s="41"/>
      <c r="C1" s="32">
        <v>46146</v>
      </c>
      <c r="D1" s="32">
        <v>46147</v>
      </c>
      <c r="E1" s="32">
        <v>46148</v>
      </c>
      <c r="F1" s="32">
        <v>46149</v>
      </c>
      <c r="G1" s="32">
        <v>46150</v>
      </c>
      <c r="H1" s="10" t="s">
        <v>15</v>
      </c>
      <c r="I1" s="32">
        <v>46153</v>
      </c>
      <c r="J1" s="32">
        <v>46154</v>
      </c>
      <c r="K1" s="32">
        <v>46155</v>
      </c>
      <c r="L1" s="32">
        <v>46156</v>
      </c>
      <c r="M1" s="32">
        <v>46157</v>
      </c>
      <c r="N1" s="10" t="s">
        <v>15</v>
      </c>
      <c r="O1" s="19">
        <v>46160</v>
      </c>
      <c r="P1" s="19">
        <v>46161</v>
      </c>
      <c r="Q1" s="19">
        <v>46162</v>
      </c>
      <c r="R1" s="19">
        <v>46163</v>
      </c>
      <c r="S1" s="19">
        <v>46164</v>
      </c>
      <c r="T1" s="10" t="s">
        <v>15</v>
      </c>
      <c r="U1" s="32">
        <v>46167</v>
      </c>
      <c r="V1" s="32">
        <v>46168</v>
      </c>
      <c r="W1" s="32">
        <v>46169</v>
      </c>
      <c r="X1" s="32">
        <v>46170</v>
      </c>
      <c r="Y1" s="32">
        <v>46171</v>
      </c>
      <c r="Z1" s="10" t="s">
        <v>15</v>
      </c>
      <c r="AA1" s="32">
        <v>46174</v>
      </c>
      <c r="AB1" s="32">
        <v>46175</v>
      </c>
      <c r="AC1" s="32">
        <v>46176</v>
      </c>
      <c r="AD1" s="32">
        <v>46177</v>
      </c>
      <c r="AE1" s="32">
        <v>46178</v>
      </c>
      <c r="AF1" s="10" t="s">
        <v>15</v>
      </c>
      <c r="AG1" s="32">
        <v>46181</v>
      </c>
      <c r="AH1" s="32">
        <v>46182</v>
      </c>
      <c r="AI1" s="32">
        <v>46183</v>
      </c>
      <c r="AJ1" s="32">
        <v>46184</v>
      </c>
      <c r="AK1" s="32">
        <v>46185</v>
      </c>
      <c r="AL1" s="10" t="s">
        <v>15</v>
      </c>
      <c r="AM1" s="32">
        <v>46188</v>
      </c>
      <c r="AN1" s="32">
        <v>46189</v>
      </c>
      <c r="AO1" s="32">
        <v>46190</v>
      </c>
      <c r="AP1" s="32">
        <v>46191</v>
      </c>
      <c r="AQ1" s="32">
        <v>46192</v>
      </c>
      <c r="AR1" s="10" t="s">
        <v>15</v>
      </c>
      <c r="AS1" s="19">
        <v>46195</v>
      </c>
      <c r="AT1" s="19">
        <v>46196</v>
      </c>
      <c r="AU1" s="19">
        <v>46197</v>
      </c>
      <c r="AV1" s="19">
        <v>46198</v>
      </c>
      <c r="AW1" s="19">
        <v>46199</v>
      </c>
      <c r="AX1" s="10" t="s">
        <v>15</v>
      </c>
      <c r="AY1" s="67">
        <v>46202</v>
      </c>
      <c r="AZ1" s="67">
        <v>46203</v>
      </c>
      <c r="BA1" s="10" t="s">
        <v>15</v>
      </c>
    </row>
    <row r="2" spans="1:53" x14ac:dyDescent="0.25">
      <c r="A2" s="39" t="s">
        <v>18</v>
      </c>
      <c r="B2" s="42">
        <v>1</v>
      </c>
      <c r="H2" s="33">
        <f>SUM(C2:G2)</f>
        <v>0</v>
      </c>
      <c r="K2" s="1">
        <v>2</v>
      </c>
      <c r="N2" s="33">
        <f t="shared" ref="N2:N16" si="0">SUM(I2:M2)</f>
        <v>2</v>
      </c>
      <c r="T2" s="33">
        <f t="shared" ref="T2:T17" si="1">SUM(O2:S2)</f>
        <v>0</v>
      </c>
      <c r="Z2" s="33">
        <f>SUM(U2:Y2)</f>
        <v>0</v>
      </c>
      <c r="AD2" s="38" t="s">
        <v>96</v>
      </c>
      <c r="AE2" s="38" t="s">
        <v>91</v>
      </c>
      <c r="AF2" s="33">
        <f>SUM(AA2:AE2)</f>
        <v>0</v>
      </c>
      <c r="AL2" s="33">
        <f>SUM(AG2:AK2)</f>
        <v>0</v>
      </c>
      <c r="AR2" s="33">
        <f>SUM(AM2:AQ2)</f>
        <v>0</v>
      </c>
      <c r="AS2" s="55"/>
      <c r="AX2" s="33">
        <f>SUM(AS2:AW2)</f>
        <v>0</v>
      </c>
      <c r="BA2" s="33">
        <f t="shared" ref="BA2:BA17" si="2">SUM(AY2:AZ2)</f>
        <v>0</v>
      </c>
    </row>
    <row r="3" spans="1:53" x14ac:dyDescent="0.25">
      <c r="A3" s="39" t="s">
        <v>0</v>
      </c>
      <c r="B3" s="42">
        <v>2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D3" s="38" t="s">
        <v>96</v>
      </c>
      <c r="AE3" s="38" t="s">
        <v>91</v>
      </c>
      <c r="AF3" s="33">
        <f t="shared" ref="AF3:AF16" si="5">SUM(AA3:AE3)</f>
        <v>0</v>
      </c>
      <c r="AL3" s="33">
        <f t="shared" ref="AL3:AL16" si="6">SUM(AG3:AK3)</f>
        <v>0</v>
      </c>
      <c r="AR3" s="33">
        <f t="shared" ref="AR3:AR16" si="7">SUM(AM3:AQ3)</f>
        <v>0</v>
      </c>
      <c r="AX3" s="33">
        <f t="shared" ref="AX3:AX16" si="8">SUM(AS3:AW3)</f>
        <v>0</v>
      </c>
      <c r="BA3" s="33">
        <f t="shared" si="2"/>
        <v>0</v>
      </c>
    </row>
    <row r="4" spans="1:53" x14ac:dyDescent="0.25">
      <c r="A4" s="40" t="s">
        <v>17</v>
      </c>
      <c r="B4" s="43">
        <v>3</v>
      </c>
      <c r="H4" s="33">
        <f t="shared" si="3"/>
        <v>0</v>
      </c>
      <c r="N4" s="33">
        <f t="shared" si="0"/>
        <v>0</v>
      </c>
      <c r="T4" s="33">
        <f t="shared" si="1"/>
        <v>0</v>
      </c>
      <c r="Z4" s="33">
        <f t="shared" si="4"/>
        <v>0</v>
      </c>
      <c r="AD4" s="38" t="s">
        <v>96</v>
      </c>
      <c r="AE4" s="38" t="s">
        <v>91</v>
      </c>
      <c r="AF4" s="33">
        <f t="shared" si="5"/>
        <v>0</v>
      </c>
      <c r="AL4" s="33">
        <f t="shared" si="6"/>
        <v>0</v>
      </c>
      <c r="AR4" s="33">
        <f t="shared" si="7"/>
        <v>0</v>
      </c>
      <c r="AX4" s="33">
        <f t="shared" si="8"/>
        <v>0</v>
      </c>
      <c r="BA4" s="33">
        <f t="shared" si="2"/>
        <v>0</v>
      </c>
    </row>
    <row r="5" spans="1:53" x14ac:dyDescent="0.25">
      <c r="A5" s="40" t="s">
        <v>16</v>
      </c>
      <c r="B5" s="42">
        <v>4</v>
      </c>
      <c r="H5" s="33">
        <f t="shared" si="3"/>
        <v>0</v>
      </c>
      <c r="L5" s="38"/>
      <c r="N5" s="33">
        <f t="shared" si="0"/>
        <v>0</v>
      </c>
      <c r="T5" s="33">
        <f t="shared" si="1"/>
        <v>0</v>
      </c>
      <c r="Z5" s="33">
        <f t="shared" si="4"/>
        <v>0</v>
      </c>
      <c r="AD5" s="38" t="s">
        <v>96</v>
      </c>
      <c r="AE5" s="38" t="s">
        <v>91</v>
      </c>
      <c r="AF5" s="33">
        <f t="shared" si="5"/>
        <v>0</v>
      </c>
      <c r="AL5" s="33">
        <f t="shared" si="6"/>
        <v>0</v>
      </c>
      <c r="AR5" s="33">
        <f t="shared" si="7"/>
        <v>0</v>
      </c>
      <c r="AX5" s="33">
        <f t="shared" si="8"/>
        <v>0</v>
      </c>
      <c r="BA5" s="33">
        <f t="shared" si="2"/>
        <v>0</v>
      </c>
    </row>
    <row r="6" spans="1:53" x14ac:dyDescent="0.25">
      <c r="A6" s="40" t="s">
        <v>1</v>
      </c>
      <c r="B6" s="42">
        <v>5</v>
      </c>
      <c r="H6" s="33">
        <f t="shared" si="3"/>
        <v>0</v>
      </c>
      <c r="L6" s="38"/>
      <c r="N6" s="33">
        <f t="shared" si="0"/>
        <v>0</v>
      </c>
      <c r="T6" s="33">
        <f t="shared" si="1"/>
        <v>0</v>
      </c>
      <c r="Z6" s="33">
        <f t="shared" si="4"/>
        <v>0</v>
      </c>
      <c r="AD6" s="38" t="s">
        <v>96</v>
      </c>
      <c r="AE6" s="38" t="s">
        <v>91</v>
      </c>
      <c r="AF6" s="33">
        <f t="shared" si="5"/>
        <v>0</v>
      </c>
      <c r="AL6" s="33">
        <f t="shared" si="6"/>
        <v>0</v>
      </c>
      <c r="AR6" s="33">
        <f t="shared" si="7"/>
        <v>0</v>
      </c>
      <c r="AX6" s="33">
        <f t="shared" si="8"/>
        <v>0</v>
      </c>
      <c r="BA6" s="33">
        <f t="shared" si="2"/>
        <v>0</v>
      </c>
    </row>
    <row r="7" spans="1:53" x14ac:dyDescent="0.25">
      <c r="A7" s="40" t="s">
        <v>2</v>
      </c>
      <c r="B7" s="43">
        <v>6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D7" s="38" t="s">
        <v>96</v>
      </c>
      <c r="AE7" s="38" t="s">
        <v>91</v>
      </c>
      <c r="AF7" s="33">
        <f t="shared" si="5"/>
        <v>0</v>
      </c>
      <c r="AL7" s="33">
        <f t="shared" si="6"/>
        <v>0</v>
      </c>
      <c r="AR7" s="33">
        <f t="shared" si="7"/>
        <v>0</v>
      </c>
      <c r="AX7" s="33">
        <f t="shared" si="8"/>
        <v>0</v>
      </c>
      <c r="BA7" s="33">
        <f t="shared" si="2"/>
        <v>0</v>
      </c>
    </row>
    <row r="8" spans="1:53" x14ac:dyDescent="0.25">
      <c r="A8" s="40" t="s">
        <v>3</v>
      </c>
      <c r="B8" s="42">
        <v>7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D8" s="38" t="s">
        <v>96</v>
      </c>
      <c r="AE8" s="38" t="s">
        <v>91</v>
      </c>
      <c r="AF8" s="33">
        <f t="shared" si="5"/>
        <v>0</v>
      </c>
      <c r="AL8" s="33">
        <f t="shared" si="6"/>
        <v>0</v>
      </c>
      <c r="AR8" s="33">
        <f t="shared" si="7"/>
        <v>0</v>
      </c>
      <c r="AX8" s="33">
        <f t="shared" si="8"/>
        <v>0</v>
      </c>
      <c r="BA8" s="33">
        <f t="shared" si="2"/>
        <v>0</v>
      </c>
    </row>
    <row r="9" spans="1:53" x14ac:dyDescent="0.25">
      <c r="A9" s="40" t="s">
        <v>13</v>
      </c>
      <c r="B9" s="42">
        <v>8</v>
      </c>
      <c r="H9" s="33">
        <f t="shared" si="3"/>
        <v>0</v>
      </c>
      <c r="N9" s="33">
        <f t="shared" si="0"/>
        <v>0</v>
      </c>
      <c r="T9" s="33">
        <f t="shared" si="1"/>
        <v>0</v>
      </c>
      <c r="Z9" s="33">
        <f t="shared" si="4"/>
        <v>0</v>
      </c>
      <c r="AD9" s="38" t="s">
        <v>96</v>
      </c>
      <c r="AE9" s="38" t="s">
        <v>91</v>
      </c>
      <c r="AF9" s="33">
        <f t="shared" si="5"/>
        <v>0</v>
      </c>
      <c r="AL9" s="33">
        <f t="shared" si="6"/>
        <v>0</v>
      </c>
      <c r="AR9" s="33">
        <f t="shared" si="7"/>
        <v>0</v>
      </c>
      <c r="AX9" s="33">
        <f t="shared" si="8"/>
        <v>0</v>
      </c>
      <c r="BA9" s="33">
        <f t="shared" si="2"/>
        <v>0</v>
      </c>
    </row>
    <row r="10" spans="1:53" x14ac:dyDescent="0.25">
      <c r="A10" s="39" t="s">
        <v>12</v>
      </c>
      <c r="B10" s="43">
        <v>9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D10" s="38" t="s">
        <v>96</v>
      </c>
      <c r="AE10" s="38" t="s">
        <v>91</v>
      </c>
      <c r="AF10" s="33">
        <f t="shared" si="5"/>
        <v>0</v>
      </c>
      <c r="AL10" s="33">
        <f t="shared" si="6"/>
        <v>0</v>
      </c>
      <c r="AR10" s="33">
        <f t="shared" si="7"/>
        <v>0</v>
      </c>
      <c r="AX10" s="33">
        <f t="shared" si="8"/>
        <v>0</v>
      </c>
      <c r="BA10" s="33">
        <f t="shared" si="2"/>
        <v>0</v>
      </c>
    </row>
    <row r="11" spans="1:53" x14ac:dyDescent="0.25">
      <c r="A11" s="40" t="s">
        <v>4</v>
      </c>
      <c r="B11" s="42">
        <v>10</v>
      </c>
      <c r="F11" s="1">
        <v>6</v>
      </c>
      <c r="G11" s="1">
        <v>3</v>
      </c>
      <c r="H11" s="33">
        <f t="shared" si="3"/>
        <v>9</v>
      </c>
      <c r="K11" s="1">
        <v>5</v>
      </c>
      <c r="L11" s="1">
        <v>6</v>
      </c>
      <c r="M11" s="1">
        <v>5</v>
      </c>
      <c r="N11" s="33">
        <f t="shared" si="0"/>
        <v>16</v>
      </c>
      <c r="O11" s="1">
        <v>5</v>
      </c>
      <c r="P11" s="1">
        <v>7</v>
      </c>
      <c r="Q11" s="1">
        <v>8</v>
      </c>
      <c r="R11" s="1">
        <v>7</v>
      </c>
      <c r="S11" s="1">
        <v>9</v>
      </c>
      <c r="T11" s="33">
        <f t="shared" si="1"/>
        <v>36</v>
      </c>
      <c r="U11" s="1">
        <v>4</v>
      </c>
      <c r="V11" s="1">
        <v>11</v>
      </c>
      <c r="W11" s="1">
        <v>11</v>
      </c>
      <c r="X11" s="1">
        <v>6</v>
      </c>
      <c r="Y11" s="1">
        <v>7</v>
      </c>
      <c r="Z11" s="33">
        <f t="shared" si="4"/>
        <v>39</v>
      </c>
      <c r="AA11" s="1">
        <v>7</v>
      </c>
      <c r="AB11" s="1">
        <v>4</v>
      </c>
      <c r="AC11" s="1">
        <v>6</v>
      </c>
      <c r="AD11" s="38" t="s">
        <v>96</v>
      </c>
      <c r="AE11" s="38" t="s">
        <v>91</v>
      </c>
      <c r="AF11" s="33">
        <f t="shared" si="5"/>
        <v>17</v>
      </c>
      <c r="AG11" s="1">
        <v>4</v>
      </c>
      <c r="AH11" s="1">
        <v>5</v>
      </c>
      <c r="AI11" s="1">
        <v>5</v>
      </c>
      <c r="AJ11" s="1">
        <v>2</v>
      </c>
      <c r="AK11" s="1">
        <v>3</v>
      </c>
      <c r="AL11" s="33">
        <f t="shared" si="6"/>
        <v>19</v>
      </c>
      <c r="AR11" s="33">
        <f t="shared" si="7"/>
        <v>0</v>
      </c>
      <c r="AX11" s="33">
        <f t="shared" si="8"/>
        <v>0</v>
      </c>
      <c r="BA11" s="33">
        <f t="shared" si="2"/>
        <v>0</v>
      </c>
    </row>
    <row r="12" spans="1:53" x14ac:dyDescent="0.25">
      <c r="A12" s="40" t="s">
        <v>5</v>
      </c>
      <c r="B12" s="42">
        <v>11</v>
      </c>
      <c r="F12" s="1">
        <v>36</v>
      </c>
      <c r="G12" s="1">
        <v>23</v>
      </c>
      <c r="H12" s="33">
        <f t="shared" si="3"/>
        <v>59</v>
      </c>
      <c r="K12" s="1">
        <v>36</v>
      </c>
      <c r="L12" s="1">
        <v>41</v>
      </c>
      <c r="M12" s="1">
        <v>27</v>
      </c>
      <c r="N12" s="33">
        <f t="shared" si="0"/>
        <v>104</v>
      </c>
      <c r="O12" s="1">
        <v>31</v>
      </c>
      <c r="P12" s="1">
        <v>51</v>
      </c>
      <c r="Q12" s="1">
        <v>60</v>
      </c>
      <c r="R12" s="1">
        <v>61</v>
      </c>
      <c r="S12" s="1">
        <v>63</v>
      </c>
      <c r="T12" s="33">
        <f t="shared" si="1"/>
        <v>266</v>
      </c>
      <c r="U12" s="1">
        <v>25</v>
      </c>
      <c r="V12" s="1">
        <v>62</v>
      </c>
      <c r="W12" s="1">
        <v>80</v>
      </c>
      <c r="X12" s="1">
        <v>42</v>
      </c>
      <c r="Y12" s="1">
        <v>48</v>
      </c>
      <c r="Z12" s="33">
        <f t="shared" si="4"/>
        <v>257</v>
      </c>
      <c r="AA12" s="1">
        <v>50</v>
      </c>
      <c r="AB12" s="1">
        <v>21</v>
      </c>
      <c r="AC12" s="1">
        <v>52</v>
      </c>
      <c r="AD12" s="38" t="s">
        <v>96</v>
      </c>
      <c r="AE12" s="38" t="s">
        <v>91</v>
      </c>
      <c r="AF12" s="33">
        <f t="shared" si="5"/>
        <v>123</v>
      </c>
      <c r="AG12" s="1">
        <v>33</v>
      </c>
      <c r="AH12" s="1">
        <v>44</v>
      </c>
      <c r="AI12" s="1">
        <v>35</v>
      </c>
      <c r="AJ12" s="1">
        <v>16</v>
      </c>
      <c r="AK12" s="1">
        <v>24</v>
      </c>
      <c r="AL12" s="33">
        <f t="shared" si="6"/>
        <v>152</v>
      </c>
      <c r="AR12" s="33">
        <f t="shared" si="7"/>
        <v>0</v>
      </c>
      <c r="AX12" s="33">
        <f t="shared" si="8"/>
        <v>0</v>
      </c>
      <c r="BA12" s="33">
        <f t="shared" si="2"/>
        <v>0</v>
      </c>
    </row>
    <row r="13" spans="1:53" x14ac:dyDescent="0.25">
      <c r="A13" s="39" t="s">
        <v>73</v>
      </c>
      <c r="B13" s="43">
        <v>12</v>
      </c>
      <c r="H13" s="33">
        <f t="shared" si="3"/>
        <v>0</v>
      </c>
      <c r="J13" s="1">
        <v>1</v>
      </c>
      <c r="N13" s="33">
        <f t="shared" si="0"/>
        <v>1</v>
      </c>
      <c r="O13" s="1">
        <v>1</v>
      </c>
      <c r="R13" s="1">
        <v>1</v>
      </c>
      <c r="T13" s="33">
        <f t="shared" si="1"/>
        <v>2</v>
      </c>
      <c r="Z13" s="33">
        <f t="shared" si="4"/>
        <v>0</v>
      </c>
      <c r="AD13" s="38" t="s">
        <v>96</v>
      </c>
      <c r="AE13" s="38" t="s">
        <v>91</v>
      </c>
      <c r="AF13" s="33">
        <f t="shared" si="5"/>
        <v>0</v>
      </c>
      <c r="AG13" s="1">
        <v>1</v>
      </c>
      <c r="AI13" s="1">
        <v>1</v>
      </c>
      <c r="AL13" s="33">
        <f t="shared" si="6"/>
        <v>2</v>
      </c>
      <c r="AR13" s="33">
        <f t="shared" si="7"/>
        <v>0</v>
      </c>
      <c r="AX13" s="33">
        <f t="shared" si="8"/>
        <v>0</v>
      </c>
      <c r="BA13" s="33">
        <f t="shared" si="2"/>
        <v>0</v>
      </c>
    </row>
    <row r="14" spans="1:53" x14ac:dyDescent="0.25">
      <c r="A14" s="40" t="s">
        <v>6</v>
      </c>
      <c r="B14" s="42">
        <v>13</v>
      </c>
      <c r="H14" s="33">
        <f t="shared" si="3"/>
        <v>0</v>
      </c>
      <c r="I14" s="1">
        <v>2</v>
      </c>
      <c r="K14" s="1">
        <v>1</v>
      </c>
      <c r="L14" s="1">
        <v>2</v>
      </c>
      <c r="N14" s="33">
        <f t="shared" si="0"/>
        <v>5</v>
      </c>
      <c r="T14" s="33">
        <f t="shared" si="1"/>
        <v>0</v>
      </c>
      <c r="Z14" s="33">
        <f t="shared" si="4"/>
        <v>0</v>
      </c>
      <c r="AD14" s="38" t="s">
        <v>96</v>
      </c>
      <c r="AE14" s="38" t="s">
        <v>91</v>
      </c>
      <c r="AF14" s="33">
        <f t="shared" si="5"/>
        <v>0</v>
      </c>
      <c r="AL14" s="33">
        <f t="shared" si="6"/>
        <v>0</v>
      </c>
      <c r="AR14" s="33">
        <f t="shared" si="7"/>
        <v>0</v>
      </c>
      <c r="AX14" s="33">
        <f t="shared" si="8"/>
        <v>0</v>
      </c>
      <c r="BA14" s="33">
        <f t="shared" si="2"/>
        <v>0</v>
      </c>
    </row>
    <row r="15" spans="1:53" x14ac:dyDescent="0.25">
      <c r="A15" s="39" t="s">
        <v>7</v>
      </c>
      <c r="B15" s="42">
        <v>14</v>
      </c>
      <c r="H15" s="33">
        <f t="shared" si="3"/>
        <v>0</v>
      </c>
      <c r="N15" s="33">
        <f t="shared" si="0"/>
        <v>0</v>
      </c>
      <c r="T15" s="33">
        <f t="shared" si="1"/>
        <v>0</v>
      </c>
      <c r="Z15" s="33">
        <f t="shared" si="4"/>
        <v>0</v>
      </c>
      <c r="AD15" s="38" t="s">
        <v>96</v>
      </c>
      <c r="AE15" s="38" t="s">
        <v>91</v>
      </c>
      <c r="AF15" s="33">
        <f t="shared" si="5"/>
        <v>0</v>
      </c>
      <c r="AL15" s="33">
        <f t="shared" si="6"/>
        <v>0</v>
      </c>
      <c r="AR15" s="33">
        <f t="shared" si="7"/>
        <v>0</v>
      </c>
      <c r="AX15" s="33">
        <f t="shared" si="8"/>
        <v>0</v>
      </c>
      <c r="BA15" s="33">
        <f t="shared" si="2"/>
        <v>0</v>
      </c>
    </row>
    <row r="16" spans="1:53" x14ac:dyDescent="0.25">
      <c r="A16" s="2" t="s">
        <v>14</v>
      </c>
      <c r="B16" s="36">
        <v>15</v>
      </c>
      <c r="D16" s="1">
        <v>11</v>
      </c>
      <c r="H16" s="33">
        <f t="shared" si="3"/>
        <v>11</v>
      </c>
      <c r="N16" s="33">
        <f t="shared" si="0"/>
        <v>0</v>
      </c>
      <c r="T16" s="33">
        <f t="shared" si="1"/>
        <v>0</v>
      </c>
      <c r="Z16" s="33">
        <f t="shared" si="4"/>
        <v>0</v>
      </c>
      <c r="AD16" s="38" t="s">
        <v>96</v>
      </c>
      <c r="AE16" s="38" t="s">
        <v>91</v>
      </c>
      <c r="AF16" s="33">
        <f t="shared" si="5"/>
        <v>0</v>
      </c>
      <c r="AL16" s="33">
        <f t="shared" si="6"/>
        <v>0</v>
      </c>
      <c r="AR16" s="33">
        <f t="shared" si="7"/>
        <v>0</v>
      </c>
      <c r="AX16" s="33">
        <f t="shared" si="8"/>
        <v>0</v>
      </c>
      <c r="BA16" s="33">
        <f t="shared" si="2"/>
        <v>0</v>
      </c>
    </row>
    <row r="17" spans="1:53" x14ac:dyDescent="0.25">
      <c r="A17" s="15" t="s">
        <v>39</v>
      </c>
      <c r="B17" s="37">
        <v>16</v>
      </c>
      <c r="C17" s="13"/>
      <c r="D17" s="13"/>
      <c r="E17" s="13"/>
      <c r="F17" s="13"/>
      <c r="G17" s="13"/>
      <c r="H17" s="34">
        <f>SUM(C17:G17)</f>
        <v>0</v>
      </c>
      <c r="I17" s="13"/>
      <c r="J17" s="13"/>
      <c r="K17" s="13"/>
      <c r="L17" s="13"/>
      <c r="M17" s="13"/>
      <c r="N17" s="34">
        <f>SUM(I17:M17)</f>
        <v>0</v>
      </c>
      <c r="O17" s="13"/>
      <c r="P17" s="13"/>
      <c r="Q17" s="13"/>
      <c r="R17" s="13"/>
      <c r="S17" s="13"/>
      <c r="T17" s="34">
        <f t="shared" si="1"/>
        <v>0</v>
      </c>
      <c r="U17" s="13"/>
      <c r="V17" s="13"/>
      <c r="W17" s="13"/>
      <c r="X17" s="13"/>
      <c r="Y17" s="13"/>
      <c r="Z17" s="34">
        <f>SUM(U17:Y17)</f>
        <v>0</v>
      </c>
      <c r="AA17" s="13"/>
      <c r="AB17" s="13"/>
      <c r="AC17" s="13"/>
      <c r="AD17" s="82" t="s">
        <v>96</v>
      </c>
      <c r="AE17" s="82" t="s">
        <v>91</v>
      </c>
      <c r="AF17" s="34">
        <f>SUM(AA17:AE17)</f>
        <v>0</v>
      </c>
      <c r="AG17" s="13"/>
      <c r="AH17" s="13"/>
      <c r="AI17" s="13"/>
      <c r="AJ17" s="13"/>
      <c r="AK17" s="13"/>
      <c r="AL17" s="34">
        <f>SUM(AG17:AK17)</f>
        <v>0</v>
      </c>
      <c r="AM17" s="13"/>
      <c r="AN17" s="13"/>
      <c r="AO17" s="13"/>
      <c r="AP17" s="13"/>
      <c r="AQ17" s="13"/>
      <c r="AR17" s="34">
        <f>SUM(AM17:AQ17)</f>
        <v>0</v>
      </c>
      <c r="AS17" s="13"/>
      <c r="AT17" s="13"/>
      <c r="AU17" s="13"/>
      <c r="AV17" s="13"/>
      <c r="AW17" s="13"/>
      <c r="AX17" s="34">
        <f>SUM(AS17:AW17)</f>
        <v>0</v>
      </c>
      <c r="AY17" s="13"/>
      <c r="AZ17" s="13"/>
      <c r="BA17" s="34">
        <f t="shared" si="2"/>
        <v>0</v>
      </c>
    </row>
    <row r="18" spans="1:53" ht="238.5" customHeight="1" x14ac:dyDescent="0.25">
      <c r="A18" s="1" t="s">
        <v>11</v>
      </c>
      <c r="C18" s="4" t="s">
        <v>88</v>
      </c>
      <c r="D18" s="61"/>
      <c r="E18" s="61"/>
      <c r="F18" s="61"/>
      <c r="G18" s="61"/>
      <c r="I18" s="61" t="s">
        <v>89</v>
      </c>
      <c r="J18" s="61"/>
      <c r="K18" s="61"/>
      <c r="L18" s="61"/>
      <c r="M18" s="61"/>
      <c r="N18" s="61"/>
      <c r="O18" s="61" t="s">
        <v>64</v>
      </c>
      <c r="P18" s="61"/>
      <c r="Q18" s="4" t="s">
        <v>74</v>
      </c>
      <c r="R18" s="4" t="s">
        <v>74</v>
      </c>
      <c r="S18" s="4" t="s">
        <v>74</v>
      </c>
      <c r="U18" s="61" t="s">
        <v>64</v>
      </c>
      <c r="V18" s="4" t="s">
        <v>74</v>
      </c>
      <c r="W18" s="4" t="s">
        <v>74</v>
      </c>
      <c r="X18" s="4" t="s">
        <v>74</v>
      </c>
      <c r="Y18" s="4" t="s">
        <v>74</v>
      </c>
      <c r="AA18" s="4" t="s">
        <v>87</v>
      </c>
      <c r="AB18" s="4" t="s">
        <v>74</v>
      </c>
      <c r="AC18" s="4" t="s">
        <v>74</v>
      </c>
      <c r="AD18" s="61"/>
      <c r="AE18" s="61"/>
      <c r="AG18" s="4" t="s">
        <v>101</v>
      </c>
      <c r="AH18" s="4" t="s">
        <v>74</v>
      </c>
      <c r="AI18" s="4" t="s">
        <v>102</v>
      </c>
      <c r="AJ18" s="4" t="s">
        <v>102</v>
      </c>
      <c r="AK18" s="4" t="s">
        <v>102</v>
      </c>
      <c r="AL18" s="61"/>
      <c r="AM18" s="61"/>
      <c r="AN18" s="61"/>
      <c r="AQ18" s="61"/>
      <c r="AT18" s="61"/>
      <c r="AU18" s="61"/>
      <c r="AV18" s="61"/>
    </row>
    <row r="19" spans="1:53" x14ac:dyDescent="0.25">
      <c r="A19" s="1" t="s">
        <v>10</v>
      </c>
    </row>
    <row r="21" spans="1:53" x14ac:dyDescent="0.25">
      <c r="P21" s="1" t="s">
        <v>76</v>
      </c>
    </row>
  </sheetData>
  <customSheetViews>
    <customSheetView guid="{E3841903-5B68-44FD-8F09-58E03D1025C5}" scale="85">
      <selection activeCell="M17" sqref="M17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B3CDE377-BA5D-4E06-91D9-3A48E1959BA5}" topLeftCell="B1">
      <selection activeCell="G5" sqref="G5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AD1" activePane="topRight" state="frozen"/>
      <selection pane="topRight" activeCell="AI14" sqref="AI14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20CB6D8F-C24D-4D4B-A424-AF380F620455}">
      <selection activeCell="C17" sqref="C17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B6" sqref="B6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X1" activePane="topRight" state="frozen"/>
      <selection pane="topRight" activeCell="H19" sqref="H19"/>
      <pageMargins left="0.511811024" right="0.511811024" top="0.78740157499999996" bottom="0.78740157499999996" header="0.31496062000000002" footer="0.31496062000000002"/>
      <pageSetup paperSize="9" orientation="portrait" r:id="rId2"/>
      <autoFilter ref="A1:A19" xr:uid="{3DE69A05-6A4C-4326-A865-940BEC194515}"/>
    </customSheetView>
  </customSheetView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20"/>
  <sheetViews>
    <sheetView tabSelected="1" topLeftCell="A7" zoomScaleNormal="85" workbookViewId="0">
      <pane xSplit="1" topLeftCell="AJ1" activePane="topRight" state="frozen"/>
      <selection activeCell="A7" sqref="A7"/>
      <selection pane="topRight" activeCell="AQ18" sqref="AQ18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9.140625" style="1"/>
    <col min="8" max="8" width="16" style="1" customWidth="1"/>
    <col min="9" max="13" width="9.140625" style="1"/>
    <col min="14" max="14" width="14.140625" style="1" customWidth="1"/>
    <col min="15" max="19" width="9.140625" style="1"/>
    <col min="20" max="20" width="15" style="1" customWidth="1"/>
    <col min="21" max="25" width="9.140625" style="1"/>
    <col min="26" max="26" width="15.5703125" style="1" customWidth="1"/>
    <col min="27" max="31" width="9.140625" style="1"/>
    <col min="32" max="32" width="16" style="1" customWidth="1"/>
    <col min="33" max="37" width="9.140625" style="1"/>
    <col min="38" max="38" width="16" style="1" customWidth="1"/>
    <col min="39" max="39" width="10.85546875" style="1" customWidth="1"/>
    <col min="40" max="40" width="11.28515625" style="1" customWidth="1"/>
    <col min="41" max="43" width="9.140625" style="1"/>
    <col min="44" max="44" width="15.5703125" style="1" customWidth="1"/>
    <col min="45" max="49" width="9.140625" style="1"/>
    <col min="50" max="50" width="15.28515625" style="1" customWidth="1"/>
    <col min="51" max="52" width="9.140625" style="1"/>
    <col min="53" max="53" width="18" style="1" customWidth="1"/>
    <col min="54" max="16384" width="9.140625" style="1"/>
  </cols>
  <sheetData>
    <row r="1" spans="1:53" x14ac:dyDescent="0.25">
      <c r="A1" s="14" t="s">
        <v>9</v>
      </c>
      <c r="B1" s="41"/>
      <c r="C1" s="32">
        <v>46146</v>
      </c>
      <c r="D1" s="32">
        <v>46147</v>
      </c>
      <c r="E1" s="32">
        <v>46148</v>
      </c>
      <c r="F1" s="32">
        <v>46149</v>
      </c>
      <c r="G1" s="32">
        <v>46150</v>
      </c>
      <c r="H1" s="10" t="s">
        <v>15</v>
      </c>
      <c r="I1" s="32">
        <v>46153</v>
      </c>
      <c r="J1" s="32">
        <v>46154</v>
      </c>
      <c r="K1" s="32">
        <v>46155</v>
      </c>
      <c r="L1" s="32">
        <v>46156</v>
      </c>
      <c r="M1" s="32">
        <v>46157</v>
      </c>
      <c r="N1" s="10" t="s">
        <v>15</v>
      </c>
      <c r="O1" s="19">
        <v>46160</v>
      </c>
      <c r="P1" s="19">
        <v>46161</v>
      </c>
      <c r="Q1" s="19">
        <v>46162</v>
      </c>
      <c r="R1" s="19">
        <v>46163</v>
      </c>
      <c r="S1" s="19">
        <v>46164</v>
      </c>
      <c r="T1" s="10" t="s">
        <v>15</v>
      </c>
      <c r="U1" s="32">
        <v>46167</v>
      </c>
      <c r="V1" s="32">
        <v>46168</v>
      </c>
      <c r="W1" s="32">
        <v>46169</v>
      </c>
      <c r="X1" s="32">
        <v>46170</v>
      </c>
      <c r="Y1" s="32">
        <v>46171</v>
      </c>
      <c r="Z1" s="10" t="s">
        <v>15</v>
      </c>
      <c r="AA1" s="32">
        <v>46174</v>
      </c>
      <c r="AB1" s="32">
        <v>46175</v>
      </c>
      <c r="AC1" s="32">
        <v>46176</v>
      </c>
      <c r="AD1" s="32">
        <v>46177</v>
      </c>
      <c r="AE1" s="32">
        <v>46178</v>
      </c>
      <c r="AF1" s="10" t="s">
        <v>15</v>
      </c>
      <c r="AG1" s="32">
        <v>46181</v>
      </c>
      <c r="AH1" s="32">
        <v>46182</v>
      </c>
      <c r="AI1" s="32">
        <v>46183</v>
      </c>
      <c r="AJ1" s="32">
        <v>46184</v>
      </c>
      <c r="AK1" s="32">
        <v>46185</v>
      </c>
      <c r="AL1" s="10" t="s">
        <v>15</v>
      </c>
      <c r="AM1" s="32">
        <v>46188</v>
      </c>
      <c r="AN1" s="32">
        <v>46189</v>
      </c>
      <c r="AO1" s="32">
        <v>46190</v>
      </c>
      <c r="AP1" s="32">
        <v>46191</v>
      </c>
      <c r="AQ1" s="32">
        <v>46192</v>
      </c>
      <c r="AR1" s="10" t="s">
        <v>15</v>
      </c>
      <c r="AS1" s="19">
        <v>46195</v>
      </c>
      <c r="AT1" s="19">
        <v>46196</v>
      </c>
      <c r="AU1" s="19">
        <v>46197</v>
      </c>
      <c r="AV1" s="19">
        <v>46198</v>
      </c>
      <c r="AW1" s="19">
        <v>46199</v>
      </c>
      <c r="AX1" s="10" t="s">
        <v>15</v>
      </c>
      <c r="AY1" s="67">
        <v>46202</v>
      </c>
      <c r="AZ1" s="67">
        <v>46203</v>
      </c>
      <c r="BA1" s="10" t="s">
        <v>15</v>
      </c>
    </row>
    <row r="2" spans="1:53" x14ac:dyDescent="0.25">
      <c r="A2" s="39" t="s">
        <v>18</v>
      </c>
      <c r="B2" s="42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F2" s="33">
        <f>SUM(AA2:AE2)</f>
        <v>0</v>
      </c>
      <c r="AL2" s="33">
        <f>SUM(AG2:AK2)</f>
        <v>0</v>
      </c>
      <c r="AR2" s="33">
        <f>SUM(AM2:AQ2)</f>
        <v>0</v>
      </c>
      <c r="AS2" s="55"/>
      <c r="AX2" s="33">
        <f>SUM(AS2:AW2)</f>
        <v>0</v>
      </c>
      <c r="BA2" s="33">
        <f t="shared" ref="BA2:BA17" si="2">SUM(AY2:AZ2)</f>
        <v>0</v>
      </c>
    </row>
    <row r="3" spans="1:53" x14ac:dyDescent="0.25">
      <c r="A3" s="39" t="s">
        <v>0</v>
      </c>
      <c r="B3" s="42">
        <v>2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F3" s="33">
        <f t="shared" ref="AF3:AF16" si="5">SUM(AA3:AE3)</f>
        <v>0</v>
      </c>
      <c r="AL3" s="33">
        <f t="shared" ref="AL3:AL16" si="6">SUM(AG3:AK3)</f>
        <v>0</v>
      </c>
      <c r="AR3" s="33">
        <f t="shared" ref="AR3:AR16" si="7">SUM(AM3:AQ3)</f>
        <v>0</v>
      </c>
      <c r="AX3" s="33">
        <f t="shared" ref="AX3:AX16" si="8">SUM(AS3:AW3)</f>
        <v>0</v>
      </c>
      <c r="BA3" s="33">
        <f t="shared" si="2"/>
        <v>0</v>
      </c>
    </row>
    <row r="4" spans="1:53" x14ac:dyDescent="0.25">
      <c r="A4" s="40" t="s">
        <v>17</v>
      </c>
      <c r="B4" s="43">
        <v>3</v>
      </c>
      <c r="H4" s="33">
        <f t="shared" si="3"/>
        <v>0</v>
      </c>
      <c r="N4" s="33">
        <f t="shared" si="0"/>
        <v>0</v>
      </c>
      <c r="T4" s="33">
        <f t="shared" si="1"/>
        <v>0</v>
      </c>
      <c r="Z4" s="33">
        <f t="shared" si="4"/>
        <v>0</v>
      </c>
      <c r="AF4" s="33">
        <f t="shared" si="5"/>
        <v>0</v>
      </c>
      <c r="AL4" s="33">
        <f t="shared" si="6"/>
        <v>0</v>
      </c>
      <c r="AR4" s="33">
        <f t="shared" si="7"/>
        <v>0</v>
      </c>
      <c r="AX4" s="33">
        <f t="shared" si="8"/>
        <v>0</v>
      </c>
      <c r="BA4" s="33">
        <f t="shared" si="2"/>
        <v>0</v>
      </c>
    </row>
    <row r="5" spans="1:53" x14ac:dyDescent="0.25">
      <c r="A5" s="40" t="s">
        <v>16</v>
      </c>
      <c r="B5" s="42">
        <v>4</v>
      </c>
      <c r="H5" s="33">
        <f t="shared" si="3"/>
        <v>0</v>
      </c>
      <c r="L5" s="38"/>
      <c r="N5" s="33">
        <f t="shared" si="0"/>
        <v>0</v>
      </c>
      <c r="T5" s="33">
        <f t="shared" si="1"/>
        <v>0</v>
      </c>
      <c r="Z5" s="33">
        <f t="shared" si="4"/>
        <v>0</v>
      </c>
      <c r="AF5" s="33">
        <f t="shared" si="5"/>
        <v>0</v>
      </c>
      <c r="AL5" s="33">
        <f t="shared" si="6"/>
        <v>0</v>
      </c>
      <c r="AR5" s="33">
        <f t="shared" si="7"/>
        <v>0</v>
      </c>
      <c r="AX5" s="33">
        <f t="shared" si="8"/>
        <v>0</v>
      </c>
      <c r="BA5" s="33">
        <f t="shared" si="2"/>
        <v>0</v>
      </c>
    </row>
    <row r="6" spans="1:53" x14ac:dyDescent="0.25">
      <c r="A6" s="40" t="s">
        <v>1</v>
      </c>
      <c r="B6" s="42">
        <v>5</v>
      </c>
      <c r="H6" s="33">
        <f t="shared" si="3"/>
        <v>0</v>
      </c>
      <c r="L6" s="38"/>
      <c r="N6" s="33">
        <f t="shared" si="0"/>
        <v>0</v>
      </c>
      <c r="T6" s="33">
        <f t="shared" si="1"/>
        <v>0</v>
      </c>
      <c r="Z6" s="33">
        <f t="shared" si="4"/>
        <v>0</v>
      </c>
      <c r="AF6" s="33">
        <f t="shared" si="5"/>
        <v>0</v>
      </c>
      <c r="AL6" s="33">
        <f t="shared" si="6"/>
        <v>0</v>
      </c>
      <c r="AR6" s="33">
        <f t="shared" si="7"/>
        <v>0</v>
      </c>
      <c r="AX6" s="33">
        <f t="shared" si="8"/>
        <v>0</v>
      </c>
      <c r="BA6" s="33">
        <f t="shared" si="2"/>
        <v>0</v>
      </c>
    </row>
    <row r="7" spans="1:53" x14ac:dyDescent="0.25">
      <c r="A7" s="40" t="s">
        <v>2</v>
      </c>
      <c r="B7" s="43">
        <v>6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F7" s="33">
        <f t="shared" si="5"/>
        <v>0</v>
      </c>
      <c r="AL7" s="33">
        <f t="shared" si="6"/>
        <v>0</v>
      </c>
      <c r="AR7" s="33">
        <f t="shared" si="7"/>
        <v>0</v>
      </c>
      <c r="AX7" s="33">
        <f t="shared" si="8"/>
        <v>0</v>
      </c>
      <c r="BA7" s="33">
        <f t="shared" si="2"/>
        <v>0</v>
      </c>
    </row>
    <row r="8" spans="1:53" x14ac:dyDescent="0.25">
      <c r="A8" s="40" t="s">
        <v>3</v>
      </c>
      <c r="B8" s="42">
        <v>7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F8" s="33">
        <f t="shared" si="5"/>
        <v>0</v>
      </c>
      <c r="AL8" s="33">
        <f t="shared" si="6"/>
        <v>0</v>
      </c>
      <c r="AR8" s="33">
        <f t="shared" si="7"/>
        <v>0</v>
      </c>
      <c r="AX8" s="33">
        <f t="shared" si="8"/>
        <v>0</v>
      </c>
      <c r="BA8" s="33">
        <f t="shared" si="2"/>
        <v>0</v>
      </c>
    </row>
    <row r="9" spans="1:53" x14ac:dyDescent="0.25">
      <c r="A9" s="40" t="s">
        <v>13</v>
      </c>
      <c r="B9" s="42">
        <v>8</v>
      </c>
      <c r="H9" s="33">
        <f t="shared" si="3"/>
        <v>0</v>
      </c>
      <c r="N9" s="33">
        <f t="shared" si="0"/>
        <v>0</v>
      </c>
      <c r="T9" s="33">
        <f t="shared" si="1"/>
        <v>0</v>
      </c>
      <c r="Z9" s="33">
        <f t="shared" si="4"/>
        <v>0</v>
      </c>
      <c r="AF9" s="33">
        <f t="shared" si="5"/>
        <v>0</v>
      </c>
      <c r="AL9" s="33">
        <f t="shared" si="6"/>
        <v>0</v>
      </c>
      <c r="AR9" s="33">
        <f t="shared" si="7"/>
        <v>0</v>
      </c>
      <c r="AX9" s="33">
        <f t="shared" si="8"/>
        <v>0</v>
      </c>
      <c r="BA9" s="33">
        <f t="shared" si="2"/>
        <v>0</v>
      </c>
    </row>
    <row r="10" spans="1:53" x14ac:dyDescent="0.25">
      <c r="A10" s="39" t="s">
        <v>12</v>
      </c>
      <c r="B10" s="43">
        <v>9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F10" s="33">
        <f t="shared" si="5"/>
        <v>0</v>
      </c>
      <c r="AL10" s="33">
        <f t="shared" si="6"/>
        <v>0</v>
      </c>
      <c r="AR10" s="33">
        <f t="shared" si="7"/>
        <v>0</v>
      </c>
      <c r="AX10" s="33">
        <f t="shared" si="8"/>
        <v>0</v>
      </c>
      <c r="BA10" s="33">
        <f t="shared" si="2"/>
        <v>0</v>
      </c>
    </row>
    <row r="11" spans="1:53" x14ac:dyDescent="0.25">
      <c r="A11" s="40" t="s">
        <v>4</v>
      </c>
      <c r="B11" s="42">
        <v>10</v>
      </c>
      <c r="H11" s="33">
        <f t="shared" si="3"/>
        <v>0</v>
      </c>
      <c r="N11" s="33">
        <f t="shared" si="0"/>
        <v>0</v>
      </c>
      <c r="T11" s="33">
        <f t="shared" si="1"/>
        <v>0</v>
      </c>
      <c r="Z11" s="33">
        <f t="shared" si="4"/>
        <v>0</v>
      </c>
      <c r="AF11" s="33">
        <f t="shared" si="5"/>
        <v>0</v>
      </c>
      <c r="AL11" s="33">
        <f t="shared" si="6"/>
        <v>0</v>
      </c>
      <c r="AR11" s="33">
        <f t="shared" si="7"/>
        <v>0</v>
      </c>
      <c r="AX11" s="33">
        <f t="shared" si="8"/>
        <v>0</v>
      </c>
      <c r="BA11" s="33">
        <f t="shared" si="2"/>
        <v>0</v>
      </c>
    </row>
    <row r="12" spans="1:53" x14ac:dyDescent="0.25">
      <c r="A12" s="40" t="s">
        <v>5</v>
      </c>
      <c r="B12" s="42">
        <v>11</v>
      </c>
      <c r="H12" s="33">
        <f t="shared" si="3"/>
        <v>0</v>
      </c>
      <c r="N12" s="33">
        <f t="shared" si="0"/>
        <v>0</v>
      </c>
      <c r="T12" s="33">
        <f t="shared" si="1"/>
        <v>0</v>
      </c>
      <c r="Z12" s="33">
        <f t="shared" si="4"/>
        <v>0</v>
      </c>
      <c r="AF12" s="33">
        <f t="shared" si="5"/>
        <v>0</v>
      </c>
      <c r="AL12" s="33">
        <f t="shared" si="6"/>
        <v>0</v>
      </c>
      <c r="AR12" s="33">
        <f t="shared" si="7"/>
        <v>0</v>
      </c>
      <c r="AX12" s="33">
        <f t="shared" si="8"/>
        <v>0</v>
      </c>
      <c r="BA12" s="33">
        <f t="shared" si="2"/>
        <v>0</v>
      </c>
    </row>
    <row r="13" spans="1:53" x14ac:dyDescent="0.25">
      <c r="A13" s="39" t="s">
        <v>8</v>
      </c>
      <c r="B13" s="43">
        <v>12</v>
      </c>
      <c r="H13" s="33">
        <f t="shared" si="3"/>
        <v>0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F13" s="33">
        <f t="shared" si="5"/>
        <v>0</v>
      </c>
      <c r="AL13" s="33">
        <f t="shared" si="6"/>
        <v>0</v>
      </c>
      <c r="AR13" s="33">
        <f t="shared" si="7"/>
        <v>0</v>
      </c>
      <c r="AX13" s="33">
        <f t="shared" si="8"/>
        <v>0</v>
      </c>
      <c r="BA13" s="33">
        <f t="shared" si="2"/>
        <v>0</v>
      </c>
    </row>
    <row r="14" spans="1:53" x14ac:dyDescent="0.25">
      <c r="A14" s="40" t="s">
        <v>6</v>
      </c>
      <c r="B14" s="42">
        <v>13</v>
      </c>
      <c r="H14" s="33">
        <f t="shared" si="3"/>
        <v>0</v>
      </c>
      <c r="N14" s="33">
        <f t="shared" si="0"/>
        <v>0</v>
      </c>
      <c r="T14" s="33">
        <f t="shared" si="1"/>
        <v>0</v>
      </c>
      <c r="Z14" s="33">
        <f t="shared" si="4"/>
        <v>0</v>
      </c>
      <c r="AF14" s="33">
        <f t="shared" si="5"/>
        <v>0</v>
      </c>
      <c r="AL14" s="33">
        <f t="shared" si="6"/>
        <v>0</v>
      </c>
      <c r="AO14" s="1">
        <v>100</v>
      </c>
      <c r="AP14" s="1">
        <v>109</v>
      </c>
      <c r="AR14" s="33">
        <f t="shared" si="7"/>
        <v>209</v>
      </c>
      <c r="AX14" s="33">
        <f t="shared" si="8"/>
        <v>0</v>
      </c>
      <c r="BA14" s="33">
        <f t="shared" si="2"/>
        <v>0</v>
      </c>
    </row>
    <row r="15" spans="1:53" x14ac:dyDescent="0.25">
      <c r="A15" s="39" t="s">
        <v>7</v>
      </c>
      <c r="B15" s="42">
        <v>14</v>
      </c>
      <c r="E15" s="1">
        <v>100</v>
      </c>
      <c r="H15" s="33">
        <f t="shared" si="3"/>
        <v>100</v>
      </c>
      <c r="M15" s="1">
        <v>50</v>
      </c>
      <c r="N15" s="33">
        <f t="shared" si="0"/>
        <v>50</v>
      </c>
      <c r="P15" s="1">
        <v>185</v>
      </c>
      <c r="Q15" s="1">
        <v>83</v>
      </c>
      <c r="S15" s="1">
        <v>100</v>
      </c>
      <c r="T15" s="33">
        <f t="shared" si="1"/>
        <v>368</v>
      </c>
      <c r="U15" s="1">
        <v>50</v>
      </c>
      <c r="W15" s="1">
        <v>207</v>
      </c>
      <c r="X15" s="1">
        <v>108</v>
      </c>
      <c r="Z15" s="33">
        <f t="shared" si="4"/>
        <v>365</v>
      </c>
      <c r="AC15" s="1">
        <v>50</v>
      </c>
      <c r="AF15" s="33">
        <f t="shared" si="5"/>
        <v>50</v>
      </c>
      <c r="AI15" s="1">
        <v>70</v>
      </c>
      <c r="AJ15" s="1">
        <v>50</v>
      </c>
      <c r="AL15" s="33">
        <f t="shared" si="6"/>
        <v>120</v>
      </c>
      <c r="AM15" s="1">
        <v>15</v>
      </c>
      <c r="AN15" s="1">
        <v>25</v>
      </c>
      <c r="AO15" s="1">
        <v>10</v>
      </c>
      <c r="AR15" s="33">
        <f t="shared" si="7"/>
        <v>50</v>
      </c>
      <c r="AX15" s="33">
        <f t="shared" si="8"/>
        <v>0</v>
      </c>
      <c r="BA15" s="33">
        <f t="shared" si="2"/>
        <v>0</v>
      </c>
    </row>
    <row r="16" spans="1:53" x14ac:dyDescent="0.25">
      <c r="A16" s="2" t="s">
        <v>14</v>
      </c>
      <c r="B16" s="36">
        <v>15</v>
      </c>
      <c r="C16" s="1">
        <v>6</v>
      </c>
      <c r="D16" s="1">
        <v>5</v>
      </c>
      <c r="H16" s="33">
        <f t="shared" si="3"/>
        <v>11</v>
      </c>
      <c r="I16" s="1">
        <v>10</v>
      </c>
      <c r="J16" s="1">
        <v>15</v>
      </c>
      <c r="K16" s="1">
        <v>11</v>
      </c>
      <c r="L16" s="1">
        <v>14</v>
      </c>
      <c r="N16" s="33">
        <f t="shared" si="0"/>
        <v>50</v>
      </c>
      <c r="O16" s="1">
        <v>10</v>
      </c>
      <c r="P16" s="1">
        <v>11</v>
      </c>
      <c r="Q16" s="1">
        <v>9</v>
      </c>
      <c r="R16" s="1">
        <v>15</v>
      </c>
      <c r="S16" s="1">
        <v>5</v>
      </c>
      <c r="T16" s="33">
        <f t="shared" si="1"/>
        <v>50</v>
      </c>
      <c r="V16" s="1">
        <v>17</v>
      </c>
      <c r="Y16" s="1">
        <v>13</v>
      </c>
      <c r="Z16" s="33">
        <f t="shared" si="4"/>
        <v>30</v>
      </c>
      <c r="AA16" s="1">
        <v>5</v>
      </c>
      <c r="AB16" s="1">
        <v>10</v>
      </c>
      <c r="AC16" s="1">
        <v>5</v>
      </c>
      <c r="AF16" s="33">
        <f t="shared" si="5"/>
        <v>20</v>
      </c>
      <c r="AG16" s="1">
        <v>3</v>
      </c>
      <c r="AH16" s="1">
        <v>4</v>
      </c>
      <c r="AJ16" s="1">
        <v>5</v>
      </c>
      <c r="AK16" s="1">
        <v>10</v>
      </c>
      <c r="AL16" s="33">
        <f t="shared" si="6"/>
        <v>22</v>
      </c>
      <c r="AM16" s="1">
        <v>10</v>
      </c>
      <c r="AN16" s="1">
        <v>5</v>
      </c>
      <c r="AP16" s="1">
        <v>5</v>
      </c>
      <c r="AR16" s="33">
        <f t="shared" si="7"/>
        <v>20</v>
      </c>
      <c r="AX16" s="33">
        <f t="shared" si="8"/>
        <v>0</v>
      </c>
      <c r="BA16" s="33">
        <f t="shared" si="2"/>
        <v>0</v>
      </c>
    </row>
    <row r="17" spans="1:53" x14ac:dyDescent="0.25">
      <c r="A17" s="15" t="s">
        <v>39</v>
      </c>
      <c r="B17" s="37">
        <v>16</v>
      </c>
      <c r="F17" s="1">
        <v>28</v>
      </c>
      <c r="H17" s="33">
        <f>SUM(C17:G17)</f>
        <v>28</v>
      </c>
      <c r="N17" s="33">
        <f>SUM(I17:M17)</f>
        <v>0</v>
      </c>
      <c r="T17" s="33">
        <f t="shared" si="1"/>
        <v>0</v>
      </c>
      <c r="Z17" s="33">
        <f>SUM(U17:Y17)</f>
        <v>0</v>
      </c>
      <c r="AF17" s="33">
        <f>SUM(AA17:AE17)</f>
        <v>0</v>
      </c>
      <c r="AL17" s="33">
        <f>SUM(AG17:AK17)</f>
        <v>0</v>
      </c>
      <c r="AR17" s="33">
        <f>SUM(AM17:AQ17)</f>
        <v>0</v>
      </c>
      <c r="AX17" s="33">
        <f>SUM(AS17:AW17)</f>
        <v>0</v>
      </c>
      <c r="BA17" s="33">
        <f t="shared" si="2"/>
        <v>0</v>
      </c>
    </row>
    <row r="18" spans="1:53" ht="105" customHeight="1" x14ac:dyDescent="0.25">
      <c r="A18" s="1" t="s">
        <v>11</v>
      </c>
      <c r="C18" s="70" t="s">
        <v>50</v>
      </c>
      <c r="D18" s="70" t="s">
        <v>51</v>
      </c>
      <c r="E18" s="70" t="s">
        <v>54</v>
      </c>
      <c r="F18" s="70" t="s">
        <v>55</v>
      </c>
      <c r="G18" s="70" t="s">
        <v>56</v>
      </c>
      <c r="H18" s="18"/>
      <c r="I18" s="70" t="s">
        <v>59</v>
      </c>
      <c r="J18" s="70" t="s">
        <v>60</v>
      </c>
      <c r="K18" s="70" t="s">
        <v>61</v>
      </c>
      <c r="L18" s="70" t="s">
        <v>63</v>
      </c>
      <c r="M18" s="70" t="s">
        <v>62</v>
      </c>
      <c r="N18" s="18"/>
      <c r="O18" s="70" t="s">
        <v>69</v>
      </c>
      <c r="P18" s="70" t="s">
        <v>68</v>
      </c>
      <c r="Q18" s="70" t="s">
        <v>70</v>
      </c>
      <c r="R18" s="70" t="s">
        <v>71</v>
      </c>
      <c r="S18" s="70" t="s">
        <v>72</v>
      </c>
      <c r="T18" s="18"/>
      <c r="U18" s="70" t="s">
        <v>75</v>
      </c>
      <c r="V18" s="70" t="s">
        <v>77</v>
      </c>
      <c r="W18" s="70" t="s">
        <v>78</v>
      </c>
      <c r="X18" s="70" t="s">
        <v>79</v>
      </c>
      <c r="Y18" s="70" t="s">
        <v>80</v>
      </c>
      <c r="Z18" s="18"/>
      <c r="AA18" s="70" t="s">
        <v>85</v>
      </c>
      <c r="AB18" s="70" t="s">
        <v>86</v>
      </c>
      <c r="AC18" s="70" t="s">
        <v>90</v>
      </c>
      <c r="AD18" s="80" t="s">
        <v>91</v>
      </c>
      <c r="AE18" s="80" t="s">
        <v>92</v>
      </c>
      <c r="AF18" s="18"/>
      <c r="AG18" s="70" t="s">
        <v>97</v>
      </c>
      <c r="AH18" s="70" t="s">
        <v>98</v>
      </c>
      <c r="AI18" s="70" t="s">
        <v>99</v>
      </c>
      <c r="AJ18" s="70" t="s">
        <v>100</v>
      </c>
      <c r="AK18" s="70" t="s">
        <v>103</v>
      </c>
      <c r="AL18" s="18"/>
      <c r="AM18" s="70" t="s">
        <v>106</v>
      </c>
      <c r="AN18" s="70" t="s">
        <v>107</v>
      </c>
      <c r="AO18" s="70" t="s">
        <v>108</v>
      </c>
      <c r="AP18" s="70" t="s">
        <v>109</v>
      </c>
      <c r="AQ18" s="70"/>
      <c r="AR18" s="18"/>
      <c r="AS18" s="70"/>
      <c r="AT18" s="70"/>
      <c r="AU18" s="18"/>
      <c r="AV18" s="70"/>
      <c r="AW18" s="70"/>
      <c r="AX18" s="18"/>
      <c r="AY18" s="18"/>
      <c r="AZ18" s="18"/>
      <c r="BA18" s="18"/>
    </row>
    <row r="19" spans="1:53" x14ac:dyDescent="0.25">
      <c r="A19" s="1" t="s">
        <v>10</v>
      </c>
      <c r="Q19" s="4"/>
      <c r="V19" s="4"/>
      <c r="AA19" s="4"/>
      <c r="AB19" s="4"/>
      <c r="AC19" s="4"/>
      <c r="AD19" s="4"/>
      <c r="AE19" s="4"/>
      <c r="AS19" s="4"/>
      <c r="AT19" s="4"/>
      <c r="AU19" s="4"/>
    </row>
    <row r="20" spans="1:53" x14ac:dyDescent="0.25">
      <c r="Q20" s="4"/>
      <c r="V20" s="4"/>
    </row>
  </sheetData>
  <customSheetViews>
    <customSheetView guid="{E3841903-5B68-44FD-8F09-58E03D1025C5}" topLeftCell="A7">
      <pane xSplit="1" topLeftCell="AJ1" activePane="topRight" state="frozen"/>
      <selection pane="topRight" activeCell="AQ18" sqref="AQ18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B16" sqref="B16"/>
      <pageMargins left="0.511811024" right="0.511811024" top="0.78740157499999996" bottom="0.78740157499999996" header="0.31496062000000002" footer="0.31496062000000002"/>
    </customSheetView>
    <customSheetView guid="{552DFCCD-1786-4D75-8B10-27DD730384DD}">
      <pane xSplit="1" topLeftCell="H1" activePane="topRight" state="frozen"/>
      <selection pane="topRight" activeCell="M9" sqref="M9"/>
      <pageMargins left="0.511811024" right="0.511811024" top="0.78740157499999996" bottom="0.78740157499999996" header="0.31496062000000002" footer="0.31496062000000002"/>
    </customSheetView>
    <customSheetView guid="{B3CDE377-BA5D-4E06-91D9-3A48E1959BA5}">
      <pane xSplit="1" topLeftCell="B1" activePane="topRight" state="frozen"/>
      <selection pane="topRight" activeCell="C18" sqref="C18:G18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Z1" activePane="topRight" state="frozen"/>
      <selection pane="topRight" activeCell="AJ15" sqref="AJ15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 topLeftCell="C1">
      <selection activeCell="S18" sqref="S18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86039CF8-B158-4D70-9A6F-A10C29CBD68A}" topLeftCell="B1">
      <selection activeCell="Z18" sqref="Z18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AE1" activePane="topRight" state="frozen"/>
      <selection pane="topRight" activeCell="W18" sqref="W18"/>
      <pageMargins left="0.511811024" right="0.511811024" top="0.78740157499999996" bottom="0.78740157499999996" header="0.31496062000000002" footer="0.31496062000000002"/>
      <pageSetup paperSize="9" orientation="portrait" r:id="rId2"/>
      <autoFilter ref="A1:A20" xr:uid="{0784C27B-12E9-4F8C-9A53-F045FD1ED133}"/>
    </customSheetView>
  </customSheetView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A19"/>
  <sheetViews>
    <sheetView zoomScaleNormal="85" workbookViewId="0">
      <selection activeCell="A8" sqref="A8:XFD8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9.140625" style="1"/>
    <col min="8" max="8" width="14.85546875" style="1" customWidth="1"/>
    <col min="9" max="13" width="9.140625" style="1"/>
    <col min="14" max="14" width="14.140625" style="1" customWidth="1"/>
    <col min="15" max="19" width="9.140625" style="1"/>
    <col min="20" max="20" width="13.7109375" style="1" customWidth="1"/>
    <col min="21" max="25" width="9.140625" style="1"/>
    <col min="26" max="26" width="14.28515625" style="1" customWidth="1"/>
    <col min="27" max="31" width="9.140625" style="1"/>
    <col min="32" max="32" width="15.42578125" style="1" customWidth="1"/>
    <col min="33" max="37" width="9.140625" style="1"/>
    <col min="38" max="38" width="16" style="1" customWidth="1"/>
    <col min="39" max="39" width="10.28515625" style="1" customWidth="1"/>
    <col min="40" max="40" width="10.140625" style="1" customWidth="1"/>
    <col min="41" max="43" width="9.140625" style="1"/>
    <col min="44" max="44" width="14.28515625" style="1" customWidth="1"/>
    <col min="45" max="49" width="9.140625" style="1"/>
    <col min="50" max="50" width="13.85546875" style="1" customWidth="1"/>
    <col min="51" max="52" width="9.140625" style="1"/>
    <col min="53" max="53" width="14.28515625" style="1" customWidth="1"/>
    <col min="54" max="16384" width="9.140625" style="1"/>
  </cols>
  <sheetData>
    <row r="1" spans="1:53" x14ac:dyDescent="0.25">
      <c r="A1" s="14" t="s">
        <v>9</v>
      </c>
      <c r="B1" s="41"/>
      <c r="C1" s="32">
        <v>46146</v>
      </c>
      <c r="D1" s="32">
        <v>46147</v>
      </c>
      <c r="E1" s="32">
        <v>46148</v>
      </c>
      <c r="F1" s="32">
        <v>46149</v>
      </c>
      <c r="G1" s="32">
        <v>46150</v>
      </c>
      <c r="H1" s="10" t="s">
        <v>15</v>
      </c>
      <c r="I1" s="32">
        <v>46153</v>
      </c>
      <c r="J1" s="32">
        <v>46154</v>
      </c>
      <c r="K1" s="32">
        <v>46155</v>
      </c>
      <c r="L1" s="32">
        <v>46156</v>
      </c>
      <c r="M1" s="32">
        <v>46157</v>
      </c>
      <c r="N1" s="10" t="s">
        <v>15</v>
      </c>
      <c r="O1" s="19">
        <v>46160</v>
      </c>
      <c r="P1" s="19">
        <v>46161</v>
      </c>
      <c r="Q1" s="19">
        <v>46162</v>
      </c>
      <c r="R1" s="19">
        <v>46163</v>
      </c>
      <c r="S1" s="19">
        <v>46164</v>
      </c>
      <c r="T1" s="10" t="s">
        <v>15</v>
      </c>
      <c r="U1" s="32">
        <v>46167</v>
      </c>
      <c r="V1" s="32">
        <v>46168</v>
      </c>
      <c r="W1" s="32">
        <v>46169</v>
      </c>
      <c r="X1" s="32">
        <v>46170</v>
      </c>
      <c r="Y1" s="32">
        <v>46171</v>
      </c>
      <c r="Z1" s="10" t="s">
        <v>15</v>
      </c>
      <c r="AA1" s="32">
        <v>46174</v>
      </c>
      <c r="AB1" s="32">
        <v>46175</v>
      </c>
      <c r="AC1" s="32">
        <v>46176</v>
      </c>
      <c r="AD1" s="32">
        <v>46177</v>
      </c>
      <c r="AE1" s="32">
        <v>46178</v>
      </c>
      <c r="AF1" s="10" t="s">
        <v>15</v>
      </c>
      <c r="AG1" s="32">
        <v>46181</v>
      </c>
      <c r="AH1" s="32">
        <v>46182</v>
      </c>
      <c r="AI1" s="32">
        <v>46183</v>
      </c>
      <c r="AJ1" s="32">
        <v>46184</v>
      </c>
      <c r="AK1" s="32">
        <v>46185</v>
      </c>
      <c r="AL1" s="10" t="s">
        <v>15</v>
      </c>
      <c r="AM1" s="32">
        <v>46188</v>
      </c>
      <c r="AN1" s="32">
        <v>46189</v>
      </c>
      <c r="AO1" s="32">
        <v>46190</v>
      </c>
      <c r="AP1" s="32">
        <v>46191</v>
      </c>
      <c r="AQ1" s="32">
        <v>46192</v>
      </c>
      <c r="AR1" s="10" t="s">
        <v>15</v>
      </c>
      <c r="AS1" s="19">
        <v>46195</v>
      </c>
      <c r="AT1" s="19">
        <v>46196</v>
      </c>
      <c r="AU1" s="19">
        <v>46197</v>
      </c>
      <c r="AV1" s="19">
        <v>46198</v>
      </c>
      <c r="AW1" s="19">
        <v>46199</v>
      </c>
      <c r="AX1" s="10" t="s">
        <v>15</v>
      </c>
      <c r="AY1" s="67">
        <v>46202</v>
      </c>
      <c r="AZ1" s="67">
        <v>46203</v>
      </c>
      <c r="BA1" s="10" t="s">
        <v>15</v>
      </c>
    </row>
    <row r="2" spans="1:53" x14ac:dyDescent="0.25">
      <c r="A2" s="39" t="s">
        <v>18</v>
      </c>
      <c r="B2" s="42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D2" s="38" t="s">
        <v>96</v>
      </c>
      <c r="AE2" s="38" t="s">
        <v>91</v>
      </c>
      <c r="AF2" s="33">
        <f>SUM(AA2:AE2)</f>
        <v>0</v>
      </c>
      <c r="AL2" s="33">
        <f>SUM(AG2:AK2)</f>
        <v>0</v>
      </c>
      <c r="AR2" s="33">
        <f>SUM(AM2:AQ2)</f>
        <v>0</v>
      </c>
      <c r="AS2" s="55"/>
      <c r="AX2" s="33">
        <f>SUM(AS2:AW2)</f>
        <v>0</v>
      </c>
      <c r="BA2" s="33">
        <f t="shared" ref="BA2:BA17" si="2">SUM(AY2:AZ2)</f>
        <v>0</v>
      </c>
    </row>
    <row r="3" spans="1:53" x14ac:dyDescent="0.25">
      <c r="A3" s="39" t="s">
        <v>0</v>
      </c>
      <c r="B3" s="42">
        <v>2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D3" s="38" t="s">
        <v>96</v>
      </c>
      <c r="AE3" s="38" t="s">
        <v>91</v>
      </c>
      <c r="AF3" s="33">
        <f t="shared" ref="AF3:AF16" si="5">SUM(AA3:AE3)</f>
        <v>0</v>
      </c>
      <c r="AL3" s="33">
        <f t="shared" ref="AL3:AL16" si="6">SUM(AG3:AK3)</f>
        <v>0</v>
      </c>
      <c r="AR3" s="33">
        <f t="shared" ref="AR3:AR16" si="7">SUM(AM3:AQ3)</f>
        <v>0</v>
      </c>
      <c r="AX3" s="33">
        <f t="shared" ref="AX3:AX16" si="8">SUM(AS3:AW3)</f>
        <v>0</v>
      </c>
      <c r="BA3" s="33">
        <f t="shared" si="2"/>
        <v>0</v>
      </c>
    </row>
    <row r="4" spans="1:53" x14ac:dyDescent="0.25">
      <c r="A4" s="40" t="s">
        <v>17</v>
      </c>
      <c r="B4" s="43">
        <v>3</v>
      </c>
      <c r="H4" s="33">
        <f t="shared" si="3"/>
        <v>0</v>
      </c>
      <c r="N4" s="33">
        <f t="shared" si="0"/>
        <v>0</v>
      </c>
      <c r="T4" s="33">
        <f t="shared" si="1"/>
        <v>0</v>
      </c>
      <c r="Z4" s="33">
        <f t="shared" si="4"/>
        <v>0</v>
      </c>
      <c r="AD4" s="38" t="s">
        <v>96</v>
      </c>
      <c r="AE4" s="38" t="s">
        <v>91</v>
      </c>
      <c r="AF4" s="33">
        <f t="shared" si="5"/>
        <v>0</v>
      </c>
      <c r="AL4" s="33">
        <f t="shared" si="6"/>
        <v>0</v>
      </c>
      <c r="AR4" s="33">
        <f t="shared" si="7"/>
        <v>0</v>
      </c>
      <c r="AX4" s="33">
        <f t="shared" si="8"/>
        <v>0</v>
      </c>
      <c r="BA4" s="33">
        <f t="shared" si="2"/>
        <v>0</v>
      </c>
    </row>
    <row r="5" spans="1:53" x14ac:dyDescent="0.25">
      <c r="A5" s="40" t="s">
        <v>16</v>
      </c>
      <c r="B5" s="42">
        <v>4</v>
      </c>
      <c r="H5" s="33">
        <f t="shared" si="3"/>
        <v>0</v>
      </c>
      <c r="L5" s="38"/>
      <c r="N5" s="33">
        <f t="shared" si="0"/>
        <v>0</v>
      </c>
      <c r="T5" s="33">
        <f t="shared" si="1"/>
        <v>0</v>
      </c>
      <c r="Z5" s="33">
        <f t="shared" si="4"/>
        <v>0</v>
      </c>
      <c r="AD5" s="38" t="s">
        <v>96</v>
      </c>
      <c r="AE5" s="38" t="s">
        <v>91</v>
      </c>
      <c r="AF5" s="33">
        <f t="shared" si="5"/>
        <v>0</v>
      </c>
      <c r="AL5" s="33">
        <f t="shared" si="6"/>
        <v>0</v>
      </c>
      <c r="AR5" s="33">
        <f t="shared" si="7"/>
        <v>0</v>
      </c>
      <c r="AX5" s="33">
        <f t="shared" si="8"/>
        <v>0</v>
      </c>
      <c r="BA5" s="33">
        <f t="shared" si="2"/>
        <v>0</v>
      </c>
    </row>
    <row r="6" spans="1:53" x14ac:dyDescent="0.25">
      <c r="A6" s="40" t="s">
        <v>1</v>
      </c>
      <c r="B6" s="42">
        <v>5</v>
      </c>
      <c r="H6" s="33">
        <f t="shared" si="3"/>
        <v>0</v>
      </c>
      <c r="L6" s="38"/>
      <c r="N6" s="33">
        <f t="shared" si="0"/>
        <v>0</v>
      </c>
      <c r="T6" s="33">
        <f t="shared" si="1"/>
        <v>0</v>
      </c>
      <c r="Z6" s="33">
        <f t="shared" si="4"/>
        <v>0</v>
      </c>
      <c r="AD6" s="38" t="s">
        <v>96</v>
      </c>
      <c r="AE6" s="38" t="s">
        <v>91</v>
      </c>
      <c r="AF6" s="33">
        <f t="shared" si="5"/>
        <v>0</v>
      </c>
      <c r="AL6" s="33">
        <f t="shared" si="6"/>
        <v>0</v>
      </c>
      <c r="AR6" s="33">
        <f t="shared" si="7"/>
        <v>0</v>
      </c>
      <c r="AX6" s="33">
        <f t="shared" si="8"/>
        <v>0</v>
      </c>
      <c r="BA6" s="33">
        <f t="shared" si="2"/>
        <v>0</v>
      </c>
    </row>
    <row r="7" spans="1:53" x14ac:dyDescent="0.25">
      <c r="A7" s="40" t="s">
        <v>2</v>
      </c>
      <c r="B7" s="43">
        <v>6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D7" s="38" t="s">
        <v>96</v>
      </c>
      <c r="AE7" s="38" t="s">
        <v>91</v>
      </c>
      <c r="AF7" s="33">
        <f t="shared" si="5"/>
        <v>0</v>
      </c>
      <c r="AL7" s="33">
        <f t="shared" si="6"/>
        <v>0</v>
      </c>
      <c r="AR7" s="33">
        <f t="shared" si="7"/>
        <v>0</v>
      </c>
      <c r="AX7" s="33">
        <f t="shared" si="8"/>
        <v>0</v>
      </c>
      <c r="BA7" s="33">
        <f t="shared" si="2"/>
        <v>0</v>
      </c>
    </row>
    <row r="8" spans="1:53" x14ac:dyDescent="0.25">
      <c r="A8" s="40" t="s">
        <v>3</v>
      </c>
      <c r="B8" s="42">
        <v>7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D8" s="38" t="s">
        <v>96</v>
      </c>
      <c r="AE8" s="38" t="s">
        <v>91</v>
      </c>
      <c r="AF8" s="33">
        <f t="shared" si="5"/>
        <v>0</v>
      </c>
      <c r="AL8" s="33">
        <f t="shared" si="6"/>
        <v>0</v>
      </c>
      <c r="AR8" s="33">
        <f t="shared" si="7"/>
        <v>0</v>
      </c>
      <c r="AX8" s="33">
        <f t="shared" si="8"/>
        <v>0</v>
      </c>
      <c r="BA8" s="33">
        <f t="shared" si="2"/>
        <v>0</v>
      </c>
    </row>
    <row r="9" spans="1:53" x14ac:dyDescent="0.25">
      <c r="A9" s="40" t="s">
        <v>13</v>
      </c>
      <c r="B9" s="42">
        <v>8</v>
      </c>
      <c r="H9" s="33">
        <f t="shared" si="3"/>
        <v>0</v>
      </c>
      <c r="N9" s="33">
        <f t="shared" si="0"/>
        <v>0</v>
      </c>
      <c r="T9" s="33">
        <f t="shared" si="1"/>
        <v>0</v>
      </c>
      <c r="Z9" s="33">
        <f t="shared" si="4"/>
        <v>0</v>
      </c>
      <c r="AD9" s="38" t="s">
        <v>96</v>
      </c>
      <c r="AE9" s="38" t="s">
        <v>91</v>
      </c>
      <c r="AF9" s="33">
        <f t="shared" si="5"/>
        <v>0</v>
      </c>
      <c r="AL9" s="33">
        <f t="shared" si="6"/>
        <v>0</v>
      </c>
      <c r="AR9" s="33">
        <f t="shared" si="7"/>
        <v>0</v>
      </c>
      <c r="AX9" s="33">
        <f t="shared" si="8"/>
        <v>0</v>
      </c>
      <c r="BA9" s="33">
        <f t="shared" si="2"/>
        <v>0</v>
      </c>
    </row>
    <row r="10" spans="1:53" x14ac:dyDescent="0.25">
      <c r="A10" s="39" t="s">
        <v>12</v>
      </c>
      <c r="B10" s="43">
        <v>9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D10" s="38" t="s">
        <v>96</v>
      </c>
      <c r="AE10" s="38" t="s">
        <v>91</v>
      </c>
      <c r="AF10" s="33">
        <f t="shared" si="5"/>
        <v>0</v>
      </c>
      <c r="AL10" s="33">
        <f t="shared" si="6"/>
        <v>0</v>
      </c>
      <c r="AR10" s="33">
        <f t="shared" si="7"/>
        <v>0</v>
      </c>
      <c r="AX10" s="33">
        <f t="shared" si="8"/>
        <v>0</v>
      </c>
      <c r="BA10" s="33">
        <f t="shared" si="2"/>
        <v>0</v>
      </c>
    </row>
    <row r="11" spans="1:53" x14ac:dyDescent="0.25">
      <c r="A11" s="40" t="s">
        <v>4</v>
      </c>
      <c r="B11" s="42">
        <v>10</v>
      </c>
      <c r="C11" s="1">
        <v>3</v>
      </c>
      <c r="D11" s="1">
        <v>4</v>
      </c>
      <c r="E11" s="1">
        <v>5</v>
      </c>
      <c r="F11" s="1">
        <v>6</v>
      </c>
      <c r="G11" s="1">
        <v>2</v>
      </c>
      <c r="H11" s="33">
        <f t="shared" si="3"/>
        <v>20</v>
      </c>
      <c r="I11" s="1">
        <v>5</v>
      </c>
      <c r="J11" s="1">
        <v>4</v>
      </c>
      <c r="K11" s="1">
        <v>6</v>
      </c>
      <c r="L11" s="1">
        <v>3</v>
      </c>
      <c r="M11" s="1">
        <v>5</v>
      </c>
      <c r="N11" s="33">
        <f t="shared" si="0"/>
        <v>23</v>
      </c>
      <c r="O11" s="1">
        <v>6</v>
      </c>
      <c r="P11" s="1">
        <v>8</v>
      </c>
      <c r="Q11" s="1">
        <v>7</v>
      </c>
      <c r="R11" s="1">
        <v>7</v>
      </c>
      <c r="S11" s="1">
        <v>3</v>
      </c>
      <c r="T11" s="33">
        <f t="shared" si="1"/>
        <v>31</v>
      </c>
      <c r="U11" s="1">
        <v>7</v>
      </c>
      <c r="V11" s="1">
        <v>9</v>
      </c>
      <c r="W11" s="1">
        <v>6</v>
      </c>
      <c r="X11" s="1">
        <v>4</v>
      </c>
      <c r="Y11" s="1">
        <v>2</v>
      </c>
      <c r="Z11" s="33">
        <f t="shared" si="4"/>
        <v>28</v>
      </c>
      <c r="AA11" s="1">
        <v>5</v>
      </c>
      <c r="AB11" s="1">
        <v>4</v>
      </c>
      <c r="AC11" s="1">
        <v>5</v>
      </c>
      <c r="AD11" s="38" t="s">
        <v>96</v>
      </c>
      <c r="AE11" s="38" t="s">
        <v>91</v>
      </c>
      <c r="AF11" s="33">
        <f t="shared" si="5"/>
        <v>14</v>
      </c>
      <c r="AG11" s="1">
        <v>4</v>
      </c>
      <c r="AH11" s="1">
        <v>7</v>
      </c>
      <c r="AI11" s="1">
        <v>6</v>
      </c>
      <c r="AJ11" s="1">
        <v>6</v>
      </c>
      <c r="AK11" s="1">
        <v>2</v>
      </c>
      <c r="AL11" s="33">
        <f t="shared" si="6"/>
        <v>25</v>
      </c>
      <c r="AR11" s="33">
        <f t="shared" si="7"/>
        <v>0</v>
      </c>
      <c r="AX11" s="33">
        <f t="shared" si="8"/>
        <v>0</v>
      </c>
      <c r="BA11" s="33">
        <f t="shared" si="2"/>
        <v>0</v>
      </c>
    </row>
    <row r="12" spans="1:53" x14ac:dyDescent="0.25">
      <c r="A12" s="40" t="s">
        <v>5</v>
      </c>
      <c r="B12" s="42">
        <v>11</v>
      </c>
      <c r="C12" s="1">
        <v>30</v>
      </c>
      <c r="D12" s="1">
        <v>29</v>
      </c>
      <c r="E12" s="1">
        <v>26</v>
      </c>
      <c r="F12" s="1">
        <v>31</v>
      </c>
      <c r="G12" s="1">
        <v>14</v>
      </c>
      <c r="H12" s="33">
        <f t="shared" si="3"/>
        <v>130</v>
      </c>
      <c r="I12" s="1">
        <v>29</v>
      </c>
      <c r="J12" s="1">
        <v>26</v>
      </c>
      <c r="K12" s="1">
        <v>35</v>
      </c>
      <c r="L12" s="1">
        <v>30</v>
      </c>
      <c r="M12" s="1">
        <v>32</v>
      </c>
      <c r="N12" s="33">
        <f t="shared" si="0"/>
        <v>152</v>
      </c>
      <c r="O12" s="1">
        <v>37</v>
      </c>
      <c r="P12" s="1">
        <v>37</v>
      </c>
      <c r="Q12" s="1">
        <v>36</v>
      </c>
      <c r="R12" s="1">
        <v>41</v>
      </c>
      <c r="S12" s="1">
        <v>13</v>
      </c>
      <c r="T12" s="33">
        <f t="shared" si="1"/>
        <v>164</v>
      </c>
      <c r="U12" s="1">
        <v>31</v>
      </c>
      <c r="V12" s="1">
        <v>44</v>
      </c>
      <c r="W12" s="1">
        <v>34</v>
      </c>
      <c r="X12" s="1">
        <v>35</v>
      </c>
      <c r="Y12" s="1">
        <v>14</v>
      </c>
      <c r="Z12" s="33">
        <f t="shared" si="4"/>
        <v>158</v>
      </c>
      <c r="AA12" s="1">
        <v>43</v>
      </c>
      <c r="AB12" s="1">
        <v>32</v>
      </c>
      <c r="AC12" s="1">
        <v>41</v>
      </c>
      <c r="AD12" s="38" t="s">
        <v>96</v>
      </c>
      <c r="AE12" s="38" t="s">
        <v>91</v>
      </c>
      <c r="AF12" s="33">
        <f t="shared" si="5"/>
        <v>116</v>
      </c>
      <c r="AG12" s="1">
        <v>27</v>
      </c>
      <c r="AH12" s="1">
        <v>46</v>
      </c>
      <c r="AI12" s="1">
        <v>39</v>
      </c>
      <c r="AJ12" s="1">
        <v>31</v>
      </c>
      <c r="AK12" s="1">
        <v>15</v>
      </c>
      <c r="AL12" s="33">
        <f t="shared" si="6"/>
        <v>158</v>
      </c>
      <c r="AR12" s="33">
        <f t="shared" si="7"/>
        <v>0</v>
      </c>
      <c r="AX12" s="33">
        <f t="shared" si="8"/>
        <v>0</v>
      </c>
      <c r="BA12" s="33">
        <f t="shared" si="2"/>
        <v>0</v>
      </c>
    </row>
    <row r="13" spans="1:53" ht="18.75" customHeight="1" x14ac:dyDescent="0.25">
      <c r="A13" s="39" t="s">
        <v>8</v>
      </c>
      <c r="B13" s="43">
        <v>12</v>
      </c>
      <c r="H13" s="33">
        <f t="shared" si="3"/>
        <v>0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D13" s="38" t="s">
        <v>96</v>
      </c>
      <c r="AE13" s="38" t="s">
        <v>91</v>
      </c>
      <c r="AF13" s="33">
        <f t="shared" si="5"/>
        <v>0</v>
      </c>
      <c r="AL13" s="33">
        <f t="shared" si="6"/>
        <v>0</v>
      </c>
      <c r="AR13" s="33">
        <f t="shared" si="7"/>
        <v>0</v>
      </c>
      <c r="AX13" s="33">
        <f t="shared" si="8"/>
        <v>0</v>
      </c>
      <c r="BA13" s="33">
        <f t="shared" si="2"/>
        <v>0</v>
      </c>
    </row>
    <row r="14" spans="1:53" x14ac:dyDescent="0.25">
      <c r="A14" s="40" t="s">
        <v>6</v>
      </c>
      <c r="B14" s="42">
        <v>13</v>
      </c>
      <c r="H14" s="33">
        <f t="shared" si="3"/>
        <v>0</v>
      </c>
      <c r="N14" s="33">
        <f t="shared" si="0"/>
        <v>0</v>
      </c>
      <c r="T14" s="33">
        <f t="shared" si="1"/>
        <v>0</v>
      </c>
      <c r="Z14" s="33">
        <f t="shared" si="4"/>
        <v>0</v>
      </c>
      <c r="AD14" s="38" t="s">
        <v>96</v>
      </c>
      <c r="AE14" s="38" t="s">
        <v>91</v>
      </c>
      <c r="AF14" s="33">
        <f t="shared" si="5"/>
        <v>0</v>
      </c>
      <c r="AL14" s="33">
        <f t="shared" si="6"/>
        <v>0</v>
      </c>
      <c r="AR14" s="33">
        <f t="shared" si="7"/>
        <v>0</v>
      </c>
      <c r="AX14" s="33">
        <f t="shared" si="8"/>
        <v>0</v>
      </c>
      <c r="BA14" s="33">
        <f t="shared" si="2"/>
        <v>0</v>
      </c>
    </row>
    <row r="15" spans="1:53" x14ac:dyDescent="0.25">
      <c r="A15" s="39" t="s">
        <v>7</v>
      </c>
      <c r="B15" s="42">
        <v>14</v>
      </c>
      <c r="H15" s="33">
        <f t="shared" si="3"/>
        <v>0</v>
      </c>
      <c r="N15" s="33">
        <f t="shared" si="0"/>
        <v>0</v>
      </c>
      <c r="T15" s="33">
        <f t="shared" si="1"/>
        <v>0</v>
      </c>
      <c r="Z15" s="33">
        <f t="shared" si="4"/>
        <v>0</v>
      </c>
      <c r="AD15" s="38" t="s">
        <v>96</v>
      </c>
      <c r="AE15" s="38" t="s">
        <v>91</v>
      </c>
      <c r="AF15" s="33">
        <f t="shared" si="5"/>
        <v>0</v>
      </c>
      <c r="AL15" s="33">
        <f t="shared" si="6"/>
        <v>0</v>
      </c>
      <c r="AR15" s="33">
        <f t="shared" si="7"/>
        <v>0</v>
      </c>
      <c r="AX15" s="33">
        <f t="shared" si="8"/>
        <v>0</v>
      </c>
      <c r="BA15" s="33">
        <f t="shared" si="2"/>
        <v>0</v>
      </c>
    </row>
    <row r="16" spans="1:53" x14ac:dyDescent="0.25">
      <c r="A16" s="39" t="s">
        <v>14</v>
      </c>
      <c r="B16" s="36">
        <v>15</v>
      </c>
      <c r="H16" s="33">
        <f t="shared" si="3"/>
        <v>0</v>
      </c>
      <c r="N16" s="33">
        <f t="shared" si="0"/>
        <v>0</v>
      </c>
      <c r="T16" s="33">
        <f t="shared" si="1"/>
        <v>0</v>
      </c>
      <c r="Z16" s="33">
        <f t="shared" si="4"/>
        <v>0</v>
      </c>
      <c r="AD16" s="38" t="s">
        <v>96</v>
      </c>
      <c r="AE16" s="38" t="s">
        <v>91</v>
      </c>
      <c r="AF16" s="33">
        <f t="shared" si="5"/>
        <v>0</v>
      </c>
      <c r="AL16" s="33">
        <f t="shared" si="6"/>
        <v>0</v>
      </c>
      <c r="AR16" s="33">
        <f t="shared" si="7"/>
        <v>0</v>
      </c>
      <c r="AX16" s="33">
        <f t="shared" si="8"/>
        <v>0</v>
      </c>
      <c r="BA16" s="33">
        <f t="shared" si="2"/>
        <v>0</v>
      </c>
    </row>
    <row r="17" spans="1:53" x14ac:dyDescent="0.25">
      <c r="A17" s="15" t="s">
        <v>39</v>
      </c>
      <c r="B17" s="37">
        <v>16</v>
      </c>
      <c r="C17" s="13"/>
      <c r="D17" s="13"/>
      <c r="E17" s="13"/>
      <c r="F17" s="13"/>
      <c r="G17" s="13"/>
      <c r="H17" s="34">
        <f>SUM(C17:G17)</f>
        <v>0</v>
      </c>
      <c r="I17" s="13"/>
      <c r="J17" s="13"/>
      <c r="K17" s="13"/>
      <c r="L17" s="13"/>
      <c r="M17" s="13"/>
      <c r="N17" s="34">
        <f>SUM(I17:M17)</f>
        <v>0</v>
      </c>
      <c r="O17" s="13"/>
      <c r="P17" s="13"/>
      <c r="Q17" s="13"/>
      <c r="R17" s="13"/>
      <c r="S17" s="13"/>
      <c r="T17" s="34">
        <f t="shared" si="1"/>
        <v>0</v>
      </c>
      <c r="U17" s="13"/>
      <c r="V17" s="13"/>
      <c r="W17" s="13"/>
      <c r="X17" s="13"/>
      <c r="Y17" s="13"/>
      <c r="Z17" s="34">
        <f>SUM(U17:Y17)</f>
        <v>0</v>
      </c>
      <c r="AA17" s="13"/>
      <c r="AB17" s="13"/>
      <c r="AC17" s="13"/>
      <c r="AD17" s="82" t="s">
        <v>96</v>
      </c>
      <c r="AE17" s="82" t="s">
        <v>91</v>
      </c>
      <c r="AF17" s="34">
        <f>SUM(AA17:AE17)</f>
        <v>0</v>
      </c>
      <c r="AG17" s="13"/>
      <c r="AH17" s="13"/>
      <c r="AI17" s="13"/>
      <c r="AJ17" s="13"/>
      <c r="AK17" s="13"/>
      <c r="AL17" s="34">
        <f>SUM(AG17:AK17)</f>
        <v>0</v>
      </c>
      <c r="AM17" s="13"/>
      <c r="AN17" s="13"/>
      <c r="AO17" s="13"/>
      <c r="AP17" s="13"/>
      <c r="AQ17" s="13"/>
      <c r="AR17" s="34">
        <f>SUM(AM17:AQ17)</f>
        <v>0</v>
      </c>
      <c r="AS17" s="13"/>
      <c r="AT17" s="13"/>
      <c r="AU17" s="13"/>
      <c r="AV17" s="13"/>
      <c r="AW17" s="13"/>
      <c r="AX17" s="34">
        <f>SUM(AS17:AW17)</f>
        <v>0</v>
      </c>
      <c r="AY17" s="13"/>
      <c r="AZ17" s="13"/>
      <c r="BA17" s="34">
        <f t="shared" si="2"/>
        <v>0</v>
      </c>
    </row>
    <row r="18" spans="1:53" x14ac:dyDescent="0.25">
      <c r="A18" s="1" t="s">
        <v>11</v>
      </c>
    </row>
    <row r="19" spans="1:53" x14ac:dyDescent="0.25">
      <c r="A19" s="1" t="s">
        <v>10</v>
      </c>
    </row>
  </sheetData>
  <customSheetViews>
    <customSheetView guid="{E3841903-5B68-44FD-8F09-58E03D1025C5}">
      <selection activeCell="A8" sqref="A8:XFD8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B1" sqref="B1"/>
      <pageMargins left="0.511811024" right="0.511811024" top="0.78740157499999996" bottom="0.78740157499999996" header="0.31496062000000002" footer="0.31496062000000002"/>
    </customSheetView>
    <customSheetView guid="{C69767F5-CD39-44C1-AD4B-CE19DC8285A6}">
      <pane xSplit="1" topLeftCell="U1" activePane="topRight" state="frozen"/>
      <selection pane="topRight" activeCell="AE10" sqref="AE10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C8" sqref="C8"/>
      <pageMargins left="0.511811024" right="0.511811024" top="0.78740157499999996" bottom="0.78740157499999996" header="0.31496062000000002" footer="0.31496062000000002"/>
    </customSheetView>
    <customSheetView guid="{B3CDE377-BA5D-4E06-91D9-3A48E1959BA5}">
      <pane xSplit="1" topLeftCell="AJ1" activePane="topRight" state="frozen"/>
      <selection pane="topRight" activeCell="A16" sqref="A16:XFD16"/>
      <pageMargins left="0.511811024" right="0.511811024" top="0.78740157499999996" bottom="0.78740157499999996" header="0.31496062000000002" footer="0.31496062000000002"/>
    </customSheetView>
    <customSheetView guid="{3D987F8E-A6EA-454D-9537-6BFC5053CB00}" scale="85">
      <pane xSplit="1" topLeftCell="W1" activePane="topRight" state="frozen"/>
      <selection pane="topRight" activeCell="AI13" sqref="AI13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>
      <selection activeCell="L10" sqref="L10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86039CF8-B158-4D70-9A6F-A10C29CBD68A}" topLeftCell="AK1">
      <selection activeCell="C1" sqref="C1:AZ17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H1" activePane="topRight" state="frozen"/>
      <selection pane="topRight" activeCell="A11" sqref="A11"/>
      <pageMargins left="0.511811024" right="0.511811024" top="0.78740157499999996" bottom="0.78740157499999996" header="0.31496062000000002" footer="0.31496062000000002"/>
      <autoFilter ref="A1:A19" xr:uid="{E4554485-F0F2-4A25-B9D7-D0CD4A15DD98}"/>
    </customSheetView>
  </customSheetView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L1:L15"/>
  <sheetViews>
    <sheetView workbookViewId="0">
      <selection activeCell="L15" sqref="L15"/>
    </sheetView>
  </sheetViews>
  <sheetFormatPr defaultRowHeight="15" x14ac:dyDescent="0.25"/>
  <sheetData>
    <row r="1" spans="12:12" x14ac:dyDescent="0.25">
      <c r="L1" s="20"/>
    </row>
    <row r="2" spans="12:12" x14ac:dyDescent="0.25">
      <c r="L2" s="20"/>
    </row>
    <row r="3" spans="12:12" x14ac:dyDescent="0.25">
      <c r="L3" s="20"/>
    </row>
    <row r="4" spans="12:12" x14ac:dyDescent="0.25">
      <c r="L4" s="20"/>
    </row>
    <row r="5" spans="12:12" x14ac:dyDescent="0.25">
      <c r="L5" s="20"/>
    </row>
    <row r="6" spans="12:12" x14ac:dyDescent="0.25">
      <c r="L6" s="20"/>
    </row>
    <row r="7" spans="12:12" x14ac:dyDescent="0.25">
      <c r="L7" s="20"/>
    </row>
    <row r="8" spans="12:12" x14ac:dyDescent="0.25">
      <c r="L8" s="20"/>
    </row>
    <row r="9" spans="12:12" x14ac:dyDescent="0.25">
      <c r="L9" s="20"/>
    </row>
    <row r="10" spans="12:12" x14ac:dyDescent="0.25">
      <c r="L10" s="20"/>
    </row>
    <row r="11" spans="12:12" x14ac:dyDescent="0.25">
      <c r="L11" s="20"/>
    </row>
    <row r="12" spans="12:12" x14ac:dyDescent="0.25">
      <c r="L12" s="20"/>
    </row>
    <row r="13" spans="12:12" x14ac:dyDescent="0.25">
      <c r="L13" s="20"/>
    </row>
    <row r="14" spans="12:12" x14ac:dyDescent="0.25">
      <c r="L14" s="20"/>
    </row>
    <row r="15" spans="12:12" x14ac:dyDescent="0.25">
      <c r="L15" s="20"/>
    </row>
  </sheetData>
  <customSheetViews>
    <customSheetView guid="{E3841903-5B68-44FD-8F09-58E03D1025C5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18A482E0-C8B6-4AA1-9E04-15FA7C9CD5E3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L15" sqref="L15"/>
      <pageMargins left="0.511811024" right="0.511811024" top="0.78740157499999996" bottom="0.78740157499999996" header="0.31496062000000002" footer="0.31496062000000002"/>
    </customSheetView>
    <customSheetView guid="{3D987F8E-A6EA-454D-9537-6BFC5053CB00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D4" sqref="D4"/>
      <pageMargins left="0.511811024" right="0.511811024" top="0.78740157499999996" bottom="0.78740157499999996" header="0.31496062000000002" footer="0.31496062000000002"/>
    </customSheetView>
    <customSheetView guid="{86039CF8-B158-4D70-9A6F-A10C29CBD68A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9B623083-AA7B-440B-95EA-C33E1AB3D963}" state="hidden">
      <selection activeCell="L15" sqref="L15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GLOSSÁRIO</vt:lpstr>
      <vt:lpstr>Patrícia</vt:lpstr>
      <vt:lpstr>Leonardo</vt:lpstr>
      <vt:lpstr>TOTAL</vt:lpstr>
      <vt:lpstr>Diego</vt:lpstr>
      <vt:lpstr>Aelton</vt:lpstr>
      <vt:lpstr>Leonam</vt:lpstr>
      <vt:lpstr>Danilo</vt:lpstr>
      <vt:lpstr>Alessandro</vt:lpstr>
      <vt:lpstr>Marcos</vt:lpstr>
      <vt:lpstr>Carlos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Lucio Saboia Fonseca</dc:creator>
  <cp:lastModifiedBy>Marcos Neves de Almeida</cp:lastModifiedBy>
  <dcterms:created xsi:type="dcterms:W3CDTF">2025-02-20T15:04:38Z</dcterms:created>
  <dcterms:modified xsi:type="dcterms:W3CDTF">2026-06-18T16:23:52Z</dcterms:modified>
</cp:coreProperties>
</file>
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17.xml" ContentType="application/vnd.openxmlformats-officedocument.spreadsheetml.revisionLog+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63.xml" ContentType="application/vnd.openxmlformats-officedocument.spreadsheetml.revisionLog+xml"/>
  <Override PartName="/xl/revisions/revisionLog84.xml" ContentType="application/vnd.openxmlformats-officedocument.spreadsheetml.revisionLog+xml"/>
  <Override PartName="/xl/revisions/revisionLog47.xml" ContentType="application/vnd.openxmlformats-officedocument.spreadsheetml.revisionLog+xml"/>
  <Override PartName="/xl/revisions/revisionLog68.xml" ContentType="application/vnd.openxmlformats-officedocument.spreadsheetml.revisionLog+xml"/>
  <Override PartName="/xl/revisions/revisionLog89.xml" ContentType="application/vnd.openxmlformats-officedocument.spreadsheetml.revisionLog+xml"/>
  <Override PartName="/xl/revisions/revisionLog112.xml" ContentType="application/vnd.openxmlformats-officedocument.spreadsheetml.revisionLog+xml"/>
  <Override PartName="/xl/revisions/revisionLog133.xml" ContentType="application/vnd.openxmlformats-officedocument.spreadsheetml.revisionLog+xml"/>
  <Override PartName="/xl/revisions/revisionLog16.xml" ContentType="application/vnd.openxmlformats-officedocument.spreadsheetml.revisionLog+xml"/>
  <Override PartName="/xl/revisions/revisionLog107.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102.xml" ContentType="application/vnd.openxmlformats-officedocument.spreadsheetml.revisionLog+xml"/>
  <Override PartName="/xl/revisions/revisionLog123.xml" ContentType="application/vnd.openxmlformats-officedocument.spreadsheetml.revisionLog+xml"/>
  <Override PartName="/xl/revisions/revisionLog128.xml" ContentType="application/vnd.openxmlformats-officedocument.spreadsheetml.revisionLog+xml"/>
  <Override PartName="/xl/revisions/revisionLog95.xml" ContentType="application/vnd.openxmlformats-officedocument.spreadsheetml.revisionLog+xml"/>
  <Override PartName="/xl/revisions/revisionLog90.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113.xml" ContentType="application/vnd.openxmlformats-officedocument.spreadsheetml.revisionLog+xml"/>
  <Override PartName="/xl/revisions/revisionLog118.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59.xml" ContentType="application/vnd.openxmlformats-officedocument.spreadsheetml.revisionLog+xml"/>
  <Override PartName="/xl/revisions/revisionLog103.xml" ContentType="application/vnd.openxmlformats-officedocument.spreadsheetml.revisionLog+xml"/>
  <Override PartName="/xl/revisions/revisionLog108.xml" ContentType="application/vnd.openxmlformats-officedocument.spreadsheetml.revisionLog+xml"/>
  <Override PartName="/xl/revisions/revisionLog124.xml" ContentType="application/vnd.openxmlformats-officedocument.spreadsheetml.revisionLog+xml"/>
  <Override PartName="/xl/revisions/revisionLog129.xml" ContentType="application/vnd.openxmlformats-officedocument.spreadsheetml.revisionLog+xml"/>
  <Override PartName="/xl/revisions/revisionLog54.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91.xml" ContentType="application/vnd.openxmlformats-officedocument.spreadsheetml.revisionLog+xml"/>
  <Override PartName="/xl/revisions/revisionLog96.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49.xml" ContentType="application/vnd.openxmlformats-officedocument.spreadsheetml.revisionLog+xml"/>
  <Override PartName="/xl/revisions/revisionLog114.xml" ContentType="application/vnd.openxmlformats-officedocument.spreadsheetml.revisionLog+xml"/>
  <Override PartName="/xl/revisions/revisionLog119.xml" ContentType="application/vnd.openxmlformats-officedocument.spreadsheetml.revisionLog+xml"/>
  <Override PartName="/xl/revisions/revisionLog44.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130.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10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97.xml" ContentType="application/vnd.openxmlformats-officedocument.spreadsheetml.revisionLog+xml"/>
  <Override PartName="/xl/revisions/revisionLog104.xml" ContentType="application/vnd.openxmlformats-officedocument.spreadsheetml.revisionLog+xml"/>
  <Override PartName="/xl/revisions/revisionLog120.xml" ContentType="application/vnd.openxmlformats-officedocument.spreadsheetml.revisionLog+xml"/>
  <Override PartName="/xl/revisions/revisionLog125.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110.xml" ContentType="application/vnd.openxmlformats-officedocument.spreadsheetml.revisionLog+xml"/>
  <Override PartName="/xl/revisions/revisionLog115.xml" ContentType="application/vnd.openxmlformats-officedocument.spreadsheetml.revisionLog+xml"/>
  <Override PartName="/xl/revisions/revisionLog131.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7.xml" ContentType="application/vnd.openxmlformats-officedocument.spreadsheetml.revisionLog+xml"/>
  <Override PartName="/xl/revisions/revisionLog100.xml" ContentType="application/vnd.openxmlformats-officedocument.spreadsheetml.revisionLog+xml"/>
  <Override PartName="/xl/revisions/revisionLog105.xml" ContentType="application/vnd.openxmlformats-officedocument.spreadsheetml.revisionLog+xml"/>
  <Override PartName="/xl/revisions/revisionLog126.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93.xml" ContentType="application/vnd.openxmlformats-officedocument.spreadsheetml.revisionLog+xml"/>
  <Override PartName="/xl/revisions/revisionLog98.xml" ContentType="application/vnd.openxmlformats-officedocument.spreadsheetml.revisionLog+xml"/>
  <Override PartName="/xl/revisions/revisionLog121.xml" ContentType="application/vnd.openxmlformats-officedocument.spreadsheetml.revisionLog+xml"/>
  <Override PartName="/xl/revisions/revisionLog25.xml" ContentType="application/vnd.openxmlformats-officedocument.spreadsheetml.revisionLog+xml"/>
  <Override PartName="/xl/revisions/revisionLog46.xml" ContentType="application/vnd.openxmlformats-officedocument.spreadsheetml.revisionLog+xml"/>
  <Override PartName="/xl/revisions/revisionLog67.xml" ContentType="application/vnd.openxmlformats-officedocument.spreadsheetml.revisionLog+xml"/>
  <Override PartName="/xl/revisions/revisionLog116.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62.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111.xml" ContentType="application/vnd.openxmlformats-officedocument.spreadsheetml.revisionLog+xml"/>
  <Override PartName="/xl/revisions/revisionLog132.xml" ContentType="application/vnd.openxmlformats-officedocument.spreadsheetml.revisionLog+xml"/>
  <Override PartName="/xl/revisions/revisionLog15.xml" ContentType="application/vnd.openxmlformats-officedocument.spreadsheetml.revisionLog+xml"/>
  <Override PartName="/xl/revisions/revisionLog36.xml" ContentType="application/vnd.openxmlformats-officedocument.spreadsheetml.revisionLog+xml"/>
  <Override PartName="/xl/revisions/revisionLog57.xml" ContentType="application/vnd.openxmlformats-officedocument.spreadsheetml.revisionLog+xml"/>
  <Override PartName="/xl/revisions/revisionLog106.xml" ContentType="application/vnd.openxmlformats-officedocument.spreadsheetml.revisionLog+xml"/>
  <Override PartName="/xl/revisions/revisionLog12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52.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94.xml" ContentType="application/vnd.openxmlformats-officedocument.spreadsheetml.revisionLog+xml"/>
  <Override PartName="/xl/revisions/revisionLog99.xml" ContentType="application/vnd.openxmlformats-officedocument.spreadsheetml.revisionLog+xml"/>
  <Override PartName="/xl/revisions/revisionLog101.xml" ContentType="application/vnd.openxmlformats-officedocument.spreadsheetml.revisionLog+xml"/>
  <Override PartName="/xl/revisions/revisionLog122.xml" ContentType="application/vnd.openxmlformats-officedocument.spreadsheetml.revisionLog+xml"/>
  <Override PartName="/xl/revisions/revisionLog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Mds.net\mds\SE\SAA\CGLA\CDA\DIARQ\Atividade Semanal - Equipe\z INDICADORES - POR DIA\"/>
    </mc:Choice>
  </mc:AlternateContent>
  <xr:revisionPtr revIDLastSave="0" documentId="13_ncr:81_{5905120A-8EBD-4DB1-9C58-1346D3082E3D}" xr6:coauthVersionLast="47" xr6:coauthVersionMax="47" xr10:uidLastSave="{00000000-0000-0000-0000-000000000000}"/>
  <bookViews>
    <workbookView xWindow="-120" yWindow="-120" windowWidth="24240" windowHeight="13140" activeTab="9" xr2:uid="{00000000-000D-0000-FFFF-FFFF00000000}"/>
  </bookViews>
  <sheets>
    <sheet name="Marcelo" sheetId="1" r:id="rId1"/>
    <sheet name="Patrícia" sheetId="2" r:id="rId2"/>
    <sheet name="TOTAL" sheetId="3" r:id="rId3"/>
    <sheet name="Diego" sheetId="4" r:id="rId4"/>
    <sheet name="Aelton" sheetId="5" r:id="rId5"/>
    <sheet name="Leonam" sheetId="6" r:id="rId6"/>
    <sheet name="Danilo" sheetId="7" r:id="rId7"/>
    <sheet name="Marcos" sheetId="8" r:id="rId8"/>
    <sheet name="Carlos" sheetId="9" r:id="rId9"/>
    <sheet name="Alessandro" sheetId="10" r:id="rId10"/>
  </sheets>
  <definedNames>
    <definedName name="_xleta.N" hidden="1">#NAME?</definedName>
  </definedNames>
  <calcPr calcId="191029"/>
  <customWorkbookViews>
    <customWorkbookView name="Alessandro Borges de Araújo - Modo de exibição pessoal" guid="{3D987F8E-A6EA-454D-9537-6BFC5053CB00}" mergeInterval="0" personalView="1" maximized="1" xWindow="-8" yWindow="-8" windowWidth="1616" windowHeight="876" activeSheetId="10"/>
    <customWorkbookView name="Danilo Rafael Basilio da Silva - Modo de exibição pessoal" guid="{B3CDE377-BA5D-4E06-91D9-3A48E1959BA5}" mergeInterval="0" personalView="1" maximized="1" xWindow="-8" yWindow="-8" windowWidth="1616" windowHeight="876" activeSheetId="7"/>
    <customWorkbookView name="Carlos da Silva Dias - Modo de exibição pessoal" guid="{C69767F5-CD39-44C1-AD4B-CE19DC8285A6}" mergeInterval="0" personalView="1" maximized="1" xWindow="-8" yWindow="-8" windowWidth="1616" windowHeight="876" activeSheetId="9"/>
    <customWorkbookView name="Patrícia Ferreira Costa Alves - Modo de exibição pessoal" guid="{552DFCCD-1786-4D75-8B10-27DD730384DD}" mergeInterval="0" personalView="1" xWindow="2175" yWindow="114" windowWidth="1440" windowHeight="759" activeSheetId="2"/>
    <customWorkbookView name="Leonam Morrison Monteiro de Oliveira - Modo de exibição pessoal" guid="{9B623083-AA7B-440B-95EA-C33E1AB3D963}" autoUpdate="1" mergeInterval="15" personalView="1" maximized="1" xWindow="-8" yWindow="-8" windowWidth="1616" windowHeight="876" activeSheetId="6"/>
    <customWorkbookView name="Marcelo Lucio Saboia Fonseca - Modo de exibição pessoal" guid="{18A482E0-C8B6-4AA1-9E04-15FA7C9CD5E3}" mergeInterval="0" personalView="1" maximized="1" xWindow="-1608" yWindow="-8" windowWidth="1616" windowHeight="876" activeSheetId="3"/>
    <customWorkbookView name="Diego Santos de Abreu - Modo de exibição pessoal" guid="{20CB6D8F-C24D-4D4B-A424-AF380F620455}" mergeInterval="0" personalView="1" maximized="1" xWindow="-8" yWindow="-8" windowWidth="1616" windowHeight="876" activeSheetId="4"/>
    <customWorkbookView name="Aelton de Jesus Nunes - Modo de exibição pessoal" guid="{86039CF8-B158-4D70-9A6F-A10C29CBD68A}" mergeInterval="0" personalView="1" maximized="1" xWindow="-8" yWindow="-8" windowWidth="1616" windowHeight="876" activeSheetId="5"/>
    <customWorkbookView name="Marcos Neves de Almeida - Modo de exibição pessoal" guid="{E3841903-5B68-44FD-8F09-58E03D1025C5}" mergeInterval="0" personalView="1" maximized="1" xWindow="-1608" yWindow="-8" windowWidth="1616" windowHeight="876"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Z11" i="7" l="1"/>
  <c r="C3" i="3"/>
  <c r="C6" i="3"/>
  <c r="C7" i="3"/>
  <c r="C8" i="3"/>
  <c r="C9" i="3"/>
  <c r="C10" i="3"/>
  <c r="C11" i="3"/>
  <c r="C12" i="3"/>
  <c r="C14" i="3"/>
  <c r="C15" i="3"/>
  <c r="C16" i="3"/>
  <c r="D3" i="3"/>
  <c r="D6" i="3"/>
  <c r="D7" i="3"/>
  <c r="D8" i="3"/>
  <c r="D9" i="3"/>
  <c r="D10" i="3"/>
  <c r="D11" i="3"/>
  <c r="D12" i="3"/>
  <c r="D14" i="3"/>
  <c r="D15" i="3"/>
  <c r="D16" i="3"/>
  <c r="E3" i="3"/>
  <c r="E6" i="3"/>
  <c r="E7" i="3"/>
  <c r="E8" i="3"/>
  <c r="E9" i="3"/>
  <c r="E10" i="3"/>
  <c r="E11" i="3"/>
  <c r="E12" i="3"/>
  <c r="E14" i="3"/>
  <c r="E15" i="3"/>
  <c r="E16" i="3"/>
  <c r="F3" i="3"/>
  <c r="F6" i="3"/>
  <c r="F7" i="3"/>
  <c r="F8" i="3"/>
  <c r="F9" i="3"/>
  <c r="F10" i="3"/>
  <c r="F11" i="3"/>
  <c r="F12" i="3"/>
  <c r="F14" i="3"/>
  <c r="F15" i="3"/>
  <c r="F16" i="3"/>
  <c r="G3" i="3"/>
  <c r="G6" i="3"/>
  <c r="G7" i="3"/>
  <c r="G8" i="3"/>
  <c r="G9" i="3"/>
  <c r="G10" i="3"/>
  <c r="G11" i="3"/>
  <c r="G12" i="3"/>
  <c r="G14" i="3"/>
  <c r="G15" i="3"/>
  <c r="G16" i="3"/>
  <c r="H3" i="3"/>
  <c r="H6" i="3"/>
  <c r="H7" i="3"/>
  <c r="H8" i="3"/>
  <c r="H9" i="3"/>
  <c r="H10" i="3"/>
  <c r="H11" i="3"/>
  <c r="H12" i="3"/>
  <c r="H14" i="3"/>
  <c r="H15" i="3"/>
  <c r="H16" i="3"/>
  <c r="I3" i="3"/>
  <c r="I6" i="3"/>
  <c r="I7" i="3"/>
  <c r="I8" i="3"/>
  <c r="I9" i="3"/>
  <c r="I10" i="3"/>
  <c r="I11" i="3"/>
  <c r="I12" i="3"/>
  <c r="I14" i="3"/>
  <c r="I15" i="3"/>
  <c r="I16" i="3"/>
  <c r="J3" i="3"/>
  <c r="J6" i="3"/>
  <c r="J7" i="3"/>
  <c r="J8" i="3"/>
  <c r="J9" i="3"/>
  <c r="J10" i="3"/>
  <c r="J11" i="3"/>
  <c r="J12" i="3"/>
  <c r="J14" i="3"/>
  <c r="J15" i="3"/>
  <c r="J16" i="3"/>
  <c r="K3" i="3"/>
  <c r="K6" i="3"/>
  <c r="K7" i="3"/>
  <c r="K8" i="3"/>
  <c r="K9" i="3"/>
  <c r="K10" i="3"/>
  <c r="K11" i="3"/>
  <c r="K12" i="3"/>
  <c r="K14" i="3"/>
  <c r="K15" i="3"/>
  <c r="K16" i="3"/>
  <c r="L3" i="3"/>
  <c r="L6" i="3"/>
  <c r="L7" i="3"/>
  <c r="L8" i="3"/>
  <c r="L9" i="3"/>
  <c r="L10" i="3"/>
  <c r="L11" i="3"/>
  <c r="L12" i="3"/>
  <c r="L14" i="3"/>
  <c r="L15" i="3"/>
  <c r="L16" i="3"/>
  <c r="M6" i="3"/>
  <c r="M7" i="3"/>
  <c r="M8" i="3"/>
  <c r="M9" i="3"/>
  <c r="M10" i="3"/>
  <c r="M11" i="3"/>
  <c r="M12" i="3"/>
  <c r="M14" i="3"/>
  <c r="M15" i="3"/>
  <c r="M16" i="3"/>
  <c r="N3" i="3"/>
  <c r="N6" i="3"/>
  <c r="N7" i="3"/>
  <c r="N8" i="3"/>
  <c r="N9" i="3"/>
  <c r="N10" i="3"/>
  <c r="N11" i="3"/>
  <c r="N12" i="3"/>
  <c r="N14" i="3"/>
  <c r="N15" i="3"/>
  <c r="N16" i="3"/>
  <c r="O2" i="3"/>
  <c r="O3" i="3"/>
  <c r="O4" i="3"/>
  <c r="O5" i="3"/>
  <c r="O6" i="3"/>
  <c r="O7" i="3"/>
  <c r="O8" i="3"/>
  <c r="O9" i="3"/>
  <c r="O10" i="3"/>
  <c r="O11" i="3"/>
  <c r="O12" i="3"/>
  <c r="O14" i="3"/>
  <c r="O15" i="3"/>
  <c r="O16" i="3"/>
  <c r="P2" i="3"/>
  <c r="P3" i="3"/>
  <c r="P4" i="3"/>
  <c r="P5" i="3"/>
  <c r="P6" i="3"/>
  <c r="P7" i="3"/>
  <c r="P8" i="3"/>
  <c r="P9" i="3"/>
  <c r="P10" i="3"/>
  <c r="P11" i="3"/>
  <c r="P12" i="3"/>
  <c r="P14" i="3"/>
  <c r="P15" i="3"/>
  <c r="P16" i="3"/>
  <c r="Q2" i="3"/>
  <c r="Q3" i="3"/>
  <c r="Q4" i="3"/>
  <c r="Q5" i="3"/>
  <c r="Q6" i="3"/>
  <c r="Q7" i="3"/>
  <c r="Q8" i="3"/>
  <c r="Q9" i="3"/>
  <c r="Q10" i="3"/>
  <c r="Q11" i="3"/>
  <c r="Q12" i="3"/>
  <c r="Q14" i="3"/>
  <c r="Q15" i="3"/>
  <c r="Q16" i="3"/>
  <c r="R2" i="3"/>
  <c r="R3" i="3"/>
  <c r="R4" i="3"/>
  <c r="R5" i="3"/>
  <c r="R6" i="3"/>
  <c r="R7" i="3"/>
  <c r="R8" i="3"/>
  <c r="R9" i="3"/>
  <c r="R10" i="3"/>
  <c r="R11" i="3"/>
  <c r="R12" i="3"/>
  <c r="R13" i="3"/>
  <c r="R14" i="3"/>
  <c r="R15" i="3"/>
  <c r="R16" i="3"/>
  <c r="S2" i="3"/>
  <c r="S3" i="3"/>
  <c r="S4" i="3"/>
  <c r="S5" i="3"/>
  <c r="S6" i="3"/>
  <c r="S7" i="3"/>
  <c r="S8" i="3"/>
  <c r="S9" i="3"/>
  <c r="S10" i="3"/>
  <c r="S11" i="3"/>
  <c r="S12" i="3"/>
  <c r="S14" i="3"/>
  <c r="S15" i="3"/>
  <c r="S16" i="3"/>
  <c r="T2" i="3"/>
  <c r="T3" i="3"/>
  <c r="T4" i="3"/>
  <c r="T5" i="3"/>
  <c r="T6" i="3"/>
  <c r="T7" i="3"/>
  <c r="T8" i="3"/>
  <c r="T9" i="3"/>
  <c r="T10" i="3"/>
  <c r="T11" i="3"/>
  <c r="T12" i="3"/>
  <c r="T13" i="3"/>
  <c r="T14" i="3"/>
  <c r="T15" i="3"/>
  <c r="T16" i="3"/>
  <c r="U3" i="3"/>
  <c r="U4" i="3"/>
  <c r="U5" i="3"/>
  <c r="U6" i="3"/>
  <c r="U7" i="3"/>
  <c r="U8" i="3"/>
  <c r="U9" i="3"/>
  <c r="U10" i="3"/>
  <c r="U11" i="3"/>
  <c r="U12" i="3"/>
  <c r="U14" i="3"/>
  <c r="U15" i="3"/>
  <c r="U16" i="3"/>
  <c r="V3" i="3"/>
  <c r="V4" i="3"/>
  <c r="V5" i="3"/>
  <c r="V6" i="3"/>
  <c r="V7" i="3"/>
  <c r="V8" i="3"/>
  <c r="V9" i="3"/>
  <c r="V10" i="3"/>
  <c r="V11" i="3"/>
  <c r="V12" i="3"/>
  <c r="V13" i="3"/>
  <c r="V14" i="3"/>
  <c r="V15" i="3"/>
  <c r="V16" i="3"/>
  <c r="W2" i="3"/>
  <c r="W3" i="3"/>
  <c r="W4" i="3"/>
  <c r="W5" i="3"/>
  <c r="W6" i="3"/>
  <c r="W7" i="3"/>
  <c r="W8" i="3"/>
  <c r="W9" i="3"/>
  <c r="W10" i="3"/>
  <c r="W11" i="3"/>
  <c r="W12" i="3"/>
  <c r="W13" i="3"/>
  <c r="W14" i="3"/>
  <c r="W15" i="3"/>
  <c r="W16" i="3"/>
  <c r="BC16" i="10"/>
  <c r="AW16" i="10"/>
  <c r="AQ16" i="10"/>
  <c r="AK16" i="10"/>
  <c r="BC15" i="10"/>
  <c r="AW15" i="10"/>
  <c r="AQ15" i="10"/>
  <c r="AK15" i="10"/>
  <c r="BC14" i="10"/>
  <c r="AW14" i="10"/>
  <c r="AQ14" i="10"/>
  <c r="AK14" i="10"/>
  <c r="BC13" i="10"/>
  <c r="AW13" i="10"/>
  <c r="AQ13" i="10"/>
  <c r="AK13" i="10"/>
  <c r="BC12" i="10"/>
  <c r="AW12" i="10"/>
  <c r="AQ12" i="10"/>
  <c r="AK12" i="10"/>
  <c r="BC11" i="10"/>
  <c r="AW11" i="10"/>
  <c r="AQ11" i="10"/>
  <c r="AK11" i="10"/>
  <c r="BC10" i="10"/>
  <c r="AW10" i="10"/>
  <c r="AQ10" i="10"/>
  <c r="AK10" i="10"/>
  <c r="BC9" i="10"/>
  <c r="AW9" i="10"/>
  <c r="AQ9" i="10"/>
  <c r="AK9" i="10"/>
  <c r="BC8" i="10"/>
  <c r="AW8" i="10"/>
  <c r="AQ8" i="10"/>
  <c r="AK8" i="10"/>
  <c r="BC7" i="10"/>
  <c r="AW7" i="10"/>
  <c r="AQ7" i="10"/>
  <c r="AK7" i="10"/>
  <c r="BC6" i="10"/>
  <c r="AW6" i="10"/>
  <c r="AQ6" i="10"/>
  <c r="AK6" i="10"/>
  <c r="BC5" i="10"/>
  <c r="AW5" i="10"/>
  <c r="AQ5" i="10"/>
  <c r="AK5" i="10"/>
  <c r="BC4" i="10"/>
  <c r="AW4" i="10"/>
  <c r="AQ4" i="10"/>
  <c r="AK4" i="10"/>
  <c r="BC3" i="10"/>
  <c r="AW3" i="10"/>
  <c r="AQ3" i="10"/>
  <c r="AK3" i="10"/>
  <c r="BC2" i="10"/>
  <c r="AW2" i="10"/>
  <c r="AQ2" i="10"/>
  <c r="AK2" i="10"/>
  <c r="DZ16" i="9" l="1"/>
  <c r="DT16" i="9"/>
  <c r="DN16" i="9"/>
  <c r="DZ15" i="9"/>
  <c r="DT15" i="9"/>
  <c r="DN15" i="9"/>
  <c r="DZ14" i="9"/>
  <c r="DT14" i="9"/>
  <c r="DN14" i="9"/>
  <c r="DZ13" i="9"/>
  <c r="DT13" i="9"/>
  <c r="DN13" i="9"/>
  <c r="DZ12" i="9"/>
  <c r="DT12" i="9"/>
  <c r="DN12" i="9"/>
  <c r="DZ11" i="9"/>
  <c r="DT11" i="9"/>
  <c r="DN11" i="9"/>
  <c r="DZ10" i="9"/>
  <c r="DT10" i="9"/>
  <c r="DN10" i="9"/>
  <c r="DZ9" i="9"/>
  <c r="DT9" i="9"/>
  <c r="DN9" i="9"/>
  <c r="DZ8" i="9"/>
  <c r="DT8" i="9"/>
  <c r="DN8" i="9"/>
  <c r="DZ7" i="9"/>
  <c r="DT7" i="9"/>
  <c r="DN7" i="9"/>
  <c r="DZ6" i="9"/>
  <c r="DT6" i="9"/>
  <c r="DN6" i="9"/>
  <c r="DZ5" i="9"/>
  <c r="DT5" i="9"/>
  <c r="DN5" i="9"/>
  <c r="DZ4" i="9"/>
  <c r="DT4" i="9"/>
  <c r="DN4" i="9"/>
  <c r="DZ3" i="9"/>
  <c r="DT3" i="9"/>
  <c r="DN3" i="9"/>
  <c r="DZ2" i="9"/>
  <c r="DT2" i="9"/>
  <c r="DN2" i="9"/>
  <c r="DZ16" i="8"/>
  <c r="DZ15" i="8"/>
  <c r="DZ14" i="8"/>
  <c r="DZ13" i="8"/>
  <c r="DZ12" i="8"/>
  <c r="DZ11" i="8"/>
  <c r="DZ10" i="8"/>
  <c r="DZ9" i="8"/>
  <c r="DZ8" i="8"/>
  <c r="DZ7" i="8"/>
  <c r="DZ6" i="8"/>
  <c r="DZ5" i="8"/>
  <c r="DZ4" i="8"/>
  <c r="DZ3" i="8"/>
  <c r="DZ2" i="8"/>
  <c r="DT16" i="7"/>
  <c r="DT15" i="7"/>
  <c r="DT14" i="7"/>
  <c r="DT13" i="7"/>
  <c r="DT12" i="7"/>
  <c r="DT11" i="7"/>
  <c r="DT10" i="7"/>
  <c r="DT9" i="7"/>
  <c r="DT8" i="7"/>
  <c r="DT7" i="7"/>
  <c r="DT6" i="7"/>
  <c r="DT5" i="7"/>
  <c r="DT4" i="7"/>
  <c r="DT3" i="7"/>
  <c r="DT2" i="7"/>
  <c r="DZ16" i="7"/>
  <c r="DZ15" i="7"/>
  <c r="DZ14" i="7"/>
  <c r="DZ13" i="7"/>
  <c r="DZ12" i="7"/>
  <c r="DZ10" i="7"/>
  <c r="DZ9" i="7"/>
  <c r="DZ8" i="7"/>
  <c r="DZ7" i="7"/>
  <c r="DZ6" i="7"/>
  <c r="DZ5" i="7"/>
  <c r="DZ4" i="7"/>
  <c r="DZ3" i="7"/>
  <c r="DZ2" i="7"/>
  <c r="DZ16" i="6"/>
  <c r="DZ15" i="6"/>
  <c r="DZ14" i="6"/>
  <c r="DZ13" i="6"/>
  <c r="DZ12" i="6"/>
  <c r="DZ11" i="6"/>
  <c r="DZ10" i="6"/>
  <c r="DZ9" i="6"/>
  <c r="DZ8" i="6"/>
  <c r="DZ7" i="6"/>
  <c r="DZ6" i="6"/>
  <c r="DZ5" i="6"/>
  <c r="DZ4" i="6"/>
  <c r="DZ3" i="6"/>
  <c r="DZ2" i="6"/>
  <c r="DZ16" i="5"/>
  <c r="DZ15" i="5"/>
  <c r="DZ14" i="5"/>
  <c r="DZ13" i="5"/>
  <c r="DZ12" i="5"/>
  <c r="DZ11" i="5"/>
  <c r="DZ10" i="5"/>
  <c r="DZ9" i="5"/>
  <c r="DZ8" i="5"/>
  <c r="DZ7" i="5"/>
  <c r="DZ6" i="5"/>
  <c r="DZ5" i="5"/>
  <c r="DZ4" i="5"/>
  <c r="DZ3" i="5"/>
  <c r="DZ2" i="5"/>
  <c r="DT16" i="6"/>
  <c r="DT15" i="6"/>
  <c r="DT14" i="6"/>
  <c r="DT13" i="6"/>
  <c r="DT12" i="6"/>
  <c r="DT11" i="6"/>
  <c r="DT10" i="6"/>
  <c r="DT9" i="6"/>
  <c r="DT8" i="6"/>
  <c r="DT7" i="6"/>
  <c r="DT6" i="6"/>
  <c r="DT5" i="6"/>
  <c r="DT4" i="6"/>
  <c r="DT3" i="6"/>
  <c r="DT2" i="6"/>
  <c r="DT16" i="8"/>
  <c r="DT15" i="8"/>
  <c r="DT14" i="8"/>
  <c r="DT13" i="8"/>
  <c r="DT12" i="8"/>
  <c r="DT11" i="8"/>
  <c r="DT10" i="8"/>
  <c r="DT9" i="8"/>
  <c r="DT8" i="8"/>
  <c r="DT7" i="8"/>
  <c r="DT6" i="8"/>
  <c r="DT5" i="8"/>
  <c r="DT4" i="8"/>
  <c r="DT3" i="8"/>
  <c r="DT2" i="8"/>
  <c r="DN16" i="8"/>
  <c r="DN15" i="8"/>
  <c r="DN14" i="8"/>
  <c r="DN13" i="8"/>
  <c r="DN12" i="8"/>
  <c r="DN11" i="8"/>
  <c r="DN10" i="8"/>
  <c r="DN9" i="8"/>
  <c r="DN8" i="8"/>
  <c r="DN7" i="8"/>
  <c r="DN6" i="8"/>
  <c r="DN5" i="8"/>
  <c r="DN4" i="8"/>
  <c r="DN3" i="8"/>
  <c r="DN2" i="8"/>
  <c r="DH12" i="8"/>
  <c r="DH11" i="8"/>
  <c r="DN16" i="7"/>
  <c r="DN15" i="7"/>
  <c r="DN14" i="7"/>
  <c r="DN13" i="7"/>
  <c r="DN12" i="7"/>
  <c r="DN11" i="7"/>
  <c r="DN10" i="7"/>
  <c r="DN9" i="7"/>
  <c r="DN8" i="7"/>
  <c r="DN7" i="7"/>
  <c r="DN6" i="7"/>
  <c r="DN5" i="7"/>
  <c r="DN4" i="7"/>
  <c r="DN3" i="7"/>
  <c r="DN2" i="7"/>
  <c r="DN16" i="6"/>
  <c r="DN15" i="6"/>
  <c r="DN14" i="6"/>
  <c r="DN13" i="6"/>
  <c r="DN12" i="6"/>
  <c r="DN11" i="6"/>
  <c r="DN10" i="6"/>
  <c r="DN9" i="6"/>
  <c r="DN8" i="6"/>
  <c r="DN7" i="6"/>
  <c r="DN6" i="6"/>
  <c r="DN5" i="6"/>
  <c r="DN4" i="6"/>
  <c r="DN3" i="6"/>
  <c r="DN2" i="6"/>
  <c r="DB16" i="9"/>
  <c r="DH16" i="9" s="1"/>
  <c r="DB15" i="9"/>
  <c r="DH15" i="9" s="1"/>
  <c r="DB14" i="9"/>
  <c r="DH14" i="9" s="1"/>
  <c r="DB13" i="9"/>
  <c r="DH13" i="9" s="1"/>
  <c r="DB12" i="9"/>
  <c r="DH12" i="9" s="1"/>
  <c r="DB6" i="9"/>
  <c r="DH6" i="9" s="1"/>
  <c r="DB5" i="9"/>
  <c r="DB4" i="9"/>
  <c r="DH4" i="9" s="1"/>
  <c r="DB3" i="9"/>
  <c r="DH3" i="9" s="1"/>
  <c r="DB2" i="9"/>
  <c r="DH2" i="9" s="1"/>
  <c r="DH5" i="9"/>
  <c r="DH16" i="8"/>
  <c r="DH15" i="8"/>
  <c r="DH14" i="8"/>
  <c r="DH13" i="8"/>
  <c r="DH10" i="8"/>
  <c r="DH9" i="8"/>
  <c r="DH8" i="8"/>
  <c r="DH7" i="8"/>
  <c r="DH6" i="8"/>
  <c r="DH5" i="8"/>
  <c r="DH4" i="8"/>
  <c r="DH3" i="8"/>
  <c r="DH2" i="8"/>
  <c r="DH16" i="7"/>
  <c r="DH15" i="7"/>
  <c r="DH14" i="7"/>
  <c r="DH13" i="7"/>
  <c r="DH12" i="7"/>
  <c r="DH11" i="7"/>
  <c r="DH10" i="7"/>
  <c r="DH9" i="7"/>
  <c r="DH8" i="7"/>
  <c r="DH7" i="7"/>
  <c r="DH6" i="7"/>
  <c r="DH5" i="7"/>
  <c r="DH4" i="7"/>
  <c r="DH3" i="7"/>
  <c r="DH2" i="7"/>
  <c r="DH2" i="6"/>
  <c r="DH16" i="6"/>
  <c r="DH15" i="6"/>
  <c r="DH14" i="6"/>
  <c r="DH13" i="6"/>
  <c r="DH12" i="6"/>
  <c r="DH11" i="6"/>
  <c r="DH10" i="6"/>
  <c r="DH9" i="6"/>
  <c r="DH8" i="6"/>
  <c r="DH7" i="6"/>
  <c r="DH6" i="6"/>
  <c r="DH5" i="6"/>
  <c r="DH4" i="6"/>
  <c r="DH3" i="6"/>
  <c r="DB11" i="8"/>
  <c r="DB10" i="8"/>
  <c r="DB9" i="8"/>
  <c r="DB8" i="8"/>
  <c r="DB7" i="8"/>
  <c r="DB3" i="8"/>
  <c r="DB11" i="7"/>
  <c r="DB10" i="7"/>
  <c r="DB9" i="7"/>
  <c r="DB8" i="7"/>
  <c r="DB7" i="7"/>
  <c r="DB3" i="7"/>
  <c r="CV16" i="7"/>
  <c r="CV15" i="7"/>
  <c r="CV14" i="7"/>
  <c r="CV13" i="7"/>
  <c r="CV12" i="7"/>
  <c r="CV11" i="7"/>
  <c r="CV10" i="7"/>
  <c r="CV9" i="7"/>
  <c r="CV8" i="7"/>
  <c r="CV7" i="7"/>
  <c r="CV3" i="7"/>
  <c r="DB4" i="5"/>
  <c r="DB3" i="5"/>
  <c r="DB2" i="5"/>
  <c r="DB3" i="4"/>
  <c r="DB4" i="4"/>
  <c r="DB5" i="4"/>
  <c r="DB6" i="4"/>
  <c r="DB7" i="4"/>
  <c r="DB8" i="4"/>
  <c r="DB9" i="4"/>
  <c r="DB10" i="4"/>
  <c r="DB11" i="4"/>
  <c r="DB12" i="4"/>
  <c r="DB13" i="4"/>
  <c r="DB14" i="4"/>
  <c r="DB15" i="4"/>
  <c r="DB16" i="4"/>
  <c r="DB2" i="4"/>
  <c r="CV11" i="9"/>
  <c r="DB11" i="9" s="1"/>
  <c r="DH11" i="9" s="1"/>
  <c r="CP11" i="9"/>
  <c r="CV10" i="9"/>
  <c r="DB10" i="9" s="1"/>
  <c r="DH10" i="9" s="1"/>
  <c r="CP10" i="9"/>
  <c r="CV9" i="9"/>
  <c r="DB9" i="9" s="1"/>
  <c r="DH9" i="9" s="1"/>
  <c r="CP9" i="9"/>
  <c r="CV8" i="9"/>
  <c r="DB8" i="9" s="1"/>
  <c r="DH8" i="9" s="1"/>
  <c r="CP8" i="9"/>
  <c r="CV7" i="9"/>
  <c r="DB7" i="9" s="1"/>
  <c r="DH7" i="9" s="1"/>
  <c r="CP7" i="9"/>
  <c r="CV10" i="8"/>
  <c r="CV11" i="8"/>
  <c r="CV9" i="8"/>
  <c r="CV8" i="8"/>
  <c r="CV7" i="8"/>
  <c r="CP6" i="7"/>
  <c r="CP11" i="7"/>
  <c r="CP10" i="7"/>
  <c r="CP9" i="7"/>
  <c r="CP8" i="7"/>
  <c r="CP7" i="7"/>
  <c r="DB11" i="6"/>
  <c r="DB10" i="6"/>
  <c r="DB9" i="6"/>
  <c r="DB8" i="6"/>
  <c r="DB7" i="6"/>
  <c r="DB3" i="6"/>
  <c r="CV11" i="6"/>
  <c r="CV10" i="6"/>
  <c r="CV9" i="6"/>
  <c r="CV8" i="6"/>
  <c r="CV7" i="6"/>
  <c r="CV3" i="6"/>
  <c r="CP11" i="8"/>
  <c r="CP10" i="8"/>
  <c r="CP9" i="8"/>
  <c r="CP8" i="8"/>
  <c r="CP7" i="8"/>
  <c r="CP3" i="6"/>
  <c r="CP11" i="6"/>
  <c r="CP10" i="6"/>
  <c r="CP9" i="6"/>
  <c r="CP8" i="6"/>
  <c r="CP7" i="6"/>
  <c r="CP3" i="4"/>
  <c r="CP4" i="4"/>
  <c r="CP5" i="4"/>
  <c r="CP6" i="4"/>
  <c r="CP7" i="4"/>
  <c r="CP8" i="4"/>
  <c r="CP9" i="4"/>
  <c r="CP10" i="4"/>
  <c r="CP11" i="4"/>
  <c r="CP12" i="4"/>
  <c r="CP13" i="4"/>
  <c r="CP14" i="4"/>
  <c r="CP15" i="4"/>
  <c r="CP16" i="4"/>
  <c r="CP2" i="4"/>
  <c r="CJ11" i="9"/>
  <c r="CJ10" i="9"/>
  <c r="CJ9" i="9"/>
  <c r="CJ8" i="9"/>
  <c r="CJ7" i="9"/>
  <c r="CJ6" i="9"/>
  <c r="CJ11" i="8" l="1"/>
  <c r="CJ10" i="8"/>
  <c r="CJ9" i="8"/>
  <c r="CJ8" i="8"/>
  <c r="CJ7" i="8"/>
  <c r="M3" i="10"/>
  <c r="CJ7" i="6"/>
  <c r="CJ11" i="6"/>
  <c r="CJ10" i="6"/>
  <c r="CJ9" i="6"/>
  <c r="CJ8" i="6"/>
  <c r="CJ3" i="6"/>
  <c r="CJ3" i="5"/>
  <c r="DZ16" i="4"/>
  <c r="X16" i="3" s="1"/>
  <c r="DT16" i="4"/>
  <c r="DN16" i="4"/>
  <c r="DZ15" i="4"/>
  <c r="X15" i="3" s="1"/>
  <c r="DT15" i="4"/>
  <c r="DN15" i="4"/>
  <c r="DZ14" i="4"/>
  <c r="X14" i="3" s="1"/>
  <c r="DT14" i="4"/>
  <c r="DN14" i="4"/>
  <c r="DZ13" i="4"/>
  <c r="X13" i="3" s="1"/>
  <c r="DT13" i="4"/>
  <c r="DN13" i="4"/>
  <c r="DZ12" i="4"/>
  <c r="X12" i="3" s="1"/>
  <c r="DT12" i="4"/>
  <c r="DN12" i="4"/>
  <c r="DZ11" i="4"/>
  <c r="X11" i="3" s="1"/>
  <c r="DT11" i="4"/>
  <c r="DN11" i="4"/>
  <c r="DZ10" i="4"/>
  <c r="X10" i="3" s="1"/>
  <c r="DT10" i="4"/>
  <c r="DN10" i="4"/>
  <c r="DZ9" i="4"/>
  <c r="X9" i="3" s="1"/>
  <c r="DT9" i="4"/>
  <c r="DN9" i="4"/>
  <c r="DZ8" i="4"/>
  <c r="X8" i="3" s="1"/>
  <c r="DT8" i="4"/>
  <c r="DN8" i="4"/>
  <c r="DZ7" i="4"/>
  <c r="X7" i="3" s="1"/>
  <c r="DT7" i="4"/>
  <c r="DN7" i="4"/>
  <c r="DZ6" i="4"/>
  <c r="X6" i="3" s="1"/>
  <c r="DT6" i="4"/>
  <c r="DN6" i="4"/>
  <c r="DZ5" i="4"/>
  <c r="X5" i="3" s="1"/>
  <c r="DT5" i="4"/>
  <c r="DN5" i="4"/>
  <c r="DZ4" i="4"/>
  <c r="X4" i="3" s="1"/>
  <c r="DT4" i="4"/>
  <c r="DN4" i="4"/>
  <c r="DZ3" i="4"/>
  <c r="X3" i="3" s="1"/>
  <c r="DT3" i="4"/>
  <c r="DN3" i="4"/>
  <c r="DZ2" i="4"/>
  <c r="X2" i="3" s="1"/>
  <c r="DT2" i="4"/>
  <c r="DN2" i="4"/>
  <c r="DH16" i="5" l="1"/>
  <c r="DH15" i="5"/>
  <c r="DH14" i="5"/>
  <c r="DH13" i="5"/>
  <c r="DH12" i="5"/>
  <c r="DH7" i="5"/>
  <c r="DH6" i="5"/>
  <c r="DH5" i="5"/>
  <c r="DH4" i="5"/>
  <c r="DH3" i="5"/>
  <c r="DH2" i="5"/>
  <c r="DH8" i="5"/>
  <c r="DH4" i="4"/>
  <c r="DH3" i="4"/>
  <c r="DH2" i="4"/>
  <c r="DH15" i="4"/>
  <c r="DH16" i="4"/>
  <c r="DH14" i="4"/>
  <c r="DH13" i="4"/>
  <c r="DH12" i="4"/>
  <c r="DH11" i="4"/>
  <c r="DH10" i="4"/>
  <c r="DH9" i="4"/>
  <c r="DH8" i="4"/>
  <c r="DH7" i="4"/>
  <c r="DH6" i="4"/>
  <c r="DH5" i="4"/>
  <c r="CV12" i="4"/>
  <c r="CV16" i="4"/>
  <c r="CV15" i="4"/>
  <c r="CV14" i="4"/>
  <c r="CV13" i="4"/>
  <c r="CV11" i="4"/>
  <c r="CV10" i="4"/>
  <c r="CV9" i="4"/>
  <c r="CV8" i="4"/>
  <c r="CV7" i="4"/>
  <c r="CV6" i="4"/>
  <c r="CV5" i="4"/>
  <c r="CV4" i="4"/>
  <c r="CV3" i="4"/>
  <c r="CV2" i="4"/>
  <c r="CJ11" i="4"/>
  <c r="CJ10" i="4"/>
  <c r="CJ9" i="4"/>
  <c r="CJ8" i="4"/>
  <c r="CJ7" i="7"/>
  <c r="CJ6" i="7"/>
  <c r="CJ11" i="7"/>
  <c r="CJ10" i="7"/>
  <c r="CJ9" i="7"/>
  <c r="CJ8" i="7"/>
  <c r="BB15" i="8"/>
  <c r="BB16" i="6"/>
  <c r="BB16" i="5"/>
  <c r="AD15" i="7"/>
  <c r="X15" i="5"/>
  <c r="K15" i="5"/>
  <c r="DT13" i="5" l="1"/>
  <c r="DT12" i="5"/>
  <c r="DT11" i="5"/>
  <c r="DT10" i="5"/>
  <c r="DT9" i="5"/>
  <c r="DT8" i="5"/>
  <c r="DN12" i="5"/>
  <c r="DN13" i="5" l="1"/>
  <c r="DN11" i="5"/>
  <c r="DN10" i="5"/>
  <c r="DN9" i="5"/>
  <c r="DN8" i="5"/>
  <c r="DH11" i="5"/>
  <c r="DH10" i="5"/>
  <c r="DH9" i="5"/>
  <c r="S2" i="10"/>
  <c r="S3" i="10"/>
  <c r="S4" i="10"/>
  <c r="S5" i="10"/>
  <c r="S6" i="10"/>
  <c r="S7" i="10"/>
  <c r="S8" i="10"/>
  <c r="S9" i="10"/>
  <c r="S10" i="10"/>
  <c r="S11" i="10"/>
  <c r="S12" i="10"/>
  <c r="S13" i="10"/>
  <c r="S14" i="10"/>
  <c r="S15" i="10"/>
  <c r="S16" i="10"/>
  <c r="AE16" i="10"/>
  <c r="AE15" i="10"/>
  <c r="AE14" i="10"/>
  <c r="AE13" i="10"/>
  <c r="AE12" i="10"/>
  <c r="AE11" i="10"/>
  <c r="AE10" i="10"/>
  <c r="AE9" i="10"/>
  <c r="AE8" i="10"/>
  <c r="AE7" i="10"/>
  <c r="AE6" i="10"/>
  <c r="AE5" i="10"/>
  <c r="AE4" i="10"/>
  <c r="AE3" i="10"/>
  <c r="AE2" i="10"/>
  <c r="DB13" i="5"/>
  <c r="DB11" i="5"/>
  <c r="DB10" i="5"/>
  <c r="DB9" i="5"/>
  <c r="DB8" i="5"/>
  <c r="CV13" i="5"/>
  <c r="CV11" i="5"/>
  <c r="CV10" i="5"/>
  <c r="CV9" i="5"/>
  <c r="CV8" i="5"/>
  <c r="CP13" i="5"/>
  <c r="CP11" i="5"/>
  <c r="CP10" i="5"/>
  <c r="CP9" i="5"/>
  <c r="CP8" i="5"/>
  <c r="CJ13" i="5"/>
  <c r="Y16" i="10"/>
  <c r="Y15" i="10"/>
  <c r="Y14" i="10"/>
  <c r="Y13" i="10"/>
  <c r="Y12" i="10"/>
  <c r="Y11" i="10"/>
  <c r="Y10" i="10"/>
  <c r="Y9" i="10"/>
  <c r="Y8" i="10"/>
  <c r="Y7" i="10"/>
  <c r="Y6" i="10"/>
  <c r="Y5" i="10"/>
  <c r="Y4" i="10"/>
  <c r="Y3" i="10"/>
  <c r="Y2" i="10"/>
  <c r="M16" i="10"/>
  <c r="M15" i="10"/>
  <c r="M14" i="10"/>
  <c r="M13" i="10"/>
  <c r="M12" i="10"/>
  <c r="M11" i="10"/>
  <c r="M10" i="10"/>
  <c r="M9" i="10"/>
  <c r="M8" i="10"/>
  <c r="M7" i="10"/>
  <c r="M6" i="10"/>
  <c r="M5" i="10"/>
  <c r="M4" i="10"/>
  <c r="M2" i="10"/>
  <c r="G11" i="10"/>
  <c r="G10" i="10"/>
  <c r="G9" i="10"/>
  <c r="G8" i="10"/>
  <c r="G7" i="10"/>
  <c r="G6" i="10"/>
  <c r="G5" i="10"/>
  <c r="G4" i="10"/>
  <c r="G3" i="10"/>
  <c r="G2" i="10"/>
  <c r="G16" i="10"/>
  <c r="G15" i="10"/>
  <c r="G14" i="10"/>
  <c r="G13" i="10"/>
  <c r="G12" i="10"/>
  <c r="CD7" i="8"/>
  <c r="BX7" i="8"/>
  <c r="BX6" i="8"/>
  <c r="BR8" i="8"/>
  <c r="BR16" i="8"/>
  <c r="CD3" i="6"/>
  <c r="CD11" i="1"/>
  <c r="CD10" i="1"/>
  <c r="CD9" i="1"/>
  <c r="CD8" i="1"/>
  <c r="CD11" i="2"/>
  <c r="CD10" i="2"/>
  <c r="CD9" i="2"/>
  <c r="CD8" i="2"/>
  <c r="CD11" i="4"/>
  <c r="CD10" i="4"/>
  <c r="CD9" i="4"/>
  <c r="CD8" i="4"/>
  <c r="CD13" i="5"/>
  <c r="CD11" i="5"/>
  <c r="CD10" i="5"/>
  <c r="CD9" i="5"/>
  <c r="CD8" i="5"/>
  <c r="CD11" i="6"/>
  <c r="CD10" i="6"/>
  <c r="CD9" i="6"/>
  <c r="CD8" i="6"/>
  <c r="CD11" i="7"/>
  <c r="CD10" i="7"/>
  <c r="CD9" i="7"/>
  <c r="CD8" i="7"/>
  <c r="CD11" i="8"/>
  <c r="CD10" i="8"/>
  <c r="CD9" i="8"/>
  <c r="CD8" i="8"/>
  <c r="CD11" i="9"/>
  <c r="CD10" i="9"/>
  <c r="CD9" i="9"/>
  <c r="CD8" i="9"/>
  <c r="BR16" i="9" l="1"/>
  <c r="BR16" i="7"/>
  <c r="BR16" i="6"/>
  <c r="BL16" i="7"/>
  <c r="BX11" i="1"/>
  <c r="BX10" i="1"/>
  <c r="BX9" i="1"/>
  <c r="BX8" i="1"/>
  <c r="BX11" i="2"/>
  <c r="BX10" i="2"/>
  <c r="BX9" i="2"/>
  <c r="BX8" i="2"/>
  <c r="BX11" i="4"/>
  <c r="BX10" i="4"/>
  <c r="BX9" i="4"/>
  <c r="BX8" i="4"/>
  <c r="BX11" i="5"/>
  <c r="BX10" i="5"/>
  <c r="BX9" i="5"/>
  <c r="BX8" i="5"/>
  <c r="BX11" i="6"/>
  <c r="BX9" i="6"/>
  <c r="BX8" i="6"/>
  <c r="BX11" i="7"/>
  <c r="BX10" i="7"/>
  <c r="BX9" i="7"/>
  <c r="BX8" i="7"/>
  <c r="BX11" i="8"/>
  <c r="BX10" i="8"/>
  <c r="BX9" i="8"/>
  <c r="BX8" i="8"/>
  <c r="BX9" i="9"/>
  <c r="BX8" i="9"/>
  <c r="BX11" i="9"/>
  <c r="BX10" i="9"/>
  <c r="BR8" i="9"/>
  <c r="BR15" i="7"/>
  <c r="BL15" i="4"/>
  <c r="BL15" i="9"/>
  <c r="BL15" i="8"/>
  <c r="BL13" i="8"/>
  <c r="BL10" i="6"/>
  <c r="BL15" i="6"/>
  <c r="BL15" i="5"/>
  <c r="BR11" i="2"/>
  <c r="BR10" i="2"/>
  <c r="BR9" i="2"/>
  <c r="BR11" i="1"/>
  <c r="BR10" i="1"/>
  <c r="BR9" i="1"/>
  <c r="BR11" i="9"/>
  <c r="BR10" i="9"/>
  <c r="BR9" i="9"/>
  <c r="BR11" i="8"/>
  <c r="BR10" i="8"/>
  <c r="BR9" i="8"/>
  <c r="BR11" i="7"/>
  <c r="BR10" i="7"/>
  <c r="BR9" i="7"/>
  <c r="BR11" i="6"/>
  <c r="BR10" i="6"/>
  <c r="BR9" i="6"/>
  <c r="BR11" i="5"/>
  <c r="BR10" i="5"/>
  <c r="BR9" i="5"/>
  <c r="BR9" i="4"/>
  <c r="BR11" i="4"/>
  <c r="BR10" i="4"/>
  <c r="AV4" i="8"/>
  <c r="AV4" i="7"/>
  <c r="BL11" i="9"/>
  <c r="BL10" i="9"/>
  <c r="BL9" i="9"/>
  <c r="BL12" i="8"/>
  <c r="BL11" i="8"/>
  <c r="BL13" i="7"/>
  <c r="BL15" i="7"/>
  <c r="BL12" i="7"/>
  <c r="BL11" i="7"/>
  <c r="BL11" i="4"/>
  <c r="BL10" i="4"/>
  <c r="BL9" i="4"/>
  <c r="BL9" i="6"/>
  <c r="BL8" i="6"/>
  <c r="BF9" i="9"/>
  <c r="BF15" i="2"/>
  <c r="BF12" i="2"/>
  <c r="BF11" i="2"/>
  <c r="BB10" i="4"/>
  <c r="E14" i="1"/>
  <c r="AD14" i="2"/>
  <c r="BF10" i="4"/>
  <c r="BF9" i="4"/>
  <c r="BF13" i="5"/>
  <c r="BF8" i="6"/>
  <c r="BF10" i="6"/>
  <c r="BF9" i="6"/>
  <c r="BF10" i="9"/>
  <c r="BF15" i="8"/>
  <c r="BF12" i="8"/>
  <c r="BF11" i="8"/>
  <c r="BF15" i="7"/>
  <c r="BF12" i="7"/>
  <c r="BF11" i="7"/>
  <c r="BB12" i="8"/>
  <c r="BB11" i="8"/>
  <c r="AV12" i="8"/>
  <c r="AV11" i="8"/>
  <c r="AP12" i="8"/>
  <c r="AP11" i="8"/>
  <c r="AJ15" i="8"/>
  <c r="AJ9" i="8"/>
  <c r="AJ6" i="8"/>
  <c r="AD15" i="8"/>
  <c r="AD9" i="8"/>
  <c r="X15" i="8"/>
  <c r="X12" i="8"/>
  <c r="X11" i="8"/>
  <c r="X9" i="8"/>
  <c r="BB15" i="7"/>
  <c r="BB12" i="7"/>
  <c r="BB11" i="7"/>
  <c r="AV12" i="7"/>
  <c r="AV11" i="7"/>
  <c r="AP3" i="7"/>
  <c r="AJ15" i="7"/>
  <c r="AJ8" i="7"/>
  <c r="AD8" i="7"/>
  <c r="X12" i="7"/>
  <c r="X11" i="7"/>
  <c r="X8" i="7"/>
  <c r="BB8" i="6"/>
  <c r="BB10" i="6"/>
  <c r="BB9" i="6"/>
  <c r="AV10" i="6"/>
  <c r="AV8" i="6"/>
  <c r="X8" i="6"/>
  <c r="X12" i="6"/>
  <c r="X11" i="6"/>
  <c r="AD12" i="6"/>
  <c r="AD11" i="6"/>
  <c r="AJ11" i="6"/>
  <c r="AJ12" i="6"/>
  <c r="BB9" i="4"/>
  <c r="AV8" i="4"/>
  <c r="AV12" i="4"/>
  <c r="AV11" i="4"/>
  <c r="AV10" i="4"/>
  <c r="AV9" i="4"/>
  <c r="AJ12" i="4"/>
  <c r="AJ11" i="4"/>
  <c r="AP11" i="4" s="1"/>
  <c r="AJ3" i="4"/>
  <c r="X12" i="4"/>
  <c r="X11" i="4"/>
  <c r="X8" i="4"/>
  <c r="E13" i="1"/>
  <c r="AP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Aelton de Jesus Nunes</author>
  </authors>
  <commentList>
    <comment ref="BC1" authorId="0" guid="{E73A1648-98A8-4FFC-BDE7-3B15C5FD2DE8}" shapeId="0" xr:uid="{00000000-0006-0000-0400-000001000000}">
      <text>
        <r>
          <rPr>
            <b/>
            <sz val="9"/>
            <color indexed="81"/>
            <rFont val="Segoe UI"/>
            <family val="2"/>
          </rPr>
          <t>Aelton de Jesus Nunes:</t>
        </r>
        <r>
          <rPr>
            <sz val="9"/>
            <color indexed="81"/>
            <rFont val="Segoe UI"/>
            <family val="2"/>
          </rPr>
          <t xml:space="preserve">
Hoje 5/fev é Quarta de Cinzas. Segunda e terça foi feriado.
</t>
        </r>
      </text>
    </comment>
    <comment ref="T15" authorId="0" guid="{9D422BD4-E25A-430D-A558-1C99379AAB0C}" shapeId="0" xr:uid="{00000000-0006-0000-0400-000002000000}">
      <text>
        <r>
          <rPr>
            <b/>
            <sz val="9"/>
            <color indexed="81"/>
            <rFont val="Segoe UI"/>
            <family val="2"/>
          </rPr>
          <t>Aelton de Jesus Nunes:</t>
        </r>
        <r>
          <rPr>
            <sz val="9"/>
            <color indexed="81"/>
            <rFont val="Segoe UI"/>
            <family val="2"/>
          </rPr>
          <t xml:space="preserve">
Remanejamento de 11 estantes da sala 3.25 e mais 3 estantes da sala 3.35.
Total: 583 caixas.
</t>
        </r>
      </text>
    </comment>
    <comment ref="BJ17" authorId="0" guid="{A7634FBC-3F09-43CF-AB52-8578686BB3B5}" shapeId="0" xr:uid="{00000000-0006-0000-0400-000003000000}">
      <text>
        <r>
          <rPr>
            <b/>
            <sz val="9"/>
            <color indexed="81"/>
            <rFont val="Segoe UI"/>
            <family val="2"/>
          </rPr>
          <t>Aelton de Jesus Nunes:</t>
        </r>
        <r>
          <rPr>
            <sz val="9"/>
            <color indexed="81"/>
            <rFont val="Segoe UI"/>
            <family val="2"/>
          </rPr>
          <t xml:space="preserve">
Resultado total de caixas.
</t>
        </r>
      </text>
    </comment>
  </commentList>
</comments>
</file>

<file path=xl/sharedStrings.xml><?xml version="1.0" encoding="utf-8"?>
<sst xmlns="http://schemas.openxmlformats.org/spreadsheetml/2006/main" count="937" uniqueCount="321">
  <si>
    <t>Caixas consultadas em pesquisa de desarquivamento</t>
  </si>
  <si>
    <t>Caixas separadas para classificação</t>
  </si>
  <si>
    <t>Processos/Documentos classificados</t>
  </si>
  <si>
    <t>Caixas separadas para eliminação</t>
  </si>
  <si>
    <t>Caixas inventariadas</t>
  </si>
  <si>
    <t>Processos/documentos inventariados</t>
  </si>
  <si>
    <t>Orientação técnica / atendimentos realizados</t>
  </si>
  <si>
    <t>Caixas remanejadas</t>
  </si>
  <si>
    <t>Documentos administrativos produzidos (Despacho, Nota Técnica, minutas diversas)</t>
  </si>
  <si>
    <t>INDICADORES</t>
  </si>
  <si>
    <t>OBSERVAÇÃO</t>
  </si>
  <si>
    <t xml:space="preserve">OUTRA ATIVIDADE. QUAL? </t>
  </si>
  <si>
    <t xml:space="preserve">ATESTADO MEDICO </t>
  </si>
  <si>
    <t>Processos/Documentos listados para eliminação</t>
  </si>
  <si>
    <t>reorganização de caixas nas novas estantes fixas da Sl 3.25 (Dnit)</t>
  </si>
  <si>
    <t>esvaziamento das estantes embutidas</t>
  </si>
  <si>
    <t>resposta à pesquisadora da LBA por e-mail</t>
  </si>
  <si>
    <t>Verificação de 30 caixas  para eliminação</t>
  </si>
  <si>
    <t>Verificação de 20 caixas  para eliminação</t>
  </si>
  <si>
    <t>Verificação de 25 caixas  para eliminação</t>
  </si>
  <si>
    <t>Verificação de 40 caixas  para eliminação</t>
  </si>
  <si>
    <t>Caixas listadas para eliminação</t>
  </si>
  <si>
    <t>Pesquisa sobre Relatórios e outros  documentos da LBA.</t>
  </si>
  <si>
    <t>Conferência de processos recebidos da DIPRO</t>
  </si>
  <si>
    <t>CONFERECIA DOS PROCESSOS RECEBIDOS PELA DIPRO</t>
  </si>
  <si>
    <t xml:space="preserve">Fui no Bloco A buscar os Kits  e ajudar a procurar uma pasta funcional </t>
  </si>
  <si>
    <t>Guardamos  44 caixas  para eliminação</t>
  </si>
  <si>
    <t>Reunião com Min da Prev (devolução das cx da Ouvidoria)</t>
  </si>
  <si>
    <t>Despacho SEI nº 16595682 feito / Conferência da Guia de Transferência 16582022</t>
  </si>
  <si>
    <t>Inserção da Guia de Transf  16582022 na planilha de controle</t>
  </si>
  <si>
    <t>28fv</t>
  </si>
  <si>
    <t>CONFERECIA DOS PROCESSOS RECEBIDOS PELA DIPRO mais 79 guias digitalizadas</t>
  </si>
  <si>
    <t>79 guias de tranferencia inseridas no SEI.</t>
  </si>
  <si>
    <t xml:space="preserve">CONFERECIA DOS PROCESSOS RECEBIDOS PELA DIPRO </t>
  </si>
  <si>
    <t xml:space="preserve">continuei a atividade de passa a guia do SEI para o EXCEL  da planilha GUIA DE TRANFERENCIA </t>
  </si>
  <si>
    <t>Guardamos 40 caixas para eliminação</t>
  </si>
  <si>
    <t xml:space="preserve">Procurar no acervos a caixa do carro da LBA que não foi indentifica na retiada do processo </t>
  </si>
  <si>
    <t>Caixas conferidas</t>
  </si>
  <si>
    <t>Supervisão da conferênica das caixas da Ouvidoria do MPS</t>
  </si>
  <si>
    <t>conferênica das caixas da Ouvidoria do MPS</t>
  </si>
  <si>
    <t>Inventário caixas "Arquivo Central"</t>
  </si>
  <si>
    <t xml:space="preserve">Pesquisa e busca processo da CGLA Nº 71000.074895/2024-42 da Guia 16112715 </t>
  </si>
  <si>
    <t>Pesquisa e busca processo da CGLA Nº 71000.074895/2024-42 da Guia 16112717</t>
  </si>
  <si>
    <t>Pesquisa e busca processo da CGLA Nº 71000.074895/2024-42 da Guia 16112718 e o do MESP 58701.005912/2012-01</t>
  </si>
  <si>
    <t>Pesquisa e busca processo da CGLA Nº 71000.074895/2024-42 da Guia 16112718 e o do MESP 58701.005912/2012-02</t>
  </si>
  <si>
    <t>Pesquisa e busca processo da CGLA Nº 71000.074895/2024-42 da Guia 16112718 e o do MESP 58701.005912/2012-03</t>
  </si>
  <si>
    <t>Pesquisa e busca processo da CGLA Nº 71000.074895/2024-42 da Guia 16112718 e o do MESP 58701.005912/2012-04</t>
  </si>
  <si>
    <t xml:space="preserve">GUARDA DE 30 CAIXAS NA SALA 3.60 DAS CONFERENCIA E RETIRADA DE MAIS </t>
  </si>
  <si>
    <t>Conferência de processos recebidos da DIPRO / Procurando os processo da CEOF</t>
  </si>
  <si>
    <t>Conferência de processos recebidos da DIPRO / Guardamos  30 caixas</t>
  </si>
  <si>
    <t xml:space="preserve">Procurar no acervos a caixa do carro da LBA que não foi indentifica na retirada do processo </t>
  </si>
  <si>
    <t>férias</t>
  </si>
  <si>
    <t>RECESSO DE ANO NOVO</t>
  </si>
  <si>
    <t xml:space="preserve">Retirada de divisoria </t>
  </si>
  <si>
    <t>RECESSO DE FIM DE ANO</t>
  </si>
  <si>
    <t xml:space="preserve">REALOCAMENTO DE CAIXAS PARA A RETIRADA DE DIVISORIAS </t>
  </si>
  <si>
    <t>TOTAL SEMANA</t>
  </si>
  <si>
    <t>Conferencia de 32 processos recebidos</t>
  </si>
  <si>
    <t>Reorganização de 56 caixas do M23, E1 e E2</t>
  </si>
  <si>
    <t>Verificação de 4 documentos sem Guia 
vindos da DIPRO.</t>
  </si>
  <si>
    <t>Verificação de 5 documentos sem Guia 
vindos da DIPRO.</t>
  </si>
  <si>
    <r>
      <rPr>
        <u/>
        <sz val="11"/>
        <color theme="1"/>
        <rFont val="Aptos Narrow"/>
        <family val="2"/>
        <scheme val="minor"/>
      </rPr>
      <t>63 arquivamentos</t>
    </r>
    <r>
      <rPr>
        <sz val="11"/>
        <color theme="1"/>
        <rFont val="Aptos Narrow"/>
        <family val="2"/>
        <scheme val="minor"/>
      </rPr>
      <t xml:space="preserve"> vindos da DIPRO sem Guia.</t>
    </r>
  </si>
  <si>
    <t>Pesquisa e busca pasta funcional</t>
  </si>
  <si>
    <t>Pesquisa e busca 5 pastas funcionais</t>
  </si>
  <si>
    <t xml:space="preserve"> PESQUISA E BUSCA - Solicitacão de retirada de veiculo do patio da Agenda da Previdencia Social de Vitoria da
Conquista - BA.
</t>
  </si>
  <si>
    <r>
      <rPr>
        <u/>
        <sz val="11"/>
        <color theme="1"/>
        <rFont val="Aptos Narrow"/>
        <family val="2"/>
        <scheme val="minor"/>
      </rPr>
      <t>17 arquivamentos</t>
    </r>
    <r>
      <rPr>
        <sz val="11"/>
        <color theme="1"/>
        <rFont val="Aptos Narrow"/>
        <family val="2"/>
        <scheme val="minor"/>
      </rPr>
      <t xml:space="preserve"> vindos da DIPRO sem Guia.
E 
 PESQUISA E BUSCA - Solicitacão de retirada de veiculo do patio da Agenda da Previdencia Social de Vitoria da
Conquista - BA.
</t>
    </r>
  </si>
  <si>
    <t>Criação de 02 caixas novas. Armazenadas bl A M86/E04</t>
  </si>
  <si>
    <t>1 Guia de Tranferência recebida com 249 documentos.</t>
  </si>
  <si>
    <t>Remanejamento de 3 estantes do G-15, devido infiltração de água.
Total: 161 caixas.
Sendo 16 molhadas, que foram trocadas por caixas novas.</t>
  </si>
  <si>
    <t>1 Guia de Transferência com 9 documentos arquivados.
13 caixas do DEFNAS conferidas para arquivamento.</t>
  </si>
  <si>
    <t>Recebimento de 7 Guias de Transferência FÍSICA com 70 caixas.
Arquivamento de 1 processo sem Guia vindos da DIPRO.</t>
  </si>
  <si>
    <t>Pesquisa em Planilhas - Pesquisa sobre o 1º e o último documento que entrou no Arquivo MDS e MESP.
Saber o mais antigo e o mais recente.
Arquivamento de 1 processo sem Guia vindos da DIPRO.</t>
  </si>
  <si>
    <t>Separação de 70 caixas nos carrinhos para destino DAP/DEFNAS.
Atualização planilha de ramais.
Arquivamento 3 processos sem Guia.</t>
  </si>
  <si>
    <t>1 guia de Transferência da COAP/MDS com 48 itens arquivados.
Arquivamento de 4 processos sem Guia vindo da DIPRO.</t>
  </si>
  <si>
    <t>Procura da localização das caixas
1180 a 1183 da COAP/MDS.
Atualização localização 
Sl. 3.25 - E24, 25 e E26</t>
  </si>
  <si>
    <t>Arquivamento de 3 processos e 2 documentos vindos da DIPRO sem Guia.
Atualização localização 
Sl. 3.25 - E24, 25 e E26</t>
  </si>
  <si>
    <t xml:space="preserve">Criação Despacho -  Envio de 70 caixas -  2831 a 2900 em 10/01/2025
e recebimento, coferência de 70 caixas 2761 a 2830
(Sala 3.25, Módulo 7).
</t>
  </si>
  <si>
    <r>
      <t xml:space="preserve">Esvaziamento 3 estantes para remoção das estantes divisória de madeira - Sala 3.71.
</t>
    </r>
    <r>
      <rPr>
        <u/>
        <sz val="11"/>
        <color theme="1"/>
        <rFont val="Aptos Narrow"/>
        <family val="2"/>
        <scheme val="minor"/>
      </rPr>
      <t>Mais 11 arquivamentos</t>
    </r>
    <r>
      <rPr>
        <sz val="11"/>
        <color theme="1"/>
        <rFont val="Aptos Narrow"/>
        <family val="2"/>
        <scheme val="minor"/>
      </rPr>
      <t xml:space="preserve"> de processos 
sem Guia vindos da DIPRO.
Mais 4 arquivamentos da DOAP/MDS.</t>
    </r>
  </si>
  <si>
    <t xml:space="preserve">
8 pesquisas
SEI - Busca localização dos processos digitalizados que estavam na 
DIPRO</t>
  </si>
  <si>
    <t>8 pesquisas
SEI - Busca localização dos processos digitalizados que estavam na 
DIPRO
 Pesquisa da pasta funcional do servidor MESP</t>
  </si>
  <si>
    <t>Pesquisa sobre Relatórios e outros  documentos da LBA.
Arquivamento documentos da DITRAN.</t>
  </si>
  <si>
    <t>Pesquisa e movimentação de documentos de  que estavam na sala 4.47 fora da caixa correspondente.
Destes 6 foram arquivados em outra caixa.</t>
  </si>
  <si>
    <t>7 pesquisas
SEI - Busca localização dos processos digitalizados que estavam na 
DIPRO.
Pesquisa e movimentação de documentos de  que estavam na sala 4.47 fora da caixa.
Arquivamento de 5 documentos e 1 processo.</t>
  </si>
  <si>
    <t>Conferênica das caixas da Ouvidoria do MPS.
Listagem dos carrinhos de carga DNIT com foto e patrimônio, enviado para o Marcelo em PDF, via Whatsapp.</t>
  </si>
  <si>
    <t>Desarquivamento - 1 do DEFNAS, 2 da DIDEPRO/CPMT.</t>
  </si>
  <si>
    <t xml:space="preserve">Criação de comprovante de Recebimento.
2 pesquisas
SEI - Busca localização dos processos digitalizados que estavam na 
DIPRO.
Atualização planilha de Indicadores
de janiero/2025 até hoje 06/03/2025
</t>
  </si>
  <si>
    <t>Resposta a demanda de desarquivamento realizada por meio do SEI nº 16489491</t>
  </si>
  <si>
    <t>Resposta a demanda de desarquivamento realizada por meio do SEI nº 16512241</t>
  </si>
  <si>
    <t>Atualização planilha de Indicadores
de janiero/2025 até hoje 06/03/2025.
Criação documento, Folha de Ponto do Carlos.
3 Pesquisas -
SEI - Busca localização dos processos digitalizados que estavam na 
DIPRO.</t>
  </si>
  <si>
    <t>conferênica de caixas da Ouvidoria do MPS</t>
  </si>
  <si>
    <t xml:space="preserve">movimentação de  150 caixas para a sala 4.47 e fazendo paletes </t>
  </si>
  <si>
    <t>retirada das divisórias com estantes embutidas da Sala 3.25 (Dnit)</t>
  </si>
  <si>
    <t>Criação de 01 nova caixa Nº 52, com espelho. Armazenada M 86 E 4</t>
  </si>
  <si>
    <t>Arquvimento do processo MESP nº 58701.0007672/2013-51 M 87 E01 CX 54</t>
  </si>
  <si>
    <t>Criação de 01 nova caixa Nº 51, com espelho. Armazenada M 86 E 4</t>
  </si>
  <si>
    <t xml:space="preserve">movimentação  total de 20 caixas da 4.47 P/ sala P/ fazer </t>
  </si>
  <si>
    <t xml:space="preserve">movimentação  de   total de 20 caixas da 4.47 para sala para fazer </t>
  </si>
  <si>
    <t xml:space="preserve">movimentação de  94 caixas para a sala 4.47 e fazendo paletes </t>
  </si>
  <si>
    <t xml:space="preserve">a notar o endereço nas caixas e a movimentação  total de 107 caixas da 4.47 P/ sala P/ fazer </t>
  </si>
  <si>
    <t>Recebimento de Documentos - Guia de Transferência</t>
  </si>
  <si>
    <t>Retorno de Processos/Documentos Desarquivados</t>
  </si>
  <si>
    <t xml:space="preserve">
2 Pesquisas
SEI - Busca localização dos processos digitalizados que estavam na 
DIPRO.
Pesquisa e busca da pasta funcional de Maria Luiza Nogueira Rangel</t>
  </si>
  <si>
    <t xml:space="preserve">movimentação de  39 caixas para a sala 4.47 e fazendo paletes </t>
  </si>
  <si>
    <t xml:space="preserve">  98 caixas para a sala 4.47 e fazendo paletes </t>
  </si>
  <si>
    <t>feito 11 caixas e  espelhos do inss</t>
  </si>
  <si>
    <t xml:space="preserve">Confraternização dos aniversariantes do mês </t>
  </si>
  <si>
    <t xml:space="preserve">Confraternização dos Aniversariantes do mês  </t>
  </si>
  <si>
    <t>feito 11 caixas e  espelhos do inss    -    Verificando e Destacando as caixas do ano de 2005 a 2007 para eliminação nas salas 4.47 - 3.25 e 3.60</t>
  </si>
  <si>
    <t xml:space="preserve">FALTA </t>
  </si>
  <si>
    <t xml:space="preserve"> </t>
  </si>
  <si>
    <t>11 caixas novas.
Colocação de documentos da OUVIDORIA PREVIDENCIÁRIA que estavam soltos na sala 3.71 em caixas novas.
Mais 2 caixas novas, Caixas sem com processos sem localização que 
estavam na 4.47. Fiz espelho novo.</t>
  </si>
  <si>
    <t>Verificando e Destacando as caixas do ano de 2005 a 2007 para eliminação nas salas 4.47 - 3.25 e 3.60</t>
  </si>
  <si>
    <t xml:space="preserve">fazendo a movimentação e conferencia de 318 caixas do INSS da sala 3.71 para a sala 4.47 e fazendo Paletes </t>
  </si>
  <si>
    <t>Desarquivamento de Processos/Documentos - Saída de Guia Fora</t>
  </si>
  <si>
    <t>02/01 a 03/01/2025</t>
  </si>
  <si>
    <t>06/01 a 10/01/2025</t>
  </si>
  <si>
    <t>13/01 a 17/01/2025</t>
  </si>
  <si>
    <t>20/01/ a 24/01/2025</t>
  </si>
  <si>
    <t>27/01 a 31/01/2025</t>
  </si>
  <si>
    <t>03/02 a 07/02/2025</t>
  </si>
  <si>
    <t>10/02 a 14/02/2025</t>
  </si>
  <si>
    <t>17/02 a 21/02/2025</t>
  </si>
  <si>
    <t>24/02 a 28/02/2025</t>
  </si>
  <si>
    <t xml:space="preserve">05/03 a 07/03/2025 </t>
  </si>
  <si>
    <t xml:space="preserve">10/03 a 14/03/2025 </t>
  </si>
  <si>
    <t xml:space="preserve">17/03 a 21/03/2025 </t>
  </si>
  <si>
    <t>2 Pesquisas
 SEI - Busca localização dos processos digitalizados que estavam na 
DIPRO.
Confraternização Aniversariantes
no Bloco A, às 15h30.</t>
  </si>
  <si>
    <t xml:space="preserve">Fazendo a movimentação e conferencia de 318 caixas do INSS da sala 3.71 para a sala 4.47 e fazendo Paletes </t>
  </si>
  <si>
    <t xml:space="preserve">fazendo a movimentação  de  116 caixas do INSS da sala 3.71 para a sala 4.47 e fazendo Paletes </t>
  </si>
  <si>
    <t xml:space="preserve">Fazendo a movimentação  de  116 caixas do INSS da sala 3.71 para a sala 4.47 e fazendo Paletes </t>
  </si>
  <si>
    <t>ATESTADO DE DOAÇÃO DE SANGUE</t>
  </si>
  <si>
    <t>Elaboração de rotinas de recebimento de Guia de Transf e de retorno de Guia Fora, Conferência de retorno de Guia Fora</t>
  </si>
  <si>
    <t>Desarquivamento e pastal funcional ( Guia fora - Verena barreto dos anjos), recebimento ( Guia devolução de Elisangela Ghiraldo Neves e Denis de Oliveira Braga</t>
  </si>
  <si>
    <t>3 pesquisas de processos físicos, se retornaram para DIARQ.</t>
  </si>
  <si>
    <t xml:space="preserve">fazendo a Conferencia  de  196 caixas do INSS na sala 4.47 que estão nos Paletes </t>
  </si>
  <si>
    <t>separação das caixas para eliminação nos acervos, sala 3.61</t>
  </si>
  <si>
    <t>Orientação Técnica, via telefone, para o Colaborador
 Rodrigo da CCLIC, que trata de Guia de Transferência.</t>
  </si>
  <si>
    <t xml:space="preserve">atualizando a planilha no sei, das  caixas do INSS </t>
  </si>
  <si>
    <t>Criação 
1 caixa nova.</t>
  </si>
  <si>
    <t xml:space="preserve">fazendo a Conferencia  do restante das  caixas do INSS na sala 4.47 que estão nos Paletes </t>
  </si>
  <si>
    <t>Guarda das caixas feita  no dia anterios e separação das caixas para eliminação nos acervos, sala 3.61</t>
  </si>
  <si>
    <t>Diminução da produção de Despachos
devido ser necessário pesquisa e criação de caixa nova.</t>
  </si>
  <si>
    <t>Criação 
9 caixa nova.</t>
  </si>
  <si>
    <t xml:space="preserve">atualizando e realizando alterações referente  a planilha no sei, das  caixas do INSS </t>
  </si>
  <si>
    <t>Orientação  telefone, para o Colaborador
 Rodrigo da CCLIC, que trata de Guia de Transferência.</t>
  </si>
  <si>
    <t>Diminução da produção de Despachos
devido ser necessário pesquisa.</t>
  </si>
  <si>
    <t>Informo, que o Danilo já tinha incluído Despachos 
em alguns processos para adiantar, então os 6 Despachos que preenchi o SEI não vai computar.</t>
  </si>
  <si>
    <t>Fazendo 10 espelhos de caixa</t>
  </si>
  <si>
    <t xml:space="preserve">concluido todos os despachos </t>
  </si>
  <si>
    <t>Acompanhamento de serviço pela empresa Atlântico passando fio pelo teto no arquivo sala 3.61</t>
  </si>
  <si>
    <t>Guarda das caixas feita  no dia anterios e separação das caixas para elimi nação nos acervos, sala 3.61 e 3.71</t>
  </si>
  <si>
    <t>Acompanhamento de serviço da empresa Atlântico passando fios pelo teto do arquivo sala 3.61</t>
  </si>
  <si>
    <t xml:space="preserve">atualizando a planilha no sei, a pedido da Patricia </t>
  </si>
  <si>
    <t>Procura de 3 caixas nos Paletes na sala  4.47</t>
  </si>
  <si>
    <t xml:space="preserve">24/03 a 28/03/2025 </t>
  </si>
  <si>
    <t xml:space="preserve">1. Correção de 22 Despachos DIARQ - 
corrigindo a localização.
2. Organização documentos DIARQ nas pastas - Guia Fora, Guias de Transferência SEI, Guias de Transferência Física CGPC e Comprovante de Arquivamento.
3. Realocação - 
Caixa do Ministério da Cultura sem localização.
4. Movimentação de 7 documentos que estavam sem localização.
</t>
  </si>
  <si>
    <t xml:space="preserve">
Total 12 documentos
Movimentação de documentos  que estavam na sala 4.47 fora da caixa correspondente.</t>
  </si>
  <si>
    <t>56 caixas listadas para eliminaçõa. Guarda das caixas feita  no dia anterios e separação das caixas para elimi nação nos acervos, sala  3.71 E 4.47</t>
  </si>
  <si>
    <t>56 caixas listadas para eliminaçõa. Guarda das caixas feita  no dia anterios e separação das caixas para eliminação nos acervos, sala  3.71 E 4.47</t>
  </si>
  <si>
    <t>56 caixas listadas para eliminaçõa. Acompanhamento de contagem de lâmpadas efetuada  pela empresa Engemil nas  salas(s-3.11, s-371, s-3.25, s-3.61, e s.4.47)</t>
  </si>
  <si>
    <t>56 caixas listadas para eliminaçõa.</t>
  </si>
  <si>
    <t>54 caixas listadas para eliminaçõa. Guarda das caixas feita  no dia anterios e separação das caixas para eliminação nos acervos, sala  3.71, 3.61 E 4.47</t>
  </si>
  <si>
    <t xml:space="preserve">Orientação das atividades e rotinas do setor para o Alessandro </t>
  </si>
  <si>
    <t xml:space="preserve">DIGITALIZAÇÃO DE 03 GUIAS FORA PARA SEREM ANEXADOS AOS PROCESSOS CORRESPONDENTES </t>
  </si>
  <si>
    <t>1. Orientação Técnica, via telefone, para o Colaborador
 Rodrigo da CCLIC, que trata de Guia de Transferência.
2. Pesquisa demanda 
LBA 
Destino do patrimônio da LBA, especialmente em relação ao imóvel situado na Avenida Caminho de Areia, nº 251, Caminho de Areia, Salvador/BA, CEP 40440-360</t>
  </si>
  <si>
    <t xml:space="preserve">PESQUISAS DE PROCESSO LBA SENDO NECESSÁRIO  MANUSEAR PARA 315 PARA VERIFICAR O ESPELHO </t>
  </si>
  <si>
    <t xml:space="preserve">BUSCAS DE CAIXAS REALIZADAS REFERENTE AO PROCESSO NUP 71000.031274/2025-55 (LBA )/  E PROCESSO FISICIO N 71000.032504/2016-11 </t>
  </si>
  <si>
    <t xml:space="preserve"> 1.  Pesquisa demanda 
LBA 
Destino do patrimônio da LBA, especialmente em relação ao imóvel situado na Avenida Caminho de Areia, nº 251, Caminho de Areia, Salvador/BA, CEP 40440-360.
2. Orientação para o Danilo e Alessandro sobre como pesquisar processos.</t>
  </si>
  <si>
    <t>ATESTADO MEDICO</t>
  </si>
  <si>
    <t>REUNIÃO DE EQUIPE</t>
  </si>
  <si>
    <t xml:space="preserve">separação e conferecias de caixas na sala 4.47 com a Patricia </t>
  </si>
  <si>
    <t xml:space="preserve">BUSCAS DE CAIXA REALIZADA  PROCESSO FISICIO N 71000.032504/2016-11 </t>
  </si>
  <si>
    <t xml:space="preserve">REUNIÃO </t>
  </si>
  <si>
    <t>1. Orientação para o Danilo e Alessandro
 sobre como pesquisar processos nas planilhas do Esporte e MDS.
2. pesquisa e busca localização retorno do porcesso 44005.01138/2001-41</t>
  </si>
  <si>
    <t>1. Pesquisa e busca por processo 
referente ao  214/95 (SIAFI nº 138116)
FUNDESPORTE.
2. Pesquisa de 3 processos na Guia de Transferência física da CCONT para eliminação.
3. Arquivamento</t>
  </si>
  <si>
    <t>Caixas remanejada</t>
  </si>
  <si>
    <t xml:space="preserve">separação, conferecias e movimentação das caixasda ARCEN para ser feitas -  procurando a chave, fomos varias vezes no protocolo para tentar localizar </t>
  </si>
  <si>
    <t>consulta e pesquisa de caixas na sala G-07 e G-17 P/ Patricia, marcelo e Diego</t>
  </si>
  <si>
    <t>1. Pesquisa e busca por processo 
referente ao  214/95 (SIAFI nº 138116)
FUNDESPORTE.
2. Pesquisa e busca sobre o retorno do processo 58701.001122/2008-61</t>
  </si>
  <si>
    <t xml:space="preserve">GUARDAMOS 52 CAIXAS </t>
  </si>
  <si>
    <t>consulta e pesquisa de caixas na sala G-07  Para  Diego</t>
  </si>
  <si>
    <t xml:space="preserve">  Pesquisa e busca por processo 
referente ao  214/95 (SIAFI nº 138116)
FUNDESPORTE.</t>
  </si>
  <si>
    <t xml:space="preserve"> Aniversario do Pedro</t>
  </si>
  <si>
    <t xml:space="preserve">PESQUIANDO NUP PARA FAZER DESPACHOS  </t>
  </si>
  <si>
    <t xml:space="preserve"> 1. Pesquisa e busca por processo 
referente ao  214/95 (SIAFI nº 138116)
FUNDESPORTE.
2. Psquisa e busca pelo último volume do processo 71000. 003125/2005-52</t>
  </si>
  <si>
    <t>consulta e pesquisa do processo 23132.000438/1995-22</t>
  </si>
  <si>
    <t>consulta e pesquisa de caixas na sala G-15  Para  Diego</t>
  </si>
  <si>
    <t>parte da manhã procuran volume 56 do processo 71000.003125/2005-52 para eliminação</t>
  </si>
  <si>
    <t>pesquisa e consulta   de 29 caixas na sala G-07  Para  Aelton   Guia - 16321705</t>
  </si>
  <si>
    <t xml:space="preserve">PESQUISA  DO VOLUME 56  DO PROCESSO 71000.003125/2005-52 NO PERIODO MATUTINO </t>
  </si>
  <si>
    <t>MONTANDO O PALETE DAS CAIXAS 028.11</t>
  </si>
  <si>
    <t xml:space="preserve">PROCURANDO CAIXAS PARA ELIMINAÇÃO </t>
  </si>
  <si>
    <t xml:space="preserve">LANCHE NO DNIT A TARDE </t>
  </si>
  <si>
    <t>Procura da caixa 139-B nos modulos 57,58,60,61 na sala G-07 para o Diego</t>
  </si>
  <si>
    <t>X</t>
  </si>
  <si>
    <t>1.  Pesquisa sobre localização  da 
documentação da servidora 
Verena Barreto dos Anjos.
2. Digitalização das Guias de Tramitação do Protocolo.
3. Compilação planilhas processos vindos da DIPRO.
4.  Pesquisa e busca por processo 
referente ao  214/95 (SIAFI nº 138116)
FUNDESPORTE.
23132.000438/95-22</t>
  </si>
  <si>
    <t xml:space="preserve">   Pesquisa e busca por processo 
referente ao  214/95 (SIAFI nº 138116)
FUNDESPORTE.
23132.000438/95-22</t>
  </si>
  <si>
    <t xml:space="preserve">PROCURANDO O PROCESSO  nº 23132.000438/95-22 NO BLOCO A </t>
  </si>
  <si>
    <t xml:space="preserve">PROCURANDO O PROCESSO  nº 23132.000438/95-22 NO BLOCO A  DE MANHA </t>
  </si>
  <si>
    <t xml:space="preserve">SEPARADO 81 CAIXAS DO MINISTERIO DA JUSTIÇA PRA DEVOLVER </t>
  </si>
  <si>
    <t xml:space="preserve">consulta atarde </t>
  </si>
  <si>
    <t xml:space="preserve">separação de caixas para eliminação </t>
  </si>
  <si>
    <t xml:space="preserve">verificação e fazer planilha no sei das caixas do ministerio da justiça </t>
  </si>
  <si>
    <t xml:space="preserve">correção da planilha no sei das caixas do ministerio da justiça </t>
  </si>
  <si>
    <t>Pesquisa e busca por processo da LBA da caixa 197</t>
  </si>
  <si>
    <t>FERIADO</t>
  </si>
  <si>
    <t xml:space="preserve">PROCURANDO CAIXAS PARA ELIMINAÇÃO O DIA TODO, OLHANDO EMAIL E SEI </t>
  </si>
  <si>
    <t xml:space="preserve">PROCURANDO CAIXAS PARA ELIMINAÇÃO O DIA TODO, OLHANDO O     E-MAIL E O SEI </t>
  </si>
  <si>
    <t xml:space="preserve">PROCURANDO O PROCESSO  nº 23132.000438/95-22 NO BLOCO A 170 cx </t>
  </si>
  <si>
    <t>FOTOS DA LBA</t>
  </si>
  <si>
    <t xml:space="preserve"> 1. Pesquisa e busca por processo da 
LBA da caixa 197.
2. Pesquisa e busca por caixas do Ministério da Justiça.
3. Pesquisa e busca caixas da CCONT - 
CAIXAS 1391 a 1395.
4. Pesquisa e busca por 2 pastas funcional -  71000.041222/2025-97
</t>
  </si>
  <si>
    <t xml:space="preserve">RECEBIMENTO DE DOCUMENTO DA SENARC </t>
  </si>
  <si>
    <t xml:space="preserve">PROCURANDO MATERIAL NO ACERVO DA  LBA PARA TIRAR FOTOS </t>
  </si>
  <si>
    <t>1. Pesquisa e busca caixas da CCONT - 
CAIXAS 1391 A 1395.
2. Pesquisa e busca por processo da LBA da caixa .
3. Instrução de Desarquivamento para o Alessandro.</t>
  </si>
  <si>
    <t>PESQUISANDO CAIXAS PARA ELIMINAÇÃO O DIA TODO</t>
  </si>
  <si>
    <t xml:space="preserve">ENTERRO DO MEU PRIMO </t>
  </si>
  <si>
    <t xml:space="preserve"> Guarda de  21 caixas de eliminação  feita  no dia anterios levada da sala 3.11 para o acervos 4.47 e feito PALETES </t>
  </si>
  <si>
    <t>PROCURANDO O PROCESSO DA CGCEB DE 03 VOLUMES</t>
  </si>
  <si>
    <t>245 documentos recebidos.</t>
  </si>
  <si>
    <t>Atualizando planilhas com 
Guias de Transferência.</t>
  </si>
  <si>
    <t xml:space="preserve">Guarda de  21 caixas de eliminação  feita  no dia anterios levada da sala 3.11 para o acervos 4.47 e feito PALETES </t>
  </si>
  <si>
    <t xml:space="preserve">PROCURANDO CAIXAS PARA ELIMINAÇÃO , OLHAMNDO EMAIL E O SEI </t>
  </si>
  <si>
    <t xml:space="preserve">FEITO PALETES NA 4.47 DE 60 CAIXAS </t>
  </si>
  <si>
    <t>recebimento de 07 caixas rh</t>
  </si>
  <si>
    <t>Conferência de 136 pastas funcionais</t>
  </si>
  <si>
    <t xml:space="preserve">busca e separação de caixas para eliminação o dia todo </t>
  </si>
  <si>
    <t xml:space="preserve">MEDIÇÃO DO AQUIVO DESLIZANTE E CONTAGEM DOS MODULOS DANIFICADOS </t>
  </si>
  <si>
    <t>ORIENTAÇÃO DE DESARQUIVAMENTO  DE  PROCESSOS</t>
  </si>
  <si>
    <t>1. Pesquisa sobre documentos
LBA de saúde apartir dos anos 40.
Ref.: E-mail de Bruno Sanches de 24/04/2025.
2. Pesquisa localização caixa da pasta funcional do servidor Pedro Antônio Bavaresco.
Resultado: Caixa 302 COGEP.
3. Total de 5 documetnos realocados para outra caixa.</t>
  </si>
  <si>
    <t xml:space="preserve">ALMOÇO DA EQUIPE </t>
  </si>
  <si>
    <t xml:space="preserve">PESQUISANDO CAIXAS PARA ELIMINAÇÃO O DIA </t>
  </si>
  <si>
    <t>Conferência de 23 pastas funcionais</t>
  </si>
  <si>
    <t xml:space="preserve">Devolução de quatro caixas para coap para correção da guia </t>
  </si>
  <si>
    <t>auxilio para confecção do Despacho nº 179/2025/SE/SAA/CGLA/CDA/DIARQ</t>
  </si>
  <si>
    <t>Pesquisa nos modulos de caixas para eliminaçã</t>
  </si>
  <si>
    <t xml:space="preserve">COLOCADO NA ESTANTE 30 CAIXAS </t>
  </si>
  <si>
    <t xml:space="preserve">1. Resposta e-mail para Higor (CGCEB)
2. Pesquisa processo
71000.536400/2008-62, quais são as caixas deste.
3. Pesquisa sobre documentos
LBA de saúde apartir dos anos 40.
Ref.: E-mail de Bruno Sanches de 24/04/2025.
4. Atualizando planilha com processos e documentos vindos da DIPRO, MAS CONFERINDO Guia por Guia. Total: 100 itens.
</t>
  </si>
  <si>
    <t xml:space="preserve">Arquivamento de 14 caixas no palete de eliminação e pesquisa nos módulos de caixas para eliminação, almoço da equipe </t>
  </si>
  <si>
    <t xml:space="preserve">EXAME PERIDODICO PELA PARTE DA MANHA </t>
  </si>
  <si>
    <t>ALMOÇO DA EQUIPE</t>
  </si>
  <si>
    <t xml:space="preserve">EXAME PERIOTICO NO PERIODO DA TARDE NO EDIFICIOS MONTES </t>
  </si>
  <si>
    <t xml:space="preserve"> 1. CONTINUAÇÃO - Atualizando planilha com processos e documentos vindos da DIPRO,
 MAS CONFERINDO Guia por Guia. Total: 70 itens.
2. Pesquisa localização dos volumes restantes do processo 71000.139446/2014-85 para a eliminação, encontradas as caixas 1392 a 1394 - M3.60 no armário embutido.
3. Pesquisa processo 71000.006991/2014-96 para eliminação. Resultado:  95 volumes.</t>
  </si>
  <si>
    <t>Ponto Facultativo</t>
  </si>
  <si>
    <t>1. Atualização planilha Guias de 
Transferência com 28 itens.</t>
  </si>
  <si>
    <t>CONFERÊNCIA DE 273 PASTAS FUNCIONAIS DA COGEP</t>
  </si>
  <si>
    <t xml:space="preserve">CONSULTA ATARDE </t>
  </si>
  <si>
    <t>auxilio para confecção do Despacho nº 181/2025/SE/SAA/CGLA/CDA/DIARQ</t>
  </si>
  <si>
    <t>FORAM RECOLHIDOS MATERIAIS EM 03 CAIXAS DE EXPEDIENTE NO PROTOCOLO</t>
  </si>
  <si>
    <t>FERIADO RECESSO</t>
  </si>
  <si>
    <t>PONTO - FACULTATIVO</t>
  </si>
  <si>
    <t xml:space="preserve">1. Pesquisa - Solicitação de e-mail do Dhosef 
(DEFNAS/DAP), procurar caixas do ano de 2005 que era da Diretoria para ver se encontra processos para digitalizar.
2.  Envio de e-mail para DISEG - Solicitação de Autorização de Saída das 784 caixas do MPS. </t>
  </si>
  <si>
    <t xml:space="preserve"> 1. Pesquisa - Solicitação de e-mail do Dhosef (DEFNAS/DAP), procurar caixas do ano de 2005 
que era da Diretoria para ver se encontra processos para digitalizar.
2. Curso promoção da Súde Mental e Segurança no Trabalho às 10h30.
3. Folha de Ponto do Carlos.</t>
  </si>
  <si>
    <t xml:space="preserve"> 1. Pesquisa - Solicitação de e-mail do Dhosef (DEFNAS/DAP), 
procurar caixas do ano de 2005 
que era da Diretoria para ver se encontra processos para digitalizar.
2. Pesquisa e busca - Pasta Funcional Pedro Eduardo de Oliveira Silva Neto.
3. Parada, pois o Erick da STI estava tentando fazer funcionar o SISPRO.
</t>
  </si>
  <si>
    <t>1. Ajuda no carregamento das 784 caixas devolvidas ao Ministério da Previdência Social (MPS).
2. Acompanhamento do descarregamento das 784 caixas do MPS no Bloco F.
3. Criação de documento.</t>
  </si>
  <si>
    <t>Ajuda no carregamento das 784 caixas devolvidas ao Ministério da</t>
  </si>
  <si>
    <t>MANUTENÇÃO DO COMPUTADOR PELO ERIK DA STI</t>
  </si>
  <si>
    <t xml:space="preserve"> 1. PROCURANDO CAIXAS PARA ELIMINAÇÃO 
2. FAZENDO DESPACHO DO PROCESSO 71000.048068/2025-84</t>
  </si>
  <si>
    <t xml:space="preserve"> 1. FESTA DOS ANIVERSARIANTES DO MÊS NO BLOCO A  
2. GUARDA DE 2 PASTA FUNCIONAL </t>
  </si>
  <si>
    <t xml:space="preserve">1. Pesquisa - Solicitação de e-mail do Dhosef (DEFNAS/DAP), procurar caixas do ano de 2005 que era da Diretoria para ver se encontra processos para digitalizar.
2. Confraternização CDA no Bloco A.
</t>
  </si>
  <si>
    <t>Pela parte da tarde na sala G07 mais o leandro olhando os arquivos</t>
  </si>
  <si>
    <t>Café da manha da cda</t>
  </si>
  <si>
    <t>Acompanhando no período da tarde Leandro do Esporte na reúnião com a empresa dos deslizantes</t>
  </si>
  <si>
    <t>Café da manhã na DIPRO, período da tarde conferência das caixas da DIPRO totoalizando 06 Caixas com 246 processos</t>
  </si>
  <si>
    <t xml:space="preserve">Procruando caixas para retirar processos de 2005 DEFANS. Total de 52 achados 1 processo retirado para digitalizar </t>
  </si>
  <si>
    <t xml:space="preserve">Remanegamentos ciaxas e encaixotamentos de processos  (061.1) na sala 4.47, perído da tarde fui na podológia </t>
  </si>
  <si>
    <t>PROCURANDO CAIXAS PARA ELIMINAÇÃO</t>
  </si>
  <si>
    <t>ORGANIZAÇÃO DA SALA 4.47</t>
  </si>
  <si>
    <t>36 CAIXAS NOVAS CRIADAS PARA OS DOCUMENTOS 061.1</t>
  </si>
  <si>
    <t xml:space="preserve">ENTREGA DE PROCESSO NO BLOCLO A </t>
  </si>
  <si>
    <t>LIBERADO NO PERIODO DA TARDE PARA AUDIENCIA</t>
  </si>
  <si>
    <t>Buscas dos processos de nº 44005.001892/2002-61 e o nº 44005.000281/2002-04</t>
  </si>
  <si>
    <t>BUSCAR MINHA MÃE NO HOSPITAL Q SAIU DA UTI</t>
  </si>
  <si>
    <t>30 CAIXAS NOVAS CRIADAS PARA OS DOCUMENTOS 061.1</t>
  </si>
  <si>
    <t xml:space="preserve">CONSULTA DE MANHÃ </t>
  </si>
  <si>
    <t xml:space="preserve">01- PROCURANDO CAIXAS PARA ELIMINAÇÃO 
02-FAZENDO DESPACHO DO PROCESSO 71000.048068/2025-84 </t>
  </si>
  <si>
    <t xml:space="preserve">fazendo a separação das caixas q foram p/ eliminação e q irão voltar pro lugar </t>
  </si>
  <si>
    <t>Inventário Caixas
ARCEN</t>
  </si>
  <si>
    <t xml:space="preserve"> Inventário Caixas
ARCEN</t>
  </si>
  <si>
    <t>54 caixas listadas para eliminação. Guarda das caixas feita  no dia anterios e separação das caixas para elimi nação nos acervos, sala  3.71 E 4.47,3.61</t>
  </si>
  <si>
    <t xml:space="preserve">31/03 a 04/04/2025 </t>
  </si>
  <si>
    <t xml:space="preserve">07/04 a 11/04/2025 </t>
  </si>
  <si>
    <t xml:space="preserve">28/04 a 02/05/2025 </t>
  </si>
  <si>
    <t>EXAME NO PERIODO DA MANHÃ</t>
  </si>
  <si>
    <t xml:space="preserve">desmontamos 1 palete para verificação e monta em outro lugar </t>
  </si>
  <si>
    <t xml:space="preserve">05/05 a 09/05/2025 </t>
  </si>
  <si>
    <t xml:space="preserve">12/05 a 16/05/2025 </t>
  </si>
  <si>
    <t xml:space="preserve">19/05 a 23/05/2025 </t>
  </si>
  <si>
    <t xml:space="preserve">26/05 a 30/05/2025 </t>
  </si>
  <si>
    <t xml:space="preserve">14/04 a 18/04/2025 </t>
  </si>
  <si>
    <t xml:space="preserve">FERIADO </t>
  </si>
  <si>
    <t>PONTO FACULTATIVO</t>
  </si>
  <si>
    <t xml:space="preserve">21/04 a 25/04/2025 </t>
  </si>
  <si>
    <t>Transferência de caixas da sala 3.71 para 4.47, para serem eliminação, perído da tarde arrumando e organizando a sala 4.47</t>
  </si>
  <si>
    <t>Fazendo consulta e exames no período da tarde</t>
  </si>
  <si>
    <t>Montagem, configuração e levantamento de quantitativo de caixas/processos a serem eliminados (planilhas excel)</t>
  </si>
  <si>
    <t>Atualização nos Indicadores de Atividades e arrumada (padronizada) nas planilhas(abas)</t>
  </si>
  <si>
    <t>SEI</t>
  </si>
  <si>
    <t>PLANILHA</t>
  </si>
  <si>
    <t xml:space="preserve">Caixas listadas para eliminação </t>
  </si>
  <si>
    <t>SEI, E-MAIL, TELEFONE</t>
  </si>
  <si>
    <t>CONTAGEM INDIVIDUAL (das caixas abertas para verificação de conteúdo em contexto de pesquisa para desarquivamento)</t>
  </si>
  <si>
    <t>CONTAGEM INDIVIDUAL (de caixas deslocadas visando reorganização temporária ou permanente)</t>
  </si>
  <si>
    <t>CONTAGEM INDIVIDUAL (de caixas para simples conferência de quantitativo ou do conteúdo do espelho em atividades diversas)</t>
  </si>
  <si>
    <t>CONTAGEM INDIVIDUAL (das caixas  "puxadas" nas estantes como uma pré-seleção para classificação)</t>
  </si>
  <si>
    <t>CONTAGEM INDIVIDUAL (das caixas "puxadas" nas estantes como uma pré-seleção para eliminação)</t>
  </si>
  <si>
    <t>Apoio no carregamento e acompanhamento do descarregamento das 784 caixas devolvidas ao Ministério da Previdência Social (MPS).</t>
  </si>
  <si>
    <t>Movimentação de 784 caixas do INSS para devolução ao MPS da sala 3.71 para a sala 4.47 (em palete)</t>
  </si>
  <si>
    <t>Pesquisa "solicitacão de retirada de veiculo do patio da Agenda da Previdencia Social de Vitoria da Conquista - BA.</t>
  </si>
  <si>
    <t>Retirada de 3.000 caixas do MESP da Sala G-07 (Bloco A</t>
  </si>
  <si>
    <t>Fonte</t>
  </si>
  <si>
    <t>Revisão de Planilhas Indicadores e de Eliminação</t>
  </si>
  <si>
    <t>Triagem de 58 caixas para eliminação da sala 4.47</t>
  </si>
  <si>
    <t>Reunião à tarde no DNIT com a chefe Patrícia e 
confraternização (volta do Marcelo de férias).</t>
  </si>
  <si>
    <t>Busca por caixas GUIA DE REMESSA para eliminação - Bloco A - G15.</t>
  </si>
  <si>
    <t>Remanejamento de caixas para a eliminação, nova conferência junto com a chefe Patrícia.
Aelton: 100 caixas remanejadas.</t>
  </si>
  <si>
    <t>Remanejamento de caixas para a eliminação, nova conferência junto com a chefe Patrícia.
Aelton: 140 caixas remanejadas.</t>
  </si>
  <si>
    <t>Pela manhã confraternização (aniversário do Diego).</t>
  </si>
  <si>
    <t xml:space="preserve">ANIVESARIO PELA PARTE DA MANHA </t>
  </si>
  <si>
    <t xml:space="preserve">LICENÇA </t>
  </si>
  <si>
    <t xml:space="preserve">ANIVERSARIO NO PERIODO DA MANHA </t>
  </si>
  <si>
    <t>Listando filmes da LBA -DNIT, Sl. 4.47.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</si>
</sst>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name val="Calibri"/>
      <family val="2"/>
    </font>
    <font>
      <b/>
      <sz val="11"/>
      <color theme="1"/>
      <name val="Aptos Narrow"/>
      <family val="2"/>
      <scheme val="minor"/>
    </font>
    <font>
      <u/>
      <sz val="11"/>
      <color theme="1"/>
      <name val="Aptos Narrow"/>
      <family val="2"/>
      <scheme val="minor"/>
    </font>
    <font>
      <sz val="9"/>
      <color indexed="81"/>
      <name val="Segoe UI"/>
      <family val="2"/>
    </font>
    <font>
      <b/>
      <sz val="9"/>
      <color indexed="81"/>
      <name val="Segoe UI"/>
      <family val="2"/>
    </font>
    <font>
      <b/>
      <sz val="9"/>
      <color rgb="FF000000"/>
      <name val="Calibri"/>
      <family val="2"/>
    </font>
    <font>
      <b/>
      <sz val="9"/>
      <color rgb="FF000000"/>
      <name val="Calibri"/>
      <family val="2"/>
    </font>
    <font>
      <sz val="11"/>
      <color rgb="FFFF0000"/>
      <name val="Aptos Narrow"/>
      <family val="2"/>
      <scheme val="minor"/>
    </font>
    <font>
      <b/>
      <sz val="11"/>
      <color rgb="FF0070C0"/>
      <name val="Aptos Narrow"/>
      <family val="2"/>
      <scheme val="minor"/>
    </font>
    <font>
      <sz val="12"/>
      <color rgb="FF000000"/>
      <name val="Calibri"/>
      <family val="2"/>
    </font>
    <font>
      <b/>
      <sz val="16"/>
      <color theme="1"/>
      <name val="Aptos Narrow"/>
      <family val="2"/>
      <scheme val="minor"/>
    </font>
    <font>
      <sz val="11"/>
      <color rgb="FF242424"/>
      <name val="Aptos Narrow"/>
      <family val="2"/>
      <scheme val="minor"/>
    </font>
    <font>
      <b/>
      <sz val="11"/>
      <color theme="1"/>
      <name val="Calibri"/>
      <family val="2"/>
    </font>
  </fonts>
  <fills count="13">
    <fill>
      <patternFill patternType="none"/>
    </fill>
    <fill>
      <patternFill patternType="gray125"/>
    </fill>
    <fill>
      <patternFill patternType="solid">
        <fgColor rgb="FFF2F2F2"/>
        <bgColor rgb="FFEDEDED"/>
      </patternFill>
    </fill>
    <fill>
      <patternFill patternType="solid">
        <fgColor rgb="FFF2F2F2"/>
        <bgColor rgb="FFDDDDDD"/>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DDDDDD"/>
      </patternFill>
    </fill>
    <fill>
      <patternFill patternType="solid">
        <fgColor rgb="FFFFFF00"/>
        <bgColor rgb="FFEDEDED"/>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2" tint="-9.9978637043366805E-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s>
  <cellStyleXfs count="1">
    <xf numFmtId="0" fontId="0" fillId="0" borderId="0"/>
  </cellStyleXfs>
  <cellXfs count="82">
    <xf numFmtId="0" fontId="0" fillId="0" borderId="0" xfId="0"/>
    <xf numFmtId="0" fontId="0" fillId="0" borderId="0" xfId="0" applyAlignment="1">
      <alignment horizontal="center" vertical="center"/>
    </xf>
    <xf numFmtId="16" fontId="0" fillId="0" borderId="0" xfId="0" applyNumberFormat="1" applyAlignment="1">
      <alignment horizontal="center" vertical="center"/>
    </xf>
    <xf numFmtId="0" fontId="1" fillId="2" borderId="1" xfId="0" applyFont="1" applyFill="1" applyBorder="1" applyAlignment="1">
      <alignment horizontal="right" vertical="center" wrapText="1"/>
    </xf>
    <xf numFmtId="0" fontId="1" fillId="3" borderId="1" xfId="0" applyFont="1" applyFill="1" applyBorder="1" applyAlignment="1">
      <alignment horizontal="right" vertical="center" wrapText="1"/>
    </xf>
    <xf numFmtId="0" fontId="1" fillId="2" borderId="0" xfId="0" applyFont="1" applyFill="1" applyAlignment="1">
      <alignment horizontal="right" vertical="center" wrapText="1"/>
    </xf>
    <xf numFmtId="0" fontId="1" fillId="3" borderId="0" xfId="0" applyFont="1" applyFill="1" applyAlignment="1">
      <alignment horizontal="right" vertical="center" wrapText="1"/>
    </xf>
    <xf numFmtId="0" fontId="0" fillId="0" borderId="0" xfId="0"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16" fontId="0" fillId="0" borderId="1" xfId="0" applyNumberFormat="1" applyBorder="1" applyAlignment="1">
      <alignment horizontal="center" vertical="center"/>
    </xf>
    <xf numFmtId="0" fontId="0" fillId="0" borderId="1" xfId="0" applyBorder="1" applyAlignment="1">
      <alignment horizontal="center" vertical="center"/>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xf>
    <xf numFmtId="16" fontId="0" fillId="4" borderId="0" xfId="0" applyNumberFormat="1" applyFill="1" applyAlignment="1">
      <alignment horizontal="center" vertical="center"/>
    </xf>
    <xf numFmtId="0" fontId="0" fillId="4" borderId="0" xfId="0" applyFill="1" applyAlignment="1">
      <alignment horizontal="center" vertical="center"/>
    </xf>
    <xf numFmtId="0" fontId="0" fillId="0" borderId="4" xfId="0" applyBorder="1" applyAlignment="1">
      <alignment horizontal="center" vertical="center" wrapText="1"/>
    </xf>
    <xf numFmtId="0" fontId="0" fillId="0" borderId="0" xfId="0" applyAlignment="1">
      <alignment vertical="center"/>
    </xf>
    <xf numFmtId="0" fontId="0" fillId="5" borderId="0" xfId="0" applyFill="1" applyAlignment="1">
      <alignment horizontal="center" vertical="center"/>
    </xf>
    <xf numFmtId="0" fontId="6" fillId="0" borderId="7" xfId="0" applyFont="1" applyBorder="1" applyAlignment="1">
      <alignment horizontal="center" vertical="center" wrapText="1"/>
    </xf>
    <xf numFmtId="0" fontId="7" fillId="0" borderId="7" xfId="0" applyFont="1" applyBorder="1" applyAlignment="1">
      <alignment horizontal="center" vertical="center" wrapText="1"/>
    </xf>
    <xf numFmtId="0" fontId="2" fillId="0" borderId="0" xfId="0" applyFont="1"/>
    <xf numFmtId="0" fontId="8" fillId="0" borderId="0" xfId="0" applyFont="1" applyAlignment="1">
      <alignment horizontal="center" vertical="center" wrapText="1"/>
    </xf>
    <xf numFmtId="0" fontId="9" fillId="0" borderId="0" xfId="0" applyFont="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6" xfId="0" applyBorder="1" applyAlignment="1">
      <alignment horizontal="center" vertical="center" wrapText="1"/>
    </xf>
    <xf numFmtId="0" fontId="0" fillId="4" borderId="0" xfId="0" applyFill="1"/>
    <xf numFmtId="16" fontId="2" fillId="4" borderId="1" xfId="0" applyNumberFormat="1" applyFont="1"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8" borderId="0" xfId="0" applyFill="1" applyAlignment="1">
      <alignment horizontal="center" vertical="center"/>
    </xf>
    <xf numFmtId="16" fontId="0" fillId="0" borderId="4" xfId="0" applyNumberFormat="1" applyBorder="1" applyAlignment="1">
      <alignment horizontal="center" vertical="center"/>
    </xf>
    <xf numFmtId="0" fontId="0" fillId="9" borderId="0" xfId="0" applyFill="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0" xfId="0" applyAlignment="1">
      <alignment vertical="center" wrapText="1"/>
    </xf>
    <xf numFmtId="16" fontId="0" fillId="0" borderId="11" xfId="0" applyNumberFormat="1"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right" vertical="center" wrapText="1"/>
    </xf>
    <xf numFmtId="0" fontId="10" fillId="0" borderId="0" xfId="0" applyFont="1" applyAlignment="1">
      <alignment vertical="top" wrapText="1"/>
    </xf>
    <xf numFmtId="0" fontId="0" fillId="0" borderId="14" xfId="0" applyBorder="1" applyAlignment="1">
      <alignment horizontal="center" vertical="center"/>
    </xf>
    <xf numFmtId="0" fontId="0" fillId="4" borderId="1"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5" borderId="7" xfId="0" applyFill="1" applyBorder="1" applyAlignment="1">
      <alignment horizontal="center" vertical="center"/>
    </xf>
    <xf numFmtId="0" fontId="0" fillId="5" borderId="7" xfId="0" applyFill="1" applyBorder="1" applyAlignment="1">
      <alignment horizontal="center"/>
    </xf>
    <xf numFmtId="0" fontId="0" fillId="0" borderId="7" xfId="0" applyBorder="1" applyAlignment="1">
      <alignment horizontal="center" vertical="center"/>
    </xf>
    <xf numFmtId="0" fontId="0" fillId="4" borderId="0" xfId="0" applyFill="1" applyAlignment="1">
      <alignment horizontal="center"/>
    </xf>
    <xf numFmtId="16" fontId="0" fillId="0" borderId="1" xfId="0" applyNumberFormat="1" applyBorder="1" applyAlignment="1">
      <alignment horizontal="center"/>
    </xf>
    <xf numFmtId="0" fontId="0" fillId="4" borderId="13" xfId="0" applyFill="1" applyBorder="1" applyAlignment="1">
      <alignment horizontal="center"/>
    </xf>
    <xf numFmtId="0" fontId="0" fillId="0" borderId="14" xfId="0" applyBorder="1"/>
    <xf numFmtId="0" fontId="0" fillId="4" borderId="3" xfId="0" applyFill="1" applyBorder="1" applyAlignment="1">
      <alignment horizontal="center"/>
    </xf>
    <xf numFmtId="0" fontId="0" fillId="11" borderId="7" xfId="0" applyFill="1" applyBorder="1" applyAlignment="1">
      <alignment horizontal="center" vertical="center"/>
    </xf>
    <xf numFmtId="0" fontId="2" fillId="0" borderId="7" xfId="0" applyFont="1" applyBorder="1" applyAlignment="1">
      <alignment horizontal="center" vertical="center"/>
    </xf>
    <xf numFmtId="0" fontId="1" fillId="7" borderId="7" xfId="0" applyFont="1" applyFill="1" applyBorder="1" applyAlignment="1">
      <alignment horizontal="right" vertical="center" wrapText="1"/>
    </xf>
    <xf numFmtId="0" fontId="1" fillId="2" borderId="7" xfId="0" applyFont="1" applyFill="1" applyBorder="1" applyAlignment="1">
      <alignment horizontal="right" vertical="center" wrapText="1"/>
    </xf>
    <xf numFmtId="0" fontId="1" fillId="3" borderId="7" xfId="0" applyFont="1" applyFill="1" applyBorder="1" applyAlignment="1">
      <alignment horizontal="center" vertical="center" wrapText="1"/>
    </xf>
    <xf numFmtId="0" fontId="1" fillId="6" borderId="7" xfId="0" applyFont="1" applyFill="1" applyBorder="1" applyAlignment="1">
      <alignment horizontal="right" vertical="center" wrapText="1"/>
    </xf>
    <xf numFmtId="0" fontId="1" fillId="7" borderId="7" xfId="0" applyFont="1" applyFill="1" applyBorder="1" applyAlignment="1">
      <alignment horizontal="center" vertical="center" wrapText="1"/>
    </xf>
    <xf numFmtId="0" fontId="1" fillId="3" borderId="7" xfId="0" applyFont="1" applyFill="1" applyBorder="1" applyAlignment="1">
      <alignment horizontal="right" vertical="center" wrapText="1"/>
    </xf>
    <xf numFmtId="0" fontId="1" fillId="6"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1" fillId="12" borderId="7" xfId="0" applyFont="1" applyFill="1" applyBorder="1" applyAlignment="1">
      <alignment horizontal="center" vertical="center"/>
    </xf>
    <xf numFmtId="0" fontId="12" fillId="0" borderId="0" xfId="0" applyFont="1" applyAlignment="1">
      <alignment vertical="center" wrapText="1"/>
    </xf>
    <xf numFmtId="0" fontId="13" fillId="5" borderId="7" xfId="0" applyFont="1" applyFill="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16" fontId="0" fillId="0" borderId="10" xfId="0" applyNumberFormat="1" applyBorder="1" applyAlignment="1">
      <alignment horizontal="center" vertical="center"/>
    </xf>
    <xf numFmtId="0" fontId="0" fillId="0" borderId="16" xfId="0" applyBorder="1" applyAlignment="1">
      <alignment horizontal="center" vertical="center"/>
    </xf>
    <xf numFmtId="0" fontId="2" fillId="10" borderId="12" xfId="0" applyFont="1" applyFill="1" applyBorder="1" applyAlignment="1">
      <alignment horizontal="center" vertical="center" textRotation="255" wrapText="1"/>
    </xf>
    <xf numFmtId="0" fontId="2" fillId="10" borderId="0" xfId="0" applyFont="1" applyFill="1" applyAlignment="1">
      <alignment horizontal="center" vertical="center" textRotation="255" wrapText="1"/>
    </xf>
    <xf numFmtId="0" fontId="2" fillId="10" borderId="12" xfId="0" applyFont="1" applyFill="1" applyBorder="1" applyAlignment="1">
      <alignment horizontal="center" vertical="center" textRotation="255"/>
    </xf>
    <xf numFmtId="0" fontId="2" fillId="10" borderId="0" xfId="0" applyFont="1" applyFill="1" applyAlignment="1">
      <alignment horizontal="center" vertical="center" textRotation="25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usernames" Target="revisions/userNam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revisionHeaders" Target="revisions/revisionHeader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revisions/_rels/revisionHeaders.xml.rels><?xml version="1.0" encoding="UTF-8" standalone="yes"?>
<Relationships xmlns="http://schemas.openxmlformats.org/package/2006/relationships"><Relationship Id="rId117" Type="http://schemas.openxmlformats.org/officeDocument/2006/relationships/revisionLog" Target="revisionLog117.xml"/><Relationship Id="rId26" Type="http://schemas.openxmlformats.org/officeDocument/2006/relationships/revisionLog" Target="revisionLog26.xml"/><Relationship Id="rId21" Type="http://schemas.openxmlformats.org/officeDocument/2006/relationships/revisionLog" Target="revisionLog21.xml"/><Relationship Id="rId42" Type="http://schemas.openxmlformats.org/officeDocument/2006/relationships/revisionLog" Target="revisionLog42.xml"/><Relationship Id="rId63" Type="http://schemas.openxmlformats.org/officeDocument/2006/relationships/revisionLog" Target="revisionLog63.xml"/><Relationship Id="rId84" Type="http://schemas.openxmlformats.org/officeDocument/2006/relationships/revisionLog" Target="revisionLog84.xml"/><Relationship Id="rId47" Type="http://schemas.openxmlformats.org/officeDocument/2006/relationships/revisionLog" Target="revisionLog47.xml"/><Relationship Id="rId68" Type="http://schemas.openxmlformats.org/officeDocument/2006/relationships/revisionLog" Target="revisionLog68.xml"/><Relationship Id="rId89" Type="http://schemas.openxmlformats.org/officeDocument/2006/relationships/revisionLog" Target="revisionLog89.xml"/><Relationship Id="rId112" Type="http://schemas.openxmlformats.org/officeDocument/2006/relationships/revisionLog" Target="revisionLog112.xml"/><Relationship Id="rId133" Type="http://schemas.openxmlformats.org/officeDocument/2006/relationships/revisionLog" Target="revisionLog133.xml"/><Relationship Id="rId16" Type="http://schemas.openxmlformats.org/officeDocument/2006/relationships/revisionLog" Target="revisionLog16.xml"/><Relationship Id="rId107" Type="http://schemas.openxmlformats.org/officeDocument/2006/relationships/revisionLog" Target="revisionLog107.xml"/><Relationship Id="rId11" Type="http://schemas.openxmlformats.org/officeDocument/2006/relationships/revisionLog" Target="revisionLog11.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4.xml"/><Relationship Id="rId79" Type="http://schemas.openxmlformats.org/officeDocument/2006/relationships/revisionLog" Target="revisionLog79.xml"/><Relationship Id="rId102" Type="http://schemas.openxmlformats.org/officeDocument/2006/relationships/revisionLog" Target="revisionLog102.xml"/><Relationship Id="rId123" Type="http://schemas.openxmlformats.org/officeDocument/2006/relationships/revisionLog" Target="revisionLog123.xml"/><Relationship Id="rId128" Type="http://schemas.openxmlformats.org/officeDocument/2006/relationships/revisionLog" Target="revisionLog128.xml"/><Relationship Id="rId95" Type="http://schemas.openxmlformats.org/officeDocument/2006/relationships/revisionLog" Target="revisionLog95.xml"/><Relationship Id="rId90" Type="http://schemas.openxmlformats.org/officeDocument/2006/relationships/revisionLog" Target="revisionLog90.xml"/><Relationship Id="rId22" Type="http://schemas.openxmlformats.org/officeDocument/2006/relationships/revisionLog" Target="revisionLog22.xml"/><Relationship Id="rId27" Type="http://schemas.openxmlformats.org/officeDocument/2006/relationships/revisionLog" Target="revisionLog27.xml"/><Relationship Id="rId43" Type="http://schemas.openxmlformats.org/officeDocument/2006/relationships/revisionLog" Target="revisionLog43.xml"/><Relationship Id="rId48" Type="http://schemas.openxmlformats.org/officeDocument/2006/relationships/revisionLog" Target="revisionLog48.xml"/><Relationship Id="rId64" Type="http://schemas.openxmlformats.org/officeDocument/2006/relationships/revisionLog" Target="revisionLog64.xml"/><Relationship Id="rId69" Type="http://schemas.openxmlformats.org/officeDocument/2006/relationships/revisionLog" Target="revisionLog69.xml"/><Relationship Id="rId113" Type="http://schemas.openxmlformats.org/officeDocument/2006/relationships/revisionLog" Target="revisionLog113.xml"/><Relationship Id="rId118" Type="http://schemas.openxmlformats.org/officeDocument/2006/relationships/revisionLog" Target="revisionLog118.xml"/><Relationship Id="rId134" Type="http://schemas.openxmlformats.org/officeDocument/2006/relationships/revisionLog" Target="revisionLog1.xml"/><Relationship Id="rId80" Type="http://schemas.openxmlformats.org/officeDocument/2006/relationships/revisionLog" Target="revisionLog80.xml"/><Relationship Id="rId85" Type="http://schemas.openxmlformats.org/officeDocument/2006/relationships/revisionLog" Target="revisionLog85.xml"/><Relationship Id="rId12" Type="http://schemas.openxmlformats.org/officeDocument/2006/relationships/revisionLog" Target="revisionLog12.xml"/><Relationship Id="rId17" Type="http://schemas.openxmlformats.org/officeDocument/2006/relationships/revisionLog" Target="revisionLog17.xml"/><Relationship Id="rId33" Type="http://schemas.openxmlformats.org/officeDocument/2006/relationships/revisionLog" Target="revisionLog33.xml"/><Relationship Id="rId38" Type="http://schemas.openxmlformats.org/officeDocument/2006/relationships/revisionLog" Target="revisionLog38.xml"/><Relationship Id="rId59" Type="http://schemas.openxmlformats.org/officeDocument/2006/relationships/revisionLog" Target="revisionLog59.xml"/><Relationship Id="rId103" Type="http://schemas.openxmlformats.org/officeDocument/2006/relationships/revisionLog" Target="revisionLog103.xml"/><Relationship Id="rId108" Type="http://schemas.openxmlformats.org/officeDocument/2006/relationships/revisionLog" Target="revisionLog108.xml"/><Relationship Id="rId124" Type="http://schemas.openxmlformats.org/officeDocument/2006/relationships/revisionLog" Target="revisionLog124.xml"/><Relationship Id="rId129" Type="http://schemas.openxmlformats.org/officeDocument/2006/relationships/revisionLog" Target="revisionLog129.xml"/><Relationship Id="rId54" Type="http://schemas.openxmlformats.org/officeDocument/2006/relationships/revisionLog" Target="revisionLog54.xml"/><Relationship Id="rId70" Type="http://schemas.openxmlformats.org/officeDocument/2006/relationships/revisionLog" Target="revisionLog70.xml"/><Relationship Id="rId75" Type="http://schemas.openxmlformats.org/officeDocument/2006/relationships/revisionLog" Target="revisionLog75.xml"/><Relationship Id="rId91" Type="http://schemas.openxmlformats.org/officeDocument/2006/relationships/revisionLog" Target="revisionLog91.xml"/><Relationship Id="rId96" Type="http://schemas.openxmlformats.org/officeDocument/2006/relationships/revisionLog" Target="revisionLog96.xml"/><Relationship Id="rId23" Type="http://schemas.openxmlformats.org/officeDocument/2006/relationships/revisionLog" Target="revisionLog23.xml"/><Relationship Id="rId28" Type="http://schemas.openxmlformats.org/officeDocument/2006/relationships/revisionLog" Target="revisionLog28.xml"/><Relationship Id="rId49" Type="http://schemas.openxmlformats.org/officeDocument/2006/relationships/revisionLog" Target="revisionLog49.xml"/><Relationship Id="rId114" Type="http://schemas.openxmlformats.org/officeDocument/2006/relationships/revisionLog" Target="revisionLog114.xml"/><Relationship Id="rId119" Type="http://schemas.openxmlformats.org/officeDocument/2006/relationships/revisionLog" Target="revisionLog119.xml"/><Relationship Id="rId44" Type="http://schemas.openxmlformats.org/officeDocument/2006/relationships/revisionLog" Target="revisionLog44.xml"/><Relationship Id="rId60" Type="http://schemas.openxmlformats.org/officeDocument/2006/relationships/revisionLog" Target="revisionLog60.xml"/><Relationship Id="rId65" Type="http://schemas.openxmlformats.org/officeDocument/2006/relationships/revisionLog" Target="revisionLog65.xml"/><Relationship Id="rId81" Type="http://schemas.openxmlformats.org/officeDocument/2006/relationships/revisionLog" Target="revisionLog81.xml"/><Relationship Id="rId86" Type="http://schemas.openxmlformats.org/officeDocument/2006/relationships/revisionLog" Target="revisionLog86.xml"/><Relationship Id="rId130" Type="http://schemas.openxmlformats.org/officeDocument/2006/relationships/revisionLog" Target="revisionLog130.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109" Type="http://schemas.openxmlformats.org/officeDocument/2006/relationships/revisionLog" Target="revisionLog10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97" Type="http://schemas.openxmlformats.org/officeDocument/2006/relationships/revisionLog" Target="revisionLog97.xml"/><Relationship Id="rId104" Type="http://schemas.openxmlformats.org/officeDocument/2006/relationships/revisionLog" Target="revisionLog104.xml"/><Relationship Id="rId120" Type="http://schemas.openxmlformats.org/officeDocument/2006/relationships/revisionLog" Target="revisionLog120.xml"/><Relationship Id="rId125" Type="http://schemas.openxmlformats.org/officeDocument/2006/relationships/revisionLog" Target="revisionLog125.xml"/><Relationship Id="rId7" Type="http://schemas.openxmlformats.org/officeDocument/2006/relationships/revisionLog" Target="revisionLog7.xml"/><Relationship Id="rId71" Type="http://schemas.openxmlformats.org/officeDocument/2006/relationships/revisionLog" Target="revisionLog71.xml"/><Relationship Id="rId92" Type="http://schemas.openxmlformats.org/officeDocument/2006/relationships/revisionLog" Target="revisionLog92.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 Id="rId87" Type="http://schemas.openxmlformats.org/officeDocument/2006/relationships/revisionLog" Target="revisionLog87.xml"/><Relationship Id="rId110" Type="http://schemas.openxmlformats.org/officeDocument/2006/relationships/revisionLog" Target="revisionLog110.xml"/><Relationship Id="rId115" Type="http://schemas.openxmlformats.org/officeDocument/2006/relationships/revisionLog" Target="revisionLog115.xml"/><Relationship Id="rId131" Type="http://schemas.openxmlformats.org/officeDocument/2006/relationships/revisionLog" Target="revisionLog131.xml"/><Relationship Id="rId61" Type="http://schemas.openxmlformats.org/officeDocument/2006/relationships/revisionLog" Target="revisionLog61.xml"/><Relationship Id="rId82" Type="http://schemas.openxmlformats.org/officeDocument/2006/relationships/revisionLog" Target="revisionLog82.xml"/><Relationship Id="rId19" Type="http://schemas.openxmlformats.org/officeDocument/2006/relationships/revisionLog" Target="revisionLog19.xml"/><Relationship Id="rId14" Type="http://schemas.openxmlformats.org/officeDocument/2006/relationships/revisionLog" Target="revisionLog14.xml"/><Relationship Id="rId30" Type="http://schemas.openxmlformats.org/officeDocument/2006/relationships/revisionLog" Target="revisionLog30.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7.xml"/><Relationship Id="rId100" Type="http://schemas.openxmlformats.org/officeDocument/2006/relationships/revisionLog" Target="revisionLog100.xml"/><Relationship Id="rId105" Type="http://schemas.openxmlformats.org/officeDocument/2006/relationships/revisionLog" Target="revisionLog105.xml"/><Relationship Id="rId126" Type="http://schemas.openxmlformats.org/officeDocument/2006/relationships/revisionLog" Target="revisionLog126.xml"/><Relationship Id="rId8" Type="http://schemas.openxmlformats.org/officeDocument/2006/relationships/revisionLog" Target="revisionLog8.xml"/><Relationship Id="rId51" Type="http://schemas.openxmlformats.org/officeDocument/2006/relationships/revisionLog" Target="revisionLog51.xml"/><Relationship Id="rId72" Type="http://schemas.openxmlformats.org/officeDocument/2006/relationships/revisionLog" Target="revisionLog72.xml"/><Relationship Id="rId93" Type="http://schemas.openxmlformats.org/officeDocument/2006/relationships/revisionLog" Target="revisionLog93.xml"/><Relationship Id="rId98" Type="http://schemas.openxmlformats.org/officeDocument/2006/relationships/revisionLog" Target="revisionLog98.xml"/><Relationship Id="rId121" Type="http://schemas.openxmlformats.org/officeDocument/2006/relationships/revisionLog" Target="revisionLog121.xml"/><Relationship Id="rId25" Type="http://schemas.openxmlformats.org/officeDocument/2006/relationships/revisionLog" Target="revisionLog25.xml"/><Relationship Id="rId46" Type="http://schemas.openxmlformats.org/officeDocument/2006/relationships/revisionLog" Target="revisionLog46.xml"/><Relationship Id="rId67" Type="http://schemas.openxmlformats.org/officeDocument/2006/relationships/revisionLog" Target="revisionLog67.xml"/><Relationship Id="rId116" Type="http://schemas.openxmlformats.org/officeDocument/2006/relationships/revisionLog" Target="revisionLog116.xml"/><Relationship Id="rId20" Type="http://schemas.openxmlformats.org/officeDocument/2006/relationships/revisionLog" Target="revisionLog20.xml"/><Relationship Id="rId41" Type="http://schemas.openxmlformats.org/officeDocument/2006/relationships/revisionLog" Target="revisionLog41.xml"/><Relationship Id="rId62" Type="http://schemas.openxmlformats.org/officeDocument/2006/relationships/revisionLog" Target="revisionLog62.xml"/><Relationship Id="rId83" Type="http://schemas.openxmlformats.org/officeDocument/2006/relationships/revisionLog" Target="revisionLog83.xml"/><Relationship Id="rId88" Type="http://schemas.openxmlformats.org/officeDocument/2006/relationships/revisionLog" Target="revisionLog88.xml"/><Relationship Id="rId111" Type="http://schemas.openxmlformats.org/officeDocument/2006/relationships/revisionLog" Target="revisionLog111.xml"/><Relationship Id="rId132" Type="http://schemas.openxmlformats.org/officeDocument/2006/relationships/revisionLog" Target="revisionLog132.xml"/><Relationship Id="rId15" Type="http://schemas.openxmlformats.org/officeDocument/2006/relationships/revisionLog" Target="revisionLog15.xml"/><Relationship Id="rId36" Type="http://schemas.openxmlformats.org/officeDocument/2006/relationships/revisionLog" Target="revisionLog36.xml"/><Relationship Id="rId57" Type="http://schemas.openxmlformats.org/officeDocument/2006/relationships/revisionLog" Target="revisionLog57.xml"/><Relationship Id="rId106" Type="http://schemas.openxmlformats.org/officeDocument/2006/relationships/revisionLog" Target="revisionLog106.xml"/><Relationship Id="rId127" Type="http://schemas.openxmlformats.org/officeDocument/2006/relationships/revisionLog" Target="revisionLog127.xml"/><Relationship Id="rId10" Type="http://schemas.openxmlformats.org/officeDocument/2006/relationships/revisionLog" Target="revisionLog10.xml"/><Relationship Id="rId31" Type="http://schemas.openxmlformats.org/officeDocument/2006/relationships/revisionLog" Target="revisionLog31.xml"/><Relationship Id="rId52" Type="http://schemas.openxmlformats.org/officeDocument/2006/relationships/revisionLog" Target="revisionLog52.xml"/><Relationship Id="rId73" Type="http://schemas.openxmlformats.org/officeDocument/2006/relationships/revisionLog" Target="revisionLog73.xml"/><Relationship Id="rId78" Type="http://schemas.openxmlformats.org/officeDocument/2006/relationships/revisionLog" Target="revisionLog78.xml"/><Relationship Id="rId94" Type="http://schemas.openxmlformats.org/officeDocument/2006/relationships/revisionLog" Target="revisionLog94.xml"/><Relationship Id="rId99" Type="http://schemas.openxmlformats.org/officeDocument/2006/relationships/revisionLog" Target="revisionLog99.xml"/><Relationship Id="rId101" Type="http://schemas.openxmlformats.org/officeDocument/2006/relationships/revisionLog" Target="revisionLog101.xml"/><Relationship Id="rId122" Type="http://schemas.openxmlformats.org/officeDocument/2006/relationships/revisionLog" Target="revisionLog122.xml"/><Relationship Id="rId9" Type="http://schemas.openxmlformats.org/officeDocument/2006/relationships/revisionLog" Target="revisionLog9.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DA0215A9-6C23-426F-AA59-AD0B92B13861}" diskRevisions="1" revisionId="1711" version="133">
  <header guid="{7DB354D4-82E5-4017-A6D1-536315A575B8}" dateTime="2025-05-19T08:29:51" maxSheetId="11" userName="Marcos Neves de Almeida" r:id="rId7" minRId="41" maxRId="46">
    <sheetIdMap count="10">
      <sheetId val="1"/>
      <sheetId val="2"/>
      <sheetId val="3"/>
      <sheetId val="4"/>
      <sheetId val="5"/>
      <sheetId val="6"/>
      <sheetId val="7"/>
      <sheetId val="8"/>
      <sheetId val="9"/>
      <sheetId val="10"/>
    </sheetIdMap>
  </header>
  <header guid="{56E00CF6-1AEB-487F-87C1-A5D59DEE963C}" dateTime="2025-05-19T09:13:14" maxSheetId="11" userName="Aelton de Jesus Nunes" r:id="rId8" minRId="47" maxRId="67">
    <sheetIdMap count="10">
      <sheetId val="1"/>
      <sheetId val="2"/>
      <sheetId val="3"/>
      <sheetId val="4"/>
      <sheetId val="5"/>
      <sheetId val="6"/>
      <sheetId val="7"/>
      <sheetId val="8"/>
      <sheetId val="9"/>
      <sheetId val="10"/>
    </sheetIdMap>
  </header>
  <header guid="{68ABC682-F2EA-44A7-9A5E-21742E07DE85}" dateTime="2025-05-19T09:13:51" maxSheetId="11" userName="Aelton de Jesus Nunes" r:id="rId9" minRId="68" maxRId="72">
    <sheetIdMap count="10">
      <sheetId val="1"/>
      <sheetId val="2"/>
      <sheetId val="3"/>
      <sheetId val="4"/>
      <sheetId val="5"/>
      <sheetId val="6"/>
      <sheetId val="7"/>
      <sheetId val="8"/>
      <sheetId val="9"/>
      <sheetId val="10"/>
    </sheetIdMap>
  </header>
  <header guid="{22B11D18-1476-41F3-86A1-EA055A9F2E3A}" dateTime="2025-05-19T09:14:28" maxSheetId="11" userName="Aelton de Jesus Nunes" r:id="rId10" minRId="73" maxRId="83">
    <sheetIdMap count="10">
      <sheetId val="1"/>
      <sheetId val="2"/>
      <sheetId val="3"/>
      <sheetId val="4"/>
      <sheetId val="5"/>
      <sheetId val="6"/>
      <sheetId val="7"/>
      <sheetId val="8"/>
      <sheetId val="9"/>
      <sheetId val="10"/>
    </sheetIdMap>
  </header>
  <header guid="{1FB83FC1-417B-46EF-96F4-66E5D29DA521}" dateTime="2025-05-19T09:14:43" maxSheetId="11" userName="Aelton de Jesus Nunes" r:id="rId11" minRId="84" maxRId="88">
    <sheetIdMap count="10">
      <sheetId val="1"/>
      <sheetId val="2"/>
      <sheetId val="3"/>
      <sheetId val="4"/>
      <sheetId val="5"/>
      <sheetId val="6"/>
      <sheetId val="7"/>
      <sheetId val="8"/>
      <sheetId val="9"/>
      <sheetId val="10"/>
    </sheetIdMap>
  </header>
  <header guid="{F2C741BF-D0C7-41BC-B475-751EA48CD5EB}" dateTime="2025-05-19T09:47:00" maxSheetId="11" userName="Alessandro Borges de Araújo" r:id="rId12" minRId="89" maxRId="93">
    <sheetIdMap count="10">
      <sheetId val="1"/>
      <sheetId val="2"/>
      <sheetId val="3"/>
      <sheetId val="4"/>
      <sheetId val="5"/>
      <sheetId val="6"/>
      <sheetId val="7"/>
      <sheetId val="8"/>
      <sheetId val="9"/>
      <sheetId val="10"/>
    </sheetIdMap>
  </header>
  <header guid="{FF810269-7F8F-478C-910A-9C92114FA877}" dateTime="2025-05-19T09:48:26" maxSheetId="11" userName="Alessandro Borges de Araújo" r:id="rId13" minRId="94">
    <sheetIdMap count="10">
      <sheetId val="1"/>
      <sheetId val="2"/>
      <sheetId val="3"/>
      <sheetId val="4"/>
      <sheetId val="5"/>
      <sheetId val="6"/>
      <sheetId val="7"/>
      <sheetId val="8"/>
      <sheetId val="9"/>
      <sheetId val="10"/>
    </sheetIdMap>
  </header>
  <header guid="{9E93C665-6037-4D6C-8C6D-B7BC10989B33}" dateTime="2025-05-19T09:49:03" maxSheetId="11" userName="Aelton de Jesus Nunes" r:id="rId14" minRId="95" maxRId="100">
    <sheetIdMap count="10">
      <sheetId val="1"/>
      <sheetId val="2"/>
      <sheetId val="3"/>
      <sheetId val="4"/>
      <sheetId val="5"/>
      <sheetId val="6"/>
      <sheetId val="7"/>
      <sheetId val="8"/>
      <sheetId val="9"/>
      <sheetId val="10"/>
    </sheetIdMap>
  </header>
  <header guid="{249BA72F-B3DA-4145-9F94-9275292A67BB}" dateTime="2025-05-19T09:56:09" maxSheetId="11" userName="Aelton de Jesus Nunes" r:id="rId15" minRId="101" maxRId="102">
    <sheetIdMap count="10">
      <sheetId val="1"/>
      <sheetId val="2"/>
      <sheetId val="3"/>
      <sheetId val="4"/>
      <sheetId val="5"/>
      <sheetId val="6"/>
      <sheetId val="7"/>
      <sheetId val="8"/>
      <sheetId val="9"/>
      <sheetId val="10"/>
    </sheetIdMap>
  </header>
  <header guid="{0797C7F4-432C-41F8-8F4A-76891289F8C9}" dateTime="2025-05-19T10:01:43" maxSheetId="11" userName="Danilo Rafael Basilio da Silva" r:id="rId16" minRId="103" maxRId="105">
    <sheetIdMap count="10">
      <sheetId val="1"/>
      <sheetId val="2"/>
      <sheetId val="3"/>
      <sheetId val="4"/>
      <sheetId val="5"/>
      <sheetId val="6"/>
      <sheetId val="7"/>
      <sheetId val="8"/>
      <sheetId val="9"/>
      <sheetId val="10"/>
    </sheetIdMap>
  </header>
  <header guid="{737B5E8C-CAE1-4D37-BFF6-3BE16086A389}" dateTime="2025-05-19T16:01:30" maxSheetId="11" userName="Marcelo Lucio Saboia Fonseca" r:id="rId17" minRId="106" maxRId="110">
    <sheetIdMap count="10">
      <sheetId val="1"/>
      <sheetId val="2"/>
      <sheetId val="3"/>
      <sheetId val="4"/>
      <sheetId val="5"/>
      <sheetId val="6"/>
      <sheetId val="7"/>
      <sheetId val="8"/>
      <sheetId val="9"/>
      <sheetId val="10"/>
    </sheetIdMap>
  </header>
  <header guid="{9852D7E5-1479-461D-931A-CCC2C1F91BDD}" dateTime="2025-05-19T16:16:16" maxSheetId="11" userName="Marcelo Lucio Saboia Fonseca" r:id="rId18" minRId="111" maxRId="122">
    <sheetIdMap count="10">
      <sheetId val="1"/>
      <sheetId val="2"/>
      <sheetId val="3"/>
      <sheetId val="4"/>
      <sheetId val="5"/>
      <sheetId val="6"/>
      <sheetId val="7"/>
      <sheetId val="8"/>
      <sheetId val="9"/>
      <sheetId val="10"/>
    </sheetIdMap>
  </header>
  <header guid="{E8CB4665-9421-4E8F-AB3A-2969F646E0F9}" dateTime="2025-05-19T17:02:39" maxSheetId="11" userName="Marcelo Lucio Saboia Fonseca" r:id="rId19" minRId="123" maxRId="197">
    <sheetIdMap count="10">
      <sheetId val="1"/>
      <sheetId val="2"/>
      <sheetId val="3"/>
      <sheetId val="4"/>
      <sheetId val="5"/>
      <sheetId val="6"/>
      <sheetId val="7"/>
      <sheetId val="8"/>
      <sheetId val="9"/>
      <sheetId val="10"/>
    </sheetIdMap>
  </header>
  <header guid="{3BD83E57-398E-4B24-8698-D0BC2C8B0D4D}" dateTime="2025-05-19T17:05:59" maxSheetId="11" userName="Leonam Morrison Monteiro de Oliveira" r:id="rId20" minRId="198" maxRId="205">
    <sheetIdMap count="10">
      <sheetId val="1"/>
      <sheetId val="2"/>
      <sheetId val="3"/>
      <sheetId val="4"/>
      <sheetId val="5"/>
      <sheetId val="6"/>
      <sheetId val="7"/>
      <sheetId val="8"/>
      <sheetId val="9"/>
      <sheetId val="10"/>
    </sheetIdMap>
  </header>
  <header guid="{9991FBB6-4634-42C1-8929-8C61195DE9ED}" dateTime="2025-05-19T17:07:47" maxSheetId="11" userName="Marcelo Lucio Saboia Fonseca" r:id="rId21" minRId="206" maxRId="211">
    <sheetIdMap count="10">
      <sheetId val="1"/>
      <sheetId val="2"/>
      <sheetId val="3"/>
      <sheetId val="4"/>
      <sheetId val="5"/>
      <sheetId val="6"/>
      <sheetId val="7"/>
      <sheetId val="8"/>
      <sheetId val="9"/>
      <sheetId val="10"/>
    </sheetIdMap>
  </header>
  <header guid="{ADC00129-B42D-47A5-ABCE-7F789D181C3D}" dateTime="2025-05-19T17:10:36" maxSheetId="11" userName="Danilo Rafael Basilio da Silva" r:id="rId22" minRId="212" maxRId="214">
    <sheetIdMap count="10">
      <sheetId val="1"/>
      <sheetId val="2"/>
      <sheetId val="3"/>
      <sheetId val="4"/>
      <sheetId val="5"/>
      <sheetId val="6"/>
      <sheetId val="7"/>
      <sheetId val="8"/>
      <sheetId val="9"/>
      <sheetId val="10"/>
    </sheetIdMap>
  </header>
  <header guid="{C7DCA3BC-E547-44FE-B730-D806C184EB8D}" dateTime="2025-05-19T17:11:29" maxSheetId="11" userName="Danilo Rafael Basilio da Silva" r:id="rId23" minRId="215" maxRId="217">
    <sheetIdMap count="10">
      <sheetId val="1"/>
      <sheetId val="2"/>
      <sheetId val="3"/>
      <sheetId val="4"/>
      <sheetId val="5"/>
      <sheetId val="6"/>
      <sheetId val="7"/>
      <sheetId val="8"/>
      <sheetId val="9"/>
      <sheetId val="10"/>
    </sheetIdMap>
  </header>
  <header guid="{EC883F6E-774E-46E9-AE2A-51542D246BBC}" dateTime="2025-05-19T17:12:30" maxSheetId="11" userName="Danilo Rafael Basilio da Silva" r:id="rId24" minRId="218" maxRId="219">
    <sheetIdMap count="10">
      <sheetId val="1"/>
      <sheetId val="2"/>
      <sheetId val="3"/>
      <sheetId val="4"/>
      <sheetId val="5"/>
      <sheetId val="6"/>
      <sheetId val="7"/>
      <sheetId val="8"/>
      <sheetId val="9"/>
      <sheetId val="10"/>
    </sheetIdMap>
  </header>
  <header guid="{5F32DDA4-3625-43D3-AF57-4461518F3289}" dateTime="2025-05-19T17:13:41" maxSheetId="11" userName="Danilo Rafael Basilio da Silva" r:id="rId25" minRId="220" maxRId="225">
    <sheetIdMap count="10">
      <sheetId val="1"/>
      <sheetId val="2"/>
      <sheetId val="3"/>
      <sheetId val="4"/>
      <sheetId val="5"/>
      <sheetId val="6"/>
      <sheetId val="7"/>
      <sheetId val="8"/>
      <sheetId val="9"/>
      <sheetId val="10"/>
    </sheetIdMap>
  </header>
  <header guid="{2D5FD57D-C5D0-467F-B0EF-086BB0057979}" dateTime="2025-05-19T17:47:36" maxSheetId="11" userName="Marcelo Lucio Saboia Fonseca" r:id="rId26" minRId="226" maxRId="241">
    <sheetIdMap count="10">
      <sheetId val="1"/>
      <sheetId val="2"/>
      <sheetId val="3"/>
      <sheetId val="4"/>
      <sheetId val="5"/>
      <sheetId val="6"/>
      <sheetId val="7"/>
      <sheetId val="8"/>
      <sheetId val="9"/>
      <sheetId val="10"/>
    </sheetIdMap>
  </header>
  <header guid="{83246195-30FA-44E4-A7BC-E49BD9CA51B1}" dateTime="2025-05-19T17:51:29" maxSheetId="11" userName="Marcelo Lucio Saboia Fonseca" r:id="rId27">
    <sheetIdMap count="10">
      <sheetId val="1"/>
      <sheetId val="2"/>
      <sheetId val="3"/>
      <sheetId val="4"/>
      <sheetId val="5"/>
      <sheetId val="6"/>
      <sheetId val="7"/>
      <sheetId val="8"/>
      <sheetId val="9"/>
      <sheetId val="10"/>
    </sheetIdMap>
  </header>
  <header guid="{690C0C2A-F5CB-456B-8F93-824B5E9EC7C0}" dateTime="2025-05-20T13:55:49" maxSheetId="11" userName="Marcelo Lucio Saboia Fonseca" r:id="rId28" minRId="242" maxRId="315">
    <sheetIdMap count="10">
      <sheetId val="1"/>
      <sheetId val="2"/>
      <sheetId val="3"/>
      <sheetId val="4"/>
      <sheetId val="5"/>
      <sheetId val="6"/>
      <sheetId val="7"/>
      <sheetId val="8"/>
      <sheetId val="9"/>
      <sheetId val="10"/>
    </sheetIdMap>
  </header>
  <header guid="{44ECF289-A4E4-4C76-9945-7972A58A31EC}" dateTime="2025-05-20T13:58:27" maxSheetId="11" userName="Marcelo Lucio Saboia Fonseca" r:id="rId29" minRId="316" maxRId="323">
    <sheetIdMap count="10">
      <sheetId val="1"/>
      <sheetId val="2"/>
      <sheetId val="3"/>
      <sheetId val="4"/>
      <sheetId val="5"/>
      <sheetId val="6"/>
      <sheetId val="7"/>
      <sheetId val="8"/>
      <sheetId val="9"/>
      <sheetId val="10"/>
    </sheetIdMap>
  </header>
  <header guid="{6D045B90-2D61-439A-B526-C51DE78CF459}" dateTime="2025-05-20T14:29:39" maxSheetId="11" userName="Marcelo Lucio Saboia Fonseca" r:id="rId30" minRId="324" maxRId="369">
    <sheetIdMap count="10">
      <sheetId val="1"/>
      <sheetId val="2"/>
      <sheetId val="3"/>
      <sheetId val="4"/>
      <sheetId val="5"/>
      <sheetId val="6"/>
      <sheetId val="7"/>
      <sheetId val="8"/>
      <sheetId val="9"/>
      <sheetId val="10"/>
    </sheetIdMap>
  </header>
  <header guid="{FA335006-F0E9-42F9-A98C-8D45A2034C34}" dateTime="2025-05-20T14:32:27" maxSheetId="11" userName="Marcelo Lucio Saboia Fonseca" r:id="rId31" minRId="370" maxRId="388">
    <sheetIdMap count="10">
      <sheetId val="1"/>
      <sheetId val="2"/>
      <sheetId val="3"/>
      <sheetId val="4"/>
      <sheetId val="5"/>
      <sheetId val="6"/>
      <sheetId val="7"/>
      <sheetId val="8"/>
      <sheetId val="9"/>
      <sheetId val="10"/>
    </sheetIdMap>
  </header>
  <header guid="{CCA200F0-33A6-480D-B7CA-A78C3ED453EF}" dateTime="2025-05-20T14:39:23" maxSheetId="11" userName="Marcelo Lucio Saboia Fonseca" r:id="rId32" minRId="389" maxRId="439">
    <sheetIdMap count="10">
      <sheetId val="1"/>
      <sheetId val="2"/>
      <sheetId val="3"/>
      <sheetId val="4"/>
      <sheetId val="5"/>
      <sheetId val="6"/>
      <sheetId val="7"/>
      <sheetId val="8"/>
      <sheetId val="9"/>
      <sheetId val="10"/>
    </sheetIdMap>
  </header>
  <header guid="{02DBF508-927D-4585-ABEA-E42BEC8ABD60}" dateTime="2025-05-20T14:49:04" maxSheetId="11" userName="Marcelo Lucio Saboia Fonseca" r:id="rId33" minRId="440" maxRId="533">
    <sheetIdMap count="10">
      <sheetId val="1"/>
      <sheetId val="2"/>
      <sheetId val="3"/>
      <sheetId val="4"/>
      <sheetId val="5"/>
      <sheetId val="6"/>
      <sheetId val="7"/>
      <sheetId val="8"/>
      <sheetId val="9"/>
      <sheetId val="10"/>
    </sheetIdMap>
  </header>
  <header guid="{5A6FE2D8-12CB-4F79-A960-15E07AFAC5AC}" dateTime="2025-05-20T14:50:52" maxSheetId="11" userName="Marcelo Lucio Saboia Fonseca" r:id="rId34" minRId="534" maxRId="611">
    <sheetIdMap count="10">
      <sheetId val="1"/>
      <sheetId val="2"/>
      <sheetId val="3"/>
      <sheetId val="4"/>
      <sheetId val="5"/>
      <sheetId val="6"/>
      <sheetId val="7"/>
      <sheetId val="8"/>
      <sheetId val="9"/>
      <sheetId val="10"/>
    </sheetIdMap>
  </header>
  <header guid="{03ECDBB4-A2D6-4B8D-A60B-27ACCBDCC3BA}" dateTime="2025-05-20T14:55:05" maxSheetId="11" userName="Marcelo Lucio Saboia Fonseca" r:id="rId35" minRId="612" maxRId="666">
    <sheetIdMap count="10">
      <sheetId val="1"/>
      <sheetId val="2"/>
      <sheetId val="3"/>
      <sheetId val="4"/>
      <sheetId val="5"/>
      <sheetId val="6"/>
      <sheetId val="7"/>
      <sheetId val="8"/>
      <sheetId val="9"/>
      <sheetId val="10"/>
    </sheetIdMap>
  </header>
  <header guid="{1D7C3DAD-4C00-40AF-A282-060D314A2739}" dateTime="2025-05-20T14:55:54" maxSheetId="11" userName="Marcelo Lucio Saboia Fonseca" r:id="rId36" minRId="667" maxRId="701">
    <sheetIdMap count="10">
      <sheetId val="1"/>
      <sheetId val="2"/>
      <sheetId val="3"/>
      <sheetId val="4"/>
      <sheetId val="5"/>
      <sheetId val="6"/>
      <sheetId val="7"/>
      <sheetId val="8"/>
      <sheetId val="9"/>
      <sheetId val="10"/>
    </sheetIdMap>
  </header>
  <header guid="{762487FF-66E1-4F43-89BF-86F40BE89317}" dateTime="2025-05-20T15:01:03" maxSheetId="11" userName="Marcelo Lucio Saboia Fonseca" r:id="rId37" minRId="702" maxRId="898">
    <sheetIdMap count="10">
      <sheetId val="1"/>
      <sheetId val="2"/>
      <sheetId val="3"/>
      <sheetId val="4"/>
      <sheetId val="5"/>
      <sheetId val="6"/>
      <sheetId val="7"/>
      <sheetId val="8"/>
      <sheetId val="9"/>
      <sheetId val="10"/>
    </sheetIdMap>
  </header>
  <header guid="{8AC91AA6-4F59-4ACB-85A2-DEA6598AD551}" dateTime="2025-05-20T15:15:05" maxSheetId="11" userName="Marcelo Lucio Saboia Fonseca" r:id="rId38" minRId="899" maxRId="989">
    <sheetIdMap count="10">
      <sheetId val="1"/>
      <sheetId val="2"/>
      <sheetId val="3"/>
      <sheetId val="4"/>
      <sheetId val="5"/>
      <sheetId val="6"/>
      <sheetId val="7"/>
      <sheetId val="8"/>
      <sheetId val="9"/>
      <sheetId val="10"/>
    </sheetIdMap>
  </header>
  <header guid="{B7630F65-85BE-44C9-B393-868277204793}" dateTime="2025-05-20T15:16:07" maxSheetId="11" userName="Marcelo Lucio Saboia Fonseca" r:id="rId39" minRId="990" maxRId="1005">
    <sheetIdMap count="10">
      <sheetId val="1"/>
      <sheetId val="2"/>
      <sheetId val="3"/>
      <sheetId val="4"/>
      <sheetId val="5"/>
      <sheetId val="6"/>
      <sheetId val="7"/>
      <sheetId val="8"/>
      <sheetId val="9"/>
      <sheetId val="10"/>
    </sheetIdMap>
  </header>
  <header guid="{4928C0D7-0CC5-45D4-8971-79FA548F2E02}" dateTime="2025-05-20T15:16:57" maxSheetId="11" userName="Marcelo Lucio Saboia Fonseca" r:id="rId40" minRId="1006" maxRId="1020">
    <sheetIdMap count="10">
      <sheetId val="1"/>
      <sheetId val="2"/>
      <sheetId val="3"/>
      <sheetId val="4"/>
      <sheetId val="5"/>
      <sheetId val="6"/>
      <sheetId val="7"/>
      <sheetId val="8"/>
      <sheetId val="9"/>
      <sheetId val="10"/>
    </sheetIdMap>
  </header>
  <header guid="{8F220B38-11CD-4021-A7C1-E70062B2120F}" dateTime="2025-05-20T15:18:59" maxSheetId="11" userName="Marcelo Lucio Saboia Fonseca" r:id="rId41" minRId="1021" maxRId="1035">
    <sheetIdMap count="10">
      <sheetId val="1"/>
      <sheetId val="2"/>
      <sheetId val="3"/>
      <sheetId val="4"/>
      <sheetId val="5"/>
      <sheetId val="6"/>
      <sheetId val="7"/>
      <sheetId val="8"/>
      <sheetId val="9"/>
      <sheetId val="10"/>
    </sheetIdMap>
  </header>
  <header guid="{6311EDD9-3426-4435-8771-B627A179F3BE}" dateTime="2025-05-20T15:19:35" maxSheetId="11" userName="Marcelo Lucio Saboia Fonseca" r:id="rId42" minRId="1036" maxRId="1050">
    <sheetIdMap count="10">
      <sheetId val="1"/>
      <sheetId val="2"/>
      <sheetId val="3"/>
      <sheetId val="4"/>
      <sheetId val="5"/>
      <sheetId val="6"/>
      <sheetId val="7"/>
      <sheetId val="8"/>
      <sheetId val="9"/>
      <sheetId val="10"/>
    </sheetIdMap>
  </header>
  <header guid="{EFD1B7B5-1E06-4EAA-A498-3481413B4E80}" dateTime="2025-05-20T15:20:54" maxSheetId="11" userName="Marcelo Lucio Saboia Fonseca" r:id="rId43" minRId="1051" maxRId="1065">
    <sheetIdMap count="10">
      <sheetId val="1"/>
      <sheetId val="2"/>
      <sheetId val="3"/>
      <sheetId val="4"/>
      <sheetId val="5"/>
      <sheetId val="6"/>
      <sheetId val="7"/>
      <sheetId val="8"/>
      <sheetId val="9"/>
      <sheetId val="10"/>
    </sheetIdMap>
  </header>
  <header guid="{4AEB7812-5864-4C01-BBC0-B29AA4BE989C}" dateTime="2025-05-20T15:22:00" maxSheetId="11" userName="Marcelo Lucio Saboia Fonseca" r:id="rId44" minRId="1066" maxRId="1080">
    <sheetIdMap count="10">
      <sheetId val="1"/>
      <sheetId val="2"/>
      <sheetId val="3"/>
      <sheetId val="4"/>
      <sheetId val="5"/>
      <sheetId val="6"/>
      <sheetId val="7"/>
      <sheetId val="8"/>
      <sheetId val="9"/>
      <sheetId val="10"/>
    </sheetIdMap>
  </header>
  <header guid="{7FDE70E3-6F41-4305-9AA8-C9D237CCDE18}" dateTime="2025-05-20T15:43:23" maxSheetId="11" userName="Marcelo Lucio Saboia Fonseca" r:id="rId45" minRId="1081" maxRId="1097">
    <sheetIdMap count="10">
      <sheetId val="1"/>
      <sheetId val="2"/>
      <sheetId val="3"/>
      <sheetId val="4"/>
      <sheetId val="5"/>
      <sheetId val="6"/>
      <sheetId val="7"/>
      <sheetId val="8"/>
      <sheetId val="9"/>
      <sheetId val="10"/>
    </sheetIdMap>
  </header>
  <header guid="{1704B949-96B3-4753-A7F2-7FCC428F5435}" dateTime="2025-05-20T15:53:26" maxSheetId="11" userName="Marcelo Lucio Saboia Fonseca" r:id="rId46" minRId="1098" maxRId="1177">
    <sheetIdMap count="10">
      <sheetId val="1"/>
      <sheetId val="2"/>
      <sheetId val="3"/>
      <sheetId val="4"/>
      <sheetId val="5"/>
      <sheetId val="6"/>
      <sheetId val="7"/>
      <sheetId val="8"/>
      <sheetId val="9"/>
      <sheetId val="10"/>
    </sheetIdMap>
  </header>
  <header guid="{4D7FD383-78B8-4E65-BD1B-E261BEE7A9B7}" dateTime="2025-05-20T15:53:59" maxSheetId="11" userName="Marcelo Lucio Saboia Fonseca" r:id="rId47" minRId="1178" maxRId="1217">
    <sheetIdMap count="10">
      <sheetId val="1"/>
      <sheetId val="2"/>
      <sheetId val="3"/>
      <sheetId val="4"/>
      <sheetId val="5"/>
      <sheetId val="6"/>
      <sheetId val="7"/>
      <sheetId val="8"/>
      <sheetId val="9"/>
      <sheetId val="10"/>
    </sheetIdMap>
  </header>
  <header guid="{22BF354E-B7C3-45FC-BBAB-083B8DA227A8}" dateTime="2025-05-20T15:54:07" maxSheetId="11" userName="Marcelo Lucio Saboia Fonseca" r:id="rId48" minRId="1218" maxRId="1225">
    <sheetIdMap count="10">
      <sheetId val="1"/>
      <sheetId val="2"/>
      <sheetId val="3"/>
      <sheetId val="4"/>
      <sheetId val="5"/>
      <sheetId val="6"/>
      <sheetId val="7"/>
      <sheetId val="8"/>
      <sheetId val="9"/>
      <sheetId val="10"/>
    </sheetIdMap>
  </header>
  <header guid="{B426B87C-85F9-412B-AEE8-98FDE0F6E2ED}" dateTime="2025-05-20T16:00:51" maxSheetId="11" userName="Marcelo Lucio Saboia Fonseca" r:id="rId49" minRId="1226">
    <sheetIdMap count="10">
      <sheetId val="1"/>
      <sheetId val="2"/>
      <sheetId val="3"/>
      <sheetId val="4"/>
      <sheetId val="5"/>
      <sheetId val="6"/>
      <sheetId val="7"/>
      <sheetId val="8"/>
      <sheetId val="9"/>
      <sheetId val="10"/>
    </sheetIdMap>
  </header>
  <header guid="{EE1B3224-D18A-41E7-B293-B670F912D966}" dateTime="2025-05-20T16:58:10" maxSheetId="11" userName="Marcelo Lucio Saboia Fonseca" r:id="rId50" minRId="1227" maxRId="1234">
    <sheetIdMap count="10">
      <sheetId val="1"/>
      <sheetId val="2"/>
      <sheetId val="3"/>
      <sheetId val="4"/>
      <sheetId val="5"/>
      <sheetId val="6"/>
      <sheetId val="7"/>
      <sheetId val="8"/>
      <sheetId val="9"/>
      <sheetId val="10"/>
    </sheetIdMap>
  </header>
  <header guid="{81A04EA4-ABC2-4C32-B4C3-87D124081360}" dateTime="2025-05-21T08:02:04" maxSheetId="11" userName="Marcos Neves de Almeida" r:id="rId51" minRId="1235" maxRId="1236">
    <sheetIdMap count="10">
      <sheetId val="1"/>
      <sheetId val="2"/>
      <sheetId val="3"/>
      <sheetId val="4"/>
      <sheetId val="5"/>
      <sheetId val="6"/>
      <sheetId val="7"/>
      <sheetId val="8"/>
      <sheetId val="9"/>
      <sheetId val="10"/>
    </sheetIdMap>
  </header>
  <header guid="{F26C1380-4046-4D08-B7EA-1FB07C47C85F}" dateTime="2025-05-21T08:02:34" maxSheetId="11" userName="Marcos Neves de Almeida" r:id="rId52" minRId="1237">
    <sheetIdMap count="10">
      <sheetId val="1"/>
      <sheetId val="2"/>
      <sheetId val="3"/>
      <sheetId val="4"/>
      <sheetId val="5"/>
      <sheetId val="6"/>
      <sheetId val="7"/>
      <sheetId val="8"/>
      <sheetId val="9"/>
      <sheetId val="10"/>
    </sheetIdMap>
  </header>
  <header guid="{BEED7B7B-CF60-4C37-8362-0406C7FB3195}" dateTime="2025-05-21T10:19:26" maxSheetId="11" userName="Marcelo Lucio Saboia Fonseca" r:id="rId53" minRId="1238" maxRId="1281">
    <sheetIdMap count="10">
      <sheetId val="1"/>
      <sheetId val="2"/>
      <sheetId val="3"/>
      <sheetId val="4"/>
      <sheetId val="5"/>
      <sheetId val="6"/>
      <sheetId val="7"/>
      <sheetId val="8"/>
      <sheetId val="9"/>
      <sheetId val="10"/>
    </sheetIdMap>
  </header>
  <header guid="{CBC664CB-E383-43BB-B32B-A5042A86EEE5}" dateTime="2025-05-21T10:50:17" maxSheetId="11" userName="Marcelo Lucio Saboia Fonseca" r:id="rId54" minRId="1282" maxRId="1440">
    <sheetIdMap count="10">
      <sheetId val="1"/>
      <sheetId val="2"/>
      <sheetId val="3"/>
      <sheetId val="4"/>
      <sheetId val="5"/>
      <sheetId val="6"/>
      <sheetId val="7"/>
      <sheetId val="8"/>
      <sheetId val="9"/>
      <sheetId val="10"/>
    </sheetIdMap>
  </header>
  <header guid="{A2C1E82D-0D8A-4741-A1C9-4020934CA01E}" dateTime="2025-05-21T10:50:54" maxSheetId="11" userName="Marcelo Lucio Saboia Fonseca" r:id="rId55" minRId="1441" maxRId="1455">
    <sheetIdMap count="10">
      <sheetId val="1"/>
      <sheetId val="2"/>
      <sheetId val="3"/>
      <sheetId val="4"/>
      <sheetId val="5"/>
      <sheetId val="6"/>
      <sheetId val="7"/>
      <sheetId val="8"/>
      <sheetId val="9"/>
      <sheetId val="10"/>
    </sheetIdMap>
  </header>
  <header guid="{1EEF9BDB-D408-464D-9FE0-6967A84C557C}" dateTime="2025-05-21T10:52:00" maxSheetId="11" userName="Marcelo Lucio Saboia Fonseca" r:id="rId56" minRId="1456" maxRId="1485">
    <sheetIdMap count="10">
      <sheetId val="1"/>
      <sheetId val="2"/>
      <sheetId val="3"/>
      <sheetId val="4"/>
      <sheetId val="5"/>
      <sheetId val="6"/>
      <sheetId val="7"/>
      <sheetId val="8"/>
      <sheetId val="9"/>
      <sheetId val="10"/>
    </sheetIdMap>
  </header>
  <header guid="{ABE69A06-8F72-4CAE-921A-7D8D3BDD5040}" dateTime="2025-05-21T10:52:40" maxSheetId="11" userName="Marcelo Lucio Saboia Fonseca" r:id="rId57">
    <sheetIdMap count="10">
      <sheetId val="1"/>
      <sheetId val="2"/>
      <sheetId val="3"/>
      <sheetId val="4"/>
      <sheetId val="5"/>
      <sheetId val="6"/>
      <sheetId val="7"/>
      <sheetId val="8"/>
      <sheetId val="9"/>
      <sheetId val="10"/>
    </sheetIdMap>
  </header>
  <header guid="{4EB7991A-0EAF-48CA-B259-0F0B588A471E}" dateTime="2025-05-21T10:52:52" maxSheetId="11" userName="Marcelo Lucio Saboia Fonseca" r:id="rId58">
    <sheetIdMap count="10">
      <sheetId val="1"/>
      <sheetId val="2"/>
      <sheetId val="3"/>
      <sheetId val="4"/>
      <sheetId val="5"/>
      <sheetId val="6"/>
      <sheetId val="7"/>
      <sheetId val="8"/>
      <sheetId val="9"/>
      <sheetId val="10"/>
    </sheetIdMap>
  </header>
  <header guid="{AB988A48-8238-4A5E-96AB-E62701676752}" dateTime="2025-05-21T11:04:13" maxSheetId="11" userName="Marcelo Lucio Saboia Fonseca" r:id="rId59" minRId="1486" maxRId="1508">
    <sheetIdMap count="10">
      <sheetId val="1"/>
      <sheetId val="2"/>
      <sheetId val="3"/>
      <sheetId val="4"/>
      <sheetId val="5"/>
      <sheetId val="6"/>
      <sheetId val="7"/>
      <sheetId val="8"/>
      <sheetId val="9"/>
      <sheetId val="10"/>
    </sheetIdMap>
  </header>
  <header guid="{9DB7C768-5836-4660-ACE6-D600A2912AAC}" dateTime="2025-05-21T11:36:56" maxSheetId="11" userName="Marcelo Lucio Saboia Fonseca" r:id="rId60" minRId="1509" maxRId="1513">
    <sheetIdMap count="10">
      <sheetId val="1"/>
      <sheetId val="2"/>
      <sheetId val="3"/>
      <sheetId val="4"/>
      <sheetId val="5"/>
      <sheetId val="6"/>
      <sheetId val="7"/>
      <sheetId val="8"/>
      <sheetId val="9"/>
      <sheetId val="10"/>
    </sheetIdMap>
  </header>
  <header guid="{666FD390-06A2-403B-9055-59BB3BEAC80E}" dateTime="2025-05-21T14:28:23" maxSheetId="11" userName="Marcelo Lucio Saboia Fonseca" r:id="rId61" minRId="1514">
    <sheetIdMap count="10">
      <sheetId val="1"/>
      <sheetId val="2"/>
      <sheetId val="3"/>
      <sheetId val="4"/>
      <sheetId val="5"/>
      <sheetId val="6"/>
      <sheetId val="7"/>
      <sheetId val="8"/>
      <sheetId val="9"/>
      <sheetId val="10"/>
    </sheetIdMap>
  </header>
  <header guid="{47F2951C-8A08-4078-9319-4CBC2EA2F834}" dateTime="2025-05-21T15:42:50" maxSheetId="11" userName="Marcelo Lucio Saboia Fonseca" r:id="rId62">
    <sheetIdMap count="10">
      <sheetId val="1"/>
      <sheetId val="2"/>
      <sheetId val="3"/>
      <sheetId val="4"/>
      <sheetId val="5"/>
      <sheetId val="6"/>
      <sheetId val="7"/>
      <sheetId val="8"/>
      <sheetId val="9"/>
      <sheetId val="10"/>
    </sheetIdMap>
  </header>
  <header guid="{37FAFFF5-DA17-41C8-9D7D-1F8F11DFB95B}" dateTime="2025-05-21T16:42:15" maxSheetId="11" userName="Alessandro Borges de Araújo" r:id="rId63" minRId="1515" maxRId="1516">
    <sheetIdMap count="10">
      <sheetId val="1"/>
      <sheetId val="2"/>
      <sheetId val="3"/>
      <sheetId val="4"/>
      <sheetId val="5"/>
      <sheetId val="6"/>
      <sheetId val="7"/>
      <sheetId val="8"/>
      <sheetId val="9"/>
      <sheetId val="10"/>
    </sheetIdMap>
  </header>
  <header guid="{E0CCA3C0-90DE-4CD7-B0F0-F87A02CD7C63}" dateTime="2025-05-22T08:33:08" maxSheetId="11" userName="Diego Santos de Abreu" r:id="rId64" minRId="1517">
    <sheetIdMap count="10">
      <sheetId val="1"/>
      <sheetId val="2"/>
      <sheetId val="3"/>
      <sheetId val="4"/>
      <sheetId val="5"/>
      <sheetId val="6"/>
      <sheetId val="7"/>
      <sheetId val="8"/>
      <sheetId val="9"/>
      <sheetId val="10"/>
    </sheetIdMap>
  </header>
  <header guid="{9CD85E6B-22BF-4756-8552-A4E4CBE7A7D4}" dateTime="2025-05-22T08:34:58" maxSheetId="11" userName="Marcos Neves de Almeida" r:id="rId65" minRId="1518" maxRId="1519">
    <sheetIdMap count="10">
      <sheetId val="1"/>
      <sheetId val="2"/>
      <sheetId val="3"/>
      <sheetId val="4"/>
      <sheetId val="5"/>
      <sheetId val="6"/>
      <sheetId val="7"/>
      <sheetId val="8"/>
      <sheetId val="9"/>
      <sheetId val="10"/>
    </sheetIdMap>
  </header>
  <header guid="{1816D4F0-20ED-410A-A985-A1072CCA0D42}" dateTime="2025-05-22T08:45:00" maxSheetId="11" userName="Marcelo Lucio Saboia Fonseca" r:id="rId66" minRId="1520" maxRId="1533">
    <sheetIdMap count="10">
      <sheetId val="1"/>
      <sheetId val="2"/>
      <sheetId val="3"/>
      <sheetId val="4"/>
      <sheetId val="5"/>
      <sheetId val="6"/>
      <sheetId val="7"/>
      <sheetId val="8"/>
      <sheetId val="9"/>
      <sheetId val="10"/>
    </sheetIdMap>
  </header>
  <header guid="{855E24FA-5A48-4CC2-8813-8FB94718C05D}" dateTime="2025-05-22T08:45:22" maxSheetId="11" userName="Diego Santos de Abreu" r:id="rId67">
    <sheetIdMap count="10">
      <sheetId val="1"/>
      <sheetId val="2"/>
      <sheetId val="3"/>
      <sheetId val="4"/>
      <sheetId val="5"/>
      <sheetId val="6"/>
      <sheetId val="7"/>
      <sheetId val="8"/>
      <sheetId val="9"/>
      <sheetId val="10"/>
    </sheetIdMap>
  </header>
  <header guid="{05B735DA-574C-4532-9655-7A16D43D3F1C}" dateTime="2025-05-22T08:45:41" maxSheetId="11" userName="Marcos Neves de Almeida" r:id="rId68">
    <sheetIdMap count="10">
      <sheetId val="1"/>
      <sheetId val="2"/>
      <sheetId val="3"/>
      <sheetId val="4"/>
      <sheetId val="5"/>
      <sheetId val="6"/>
      <sheetId val="7"/>
      <sheetId val="8"/>
      <sheetId val="9"/>
      <sheetId val="10"/>
    </sheetIdMap>
  </header>
  <header guid="{6A1971F7-8F66-4741-B62B-AFDADAD99B66}" dateTime="2025-05-22T08:47:18" maxSheetId="11" userName="Marcelo Lucio Saboia Fonseca" r:id="rId69" minRId="1534">
    <sheetIdMap count="10">
      <sheetId val="1"/>
      <sheetId val="2"/>
      <sheetId val="3"/>
      <sheetId val="4"/>
      <sheetId val="5"/>
      <sheetId val="6"/>
      <sheetId val="7"/>
      <sheetId val="8"/>
      <sheetId val="9"/>
      <sheetId val="10"/>
    </sheetIdMap>
  </header>
  <header guid="{AAEEFB46-D86C-432F-A2F8-85B8AC462D20}" dateTime="2025-05-22T08:47:55" maxSheetId="11" userName="Marcelo Lucio Saboia Fonseca" r:id="rId70" minRId="1535" maxRId="1537">
    <sheetIdMap count="10">
      <sheetId val="1"/>
      <sheetId val="2"/>
      <sheetId val="3"/>
      <sheetId val="4"/>
      <sheetId val="5"/>
      <sheetId val="6"/>
      <sheetId val="7"/>
      <sheetId val="8"/>
      <sheetId val="9"/>
      <sheetId val="10"/>
    </sheetIdMap>
  </header>
  <header guid="{00891416-E774-444D-9EB5-1DC353DC1FD6}" dateTime="2025-05-22T09:04:50" maxSheetId="11" userName="Marcelo Lucio Saboia Fonseca" r:id="rId71">
    <sheetIdMap count="10">
      <sheetId val="1"/>
      <sheetId val="2"/>
      <sheetId val="3"/>
      <sheetId val="4"/>
      <sheetId val="5"/>
      <sheetId val="6"/>
      <sheetId val="7"/>
      <sheetId val="8"/>
      <sheetId val="9"/>
      <sheetId val="10"/>
    </sheetIdMap>
  </header>
  <header guid="{6439E47E-2E30-4B24-A05F-342015F07B64}" dateTime="2025-05-22T09:12:52" maxSheetId="11" userName="Aelton de Jesus Nunes" r:id="rId72" minRId="1538" maxRId="1543">
    <sheetIdMap count="10">
      <sheetId val="1"/>
      <sheetId val="2"/>
      <sheetId val="3"/>
      <sheetId val="4"/>
      <sheetId val="5"/>
      <sheetId val="6"/>
      <sheetId val="7"/>
      <sheetId val="8"/>
      <sheetId val="9"/>
      <sheetId val="10"/>
    </sheetIdMap>
  </header>
  <header guid="{9E44B5CF-7CFA-4FD7-BE6A-8C515CAC93C9}" dateTime="2025-05-22T09:13:08" maxSheetId="11" userName="Aelton de Jesus Nunes" r:id="rId73">
    <sheetIdMap count="10">
      <sheetId val="1"/>
      <sheetId val="2"/>
      <sheetId val="3"/>
      <sheetId val="4"/>
      <sheetId val="5"/>
      <sheetId val="6"/>
      <sheetId val="7"/>
      <sheetId val="8"/>
      <sheetId val="9"/>
      <sheetId val="10"/>
    </sheetIdMap>
  </header>
  <header guid="{FE942628-9EF3-4628-8208-5DECD3DEB893}" dateTime="2025-05-22T09:14:26" maxSheetId="11" userName="Aelton de Jesus Nunes" r:id="rId74" minRId="1544" maxRId="1545">
    <sheetIdMap count="10">
      <sheetId val="1"/>
      <sheetId val="2"/>
      <sheetId val="3"/>
      <sheetId val="4"/>
      <sheetId val="5"/>
      <sheetId val="6"/>
      <sheetId val="7"/>
      <sheetId val="8"/>
      <sheetId val="9"/>
      <sheetId val="10"/>
    </sheetIdMap>
  </header>
  <header guid="{3C99CECC-36FF-49C3-A371-AE562CAEC0AC}" dateTime="2025-05-22T09:28:17" maxSheetId="11" userName="Alessandro Borges de Araújo" r:id="rId75" minRId="1546" maxRId="1550">
    <sheetIdMap count="10">
      <sheetId val="1"/>
      <sheetId val="2"/>
      <sheetId val="3"/>
      <sheetId val="4"/>
      <sheetId val="5"/>
      <sheetId val="6"/>
      <sheetId val="7"/>
      <sheetId val="8"/>
      <sheetId val="9"/>
      <sheetId val="10"/>
    </sheetIdMap>
  </header>
  <header guid="{046A3B00-8B28-4515-B344-017697E1493B}" dateTime="2025-05-22T09:29:27" maxSheetId="11" userName="Aelton de Jesus Nunes" r:id="rId76">
    <sheetIdMap count="10">
      <sheetId val="1"/>
      <sheetId val="2"/>
      <sheetId val="3"/>
      <sheetId val="4"/>
      <sheetId val="5"/>
      <sheetId val="6"/>
      <sheetId val="7"/>
      <sheetId val="8"/>
      <sheetId val="9"/>
      <sheetId val="10"/>
    </sheetIdMap>
  </header>
  <header guid="{A6C2B1CD-9E9E-402B-8C38-F64FED08E496}" dateTime="2025-05-22T10:38:01" maxSheetId="11" userName="Aelton de Jesus Nunes" r:id="rId77" minRId="1551">
    <sheetIdMap count="10">
      <sheetId val="1"/>
      <sheetId val="2"/>
      <sheetId val="3"/>
      <sheetId val="4"/>
      <sheetId val="5"/>
      <sheetId val="6"/>
      <sheetId val="7"/>
      <sheetId val="8"/>
      <sheetId val="9"/>
      <sheetId val="10"/>
    </sheetIdMap>
  </header>
  <header guid="{A853A4E1-2A46-490C-98D5-1C2E6090FD60}" dateTime="2025-05-22T10:52:33" maxSheetId="11" userName="Danilo Rafael Basilio da Silva" r:id="rId78" minRId="1552" maxRId="1556">
    <sheetIdMap count="10">
      <sheetId val="1"/>
      <sheetId val="2"/>
      <sheetId val="3"/>
      <sheetId val="4"/>
      <sheetId val="5"/>
      <sheetId val="6"/>
      <sheetId val="7"/>
      <sheetId val="8"/>
      <sheetId val="9"/>
      <sheetId val="10"/>
    </sheetIdMap>
  </header>
  <header guid="{632D27ED-3199-4C6D-A681-7F0E724044B0}" dateTime="2025-05-22T10:52:36" maxSheetId="11" userName="Marcelo Lucio Saboia Fonseca" r:id="rId79">
    <sheetIdMap count="10">
      <sheetId val="1"/>
      <sheetId val="2"/>
      <sheetId val="3"/>
      <sheetId val="4"/>
      <sheetId val="5"/>
      <sheetId val="6"/>
      <sheetId val="7"/>
      <sheetId val="8"/>
      <sheetId val="9"/>
      <sheetId val="10"/>
    </sheetIdMap>
  </header>
  <header guid="{93491508-7567-4CA3-847C-DB8C69DD0785}" dateTime="2025-05-22T10:58:41" maxSheetId="11" userName="Danilo Rafael Basilio da Silva" r:id="rId80" minRId="1557" maxRId="1562">
    <sheetIdMap count="10">
      <sheetId val="1"/>
      <sheetId val="2"/>
      <sheetId val="3"/>
      <sheetId val="4"/>
      <sheetId val="5"/>
      <sheetId val="6"/>
      <sheetId val="7"/>
      <sheetId val="8"/>
      <sheetId val="9"/>
      <sheetId val="10"/>
    </sheetIdMap>
  </header>
  <header guid="{40BBC5A3-2B85-4606-A9D9-BBB49DD31408}" dateTime="2025-05-22T14:04:05" maxSheetId="11" userName="Marcos Neves de Almeida" r:id="rId81">
    <sheetIdMap count="10">
      <sheetId val="1"/>
      <sheetId val="2"/>
      <sheetId val="3"/>
      <sheetId val="4"/>
      <sheetId val="5"/>
      <sheetId val="6"/>
      <sheetId val="7"/>
      <sheetId val="8"/>
      <sheetId val="9"/>
      <sheetId val="10"/>
    </sheetIdMap>
  </header>
  <header guid="{CC98436F-9B3B-4928-8A1A-C223AACF7B61}" dateTime="2025-05-22T14:26:22" maxSheetId="11" userName="Danilo Rafael Basilio da Silva" r:id="rId82" minRId="1563">
    <sheetIdMap count="10">
      <sheetId val="1"/>
      <sheetId val="2"/>
      <sheetId val="3"/>
      <sheetId val="4"/>
      <sheetId val="5"/>
      <sheetId val="6"/>
      <sheetId val="7"/>
      <sheetId val="8"/>
      <sheetId val="9"/>
      <sheetId val="10"/>
    </sheetIdMap>
  </header>
  <header guid="{AA367AE0-A9FA-4116-85CF-996DBEEF996C}" dateTime="2025-05-22T14:32:51" maxSheetId="11" userName="Danilo Rafael Basilio da Silva" r:id="rId83" minRId="1564" maxRId="1568">
    <sheetIdMap count="10">
      <sheetId val="1"/>
      <sheetId val="2"/>
      <sheetId val="3"/>
      <sheetId val="4"/>
      <sheetId val="5"/>
      <sheetId val="6"/>
      <sheetId val="7"/>
      <sheetId val="8"/>
      <sheetId val="9"/>
      <sheetId val="10"/>
    </sheetIdMap>
  </header>
  <header guid="{6E5CDFE1-C134-4F2F-9C9F-9D6073B95562}" dateTime="2025-05-22T14:34:48" maxSheetId="11" userName="Danilo Rafael Basilio da Silva" r:id="rId84" minRId="1569" maxRId="1571">
    <sheetIdMap count="10">
      <sheetId val="1"/>
      <sheetId val="2"/>
      <sheetId val="3"/>
      <sheetId val="4"/>
      <sheetId val="5"/>
      <sheetId val="6"/>
      <sheetId val="7"/>
      <sheetId val="8"/>
      <sheetId val="9"/>
      <sheetId val="10"/>
    </sheetIdMap>
  </header>
  <header guid="{668863DC-57DC-4A62-9DED-8F09E6FA1B2D}" dateTime="2025-05-22T14:34:59" maxSheetId="11" userName="Danilo Rafael Basilio da Silva" r:id="rId85" minRId="1572" maxRId="1575">
    <sheetIdMap count="10">
      <sheetId val="1"/>
      <sheetId val="2"/>
      <sheetId val="3"/>
      <sheetId val="4"/>
      <sheetId val="5"/>
      <sheetId val="6"/>
      <sheetId val="7"/>
      <sheetId val="8"/>
      <sheetId val="9"/>
      <sheetId val="10"/>
    </sheetIdMap>
  </header>
  <header guid="{6D2E746C-BEED-4031-8078-84A0EF3CB52D}" dateTime="2025-05-22T14:41:38" maxSheetId="11" userName="Danilo Rafael Basilio da Silva" r:id="rId86" minRId="1576">
    <sheetIdMap count="10">
      <sheetId val="1"/>
      <sheetId val="2"/>
      <sheetId val="3"/>
      <sheetId val="4"/>
      <sheetId val="5"/>
      <sheetId val="6"/>
      <sheetId val="7"/>
      <sheetId val="8"/>
      <sheetId val="9"/>
      <sheetId val="10"/>
    </sheetIdMap>
  </header>
  <header guid="{AF7929B9-53BB-4EE5-8E4D-54FAA024C5AA}" dateTime="2025-05-22T14:42:49" maxSheetId="11" userName="Marcos Neves de Almeida" r:id="rId87" minRId="1577" maxRId="1578">
    <sheetIdMap count="10">
      <sheetId val="1"/>
      <sheetId val="2"/>
      <sheetId val="3"/>
      <sheetId val="4"/>
      <sheetId val="5"/>
      <sheetId val="6"/>
      <sheetId val="7"/>
      <sheetId val="8"/>
      <sheetId val="9"/>
      <sheetId val="10"/>
    </sheetIdMap>
  </header>
  <header guid="{E90F09E7-8B44-467E-AB0E-371BA0FE191D}" dateTime="2025-05-22T14:46:14" maxSheetId="11" userName="Diego Santos de Abreu" r:id="rId88" minRId="1579" maxRId="1586">
    <sheetIdMap count="10">
      <sheetId val="1"/>
      <sheetId val="2"/>
      <sheetId val="3"/>
      <sheetId val="4"/>
      <sheetId val="5"/>
      <sheetId val="6"/>
      <sheetId val="7"/>
      <sheetId val="8"/>
      <sheetId val="9"/>
      <sheetId val="10"/>
    </sheetIdMap>
  </header>
  <header guid="{A9BC69E4-5667-456B-B8EA-EBE53644D833}" dateTime="2025-05-22T14:47:50" maxSheetId="11" userName="Diego Santos de Abreu" r:id="rId89">
    <sheetIdMap count="10">
      <sheetId val="1"/>
      <sheetId val="2"/>
      <sheetId val="3"/>
      <sheetId val="4"/>
      <sheetId val="5"/>
      <sheetId val="6"/>
      <sheetId val="7"/>
      <sheetId val="8"/>
      <sheetId val="9"/>
      <sheetId val="10"/>
    </sheetIdMap>
  </header>
  <header guid="{64155152-E63C-4247-AB10-D1D2F341511C}" dateTime="2025-05-22T14:49:05" maxSheetId="11" userName="Diego Santos de Abreu" r:id="rId90" minRId="1587" maxRId="1594">
    <sheetIdMap count="10">
      <sheetId val="1"/>
      <sheetId val="2"/>
      <sheetId val="3"/>
      <sheetId val="4"/>
      <sheetId val="5"/>
      <sheetId val="6"/>
      <sheetId val="7"/>
      <sheetId val="8"/>
      <sheetId val="9"/>
      <sheetId val="10"/>
    </sheetIdMap>
  </header>
  <header guid="{6FC55A2D-23A2-41AC-A2D4-A34C982CDC6E}" dateTime="2025-05-22T15:33:32" maxSheetId="11" userName="Marcelo Lucio Saboia Fonseca" r:id="rId91" minRId="1595" maxRId="1598">
    <sheetIdMap count="10">
      <sheetId val="1"/>
      <sheetId val="2"/>
      <sheetId val="3"/>
      <sheetId val="4"/>
      <sheetId val="5"/>
      <sheetId val="6"/>
      <sheetId val="7"/>
      <sheetId val="8"/>
      <sheetId val="9"/>
      <sheetId val="10"/>
    </sheetIdMap>
  </header>
  <header guid="{60CEF82F-E4F2-47CA-ACAA-58D85D56C234}" dateTime="2025-05-23T09:00:47" maxSheetId="11" userName="Marcos Neves de Almeida" r:id="rId92">
    <sheetIdMap count="10">
      <sheetId val="1"/>
      <sheetId val="2"/>
      <sheetId val="3"/>
      <sheetId val="4"/>
      <sheetId val="5"/>
      <sheetId val="6"/>
      <sheetId val="7"/>
      <sheetId val="8"/>
      <sheetId val="9"/>
      <sheetId val="10"/>
    </sheetIdMap>
  </header>
  <header guid="{04F97D91-A3DC-4158-BC92-8DA78D2883C5}" dateTime="2025-05-23T09:25:56" maxSheetId="11" userName="Aelton de Jesus Nunes" r:id="rId93" minRId="1599" maxRId="1600">
    <sheetIdMap count="10">
      <sheetId val="1"/>
      <sheetId val="2"/>
      <sheetId val="3"/>
      <sheetId val="4"/>
      <sheetId val="5"/>
      <sheetId val="6"/>
      <sheetId val="7"/>
      <sheetId val="8"/>
      <sheetId val="9"/>
      <sheetId val="10"/>
    </sheetIdMap>
  </header>
  <header guid="{9A5B2013-FA4C-421D-B641-8E9C4B9A8963}" dateTime="2025-05-23T11:37:04" maxSheetId="11" userName="Diego Santos de Abreu" r:id="rId94" minRId="1601">
    <sheetIdMap count="10">
      <sheetId val="1"/>
      <sheetId val="2"/>
      <sheetId val="3"/>
      <sheetId val="4"/>
      <sheetId val="5"/>
      <sheetId val="6"/>
      <sheetId val="7"/>
      <sheetId val="8"/>
      <sheetId val="9"/>
      <sheetId val="10"/>
    </sheetIdMap>
  </header>
  <header guid="{C6EEFF6B-C02D-4839-BE33-5B72BD88983D}" dateTime="2025-05-23T11:37:44" maxSheetId="11" userName="Marcos Neves de Almeida" r:id="rId95" minRId="1602">
    <sheetIdMap count="10">
      <sheetId val="1"/>
      <sheetId val="2"/>
      <sheetId val="3"/>
      <sheetId val="4"/>
      <sheetId val="5"/>
      <sheetId val="6"/>
      <sheetId val="7"/>
      <sheetId val="8"/>
      <sheetId val="9"/>
      <sheetId val="10"/>
    </sheetIdMap>
  </header>
  <header guid="{6351E4BD-88EE-433D-9FC0-567A71CBEACF}" dateTime="2025-05-23T17:56:21" maxSheetId="11" userName="Alessandro Borges de Araújo" r:id="rId96" minRId="1603" maxRId="1606">
    <sheetIdMap count="10">
      <sheetId val="1"/>
      <sheetId val="2"/>
      <sheetId val="3"/>
      <sheetId val="4"/>
      <sheetId val="5"/>
      <sheetId val="6"/>
      <sheetId val="7"/>
      <sheetId val="8"/>
      <sheetId val="9"/>
      <sheetId val="10"/>
    </sheetIdMap>
  </header>
  <header guid="{A10559C1-01AA-438B-A92C-1424854F2DB8}" dateTime="2025-05-23T17:56:58" maxSheetId="11" userName="Alessandro Borges de Araújo" r:id="rId97">
    <sheetIdMap count="10">
      <sheetId val="1"/>
      <sheetId val="2"/>
      <sheetId val="3"/>
      <sheetId val="4"/>
      <sheetId val="5"/>
      <sheetId val="6"/>
      <sheetId val="7"/>
      <sheetId val="8"/>
      <sheetId val="9"/>
      <sheetId val="10"/>
    </sheetIdMap>
  </header>
  <header guid="{DCDACC46-D145-4135-8D68-15BF70BDCFAB}" dateTime="2025-05-26T09:11:08" maxSheetId="11" userName="Aelton de Jesus Nunes" r:id="rId98" minRId="1607" maxRId="1608">
    <sheetIdMap count="10">
      <sheetId val="1"/>
      <sheetId val="2"/>
      <sheetId val="3"/>
      <sheetId val="4"/>
      <sheetId val="5"/>
      <sheetId val="6"/>
      <sheetId val="7"/>
      <sheetId val="8"/>
      <sheetId val="9"/>
      <sheetId val="10"/>
    </sheetIdMap>
  </header>
  <header guid="{41E3597A-660D-4A9B-9E9E-ADEC934BDC61}" dateTime="2025-05-26T09:13:13" maxSheetId="11" userName="Aelton de Jesus Nunes" r:id="rId99">
    <sheetIdMap count="10">
      <sheetId val="1"/>
      <sheetId val="2"/>
      <sheetId val="3"/>
      <sheetId val="4"/>
      <sheetId val="5"/>
      <sheetId val="6"/>
      <sheetId val="7"/>
      <sheetId val="8"/>
      <sheetId val="9"/>
      <sheetId val="10"/>
    </sheetIdMap>
  </header>
  <header guid="{4A183362-1ECA-4DEB-B4D7-B0309DD97F3F}" dateTime="2025-05-26T09:45:53" maxSheetId="11" userName="Marcelo Lucio Saboia Fonseca" r:id="rId100" minRId="1609" maxRId="1610">
    <sheetIdMap count="10">
      <sheetId val="1"/>
      <sheetId val="2"/>
      <sheetId val="3"/>
      <sheetId val="4"/>
      <sheetId val="5"/>
      <sheetId val="6"/>
      <sheetId val="7"/>
      <sheetId val="8"/>
      <sheetId val="9"/>
      <sheetId val="10"/>
    </sheetIdMap>
  </header>
  <header guid="{340B12BA-6034-439D-B2F1-5D4F59511DE7}" dateTime="2025-05-26T11:29:32" maxSheetId="11" userName="Danilo Rafael Basilio da Silva" r:id="rId101" minRId="1611">
    <sheetIdMap count="10">
      <sheetId val="1"/>
      <sheetId val="2"/>
      <sheetId val="3"/>
      <sheetId val="4"/>
      <sheetId val="5"/>
      <sheetId val="6"/>
      <sheetId val="7"/>
      <sheetId val="8"/>
      <sheetId val="9"/>
      <sheetId val="10"/>
    </sheetIdMap>
  </header>
  <header guid="{4F41E11F-756C-4B3D-876A-B987F2705657}" dateTime="2025-05-26T17:06:12" maxSheetId="11" userName="Aelton de Jesus Nunes" r:id="rId102" minRId="1612">
    <sheetIdMap count="10">
      <sheetId val="1"/>
      <sheetId val="2"/>
      <sheetId val="3"/>
      <sheetId val="4"/>
      <sheetId val="5"/>
      <sheetId val="6"/>
      <sheetId val="7"/>
      <sheetId val="8"/>
      <sheetId val="9"/>
      <sheetId val="10"/>
    </sheetIdMap>
  </header>
  <header guid="{49A8C16E-4E23-4FE6-AF65-566DEE187B5F}" dateTime="2025-05-27T07:26:44" maxSheetId="11" userName="Marcos Neves de Almeida" r:id="rId103" minRId="1613">
    <sheetIdMap count="10">
      <sheetId val="1"/>
      <sheetId val="2"/>
      <sheetId val="3"/>
      <sheetId val="4"/>
      <sheetId val="5"/>
      <sheetId val="6"/>
      <sheetId val="7"/>
      <sheetId val="8"/>
      <sheetId val="9"/>
      <sheetId val="10"/>
    </sheetIdMap>
  </header>
  <header guid="{8C29EB88-8AFA-4CA0-813D-B3403464F7F4}" dateTime="2025-05-27T12:14:28" maxSheetId="11" userName="Marcelo Lucio Saboia Fonseca" r:id="rId104">
    <sheetIdMap count="10">
      <sheetId val="1"/>
      <sheetId val="2"/>
      <sheetId val="3"/>
      <sheetId val="4"/>
      <sheetId val="5"/>
      <sheetId val="6"/>
      <sheetId val="7"/>
      <sheetId val="8"/>
      <sheetId val="9"/>
      <sheetId val="10"/>
    </sheetIdMap>
  </header>
  <header guid="{79BA26E2-5FEC-461A-96F5-A6922A8114B5}" dateTime="2025-05-27T14:19:16" maxSheetId="11" userName="Danilo Rafael Basilio da Silva" r:id="rId105" minRId="1614" maxRId="1618">
    <sheetIdMap count="10">
      <sheetId val="1"/>
      <sheetId val="2"/>
      <sheetId val="3"/>
      <sheetId val="4"/>
      <sheetId val="5"/>
      <sheetId val="6"/>
      <sheetId val="7"/>
      <sheetId val="8"/>
      <sheetId val="9"/>
      <sheetId val="10"/>
    </sheetIdMap>
  </header>
  <header guid="{59CBAC48-9BBF-4204-B8C8-ADFAF0ACE4B7}" dateTime="2025-05-27T15:29:49" maxSheetId="11" userName="Diego Santos de Abreu" r:id="rId106" minRId="1619" maxRId="1620">
    <sheetIdMap count="10">
      <sheetId val="1"/>
      <sheetId val="2"/>
      <sheetId val="3"/>
      <sheetId val="4"/>
      <sheetId val="5"/>
      <sheetId val="6"/>
      <sheetId val="7"/>
      <sheetId val="8"/>
      <sheetId val="9"/>
      <sheetId val="10"/>
    </sheetIdMap>
  </header>
  <header guid="{4E151908-B046-42F0-A223-3C7A9F4A96BE}" dateTime="2025-05-27T15:30:04" maxSheetId="11" userName="Diego Santos de Abreu" r:id="rId107" minRId="1621">
    <sheetIdMap count="10">
      <sheetId val="1"/>
      <sheetId val="2"/>
      <sheetId val="3"/>
      <sheetId val="4"/>
      <sheetId val="5"/>
      <sheetId val="6"/>
      <sheetId val="7"/>
      <sheetId val="8"/>
      <sheetId val="9"/>
      <sheetId val="10"/>
    </sheetIdMap>
  </header>
  <header guid="{7C64A116-7D17-4403-8198-84889BDC4217}" dateTime="2025-05-28T08:15:18" maxSheetId="11" userName="Marcos Neves de Almeida" r:id="rId108" minRId="1622">
    <sheetIdMap count="10">
      <sheetId val="1"/>
      <sheetId val="2"/>
      <sheetId val="3"/>
      <sheetId val="4"/>
      <sheetId val="5"/>
      <sheetId val="6"/>
      <sheetId val="7"/>
      <sheetId val="8"/>
      <sheetId val="9"/>
      <sheetId val="10"/>
    </sheetIdMap>
  </header>
  <header guid="{A3473BD4-B960-4DC9-8CD2-6920A2B296B9}" dateTime="2025-05-28T09:28:19" maxSheetId="11" userName="Aelton de Jesus Nunes" r:id="rId109" minRId="1623" maxRId="1625">
    <sheetIdMap count="10">
      <sheetId val="1"/>
      <sheetId val="2"/>
      <sheetId val="3"/>
      <sheetId val="4"/>
      <sheetId val="5"/>
      <sheetId val="6"/>
      <sheetId val="7"/>
      <sheetId val="8"/>
      <sheetId val="9"/>
      <sheetId val="10"/>
    </sheetIdMap>
  </header>
  <header guid="{0613B1F3-29C9-4029-807B-D89B02B4EA5B}" dateTime="2025-05-28T15:32:44" maxSheetId="11" userName="Marcos Neves de Almeida" r:id="rId110" minRId="1626">
    <sheetIdMap count="10">
      <sheetId val="1"/>
      <sheetId val="2"/>
      <sheetId val="3"/>
      <sheetId val="4"/>
      <sheetId val="5"/>
      <sheetId val="6"/>
      <sheetId val="7"/>
      <sheetId val="8"/>
      <sheetId val="9"/>
      <sheetId val="10"/>
    </sheetIdMap>
  </header>
  <header guid="{D2378BA8-FF94-4CAA-A680-99E3212C65AF}" dateTime="2025-05-28T16:57:27" maxSheetId="11" userName="Aelton de Jesus Nunes" r:id="rId111" minRId="1627">
    <sheetIdMap count="10">
      <sheetId val="1"/>
      <sheetId val="2"/>
      <sheetId val="3"/>
      <sheetId val="4"/>
      <sheetId val="5"/>
      <sheetId val="6"/>
      <sheetId val="7"/>
      <sheetId val="8"/>
      <sheetId val="9"/>
      <sheetId val="10"/>
    </sheetIdMap>
  </header>
  <header guid="{09AD37CE-EA62-4B01-9232-BDA8D437194B}" dateTime="2025-05-28T16:58:15" maxSheetId="11" userName="Aelton de Jesus Nunes" r:id="rId112" minRId="1628">
    <sheetIdMap count="10">
      <sheetId val="1"/>
      <sheetId val="2"/>
      <sheetId val="3"/>
      <sheetId val="4"/>
      <sheetId val="5"/>
      <sheetId val="6"/>
      <sheetId val="7"/>
      <sheetId val="8"/>
      <sheetId val="9"/>
      <sheetId val="10"/>
    </sheetIdMap>
  </header>
  <header guid="{9AD239D5-C587-46CE-9DA3-53ACC1FDF3F7}" dateTime="2025-05-28T16:58:28" maxSheetId="11" userName="Aelton de Jesus Nunes" r:id="rId113" minRId="1629">
    <sheetIdMap count="10">
      <sheetId val="1"/>
      <sheetId val="2"/>
      <sheetId val="3"/>
      <sheetId val="4"/>
      <sheetId val="5"/>
      <sheetId val="6"/>
      <sheetId val="7"/>
      <sheetId val="8"/>
      <sheetId val="9"/>
      <sheetId val="10"/>
    </sheetIdMap>
  </header>
  <header guid="{20597E0C-072D-466A-A3E7-25E7839825EC}" dateTime="2025-05-28T17:00:28" maxSheetId="11" userName="Aelton de Jesus Nunes" r:id="rId114">
    <sheetIdMap count="10">
      <sheetId val="1"/>
      <sheetId val="2"/>
      <sheetId val="3"/>
      <sheetId val="4"/>
      <sheetId val="5"/>
      <sheetId val="6"/>
      <sheetId val="7"/>
      <sheetId val="8"/>
      <sheetId val="9"/>
      <sheetId val="10"/>
    </sheetIdMap>
  </header>
  <header guid="{7D8A7477-11BD-484F-9C45-75D198079A87}" dateTime="2025-05-28T17:02:01" maxSheetId="11" userName="Aelton de Jesus Nunes" r:id="rId115" minRId="1630">
    <sheetIdMap count="10">
      <sheetId val="1"/>
      <sheetId val="2"/>
      <sheetId val="3"/>
      <sheetId val="4"/>
      <sheetId val="5"/>
      <sheetId val="6"/>
      <sheetId val="7"/>
      <sheetId val="8"/>
      <sheetId val="9"/>
      <sheetId val="10"/>
    </sheetIdMap>
  </header>
  <header guid="{89A38B9E-4076-4A15-B872-39C7BAC2AA08}" dateTime="2025-05-29T08:24:40" maxSheetId="11" userName="Diego Santos de Abreu" r:id="rId116" minRId="1631" maxRId="1632">
    <sheetIdMap count="10">
      <sheetId val="1"/>
      <sheetId val="2"/>
      <sheetId val="3"/>
      <sheetId val="4"/>
      <sheetId val="5"/>
      <sheetId val="6"/>
      <sheetId val="7"/>
      <sheetId val="8"/>
      <sheetId val="9"/>
      <sheetId val="10"/>
    </sheetIdMap>
  </header>
  <header guid="{0052CE15-D0D4-402E-8D18-6E6F9E9F69A3}" dateTime="2025-05-29T08:26:21" maxSheetId="11" userName="Diego Santos de Abreu" r:id="rId117" minRId="1633" maxRId="1634">
    <sheetIdMap count="10">
      <sheetId val="1"/>
      <sheetId val="2"/>
      <sheetId val="3"/>
      <sheetId val="4"/>
      <sheetId val="5"/>
      <sheetId val="6"/>
      <sheetId val="7"/>
      <sheetId val="8"/>
      <sheetId val="9"/>
      <sheetId val="10"/>
    </sheetIdMap>
  </header>
  <header guid="{7CFD4FAC-328D-497F-9361-C022F314EF46}" dateTime="2025-05-29T08:45:34" maxSheetId="11" userName="Marcos Neves de Almeida" r:id="rId118" minRId="1635" maxRId="1638">
    <sheetIdMap count="10">
      <sheetId val="1"/>
      <sheetId val="2"/>
      <sheetId val="3"/>
      <sheetId val="4"/>
      <sheetId val="5"/>
      <sheetId val="6"/>
      <sheetId val="7"/>
      <sheetId val="8"/>
      <sheetId val="9"/>
      <sheetId val="10"/>
    </sheetIdMap>
  </header>
  <header guid="{4CEF9744-D0AA-494D-9442-17647D9C06F7}" dateTime="2025-05-29T16:08:39" maxSheetId="11" userName="Aelton de Jesus Nunes" r:id="rId119" minRId="1639">
    <sheetIdMap count="10">
      <sheetId val="1"/>
      <sheetId val="2"/>
      <sheetId val="3"/>
      <sheetId val="4"/>
      <sheetId val="5"/>
      <sheetId val="6"/>
      <sheetId val="7"/>
      <sheetId val="8"/>
      <sheetId val="9"/>
      <sheetId val="10"/>
    </sheetIdMap>
  </header>
  <header guid="{D5A7E865-9DA2-45F8-9636-7F83F4C45DE9}" dateTime="2025-05-30T08:39:54" maxSheetId="11" userName="Marcos Neves de Almeida" r:id="rId120">
    <sheetIdMap count="10">
      <sheetId val="1"/>
      <sheetId val="2"/>
      <sheetId val="3"/>
      <sheetId val="4"/>
      <sheetId val="5"/>
      <sheetId val="6"/>
      <sheetId val="7"/>
      <sheetId val="8"/>
      <sheetId val="9"/>
      <sheetId val="10"/>
    </sheetIdMap>
  </header>
  <header guid="{68DFB25C-D902-4F1C-AC3F-30CC0E96851D}" dateTime="2025-05-30T16:17:45" maxSheetId="11" userName="Leonam Morrison Monteiro de Oliveira" r:id="rId121" minRId="1640" maxRId="1652">
    <sheetIdMap count="10">
      <sheetId val="1"/>
      <sheetId val="2"/>
      <sheetId val="3"/>
      <sheetId val="4"/>
      <sheetId val="5"/>
      <sheetId val="6"/>
      <sheetId val="7"/>
      <sheetId val="8"/>
      <sheetId val="9"/>
      <sheetId val="10"/>
    </sheetIdMap>
  </header>
  <header guid="{7FDE6B93-41CB-4544-BA1E-4D0E348CE6E5}" dateTime="2025-05-30T16:51:36" maxSheetId="11" userName="Alessandro Borges de Araújo" r:id="rId122" minRId="1653" maxRId="1666">
    <sheetIdMap count="10">
      <sheetId val="1"/>
      <sheetId val="2"/>
      <sheetId val="3"/>
      <sheetId val="4"/>
      <sheetId val="5"/>
      <sheetId val="6"/>
      <sheetId val="7"/>
      <sheetId val="8"/>
      <sheetId val="9"/>
      <sheetId val="10"/>
    </sheetIdMap>
  </header>
  <header guid="{A686D172-D07D-415D-BC55-18659FC6ABD8}" dateTime="2025-05-30T16:56:28" maxSheetId="11" userName="Marcelo Lucio Saboia Fonseca" r:id="rId123">
    <sheetIdMap count="10">
      <sheetId val="1"/>
      <sheetId val="2"/>
      <sheetId val="3"/>
      <sheetId val="4"/>
      <sheetId val="5"/>
      <sheetId val="6"/>
      <sheetId val="7"/>
      <sheetId val="8"/>
      <sheetId val="9"/>
      <sheetId val="10"/>
    </sheetIdMap>
  </header>
  <header guid="{46711704-81A2-4333-9567-54FF1B9E484F}" dateTime="2025-06-02T08:45:48" maxSheetId="11" userName="Marcos Neves de Almeida" r:id="rId124" minRId="1667" maxRId="1668">
    <sheetIdMap count="10">
      <sheetId val="1"/>
      <sheetId val="2"/>
      <sheetId val="3"/>
      <sheetId val="4"/>
      <sheetId val="5"/>
      <sheetId val="6"/>
      <sheetId val="7"/>
      <sheetId val="8"/>
      <sheetId val="9"/>
      <sheetId val="10"/>
    </sheetIdMap>
  </header>
  <header guid="{1C489811-5774-422C-A19C-CD84A5BB633A}" dateTime="2025-06-02T08:47:26" maxSheetId="11" userName="Diego Santos de Abreu" r:id="rId125" minRId="1669" maxRId="1671">
    <sheetIdMap count="10">
      <sheetId val="1"/>
      <sheetId val="2"/>
      <sheetId val="3"/>
      <sheetId val="4"/>
      <sheetId val="5"/>
      <sheetId val="6"/>
      <sheetId val="7"/>
      <sheetId val="8"/>
      <sheetId val="9"/>
      <sheetId val="10"/>
    </sheetIdMap>
  </header>
  <header guid="{64CF4C3E-F66D-4977-9B56-5CD20E923EA8}" dateTime="2025-06-02T09:13:25" maxSheetId="11" userName="Aelton de Jesus Nunes" r:id="rId126" minRId="1672" maxRId="1673">
    <sheetIdMap count="10">
      <sheetId val="1"/>
      <sheetId val="2"/>
      <sheetId val="3"/>
      <sheetId val="4"/>
      <sheetId val="5"/>
      <sheetId val="6"/>
      <sheetId val="7"/>
      <sheetId val="8"/>
      <sheetId val="9"/>
      <sheetId val="10"/>
    </sheetIdMap>
  </header>
  <header guid="{DF26C96D-3268-46ED-BDFE-DFAF479EEA59}" dateTime="2025-06-02T09:15:50" maxSheetId="11" userName="Marcos Neves de Almeida" r:id="rId127" minRId="1674" maxRId="1680">
    <sheetIdMap count="10">
      <sheetId val="1"/>
      <sheetId val="2"/>
      <sheetId val="3"/>
      <sheetId val="4"/>
      <sheetId val="5"/>
      <sheetId val="6"/>
      <sheetId val="7"/>
      <sheetId val="8"/>
      <sheetId val="9"/>
      <sheetId val="10"/>
    </sheetIdMap>
  </header>
  <header guid="{B5446929-5822-4DBF-8AC5-250ECBEEBB48}" dateTime="2025-06-02T09:26:10" maxSheetId="11" userName="Aelton de Jesus Nunes" r:id="rId128" minRId="1681">
    <sheetIdMap count="10">
      <sheetId val="1"/>
      <sheetId val="2"/>
      <sheetId val="3"/>
      <sheetId val="4"/>
      <sheetId val="5"/>
      <sheetId val="6"/>
      <sheetId val="7"/>
      <sheetId val="8"/>
      <sheetId val="9"/>
      <sheetId val="10"/>
    </sheetIdMap>
  </header>
  <header guid="{221008A1-69CF-4F95-BAC0-E215D81BAD98}" dateTime="2025-06-02T09:26:33" maxSheetId="11" userName="Aelton de Jesus Nunes" r:id="rId129" minRId="1682">
    <sheetIdMap count="10">
      <sheetId val="1"/>
      <sheetId val="2"/>
      <sheetId val="3"/>
      <sheetId val="4"/>
      <sheetId val="5"/>
      <sheetId val="6"/>
      <sheetId val="7"/>
      <sheetId val="8"/>
      <sheetId val="9"/>
      <sheetId val="10"/>
    </sheetIdMap>
  </header>
  <header guid="{7D0F38AB-30E3-4B6C-BEC0-348717F41E41}" dateTime="2025-06-02T11:15:35" maxSheetId="11" userName="Danilo Rafael Basilio da Silva" r:id="rId130" minRId="1683" maxRId="1692">
    <sheetIdMap count="10">
      <sheetId val="1"/>
      <sheetId val="2"/>
      <sheetId val="3"/>
      <sheetId val="4"/>
      <sheetId val="5"/>
      <sheetId val="6"/>
      <sheetId val="7"/>
      <sheetId val="8"/>
      <sheetId val="9"/>
      <sheetId val="10"/>
    </sheetIdMap>
  </header>
  <header guid="{1F741FE5-F86C-4951-B995-A0677C964D16}" dateTime="2025-06-02T11:31:42" maxSheetId="11" userName="Danilo Rafael Basilio da Silva" r:id="rId131" minRId="1693" maxRId="1706">
    <sheetIdMap count="10">
      <sheetId val="1"/>
      <sheetId val="2"/>
      <sheetId val="3"/>
      <sheetId val="4"/>
      <sheetId val="5"/>
      <sheetId val="6"/>
      <sheetId val="7"/>
      <sheetId val="8"/>
      <sheetId val="9"/>
      <sheetId val="10"/>
    </sheetIdMap>
  </header>
  <header guid="{673D52E1-5EFC-491C-B36D-E6DD7F4E1E9E}" dateTime="2025-06-02T14:16:25" maxSheetId="11" userName="Marcos Neves de Almeida" r:id="rId132">
    <sheetIdMap count="10">
      <sheetId val="1"/>
      <sheetId val="2"/>
      <sheetId val="3"/>
      <sheetId val="4"/>
      <sheetId val="5"/>
      <sheetId val="6"/>
      <sheetId val="7"/>
      <sheetId val="8"/>
      <sheetId val="9"/>
      <sheetId val="10"/>
    </sheetIdMap>
  </header>
  <header guid="{655D3FBE-756B-4053-9349-D54DD852E93D}" dateTime="2025-06-02T14:19:47" maxSheetId="11" userName="Marcos Neves de Almeida" r:id="rId133" minRId="1707" maxRId="1711">
    <sheetIdMap count="10">
      <sheetId val="1"/>
      <sheetId val="2"/>
      <sheetId val="3"/>
      <sheetId val="4"/>
      <sheetId val="5"/>
      <sheetId val="6"/>
      <sheetId val="7"/>
      <sheetId val="8"/>
      <sheetId val="9"/>
      <sheetId val="10"/>
    </sheetIdMap>
  </header>
  <header guid="{DA0215A9-6C23-426F-AA59-AD0B92B13861}" dateTime="2025-10-21T08:57:06" maxSheetId="11" userName="Alessandro Borges de Araújo" r:id="rId134">
    <sheetIdMap count="10">
      <sheetId val="1"/>
      <sheetId val="2"/>
      <sheetId val="3"/>
      <sheetId val="4"/>
      <sheetId val="5"/>
      <sheetId val="6"/>
      <sheetId val="7"/>
      <sheetId val="8"/>
      <sheetId val="9"/>
      <sheetId val="10"/>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3D987F8E-A6EA-454D-9537-6BFC5053CB00}" action="delete"/>
  <rcv guid="{3D987F8E-A6EA-454D-9537-6BFC5053CB00}"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 sId="8" odxf="1" dxf="1" numFmtId="21">
    <nc r="DO1">
      <v>45796</v>
    </nc>
    <odxf>
      <numFmt numFmtId="0" formatCode="General"/>
    </odxf>
    <ndxf>
      <numFmt numFmtId="21" formatCode="dd/mmm"/>
    </ndxf>
  </rcc>
  <rcc rId="42" sId="8" odxf="1" dxf="1" numFmtId="21">
    <nc r="DP1">
      <v>45797</v>
    </nc>
    <odxf>
      <numFmt numFmtId="0" formatCode="General"/>
    </odxf>
    <ndxf>
      <numFmt numFmtId="21" formatCode="dd/mmm"/>
    </ndxf>
  </rcc>
  <rcc rId="43" sId="8" odxf="1" dxf="1" numFmtId="21">
    <nc r="DQ1">
      <v>45798</v>
    </nc>
    <odxf>
      <numFmt numFmtId="0" formatCode="General"/>
    </odxf>
    <ndxf>
      <numFmt numFmtId="21" formatCode="dd/mmm"/>
    </ndxf>
  </rcc>
  <rcc rId="44" sId="8" odxf="1" dxf="1" numFmtId="21">
    <nc r="DR1">
      <v>45799</v>
    </nc>
    <odxf>
      <numFmt numFmtId="0" formatCode="General"/>
    </odxf>
    <ndxf>
      <numFmt numFmtId="21" formatCode="dd/mmm"/>
    </ndxf>
  </rcc>
  <rcc rId="45" sId="8" odxf="1" dxf="1" numFmtId="21">
    <nc r="DS1">
      <v>45800</v>
    </nc>
    <odxf>
      <numFmt numFmtId="0" formatCode="General"/>
    </odxf>
    <ndxf>
      <numFmt numFmtId="21" formatCode="dd/mmm"/>
    </ndxf>
  </rcc>
  <rcc rId="46" sId="8" odxf="1" dxf="1">
    <nc r="DT1" t="inlineStr">
      <is>
        <t xml:space="preserve">TOTAL SEMANA </t>
      </is>
    </nc>
    <odxf>
      <alignment wrapText="0"/>
    </odxf>
    <ndxf>
      <alignment wrapText="1"/>
    </ndxf>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 sId="5">
    <nc r="DI12">
      <v>48</v>
    </nc>
  </rcc>
  <rcc rId="48" sId="5">
    <nc r="DJ12">
      <v>49</v>
    </nc>
  </rcc>
  <rcc rId="49" sId="5">
    <nc r="DK12">
      <v>54</v>
    </nc>
  </rcc>
  <rcc rId="50" sId="5">
    <nc r="DL12">
      <v>66</v>
    </nc>
  </rcc>
  <rcc rId="51" sId="5">
    <nc r="DM12">
      <v>58</v>
    </nc>
  </rcc>
  <rcc rId="52" sId="5" numFmtId="21">
    <oc r="DC1">
      <v>45752</v>
    </oc>
    <nc r="DC1">
      <v>45782</v>
    </nc>
  </rcc>
  <rcc rId="53" sId="5" numFmtId="21">
    <oc r="DD1">
      <v>45753</v>
    </oc>
    <nc r="DD1">
      <v>45783</v>
    </nc>
  </rcc>
  <rcc rId="54" sId="5" numFmtId="21">
    <oc r="DE1">
      <v>45754</v>
    </oc>
    <nc r="DE1">
      <v>45784</v>
    </nc>
  </rcc>
  <rcc rId="55" sId="5" numFmtId="21">
    <oc r="DF1">
      <v>45755</v>
    </oc>
    <nc r="DF1">
      <v>45785</v>
    </nc>
  </rcc>
  <rcc rId="56" sId="5" numFmtId="21">
    <oc r="DG1">
      <v>45756</v>
    </oc>
    <nc r="DG1">
      <v>45786</v>
    </nc>
  </rcc>
  <rcc rId="57" sId="5" odxf="1" dxf="1" numFmtId="21">
    <nc r="DI1">
      <v>45789</v>
    </nc>
    <odxf>
      <numFmt numFmtId="0" formatCode="General"/>
    </odxf>
    <ndxf>
      <numFmt numFmtId="21" formatCode="dd/mmm"/>
    </ndxf>
  </rcc>
  <rcc rId="58" sId="5" odxf="1" dxf="1" numFmtId="21">
    <nc r="DJ1">
      <v>45790</v>
    </nc>
    <odxf>
      <numFmt numFmtId="0" formatCode="General"/>
    </odxf>
    <ndxf>
      <numFmt numFmtId="21" formatCode="dd/mmm"/>
    </ndxf>
  </rcc>
  <rcc rId="59" sId="5" odxf="1" dxf="1" numFmtId="21">
    <nc r="DK1">
      <v>45791</v>
    </nc>
    <odxf>
      <numFmt numFmtId="0" formatCode="General"/>
    </odxf>
    <ndxf>
      <numFmt numFmtId="21" formatCode="dd/mmm"/>
    </ndxf>
  </rcc>
  <rcc rId="60" sId="5" odxf="1" dxf="1" numFmtId="21">
    <nc r="DL1">
      <v>45792</v>
    </nc>
    <odxf>
      <numFmt numFmtId="0" formatCode="General"/>
    </odxf>
    <ndxf>
      <numFmt numFmtId="21" formatCode="dd/mmm"/>
    </ndxf>
  </rcc>
  <rcc rId="61" sId="5" odxf="1" dxf="1" numFmtId="21">
    <nc r="DM1">
      <v>45793</v>
    </nc>
    <odxf>
      <numFmt numFmtId="0" formatCode="General"/>
    </odxf>
    <ndxf>
      <numFmt numFmtId="21" formatCode="dd/mmm"/>
    </ndxf>
  </rcc>
  <rcc rId="62" sId="5" odxf="1" dxf="1">
    <nc r="DN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5" sqref="DN2" start="0" length="0">
    <dxf>
      <fill>
        <patternFill patternType="solid">
          <bgColor theme="0" tint="-0.14999847407452621"/>
        </patternFill>
      </fill>
    </dxf>
  </rfmt>
  <rfmt sheetId="5" sqref="DN3" start="0" length="0">
    <dxf>
      <fill>
        <patternFill patternType="solid">
          <bgColor theme="0" tint="-0.14999847407452621"/>
        </patternFill>
      </fill>
    </dxf>
  </rfmt>
  <rfmt sheetId="5" sqref="DN4" start="0" length="0">
    <dxf>
      <fill>
        <patternFill patternType="solid">
          <bgColor theme="0" tint="-0.14999847407452621"/>
        </patternFill>
      </fill>
    </dxf>
  </rfmt>
  <rfmt sheetId="5" sqref="DN5" start="0" length="0">
    <dxf>
      <fill>
        <patternFill patternType="solid">
          <bgColor theme="0" tint="-0.14999847407452621"/>
        </patternFill>
      </fill>
    </dxf>
  </rfmt>
  <rfmt sheetId="5" sqref="DN6" start="0" length="0">
    <dxf>
      <fill>
        <patternFill patternType="solid">
          <bgColor theme="0" tint="-0.14999847407452621"/>
        </patternFill>
      </fill>
    </dxf>
  </rfmt>
  <rfmt sheetId="5" sqref="DN7" start="0" length="0">
    <dxf>
      <fill>
        <patternFill patternType="solid">
          <bgColor theme="0" tint="-0.14999847407452621"/>
        </patternFill>
      </fill>
    </dxf>
  </rfmt>
  <rcc rId="63" sId="5" odxf="1" dxf="1">
    <nc r="DN8">
      <f>SUM(DI8:DM8)</f>
    </nc>
    <odxf>
      <fill>
        <patternFill patternType="none">
          <bgColor indexed="65"/>
        </patternFill>
      </fill>
    </odxf>
    <ndxf>
      <fill>
        <patternFill patternType="solid">
          <bgColor theme="0" tint="-0.14999847407452621"/>
        </patternFill>
      </fill>
    </ndxf>
  </rcc>
  <rcc rId="64" sId="5" odxf="1" dxf="1">
    <nc r="DN9">
      <f>SUM(DI9:DM9)</f>
    </nc>
    <odxf>
      <fill>
        <patternFill patternType="none">
          <bgColor indexed="65"/>
        </patternFill>
      </fill>
    </odxf>
    <ndxf>
      <fill>
        <patternFill patternType="solid">
          <bgColor theme="0" tint="-0.14999847407452621"/>
        </patternFill>
      </fill>
    </ndxf>
  </rcc>
  <rcc rId="65" sId="5" odxf="1" dxf="1">
    <nc r="DN10">
      <f>SUM(DI10:DM10)</f>
    </nc>
    <odxf>
      <fill>
        <patternFill patternType="none">
          <bgColor indexed="65"/>
        </patternFill>
      </fill>
    </odxf>
    <ndxf>
      <fill>
        <patternFill patternType="solid">
          <bgColor theme="0" tint="-0.14999847407452621"/>
        </patternFill>
      </fill>
    </ndxf>
  </rcc>
  <rcc rId="66" sId="5" odxf="1" dxf="1">
    <nc r="DN11">
      <f>SUM(DI11:DM11)</f>
    </nc>
    <odxf>
      <fill>
        <patternFill patternType="none">
          <bgColor indexed="65"/>
        </patternFill>
      </fill>
    </odxf>
    <ndxf>
      <fill>
        <patternFill patternType="solid">
          <bgColor theme="0" tint="-0.14999847407452621"/>
        </patternFill>
      </fill>
    </ndxf>
  </rcc>
  <rfmt sheetId="5" sqref="DN12" start="0" length="0">
    <dxf>
      <fill>
        <patternFill patternType="solid">
          <bgColor theme="0" tint="-0.14999847407452621"/>
        </patternFill>
      </fill>
    </dxf>
  </rfmt>
  <rcc rId="67" sId="5" odxf="1" dxf="1">
    <nc r="DN13">
      <f>SUM(DI13:DM13)</f>
    </nc>
    <odxf>
      <fill>
        <patternFill patternType="none">
          <bgColor indexed="65"/>
        </patternFill>
      </fill>
    </odxf>
    <ndxf>
      <fill>
        <patternFill patternType="solid">
          <bgColor theme="0" tint="-0.14999847407452621"/>
        </patternFill>
      </fill>
    </ndxf>
  </rcc>
  <rfmt sheetId="5" sqref="DN14" start="0" length="0">
    <dxf>
      <fill>
        <patternFill patternType="solid">
          <bgColor theme="0" tint="-0.14999847407452621"/>
        </patternFill>
      </fill>
    </dxf>
  </rfmt>
  <rfmt sheetId="5" sqref="DN15" start="0" length="0">
    <dxf>
      <fill>
        <patternFill patternType="solid">
          <bgColor theme="0" tint="-0.14999847407452621"/>
        </patternFill>
      </fill>
    </dxf>
  </rfmt>
  <rfmt sheetId="5" sqref="DN16" start="0" length="0">
    <dxf>
      <fill>
        <patternFill patternType="solid">
          <bgColor theme="0" tint="-0.14999847407452621"/>
        </patternFill>
      </fill>
    </dxf>
  </rfmt>
  <rcv guid="{86039CF8-B158-4D70-9A6F-A10C29CBD68A}" action="delete"/>
  <rcv guid="{86039CF8-B158-4D70-9A6F-A10C29CBD68A}"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 sId="5" odxf="1" dxf="1">
    <nc r="DI18" t="inlineStr">
      <is>
        <t>Inventário Caixas
ARCEN</t>
      </is>
    </nc>
    <odxf>
      <alignment wrapText="0"/>
    </odxf>
    <ndxf>
      <alignment wrapText="1"/>
    </ndxf>
  </rcc>
  <rcc rId="69" sId="5" odxf="1" dxf="1">
    <nc r="DJ18" t="inlineStr">
      <is>
        <t>Inventário Caixas
ARCEN</t>
      </is>
    </nc>
    <odxf>
      <alignment wrapText="0"/>
    </odxf>
    <ndxf>
      <alignment wrapText="1"/>
    </ndxf>
  </rcc>
  <rcc rId="70" sId="5" odxf="1" dxf="1">
    <nc r="DK18" t="inlineStr">
      <is>
        <t xml:space="preserve"> Inventário Caixas
ARCEN</t>
      </is>
    </nc>
    <odxf>
      <alignment wrapText="0"/>
    </odxf>
    <ndxf>
      <alignment wrapText="1"/>
    </ndxf>
  </rcc>
  <rcc rId="71" sId="5" odxf="1" dxf="1">
    <nc r="DL18" t="inlineStr">
      <is>
        <t xml:space="preserve"> Inventário Caixas
ARCEN</t>
      </is>
    </nc>
    <odxf>
      <alignment wrapText="0"/>
    </odxf>
    <ndxf>
      <alignment wrapText="1"/>
    </ndxf>
  </rcc>
  <rcc rId="72" sId="5" odxf="1" dxf="1">
    <nc r="DM18" t="inlineStr">
      <is>
        <t xml:space="preserve"> Inventário Caixas
ARCEN</t>
      </is>
    </nc>
    <odxf>
      <alignment wrapText="0"/>
    </odxf>
    <ndxf>
      <alignment wrapText="1"/>
    </ndxf>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 sId="5" odxf="1" dxf="1" numFmtId="21">
    <nc r="DO1">
      <v>45796</v>
    </nc>
    <odxf>
      <numFmt numFmtId="0" formatCode="General"/>
    </odxf>
    <ndxf>
      <numFmt numFmtId="21" formatCode="dd/mmm"/>
    </ndxf>
  </rcc>
  <rcc rId="74" sId="5" odxf="1" dxf="1" numFmtId="21">
    <nc r="DP1">
      <v>45797</v>
    </nc>
    <odxf>
      <numFmt numFmtId="0" formatCode="General"/>
    </odxf>
    <ndxf>
      <numFmt numFmtId="21" formatCode="dd/mmm"/>
    </ndxf>
  </rcc>
  <rcc rId="75" sId="5" odxf="1" dxf="1" numFmtId="21">
    <nc r="DQ1">
      <v>45798</v>
    </nc>
    <odxf>
      <numFmt numFmtId="0" formatCode="General"/>
    </odxf>
    <ndxf>
      <numFmt numFmtId="21" formatCode="dd/mmm"/>
    </ndxf>
  </rcc>
  <rcc rId="76" sId="5" odxf="1" dxf="1" numFmtId="21">
    <nc r="DR1">
      <v>45799</v>
    </nc>
    <odxf>
      <numFmt numFmtId="0" formatCode="General"/>
    </odxf>
    <ndxf>
      <numFmt numFmtId="21" formatCode="dd/mmm"/>
    </ndxf>
  </rcc>
  <rcc rId="77" sId="5" odxf="1" dxf="1" numFmtId="21">
    <nc r="DS1">
      <v>45800</v>
    </nc>
    <odxf>
      <numFmt numFmtId="0" formatCode="General"/>
    </odxf>
    <ndxf>
      <numFmt numFmtId="21" formatCode="dd/mmm"/>
    </ndxf>
  </rcc>
  <rcc rId="78" sId="5" odxf="1" dxf="1">
    <nc r="DT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5" sqref="DT2" start="0" length="0">
    <dxf>
      <fill>
        <patternFill patternType="solid">
          <bgColor theme="0" tint="-0.14999847407452621"/>
        </patternFill>
      </fill>
    </dxf>
  </rfmt>
  <rfmt sheetId="5" sqref="DT3" start="0" length="0">
    <dxf>
      <fill>
        <patternFill patternType="solid">
          <bgColor theme="0" tint="-0.14999847407452621"/>
        </patternFill>
      </fill>
    </dxf>
  </rfmt>
  <rfmt sheetId="5" sqref="DT4" start="0" length="0">
    <dxf>
      <fill>
        <patternFill patternType="solid">
          <bgColor theme="0" tint="-0.14999847407452621"/>
        </patternFill>
      </fill>
    </dxf>
  </rfmt>
  <rfmt sheetId="5" sqref="DT5" start="0" length="0">
    <dxf>
      <fill>
        <patternFill patternType="solid">
          <bgColor theme="0" tint="-0.14999847407452621"/>
        </patternFill>
      </fill>
    </dxf>
  </rfmt>
  <rfmt sheetId="5" sqref="DT6" start="0" length="0">
    <dxf>
      <fill>
        <patternFill patternType="solid">
          <bgColor theme="0" tint="-0.14999847407452621"/>
        </patternFill>
      </fill>
    </dxf>
  </rfmt>
  <rfmt sheetId="5" sqref="DT7" start="0" length="0">
    <dxf>
      <fill>
        <patternFill patternType="solid">
          <bgColor theme="0" tint="-0.14999847407452621"/>
        </patternFill>
      </fill>
    </dxf>
  </rfmt>
  <rcc rId="79" sId="5" odxf="1" dxf="1">
    <nc r="DT8">
      <f>SUM(DO8:DS8)</f>
    </nc>
    <odxf>
      <fill>
        <patternFill patternType="none">
          <bgColor indexed="65"/>
        </patternFill>
      </fill>
    </odxf>
    <ndxf>
      <fill>
        <patternFill patternType="solid">
          <bgColor theme="0" tint="-0.14999847407452621"/>
        </patternFill>
      </fill>
    </ndxf>
  </rcc>
  <rcc rId="80" sId="5" odxf="1" dxf="1">
    <nc r="DT9">
      <f>SUM(DO9:DS9)</f>
    </nc>
    <odxf>
      <fill>
        <patternFill patternType="none">
          <bgColor indexed="65"/>
        </patternFill>
      </fill>
    </odxf>
    <ndxf>
      <fill>
        <patternFill patternType="solid">
          <bgColor theme="0" tint="-0.14999847407452621"/>
        </patternFill>
      </fill>
    </ndxf>
  </rcc>
  <rcc rId="81" sId="5" odxf="1" dxf="1">
    <nc r="DT10">
      <f>SUM(DO10:DS10)</f>
    </nc>
    <odxf>
      <fill>
        <patternFill patternType="none">
          <bgColor indexed="65"/>
        </patternFill>
      </fill>
    </odxf>
    <ndxf>
      <fill>
        <patternFill patternType="solid">
          <bgColor theme="0" tint="-0.14999847407452621"/>
        </patternFill>
      </fill>
    </ndxf>
  </rcc>
  <rcc rId="82" sId="5" odxf="1" dxf="1">
    <nc r="DT11">
      <f>SUM(DO11:DS11)</f>
    </nc>
    <odxf>
      <fill>
        <patternFill patternType="none">
          <bgColor indexed="65"/>
        </patternFill>
      </fill>
    </odxf>
    <ndxf>
      <fill>
        <patternFill patternType="solid">
          <bgColor theme="0" tint="-0.14999847407452621"/>
        </patternFill>
      </fill>
    </ndxf>
  </rcc>
  <rfmt sheetId="5" sqref="DT12" start="0" length="0">
    <dxf>
      <fill>
        <patternFill patternType="solid">
          <bgColor theme="0" tint="-0.14999847407452621"/>
        </patternFill>
      </fill>
    </dxf>
  </rfmt>
  <rcc rId="83" sId="5" odxf="1" dxf="1">
    <nc r="DT13">
      <f>SUM(DO13:DS13)</f>
    </nc>
    <odxf>
      <fill>
        <patternFill patternType="none">
          <bgColor indexed="65"/>
        </patternFill>
      </fill>
    </odxf>
    <ndxf>
      <fill>
        <patternFill patternType="solid">
          <bgColor theme="0" tint="-0.14999847407452621"/>
        </patternFill>
      </fill>
    </ndxf>
  </rcc>
  <rfmt sheetId="5" sqref="DT14" start="0" length="0">
    <dxf>
      <fill>
        <patternFill patternType="solid">
          <bgColor theme="0" tint="-0.14999847407452621"/>
        </patternFill>
      </fill>
    </dxf>
  </rfmt>
  <rfmt sheetId="5" sqref="DT15" start="0" length="0">
    <dxf>
      <fill>
        <patternFill patternType="solid">
          <bgColor theme="0" tint="-0.14999847407452621"/>
        </patternFill>
      </fill>
    </dxf>
  </rfmt>
  <rfmt sheetId="5" sqref="DT16" start="0" length="0">
    <dxf>
      <fill>
        <patternFill patternType="solid">
          <bgColor theme="0" tint="-0.14999847407452621"/>
        </patternFill>
      </fill>
    </dxf>
  </rfmt>
  <rcv guid="{86039CF8-B158-4D70-9A6F-A10C29CBD68A}" action="delete"/>
  <rcv guid="{86039CF8-B158-4D70-9A6F-A10C29CBD68A}" action="add"/>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 sId="5" odxf="1" dxf="1">
    <nc r="DO18" t="inlineStr">
      <is>
        <t>Inventário Caixas
ARCEN</t>
      </is>
    </nc>
    <odxf>
      <alignment wrapText="0"/>
    </odxf>
    <ndxf>
      <alignment wrapText="1"/>
    </ndxf>
  </rcc>
  <rcc rId="85" sId="5" odxf="1" dxf="1">
    <nc r="DP18" t="inlineStr">
      <is>
        <t>Inventário Caixas
ARCEN</t>
      </is>
    </nc>
    <odxf>
      <alignment wrapText="0"/>
    </odxf>
    <ndxf>
      <alignment wrapText="1"/>
    </ndxf>
  </rcc>
  <rcc rId="86" sId="5" odxf="1" dxf="1">
    <nc r="DQ18" t="inlineStr">
      <is>
        <t xml:space="preserve"> Inventário Caixas
ARCEN</t>
      </is>
    </nc>
    <odxf>
      <alignment wrapText="0"/>
    </odxf>
    <ndxf>
      <alignment wrapText="1"/>
    </ndxf>
  </rcc>
  <rcc rId="87" sId="5" odxf="1" dxf="1">
    <nc r="DR18" t="inlineStr">
      <is>
        <t xml:space="preserve"> Inventário Caixas
ARCEN</t>
      </is>
    </nc>
    <odxf>
      <alignment wrapText="0"/>
    </odxf>
    <ndxf>
      <alignment wrapText="1"/>
    </ndxf>
  </rcc>
  <rcc rId="88" sId="5" odxf="1" dxf="1">
    <nc r="DS18" t="inlineStr">
      <is>
        <t xml:space="preserve"> Inventário Caixas
ARCEN</t>
      </is>
    </nc>
    <odxf>
      <alignment wrapText="0"/>
    </odxf>
    <ndxf>
      <alignment wrapText="1"/>
    </ndxf>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 sId="5">
    <nc r="DI11">
      <v>4</v>
    </nc>
  </rcc>
  <rcc rId="90" sId="5">
    <nc r="DJ11">
      <v>5</v>
    </nc>
  </rcc>
  <rcc rId="91" sId="5">
    <nc r="DK11">
      <v>6</v>
    </nc>
  </rcc>
  <rcc rId="92" sId="5">
    <nc r="DL11">
      <v>5</v>
    </nc>
  </rcc>
  <rcc rId="93" sId="5">
    <nc r="DM11">
      <v>5</v>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 sId="5">
    <nc r="DN12">
      <f>SUM(DI12:DM12)</f>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 sId="5">
    <oc r="DT8">
      <f>SUM(DO8:DS8)</f>
    </oc>
    <nc r="DT8">
      <f>SUM(DO8:DS8)</f>
    </nc>
  </rcc>
  <rcc rId="96" sId="5">
    <oc r="DT9">
      <f>SUM(DO9:DS9)</f>
    </oc>
    <nc r="DT9">
      <f>SUM(DO9:DS9)</f>
    </nc>
  </rcc>
  <rcc rId="97" sId="5">
    <oc r="DT10">
      <f>SUM(DO10:DS10)</f>
    </oc>
    <nc r="DT10">
      <f>SUM(DO10:DS10)</f>
    </nc>
  </rcc>
  <rcc rId="98" sId="5">
    <oc r="DT11">
      <f>SUM(DO11:DS11)</f>
    </oc>
    <nc r="DT11">
      <f>SUM(DO11:DS11)</f>
    </nc>
  </rcc>
  <rcc rId="99" sId="5">
    <nc r="DT12">
      <f>SUM(DO12:DS12)</f>
    </nc>
  </rcc>
  <rcc rId="100" sId="5">
    <oc r="DT13">
      <f>SUM(DO13:DS13)</f>
    </oc>
    <nc r="DT13">
      <f>SUM(DO13:DS13)</f>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 sId="5">
    <oc r="DI11">
      <v>4</v>
    </oc>
    <nc r="DI11">
      <v>5</v>
    </nc>
  </rcc>
  <rcc rId="102" sId="5">
    <oc r="DK11">
      <v>6</v>
    </oc>
    <nc r="DK11">
      <v>5</v>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 sId="7" odxf="1" dxf="1">
    <nc r="DD18" t="inlineStr">
      <is>
        <t xml:space="preserve">fazendo a separação das caixas q foram p/ eliminação e q irão voltar pro lugar </t>
      </is>
    </nc>
    <odxf>
      <alignment wrapText="0"/>
      <border outline="0">
        <left/>
        <right/>
        <top/>
        <bottom/>
      </border>
    </odxf>
    <ndxf>
      <alignment wrapText="1"/>
      <border outline="0">
        <left style="thin">
          <color auto="1"/>
        </left>
        <right style="thin">
          <color auto="1"/>
        </right>
        <top style="thin">
          <color auto="1"/>
        </top>
        <bottom style="thin">
          <color auto="1"/>
        </bottom>
      </border>
    </ndxf>
  </rcc>
  <rcc rId="104" sId="7" odxf="1" dxf="1">
    <nc r="DE17" t="inlineStr">
      <is>
        <t xml:space="preserve">fazendo a separação das caixas q foram p/ eliminação e q irão voltar pro lugar </t>
      </is>
    </nc>
    <odxf>
      <alignment wrapText="0"/>
      <border outline="0">
        <left/>
        <right/>
        <top/>
        <bottom/>
      </border>
    </odxf>
    <ndxf>
      <alignment wrapText="1"/>
      <border outline="0">
        <left style="thin">
          <color auto="1"/>
        </left>
        <right style="thin">
          <color auto="1"/>
        </right>
        <top style="thin">
          <color auto="1"/>
        </top>
        <bottom style="thin">
          <color auto="1"/>
        </bottom>
      </border>
    </ndxf>
  </rcc>
  <rcc rId="105" sId="7" odxf="1" dxf="1" numFmtId="21">
    <nc r="DE1">
      <v>45793</v>
    </nc>
    <odxf>
      <numFmt numFmtId="0" formatCode="General"/>
    </odxf>
    <ndxf>
      <numFmt numFmtId="21" formatCode="dd/mmm"/>
    </ndxf>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 sId="5">
    <nc r="K15">
      <f>SUM(F15:J15)</f>
    </nc>
  </rcc>
  <rcc rId="107" sId="4">
    <oc r="BT17" t="inlineStr">
      <is>
        <t>54 caixas listadas para eliminaçõa. Guarda das caixas feita  no dia anterios e separação das caixas para elimi nação nos acervos, sala  3.71 E 4.47,3.61</t>
      </is>
    </oc>
    <nc r="BT17" t="inlineStr">
      <is>
        <t>54 caixas listadas para eliminação. Guarda das caixas feita  no dia anterios e separação das caixas para elimi nação nos acervos, sala  3.71 E 4.47,3.61</t>
      </is>
    </nc>
  </rcc>
  <rcc rId="108" sId="5">
    <oc r="T15" t="inlineStr">
      <is>
        <t>583 caixas</t>
      </is>
    </oc>
    <nc r="T15">
      <v>583</v>
    </nc>
  </rcc>
  <rcc rId="109" sId="5">
    <nc r="X15">
      <f>SUM(R15:W15)</f>
    </nc>
  </rcc>
  <rcc rId="110" sId="7">
    <nc r="AD15">
      <f>SUM(Y15:AC15)</f>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 sId="5">
    <nc r="BB16">
      <f>SUM(AW16:BA16)</f>
    </nc>
  </rcc>
  <rcc rId="112" sId="6">
    <nc r="BB16">
      <f>SUM(AW16:BA16)</f>
    </nc>
  </rcc>
  <rcc rId="113" sId="8">
    <nc r="BB15">
      <f>SUM(AW15:BA15)</f>
    </nc>
  </rcc>
  <rrc rId="114" sId="7" ref="CE1:CE1048576" action="deleteCol">
    <rfmt sheetId="7" xfDxf="1" sqref="CE1:CE1048576" start="0" length="0">
      <dxf>
        <alignment horizontal="center" vertical="center"/>
      </dxf>
    </rfmt>
  </rrc>
  <rrc rId="115" sId="7" ref="CJ1:CJ1048576" action="insertCol"/>
  <rcc rId="116" sId="7" odxf="1" dxf="1">
    <nc r="CJ1" t="inlineStr">
      <is>
        <t>TOTAL SEMANA</t>
      </is>
    </nc>
    <odxf>
      <fill>
        <patternFill patternType="none">
          <bgColor indexed="65"/>
        </patternFill>
      </fill>
    </odxf>
    <ndxf>
      <fill>
        <patternFill patternType="solid">
          <bgColor theme="0" tint="-0.14999847407452621"/>
        </patternFill>
      </fill>
    </ndxf>
  </rcc>
  <rfmt sheetId="7" sqref="CJ2" start="0" length="0">
    <dxf>
      <fill>
        <patternFill patternType="solid">
          <bgColor theme="0" tint="-0.14999847407452621"/>
        </patternFill>
      </fill>
    </dxf>
  </rfmt>
  <rfmt sheetId="7" sqref="CJ3" start="0" length="0">
    <dxf>
      <fill>
        <patternFill patternType="solid">
          <bgColor theme="0" tint="-0.14999847407452621"/>
        </patternFill>
      </fill>
    </dxf>
  </rfmt>
  <rfmt sheetId="7" sqref="CJ4" start="0" length="0">
    <dxf>
      <fill>
        <patternFill patternType="solid">
          <bgColor theme="0" tint="-0.14999847407452621"/>
        </patternFill>
      </fill>
    </dxf>
  </rfmt>
  <rfmt sheetId="7" sqref="CJ5" start="0" length="0">
    <dxf>
      <fill>
        <patternFill patternType="solid">
          <bgColor theme="0" tint="-0.14999847407452621"/>
        </patternFill>
      </fill>
    </dxf>
  </rfmt>
  <rfmt sheetId="7" sqref="CJ6" start="0" length="0">
    <dxf>
      <fill>
        <patternFill patternType="solid">
          <bgColor theme="0" tint="-0.14999847407452621"/>
        </patternFill>
      </fill>
    </dxf>
  </rfmt>
  <rfmt sheetId="7" sqref="CJ7" start="0" length="0">
    <dxf>
      <fill>
        <patternFill patternType="solid">
          <bgColor theme="0" tint="-0.14999847407452621"/>
        </patternFill>
      </fill>
    </dxf>
  </rfmt>
  <rcc rId="117" sId="7" odxf="1" dxf="1">
    <nc r="CJ8">
      <f>SUM(CE8:CI8)</f>
    </nc>
    <odxf>
      <fill>
        <patternFill patternType="none">
          <bgColor indexed="65"/>
        </patternFill>
      </fill>
    </odxf>
    <ndxf>
      <fill>
        <patternFill patternType="solid">
          <bgColor theme="0" tint="-0.14999847407452621"/>
        </patternFill>
      </fill>
    </ndxf>
  </rcc>
  <rcc rId="118" sId="7" odxf="1" dxf="1">
    <nc r="CJ9">
      <f>SUM(CE9:CI9)</f>
    </nc>
    <odxf>
      <fill>
        <patternFill patternType="none">
          <bgColor indexed="65"/>
        </patternFill>
      </fill>
    </odxf>
    <ndxf>
      <fill>
        <patternFill patternType="solid">
          <bgColor theme="0" tint="-0.14999847407452621"/>
        </patternFill>
      </fill>
    </ndxf>
  </rcc>
  <rcc rId="119" sId="7" odxf="1" dxf="1">
    <nc r="CJ10">
      <f>SUM(CE10:CI10)</f>
    </nc>
    <odxf>
      <fill>
        <patternFill patternType="none">
          <bgColor indexed="65"/>
        </patternFill>
      </fill>
    </odxf>
    <ndxf>
      <fill>
        <patternFill patternType="solid">
          <bgColor theme="0" tint="-0.14999847407452621"/>
        </patternFill>
      </fill>
    </ndxf>
  </rcc>
  <rcc rId="120" sId="7" odxf="1" dxf="1">
    <nc r="CJ11">
      <f>SUM(CE11:CI11)</f>
    </nc>
    <odxf>
      <fill>
        <patternFill patternType="none">
          <bgColor indexed="65"/>
        </patternFill>
      </fill>
    </odxf>
    <ndxf>
      <fill>
        <patternFill patternType="solid">
          <bgColor theme="0" tint="-0.14999847407452621"/>
        </patternFill>
      </fill>
    </ndxf>
  </rcc>
  <rfmt sheetId="7" sqref="CJ12" start="0" length="0">
    <dxf>
      <fill>
        <patternFill patternType="solid">
          <bgColor theme="0" tint="-0.14999847407452621"/>
        </patternFill>
      </fill>
    </dxf>
  </rfmt>
  <rfmt sheetId="7" sqref="CJ13" start="0" length="0">
    <dxf>
      <fill>
        <patternFill patternType="solid">
          <bgColor theme="0" tint="-0.14999847407452621"/>
        </patternFill>
      </fill>
    </dxf>
  </rfmt>
  <rfmt sheetId="7" sqref="CJ14" start="0" length="0">
    <dxf>
      <fill>
        <patternFill patternType="solid">
          <bgColor theme="0" tint="-0.14999847407452621"/>
        </patternFill>
      </fill>
    </dxf>
  </rfmt>
  <rfmt sheetId="7" sqref="CJ15" start="0" length="0">
    <dxf>
      <fill>
        <patternFill patternType="solid">
          <bgColor theme="0" tint="-0.14999847407452621"/>
        </patternFill>
      </fill>
    </dxf>
  </rfmt>
  <rcc rId="121" sId="7">
    <nc r="CJ6">
      <f>SUM(CE6:CI6)</f>
    </nc>
  </rcc>
  <rcc rId="122" sId="7">
    <nc r="CJ7">
      <f>SUM(CE7:CI7)</f>
    </nc>
  </rcc>
  <rcv guid="{18A482E0-C8B6-4AA1-9E04-15FA7C9CD5E3}" action="delete"/>
  <rcv guid="{18A482E0-C8B6-4AA1-9E04-15FA7C9CD5E3}"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3" sId="7" ref="CO1:CO1048576" action="insertCol"/>
  <rrc rId="124" sId="4" ref="CJ1:CJ1048576" action="insertCol"/>
  <rcc rId="125" sId="4" odxf="1" dxf="1">
    <nc r="CJ1" t="inlineStr">
      <is>
        <t>TOTAL SEMANA</t>
      </is>
    </nc>
    <odxf>
      <fill>
        <patternFill patternType="none">
          <bgColor indexed="65"/>
        </patternFill>
      </fill>
    </odxf>
    <ndxf>
      <fill>
        <patternFill patternType="solid">
          <bgColor theme="0" tint="-0.14999847407452621"/>
        </patternFill>
      </fill>
    </ndxf>
  </rcc>
  <rfmt sheetId="4" sqref="CJ2" start="0" length="0">
    <dxf>
      <fill>
        <patternFill patternType="solid">
          <bgColor theme="0" tint="-0.14999847407452621"/>
        </patternFill>
      </fill>
    </dxf>
  </rfmt>
  <rfmt sheetId="4" sqref="CJ3" start="0" length="0">
    <dxf>
      <fill>
        <patternFill patternType="solid">
          <bgColor theme="0" tint="-0.14999847407452621"/>
        </patternFill>
      </fill>
    </dxf>
  </rfmt>
  <rfmt sheetId="4" sqref="CJ4" start="0" length="0">
    <dxf>
      <fill>
        <patternFill patternType="solid">
          <bgColor theme="0" tint="-0.14999847407452621"/>
        </patternFill>
      </fill>
    </dxf>
  </rfmt>
  <rfmt sheetId="4" sqref="CJ5" start="0" length="0">
    <dxf>
      <fill>
        <patternFill patternType="solid">
          <bgColor theme="0" tint="-0.14999847407452621"/>
        </patternFill>
      </fill>
    </dxf>
  </rfmt>
  <rfmt sheetId="4" sqref="CJ6" start="0" length="0">
    <dxf>
      <fill>
        <patternFill patternType="solid">
          <bgColor theme="0" tint="-0.14999847407452621"/>
        </patternFill>
      </fill>
    </dxf>
  </rfmt>
  <rfmt sheetId="4" sqref="CJ7" start="0" length="0">
    <dxf>
      <fill>
        <patternFill patternType="solid">
          <bgColor theme="0" tint="-0.14999847407452621"/>
        </patternFill>
      </fill>
    </dxf>
  </rfmt>
  <rcc rId="126" sId="4" odxf="1" dxf="1">
    <nc r="CJ8">
      <f>SUM(CE8:CI8)</f>
    </nc>
    <odxf>
      <fill>
        <patternFill patternType="none">
          <bgColor indexed="65"/>
        </patternFill>
      </fill>
    </odxf>
    <ndxf>
      <fill>
        <patternFill patternType="solid">
          <bgColor theme="0" tint="-0.14999847407452621"/>
        </patternFill>
      </fill>
    </ndxf>
  </rcc>
  <rcc rId="127" sId="4" odxf="1" dxf="1">
    <nc r="CJ9">
      <f>SUM(CE9:CI9)</f>
    </nc>
    <odxf>
      <fill>
        <patternFill patternType="none">
          <bgColor indexed="65"/>
        </patternFill>
      </fill>
    </odxf>
    <ndxf>
      <fill>
        <patternFill patternType="solid">
          <bgColor theme="0" tint="-0.14999847407452621"/>
        </patternFill>
      </fill>
    </ndxf>
  </rcc>
  <rcc rId="128" sId="4" odxf="1" dxf="1">
    <nc r="CJ10">
      <f>SUM(CE10:CI10)</f>
    </nc>
    <odxf>
      <fill>
        <patternFill patternType="none">
          <bgColor indexed="65"/>
        </patternFill>
      </fill>
    </odxf>
    <ndxf>
      <fill>
        <patternFill patternType="solid">
          <bgColor theme="0" tint="-0.14999847407452621"/>
        </patternFill>
      </fill>
    </ndxf>
  </rcc>
  <rcc rId="129" sId="4" odxf="1" dxf="1">
    <nc r="CJ11">
      <f>SUM(CE11:CI11)</f>
    </nc>
    <odxf>
      <fill>
        <patternFill patternType="none">
          <bgColor indexed="65"/>
        </patternFill>
      </fill>
    </odxf>
    <ndxf>
      <fill>
        <patternFill patternType="solid">
          <bgColor theme="0" tint="-0.14999847407452621"/>
        </patternFill>
      </fill>
    </ndxf>
  </rcc>
  <rfmt sheetId="4" sqref="CJ12" start="0" length="0">
    <dxf>
      <fill>
        <patternFill patternType="solid">
          <bgColor theme="0" tint="-0.14999847407452621"/>
        </patternFill>
      </fill>
    </dxf>
  </rfmt>
  <rfmt sheetId="4" sqref="CJ13" start="0" length="0">
    <dxf>
      <fill>
        <patternFill patternType="solid">
          <bgColor theme="0" tint="-0.14999847407452621"/>
        </patternFill>
      </fill>
    </dxf>
  </rfmt>
  <rfmt sheetId="4" sqref="CJ14" start="0" length="0">
    <dxf>
      <fill>
        <patternFill patternType="solid">
          <bgColor theme="0" tint="-0.14999847407452621"/>
        </patternFill>
      </fill>
    </dxf>
  </rfmt>
  <rfmt sheetId="4" sqref="CJ15" start="0" length="0">
    <dxf>
      <fill>
        <patternFill patternType="solid">
          <bgColor theme="0" tint="-0.14999847407452621"/>
        </patternFill>
      </fill>
    </dxf>
  </rfmt>
  <rfmt sheetId="4" sqref="CJ16" start="0" length="0">
    <dxf>
      <fill>
        <patternFill patternType="solid">
          <bgColor theme="0" tint="-0.14999847407452621"/>
        </patternFill>
      </fill>
    </dxf>
  </rfmt>
  <rrc rId="130" sId="4" ref="CO1:CO1048576" action="insertCol"/>
  <rcc rId="131" sId="4" odxf="1" dxf="1">
    <nc r="CO1" t="inlineStr">
      <is>
        <t>TOTAL SEMANA</t>
      </is>
    </nc>
    <odxf>
      <fill>
        <patternFill patternType="none">
          <bgColor indexed="65"/>
        </patternFill>
      </fill>
    </odxf>
    <ndxf>
      <fill>
        <patternFill patternType="solid">
          <bgColor theme="0" tint="-0.14999847407452621"/>
        </patternFill>
      </fill>
    </ndxf>
  </rcc>
  <rfmt sheetId="4" sqref="CO2" start="0" length="0">
    <dxf>
      <fill>
        <patternFill patternType="solid">
          <bgColor theme="0" tint="-0.14999847407452621"/>
        </patternFill>
      </fill>
    </dxf>
  </rfmt>
  <rfmt sheetId="4" sqref="CO3" start="0" length="0">
    <dxf>
      <fill>
        <patternFill patternType="solid">
          <bgColor theme="0" tint="-0.14999847407452621"/>
        </patternFill>
      </fill>
    </dxf>
  </rfmt>
  <rfmt sheetId="4" sqref="CO4" start="0" length="0">
    <dxf>
      <fill>
        <patternFill patternType="solid">
          <bgColor theme="0" tint="-0.14999847407452621"/>
        </patternFill>
      </fill>
    </dxf>
  </rfmt>
  <rfmt sheetId="4" sqref="CO5" start="0" length="0">
    <dxf>
      <fill>
        <patternFill patternType="solid">
          <bgColor theme="0" tint="-0.14999847407452621"/>
        </patternFill>
      </fill>
    </dxf>
  </rfmt>
  <rfmt sheetId="4" sqref="CO6" start="0" length="0">
    <dxf>
      <fill>
        <patternFill patternType="solid">
          <bgColor theme="0" tint="-0.14999847407452621"/>
        </patternFill>
      </fill>
    </dxf>
  </rfmt>
  <rfmt sheetId="4" sqref="CO7" start="0" length="0">
    <dxf>
      <fill>
        <patternFill patternType="solid">
          <bgColor theme="0" tint="-0.14999847407452621"/>
        </patternFill>
      </fill>
    </dxf>
  </rfmt>
  <rfmt sheetId="4" sqref="CO8" start="0" length="0">
    <dxf>
      <fill>
        <patternFill patternType="solid">
          <bgColor theme="0" tint="-0.14999847407452621"/>
        </patternFill>
      </fill>
    </dxf>
  </rfmt>
  <rfmt sheetId="4" sqref="CO9" start="0" length="0">
    <dxf>
      <fill>
        <patternFill patternType="solid">
          <bgColor theme="0" tint="-0.14999847407452621"/>
        </patternFill>
      </fill>
    </dxf>
  </rfmt>
  <rfmt sheetId="4" sqref="CO10" start="0" length="0">
    <dxf>
      <fill>
        <patternFill patternType="solid">
          <bgColor theme="0" tint="-0.14999847407452621"/>
        </patternFill>
      </fill>
    </dxf>
  </rfmt>
  <rfmt sheetId="4" sqref="CO11" start="0" length="0">
    <dxf>
      <fill>
        <patternFill patternType="solid">
          <bgColor theme="0" tint="-0.14999847407452621"/>
        </patternFill>
      </fill>
    </dxf>
  </rfmt>
  <rfmt sheetId="4" sqref="CO12" start="0" length="0">
    <dxf>
      <fill>
        <patternFill patternType="solid">
          <bgColor theme="0" tint="-0.14999847407452621"/>
        </patternFill>
      </fill>
    </dxf>
  </rfmt>
  <rfmt sheetId="4" sqref="CO13" start="0" length="0">
    <dxf>
      <fill>
        <patternFill patternType="solid">
          <bgColor theme="0" tint="-0.14999847407452621"/>
        </patternFill>
      </fill>
    </dxf>
  </rfmt>
  <rfmt sheetId="4" sqref="CO14" start="0" length="0">
    <dxf>
      <fill>
        <patternFill patternType="solid">
          <bgColor theme="0" tint="-0.14999847407452621"/>
        </patternFill>
      </fill>
    </dxf>
  </rfmt>
  <rfmt sheetId="4" sqref="CO15" start="0" length="0">
    <dxf>
      <fill>
        <patternFill patternType="solid">
          <bgColor theme="0" tint="-0.14999847407452621"/>
        </patternFill>
      </fill>
    </dxf>
  </rfmt>
  <rfmt sheetId="4" sqref="CO16" start="0" length="0">
    <dxf>
      <fill>
        <patternFill patternType="solid">
          <bgColor theme="0" tint="-0.14999847407452621"/>
        </patternFill>
      </fill>
    </dxf>
  </rfmt>
  <rcc rId="132" sId="4">
    <nc r="CO2">
      <f>SUM(CK2:CN2)</f>
    </nc>
  </rcc>
  <rcc rId="133" sId="4">
    <nc r="CO3">
      <f>SUM(CK3:CN3)</f>
    </nc>
  </rcc>
  <rcc rId="134" sId="4">
    <nc r="CO4">
      <f>SUM(CK4:CN4)</f>
    </nc>
  </rcc>
  <rcc rId="135" sId="4">
    <nc r="CO5">
      <f>SUM(CK5:CN5)</f>
    </nc>
  </rcc>
  <rcc rId="136" sId="4">
    <nc r="CO6">
      <f>SUM(CK6:CN6)</f>
    </nc>
  </rcc>
  <rcc rId="137" sId="4">
    <nc r="CO7">
      <f>SUM(CK7:CN7)</f>
    </nc>
  </rcc>
  <rcc rId="138" sId="4">
    <nc r="CO8">
      <f>SUM(CK8:CN8)</f>
    </nc>
  </rcc>
  <rcc rId="139" sId="4">
    <nc r="CO9">
      <f>SUM(CK9:CN9)</f>
    </nc>
  </rcc>
  <rcc rId="140" sId="4">
    <nc r="CO10">
      <f>SUM(CK10:CN10)</f>
    </nc>
  </rcc>
  <rcc rId="141" sId="4">
    <nc r="CO11">
      <f>SUM(CK11:CN11)</f>
    </nc>
  </rcc>
  <rcc rId="142" sId="4">
    <nc r="CO12">
      <f>SUM(CK12:CN12)</f>
    </nc>
  </rcc>
  <rcc rId="143" sId="4">
    <nc r="CO13">
      <f>SUM(CK13:CN13)</f>
    </nc>
  </rcc>
  <rcc rId="144" sId="4">
    <nc r="CO14">
      <f>SUM(CK14:CN14)</f>
    </nc>
  </rcc>
  <rcc rId="145" sId="4">
    <nc r="CO15">
      <f>SUM(CK15:CN15)</f>
    </nc>
  </rcc>
  <rcc rId="146" sId="4">
    <nc r="CO16">
      <f>SUM(CK16:CN16)</f>
    </nc>
  </rcc>
  <rrc rId="147" sId="4" ref="CT1:CT1048576" action="insertCol"/>
  <rcc rId="148" sId="4" odxf="1" dxf="1">
    <nc r="CT1" t="inlineStr">
      <is>
        <t>TOTAL SEMANA</t>
      </is>
    </nc>
    <odxf>
      <fill>
        <patternFill patternType="none">
          <bgColor indexed="65"/>
        </patternFill>
      </fill>
    </odxf>
    <ndxf>
      <fill>
        <patternFill patternType="solid">
          <bgColor theme="0" tint="-0.14999847407452621"/>
        </patternFill>
      </fill>
    </ndxf>
  </rcc>
  <rcc rId="149" sId="4" odxf="1" dxf="1">
    <nc r="CT2">
      <f>SUM(CP2:CS2)</f>
    </nc>
    <odxf>
      <fill>
        <patternFill patternType="none">
          <bgColor indexed="65"/>
        </patternFill>
      </fill>
    </odxf>
    <ndxf>
      <fill>
        <patternFill patternType="solid">
          <bgColor theme="0" tint="-0.14999847407452621"/>
        </patternFill>
      </fill>
    </ndxf>
  </rcc>
  <rcc rId="150" sId="4" odxf="1" dxf="1">
    <nc r="CT3">
      <f>SUM(CP3:CS3)</f>
    </nc>
    <odxf>
      <fill>
        <patternFill patternType="none">
          <bgColor indexed="65"/>
        </patternFill>
      </fill>
    </odxf>
    <ndxf>
      <fill>
        <patternFill patternType="solid">
          <bgColor theme="0" tint="-0.14999847407452621"/>
        </patternFill>
      </fill>
    </ndxf>
  </rcc>
  <rcc rId="151" sId="4" odxf="1" dxf="1">
    <nc r="CT4">
      <f>SUM(CP4:CS4)</f>
    </nc>
    <odxf>
      <fill>
        <patternFill patternType="none">
          <bgColor indexed="65"/>
        </patternFill>
      </fill>
    </odxf>
    <ndxf>
      <fill>
        <patternFill patternType="solid">
          <bgColor theme="0" tint="-0.14999847407452621"/>
        </patternFill>
      </fill>
    </ndxf>
  </rcc>
  <rcc rId="152" sId="4" odxf="1" dxf="1">
    <nc r="CT5">
      <f>SUM(CP5:CS5)</f>
    </nc>
    <odxf>
      <fill>
        <patternFill patternType="none">
          <bgColor indexed="65"/>
        </patternFill>
      </fill>
    </odxf>
    <ndxf>
      <fill>
        <patternFill patternType="solid">
          <bgColor theme="0" tint="-0.14999847407452621"/>
        </patternFill>
      </fill>
    </ndxf>
  </rcc>
  <rcc rId="153" sId="4" odxf="1" dxf="1">
    <nc r="CT6">
      <f>SUM(CP6:CS6)</f>
    </nc>
    <odxf>
      <fill>
        <patternFill patternType="none">
          <bgColor indexed="65"/>
        </patternFill>
      </fill>
    </odxf>
    <ndxf>
      <fill>
        <patternFill patternType="solid">
          <bgColor theme="0" tint="-0.14999847407452621"/>
        </patternFill>
      </fill>
    </ndxf>
  </rcc>
  <rcc rId="154" sId="4" odxf="1" dxf="1">
    <nc r="CT7">
      <f>SUM(CP7:CS7)</f>
    </nc>
    <odxf>
      <fill>
        <patternFill patternType="none">
          <bgColor indexed="65"/>
        </patternFill>
      </fill>
    </odxf>
    <ndxf>
      <fill>
        <patternFill patternType="solid">
          <bgColor theme="0" tint="-0.14999847407452621"/>
        </patternFill>
      </fill>
    </ndxf>
  </rcc>
  <rcc rId="155" sId="4" odxf="1" dxf="1">
    <nc r="CT8">
      <f>SUM(CP8:CS8)</f>
    </nc>
    <odxf>
      <fill>
        <patternFill patternType="none">
          <bgColor indexed="65"/>
        </patternFill>
      </fill>
    </odxf>
    <ndxf>
      <fill>
        <patternFill patternType="solid">
          <bgColor theme="0" tint="-0.14999847407452621"/>
        </patternFill>
      </fill>
    </ndxf>
  </rcc>
  <rcc rId="156" sId="4" odxf="1" dxf="1">
    <nc r="CT9">
      <f>SUM(CP9:CS9)</f>
    </nc>
    <odxf>
      <fill>
        <patternFill patternType="none">
          <bgColor indexed="65"/>
        </patternFill>
      </fill>
    </odxf>
    <ndxf>
      <fill>
        <patternFill patternType="solid">
          <bgColor theme="0" tint="-0.14999847407452621"/>
        </patternFill>
      </fill>
    </ndxf>
  </rcc>
  <rcc rId="157" sId="4" odxf="1" dxf="1">
    <nc r="CT10">
      <f>SUM(CP10:CS10)</f>
    </nc>
    <odxf>
      <fill>
        <patternFill patternType="none">
          <bgColor indexed="65"/>
        </patternFill>
      </fill>
    </odxf>
    <ndxf>
      <fill>
        <patternFill patternType="solid">
          <bgColor theme="0" tint="-0.14999847407452621"/>
        </patternFill>
      </fill>
    </ndxf>
  </rcc>
  <rcc rId="158" sId="4" odxf="1" dxf="1">
    <nc r="CT11">
      <f>SUM(CP11:CS11)</f>
    </nc>
    <odxf>
      <fill>
        <patternFill patternType="none">
          <bgColor indexed="65"/>
        </patternFill>
      </fill>
    </odxf>
    <ndxf>
      <fill>
        <patternFill patternType="solid">
          <bgColor theme="0" tint="-0.14999847407452621"/>
        </patternFill>
      </fill>
    </ndxf>
  </rcc>
  <rfmt sheetId="4" sqref="CT12" start="0" length="0">
    <dxf>
      <fill>
        <patternFill patternType="solid">
          <bgColor theme="0" tint="-0.14999847407452621"/>
        </patternFill>
      </fill>
    </dxf>
  </rfmt>
  <rcc rId="159" sId="4" odxf="1" dxf="1">
    <nc r="CT13">
      <f>SUM(CP13:CS13)</f>
    </nc>
    <odxf>
      <fill>
        <patternFill patternType="none">
          <bgColor indexed="65"/>
        </patternFill>
      </fill>
    </odxf>
    <ndxf>
      <fill>
        <patternFill patternType="solid">
          <bgColor theme="0" tint="-0.14999847407452621"/>
        </patternFill>
      </fill>
    </ndxf>
  </rcc>
  <rcc rId="160" sId="4" odxf="1" dxf="1">
    <nc r="CT14">
      <f>SUM(CP14:CS14)</f>
    </nc>
    <odxf>
      <fill>
        <patternFill patternType="none">
          <bgColor indexed="65"/>
        </patternFill>
      </fill>
    </odxf>
    <ndxf>
      <fill>
        <patternFill patternType="solid">
          <bgColor theme="0" tint="-0.14999847407452621"/>
        </patternFill>
      </fill>
    </ndxf>
  </rcc>
  <rcc rId="161" sId="4" odxf="1" dxf="1">
    <nc r="CT15">
      <f>SUM(CP15:CS15)</f>
    </nc>
    <odxf>
      <fill>
        <patternFill patternType="none">
          <bgColor indexed="65"/>
        </patternFill>
      </fill>
    </odxf>
    <ndxf>
      <fill>
        <patternFill patternType="solid">
          <bgColor theme="0" tint="-0.14999847407452621"/>
        </patternFill>
      </fill>
    </ndxf>
  </rcc>
  <rcc rId="162" sId="4" odxf="1" dxf="1">
    <nc r="CT16">
      <f>SUM(CP16:CS16)</f>
    </nc>
    <odxf>
      <fill>
        <patternFill patternType="none">
          <bgColor indexed="65"/>
        </patternFill>
      </fill>
    </odxf>
    <ndxf>
      <fill>
        <patternFill patternType="solid">
          <bgColor theme="0" tint="-0.14999847407452621"/>
        </patternFill>
      </fill>
    </ndxf>
  </rcc>
  <rcc rId="163" sId="4">
    <nc r="CT12">
      <f>SUM(CP12:CS12)</f>
    </nc>
  </rcc>
  <rrc rId="164" sId="4" ref="CX1:CX1048576" action="insertCol"/>
  <rcc rId="165" sId="4" odxf="1" dxf="1">
    <nc r="CX1" t="inlineStr">
      <is>
        <t>TOTAL SEMANA</t>
      </is>
    </nc>
    <odxf>
      <fill>
        <patternFill patternType="none">
          <bgColor indexed="65"/>
        </patternFill>
      </fill>
    </odxf>
    <ndxf>
      <fill>
        <patternFill patternType="solid">
          <bgColor theme="0" tint="-0.14999847407452621"/>
        </patternFill>
      </fill>
    </ndxf>
  </rcc>
  <rfmt sheetId="4" sqref="CX2" start="0" length="0">
    <dxf>
      <fill>
        <patternFill patternType="solid">
          <bgColor theme="0" tint="-0.14999847407452621"/>
        </patternFill>
      </fill>
    </dxf>
  </rfmt>
  <rfmt sheetId="4" sqref="CX3" start="0" length="0">
    <dxf>
      <fill>
        <patternFill patternType="solid">
          <bgColor theme="0" tint="-0.14999847407452621"/>
        </patternFill>
      </fill>
    </dxf>
  </rfmt>
  <rfmt sheetId="4" sqref="CX4" start="0" length="0">
    <dxf>
      <fill>
        <patternFill patternType="solid">
          <bgColor theme="0" tint="-0.14999847407452621"/>
        </patternFill>
      </fill>
    </dxf>
  </rfmt>
  <rfmt sheetId="4" sqref="CX5" start="0" length="0">
    <dxf>
      <fill>
        <patternFill patternType="solid">
          <bgColor theme="0" tint="-0.14999847407452621"/>
        </patternFill>
      </fill>
    </dxf>
  </rfmt>
  <rfmt sheetId="4" sqref="CX6" start="0" length="0">
    <dxf>
      <fill>
        <patternFill patternType="solid">
          <bgColor theme="0" tint="-0.14999847407452621"/>
        </patternFill>
      </fill>
    </dxf>
  </rfmt>
  <rfmt sheetId="4" sqref="CX7" start="0" length="0">
    <dxf>
      <fill>
        <patternFill patternType="solid">
          <bgColor theme="0" tint="-0.14999847407452621"/>
        </patternFill>
      </fill>
    </dxf>
  </rfmt>
  <rfmt sheetId="4" sqref="CX8" start="0" length="0">
    <dxf>
      <fill>
        <patternFill patternType="solid">
          <bgColor theme="0" tint="-0.14999847407452621"/>
        </patternFill>
      </fill>
    </dxf>
  </rfmt>
  <rfmt sheetId="4" sqref="CX9" start="0" length="0">
    <dxf>
      <fill>
        <patternFill patternType="solid">
          <bgColor theme="0" tint="-0.14999847407452621"/>
        </patternFill>
      </fill>
    </dxf>
  </rfmt>
  <rfmt sheetId="4" sqref="CX10" start="0" length="0">
    <dxf>
      <fill>
        <patternFill patternType="solid">
          <bgColor theme="0" tint="-0.14999847407452621"/>
        </patternFill>
      </fill>
    </dxf>
  </rfmt>
  <rfmt sheetId="4" sqref="CX11" start="0" length="0">
    <dxf>
      <fill>
        <patternFill patternType="solid">
          <bgColor theme="0" tint="-0.14999847407452621"/>
        </patternFill>
      </fill>
    </dxf>
  </rfmt>
  <rfmt sheetId="4" sqref="CX12" start="0" length="0">
    <dxf>
      <fill>
        <patternFill patternType="solid">
          <bgColor theme="0" tint="-0.14999847407452621"/>
        </patternFill>
      </fill>
    </dxf>
  </rfmt>
  <rfmt sheetId="4" sqref="CX13" start="0" length="0">
    <dxf>
      <fill>
        <patternFill patternType="solid">
          <bgColor theme="0" tint="-0.14999847407452621"/>
        </patternFill>
      </fill>
    </dxf>
  </rfmt>
  <rfmt sheetId="4" sqref="CX14" start="0" length="0">
    <dxf>
      <fill>
        <patternFill patternType="solid">
          <bgColor theme="0" tint="-0.14999847407452621"/>
        </patternFill>
      </fill>
    </dxf>
  </rfmt>
  <rfmt sheetId="4" sqref="CX15" start="0" length="0">
    <dxf>
      <fill>
        <patternFill patternType="solid">
          <bgColor theme="0" tint="-0.14999847407452621"/>
        </patternFill>
      </fill>
    </dxf>
  </rfmt>
  <rfmt sheetId="4" sqref="CX16" start="0" length="0">
    <dxf>
      <fill>
        <patternFill patternType="solid">
          <bgColor theme="0" tint="-0.14999847407452621"/>
        </patternFill>
      </fill>
    </dxf>
  </rfmt>
  <rdn rId="166" name="_xleta.T" hidden="1" oldHidden="1">
    <formula>#NAME?</formula>
  </rdn>
  <rcc rId="167" sId="4">
    <nc r="CX9">
      <f>SUM(CU9:CW9)</f>
    </nc>
  </rcc>
  <rcc rId="168" sId="4">
    <nc r="CX10">
      <f>SUM(CU10:CW10)</f>
    </nc>
  </rcc>
  <rcc rId="169" sId="4">
    <nc r="CX11">
      <f>SUM(CU11:CW11)</f>
    </nc>
  </rcc>
  <rcc rId="170" sId="4">
    <nc r="CX12">
      <f>SUM(CU12:CW12)</f>
    </nc>
  </rcc>
  <rcc rId="171" sId="4">
    <nc r="CX13">
      <f>SUM(CU13:CW13)</f>
    </nc>
  </rcc>
  <rcc rId="172" sId="4">
    <nc r="CX14">
      <f>SUM(CU14:CW14)</f>
    </nc>
  </rcc>
  <rcc rId="173" sId="4">
    <nc r="CX15">
      <f>SUM(CU15:CW15)</f>
    </nc>
  </rcc>
  <rcc rId="174" sId="4">
    <nc r="CX16">
      <f>SUM(CU16:CW16)</f>
    </nc>
  </rcc>
  <rcc rId="175" sId="4">
    <nc r="CX2">
      <f>SUM(CU2:CW2)</f>
    </nc>
  </rcc>
  <rcc rId="176" sId="4">
    <nc r="CX3">
      <f>SUM(CU3:CW3)</f>
    </nc>
  </rcc>
  <rcc rId="177" sId="4">
    <nc r="CX4">
      <f>SUM(CU4:CW4)</f>
    </nc>
  </rcc>
  <rcc rId="178" sId="4">
    <nc r="CX5">
      <f>SUM(CU5:CW5)</f>
    </nc>
  </rcc>
  <rcc rId="179" sId="4">
    <nc r="CX6">
      <f>SUM(CU6:CW6)</f>
    </nc>
  </rcc>
  <rcc rId="180" sId="4">
    <nc r="CX7">
      <f>SUM(CU7:CW7)</f>
    </nc>
  </rcc>
  <rcc rId="181" sId="4">
    <nc r="CX8">
      <f>SUM(CU8:CW8)</f>
    </nc>
  </rcc>
  <rcc rId="182" sId="4" odxf="1" dxf="1">
    <nc r="DD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4" sqref="DD2" start="0" length="0">
    <dxf>
      <fill>
        <patternFill patternType="solid">
          <bgColor theme="0" tint="-0.14999847407452621"/>
        </patternFill>
      </fill>
    </dxf>
  </rfmt>
  <rfmt sheetId="4" sqref="DD3" start="0" length="0">
    <dxf>
      <fill>
        <patternFill patternType="solid">
          <bgColor theme="0" tint="-0.14999847407452621"/>
        </patternFill>
      </fill>
    </dxf>
  </rfmt>
  <rfmt sheetId="4" sqref="DD4" start="0" length="0">
    <dxf>
      <fill>
        <patternFill patternType="solid">
          <bgColor theme="0" tint="-0.14999847407452621"/>
        </patternFill>
      </fill>
    </dxf>
  </rfmt>
  <rfmt sheetId="4" sqref="DD5" start="0" length="0">
    <dxf>
      <fill>
        <patternFill patternType="solid">
          <bgColor theme="0" tint="-0.14999847407452621"/>
        </patternFill>
      </fill>
    </dxf>
  </rfmt>
  <rfmt sheetId="4" sqref="DD6" start="0" length="0">
    <dxf>
      <fill>
        <patternFill patternType="solid">
          <bgColor theme="0" tint="-0.14999847407452621"/>
        </patternFill>
      </fill>
    </dxf>
  </rfmt>
  <rfmt sheetId="4" sqref="DD7" start="0" length="0">
    <dxf>
      <fill>
        <patternFill patternType="solid">
          <bgColor theme="0" tint="-0.14999847407452621"/>
        </patternFill>
      </fill>
    </dxf>
  </rfmt>
  <rfmt sheetId="4" sqref="DD8" start="0" length="0">
    <dxf>
      <fill>
        <patternFill patternType="solid">
          <bgColor theme="0" tint="-0.14999847407452621"/>
        </patternFill>
      </fill>
    </dxf>
  </rfmt>
  <rfmt sheetId="4" sqref="DD9" start="0" length="0">
    <dxf>
      <fill>
        <patternFill patternType="solid">
          <bgColor theme="0" tint="-0.14999847407452621"/>
        </patternFill>
      </fill>
    </dxf>
  </rfmt>
  <rfmt sheetId="4" sqref="DD10" start="0" length="0">
    <dxf>
      <fill>
        <patternFill patternType="solid">
          <bgColor theme="0" tint="-0.14999847407452621"/>
        </patternFill>
      </fill>
    </dxf>
  </rfmt>
  <rfmt sheetId="4" sqref="DD11" start="0" length="0">
    <dxf>
      <fill>
        <patternFill patternType="solid">
          <bgColor theme="0" tint="-0.14999847407452621"/>
        </patternFill>
      </fill>
    </dxf>
  </rfmt>
  <rfmt sheetId="4" sqref="DD12" start="0" length="0">
    <dxf>
      <fill>
        <patternFill patternType="solid">
          <bgColor theme="0" tint="-0.14999847407452621"/>
        </patternFill>
      </fill>
    </dxf>
  </rfmt>
  <rfmt sheetId="4" sqref="DD13" start="0" length="0">
    <dxf>
      <fill>
        <patternFill patternType="solid">
          <bgColor theme="0" tint="-0.14999847407452621"/>
        </patternFill>
      </fill>
    </dxf>
  </rfmt>
  <rfmt sheetId="4" sqref="DD14" start="0" length="0">
    <dxf>
      <fill>
        <patternFill patternType="solid">
          <bgColor theme="0" tint="-0.14999847407452621"/>
        </patternFill>
      </fill>
    </dxf>
  </rfmt>
  <rfmt sheetId="4" sqref="DD15" start="0" length="0">
    <dxf>
      <fill>
        <patternFill patternType="solid">
          <bgColor theme="0" tint="-0.14999847407452621"/>
        </patternFill>
      </fill>
    </dxf>
  </rfmt>
  <rfmt sheetId="4" sqref="DD16" start="0" length="0">
    <dxf>
      <fill>
        <patternFill patternType="solid">
          <bgColor theme="0" tint="-0.14999847407452621"/>
        </patternFill>
      </fill>
    </dxf>
  </rfmt>
  <rcc rId="183" sId="4">
    <nc r="DD5">
      <f>SUM(CY5:DC5)</f>
    </nc>
  </rcc>
  <rcc rId="184" sId="4">
    <nc r="DD6">
      <f>SUM(CY6:DC6)</f>
    </nc>
  </rcc>
  <rcc rId="185" sId="4">
    <nc r="DD7">
      <f>SUM(CY7:DC7)</f>
    </nc>
  </rcc>
  <rcc rId="186" sId="4">
    <nc r="DD8">
      <f>SUM(CY8:DC8)</f>
    </nc>
  </rcc>
  <rcc rId="187" sId="4">
    <nc r="DD9">
      <f>SUM(CY9:DC9)</f>
    </nc>
  </rcc>
  <rcc rId="188" sId="4">
    <nc r="DD10">
      <f>SUM(CY10:DC10)</f>
    </nc>
  </rcc>
  <rcc rId="189" sId="4">
    <nc r="DD11">
      <f>SUM(CY11:DC11)</f>
    </nc>
  </rcc>
  <rcc rId="190" sId="4">
    <nc r="DD12">
      <f>SUM(CY12:DC12)</f>
    </nc>
  </rcc>
  <rcc rId="191" sId="4">
    <nc r="DD13">
      <f>SUM(CY13:DC13)</f>
    </nc>
  </rcc>
  <rcc rId="192" sId="4">
    <nc r="DD14">
      <f>SUM(CY14:DC14)</f>
    </nc>
  </rcc>
  <rcc rId="193" sId="4">
    <nc r="DD16">
      <f>SUM(CY16:DC16)</f>
    </nc>
  </rcc>
  <rcc rId="194" sId="4">
    <nc r="DD15">
      <f>SUM(CY15:DC15)</f>
    </nc>
  </rcc>
  <rcc rId="195" sId="4">
    <nc r="DD2">
      <f>SUM(CY2:DC2)</f>
    </nc>
  </rcc>
  <rcc rId="196" sId="4">
    <nc r="DD3">
      <f>SUM(CY3:DC3)</f>
    </nc>
  </rcc>
  <rcc rId="197" sId="4">
    <nc r="DD4">
      <f>SUM(CY4:DC4)</f>
    </nc>
  </rcc>
  <rcv guid="{18A482E0-C8B6-4AA1-9E04-15FA7C9CD5E3}" action="delete"/>
  <rcv guid="{18A482E0-C8B6-4AA1-9E04-15FA7C9CD5E3}"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8" sId="6" odxf="1" dxf="1" numFmtId="21">
    <nc r="DM1">
      <v>45796</v>
    </nc>
    <odxf>
      <numFmt numFmtId="0" formatCode="General"/>
    </odxf>
    <ndxf>
      <numFmt numFmtId="21" formatCode="dd/mmm"/>
    </ndxf>
  </rcc>
  <rcc rId="199" sId="6" odxf="1" dxf="1" numFmtId="21">
    <nc r="DN1">
      <v>45797</v>
    </nc>
    <odxf>
      <numFmt numFmtId="0" formatCode="General"/>
    </odxf>
    <ndxf>
      <numFmt numFmtId="21" formatCode="dd/mmm"/>
    </ndxf>
  </rcc>
  <rcc rId="200" sId="6" odxf="1" dxf="1" numFmtId="21">
    <nc r="DO1">
      <v>45798</v>
    </nc>
    <odxf>
      <numFmt numFmtId="0" formatCode="General"/>
    </odxf>
    <ndxf>
      <numFmt numFmtId="21" formatCode="dd/mmm"/>
    </ndxf>
  </rcc>
  <rcc rId="201" sId="6" odxf="1" dxf="1" numFmtId="21">
    <nc r="DP1">
      <v>45799</v>
    </nc>
    <odxf>
      <numFmt numFmtId="0" formatCode="General"/>
    </odxf>
    <ndxf>
      <numFmt numFmtId="21" formatCode="dd/mmm"/>
    </ndxf>
  </rcc>
  <rcc rId="202" sId="6" odxf="1" dxf="1" numFmtId="21">
    <nc r="DQ1">
      <v>45800</v>
    </nc>
    <odxf>
      <numFmt numFmtId="0" formatCode="General"/>
    </odxf>
    <ndxf>
      <numFmt numFmtId="21" formatCode="dd/mmm"/>
    </ndxf>
  </rcc>
  <rfmt sheetId="6" sqref="DM1:DM18" start="0" length="0">
    <dxf>
      <border>
        <left style="thin">
          <color indexed="64"/>
        </left>
      </border>
    </dxf>
  </rfmt>
  <rfmt sheetId="6" sqref="DM1:DQ1" start="0" length="0">
    <dxf>
      <border>
        <top style="thin">
          <color indexed="64"/>
        </top>
      </border>
    </dxf>
  </rfmt>
  <rfmt sheetId="6" sqref="DQ1:DQ18" start="0" length="0">
    <dxf>
      <border>
        <right style="thin">
          <color indexed="64"/>
        </right>
      </border>
    </dxf>
  </rfmt>
  <rfmt sheetId="6" sqref="DM18:DQ18" start="0" length="0">
    <dxf>
      <border>
        <bottom style="thin">
          <color indexed="64"/>
        </bottom>
      </border>
    </dxf>
  </rfmt>
  <rfmt sheetId="6" sqref="DM1:DQ18">
    <dxf>
      <border>
        <left style="thin">
          <color indexed="64"/>
        </left>
        <right style="thin">
          <color indexed="64"/>
        </right>
        <top style="thin">
          <color indexed="64"/>
        </top>
        <bottom style="thin">
          <color indexed="64"/>
        </bottom>
        <vertical style="thin">
          <color indexed="64"/>
        </vertical>
        <horizontal style="thin">
          <color indexed="64"/>
        </horizontal>
      </border>
    </dxf>
  </rfmt>
  <rcc rId="203" sId="6">
    <nc r="DM17" t="inlineStr">
      <is>
        <t>EXAME NO PERIODO DA MANHÃ</t>
      </is>
    </nc>
  </rcc>
  <rfmt sheetId="6" sqref="DM17">
    <dxf>
      <alignment wrapText="1"/>
    </dxf>
  </rfmt>
  <rcc rId="204" sId="6">
    <nc r="DM15">
      <v>50</v>
    </nc>
  </rcc>
  <rcc rId="205" sId="6">
    <nc r="DM18" t="inlineStr">
      <is>
        <t xml:space="preserve">desmontamos 1 palete para verificação e monta em outro lugar </t>
      </is>
    </nc>
  </rcc>
  <rfmt sheetId="6" sqref="DM18">
    <dxf>
      <alignment wrapText="1"/>
    </dxf>
  </rfmt>
  <rcv guid="{9B623083-AA7B-440B-95EA-C33E1AB3D963}" action="delete"/>
  <rcv guid="{9B623083-AA7B-440B-95EA-C33E1AB3D963}"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P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06" sId="3">
    <nc r="P1" t="inlineStr">
      <is>
        <t xml:space="preserve">31/03 a 04/04/2025 </t>
      </is>
    </nc>
  </rcc>
  <rfmt sheetId="3" sqref="Q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07" sId="3">
    <nc r="Q1" t="inlineStr">
      <is>
        <t xml:space="preserve">07/04 a 11/04/2025 </t>
      </is>
    </nc>
  </rcc>
  <rfmt sheetId="3" sqref="R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08" sId="3">
    <nc r="R1" t="inlineStr">
      <is>
        <t xml:space="preserve">14/04 a 17/04/2025 </t>
      </is>
    </nc>
  </rcc>
  <rfmt sheetId="3" sqref="S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09" sId="3">
    <nc r="S1" t="inlineStr">
      <is>
        <t xml:space="preserve">22/04 a 25/04/2025 </t>
      </is>
    </nc>
  </rcc>
  <rfmt sheetId="3" sqref="T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10" sId="3">
    <nc r="T1" t="inlineStr">
      <is>
        <t xml:space="preserve">28/04 a 02/05/2025 </t>
      </is>
    </nc>
  </rcc>
  <rcc rId="211" sId="3" odxf="1" dxf="1">
    <nc r="U1" t="inlineStr">
      <is>
        <t xml:space="preserve">28/04 a 02/05/2025 </t>
      </is>
    </nc>
    <odxf>
      <font>
        <b val="0"/>
        <sz val="11"/>
        <color theme="1"/>
        <name val="Aptos Narrow"/>
        <family val="2"/>
        <scheme val="minor"/>
      </font>
      <alignment horizontal="general" vertical="bottom" wrapText="0"/>
      <border outline="0">
        <left/>
        <right/>
        <top/>
        <bottom/>
      </border>
    </odxf>
    <n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ndxf>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2" sId="6">
    <nc r="DI14">
      <v>2</v>
    </nc>
  </rcc>
  <rcc rId="213" sId="6">
    <nc r="DI3">
      <v>2</v>
    </nc>
  </rcc>
  <rcc rId="214" sId="6">
    <nc r="DI2">
      <v>1</v>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5" sId="6">
    <oc r="DI14">
      <v>2</v>
    </oc>
    <nc r="DI14"/>
  </rcc>
  <rcc rId="216" sId="6">
    <oc r="DI3">
      <v>2</v>
    </oc>
    <nc r="DI3"/>
  </rcc>
  <rcc rId="217" sId="6">
    <oc r="DI2">
      <v>1</v>
    </oc>
    <nc r="DI2"/>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8" sId="7">
    <nc r="DD2">
      <v>1</v>
    </nc>
  </rcc>
  <rcc rId="219" sId="7">
    <nc r="DD3">
      <v>2</v>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0" sId="7" odxf="1" dxf="1" numFmtId="21">
    <nc r="DG1">
      <v>45796</v>
    </nc>
    <odxf>
      <numFmt numFmtId="0" formatCode="General"/>
    </odxf>
    <ndxf>
      <numFmt numFmtId="21" formatCode="dd/mmm"/>
    </ndxf>
  </rcc>
  <rcc rId="221" sId="7" odxf="1" dxf="1" numFmtId="21">
    <nc r="DH1">
      <v>45797</v>
    </nc>
    <odxf>
      <numFmt numFmtId="0" formatCode="General"/>
    </odxf>
    <ndxf>
      <numFmt numFmtId="21" formatCode="dd/mmm"/>
    </ndxf>
  </rcc>
  <rcc rId="222" sId="7" odxf="1" dxf="1" numFmtId="21">
    <nc r="DI1">
      <v>45798</v>
    </nc>
    <odxf>
      <numFmt numFmtId="0" formatCode="General"/>
    </odxf>
    <ndxf>
      <numFmt numFmtId="21" formatCode="dd/mmm"/>
    </ndxf>
  </rcc>
  <rcc rId="223" sId="7" odxf="1" dxf="1" numFmtId="21">
    <nc r="DJ1">
      <v>45799</v>
    </nc>
    <odxf>
      <numFmt numFmtId="0" formatCode="General"/>
    </odxf>
    <ndxf>
      <numFmt numFmtId="21" formatCode="dd/mmm"/>
    </ndxf>
  </rcc>
  <rcc rId="224" sId="7" odxf="1" dxf="1" numFmtId="21">
    <nc r="DK1">
      <v>45800</v>
    </nc>
    <odxf>
      <numFmt numFmtId="0" formatCode="General"/>
    </odxf>
    <ndxf>
      <numFmt numFmtId="21" formatCode="dd/mmm"/>
    </ndxf>
  </rcc>
  <rcc rId="225" sId="7">
    <nc r="DG15">
      <v>50</v>
    </nc>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V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26" sId="3">
    <nc r="V1" t="inlineStr">
      <is>
        <t xml:space="preserve">05/05 a 09/05/2025 </t>
      </is>
    </nc>
  </rcc>
  <rfmt sheetId="3" sqref="W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27" sId="3">
    <nc r="W1" t="inlineStr">
      <is>
        <t xml:space="preserve">12/05 a 16/05/2025 </t>
      </is>
    </nc>
  </rcc>
  <rfmt sheetId="3" sqref="X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28" sId="3">
    <nc r="X1" t="inlineStr">
      <is>
        <t xml:space="preserve">19/05 a 23/05/2025 </t>
      </is>
    </nc>
  </rcc>
  <rfmt sheetId="3" sqref="Y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cc rId="229" sId="3">
    <nc r="Y1" t="inlineStr">
      <is>
        <t xml:space="preserve">26/05 a 30/05/2025 </t>
      </is>
    </nc>
  </rcc>
  <rcc rId="230" sId="5">
    <oc r="DH8">
      <f>SUM(DC8:DG8)</f>
    </oc>
    <nc r="DH8">
      <f>SUM(DC8:DG8)</f>
    </nc>
  </rcc>
  <rcc rId="231" sId="5">
    <nc r="DH2">
      <f>SUM(DC2:DG2)</f>
    </nc>
  </rcc>
  <rcc rId="232" sId="5">
    <nc r="DH3">
      <f>SUM(DC3:DG3)</f>
    </nc>
  </rcc>
  <rcc rId="233" sId="5">
    <nc r="DH4">
      <f>SUM(DC4:DG4)</f>
    </nc>
  </rcc>
  <rcc rId="234" sId="5">
    <nc r="DH5">
      <f>SUM(DC5:DG5)</f>
    </nc>
  </rcc>
  <rcc rId="235" sId="5">
    <nc r="DH6">
      <f>SUM(DC6:DG6)</f>
    </nc>
  </rcc>
  <rcc rId="236" sId="5">
    <nc r="DH7">
      <f>SUM(DC7:DG7)</f>
    </nc>
  </rcc>
  <rcc rId="237" sId="5">
    <nc r="DH12">
      <f>SUM(DC12:DG12)</f>
    </nc>
  </rcc>
  <rcc rId="238" sId="5">
    <oc r="DH13">
      <f>SUM(DC13:DG13)</f>
    </oc>
    <nc r="DH13">
      <f>SUM(DC13:DG13)</f>
    </nc>
  </rcc>
  <rcc rId="239" sId="5">
    <nc r="DH14">
      <f>SUM(DC14:DG14)</f>
    </nc>
  </rcc>
  <rcc rId="240" sId="5">
    <nc r="DH15">
      <f>SUM(DC15:DG15)</f>
    </nc>
  </rcc>
  <rcc rId="241" sId="5">
    <nc r="DH16">
      <f>SUM(DC16:DG16)</f>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8A482E0-C8B6-4AA1-9E04-15FA7C9CD5E3}" action="delete"/>
  <rcv guid="{18A482E0-C8B6-4AA1-9E04-15FA7C9CD5E3}"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2" sId="4" odxf="1" dxf="1" numFmtId="21">
    <nc r="DE1">
      <v>45789</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43" sId="4" odxf="1" dxf="1" numFmtId="21">
    <nc r="DF1">
      <v>45790</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44" sId="4" odxf="1" dxf="1" numFmtId="21">
    <nc r="DG1">
      <v>45791</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45" sId="4" odxf="1" dxf="1" numFmtId="21">
    <nc r="DH1">
      <v>45792</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46" sId="4" odxf="1" dxf="1" numFmtId="21">
    <nc r="DI1">
      <v>45793</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47" sId="4" odxf="1" dxf="1" numFmtId="21">
    <nc r="DJ1">
      <v>45794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48" sId="4" odxf="1" dxf="1">
    <nc r="DK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249" sId="4" odxf="1" dxf="1" numFmtId="21">
    <nc r="DL1">
      <v>45796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0" sId="4" odxf="1" dxf="1" numFmtId="21">
    <nc r="DM1">
      <v>45797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1" sId="4" odxf="1" dxf="1" numFmtId="21">
    <nc r="DN1">
      <v>45798</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2" sId="4" odxf="1" dxf="1" numFmtId="21">
    <nc r="DO1">
      <v>45799</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3" sId="4" odxf="1" dxf="1" numFmtId="21">
    <nc r="DP1">
      <v>45800</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4" sId="4" odxf="1" dxf="1">
    <nc r="DQ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255" sId="4" odxf="1" dxf="1" numFmtId="21">
    <nc r="DR1">
      <v>45803</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6" sId="4" odxf="1" dxf="1" numFmtId="21">
    <nc r="DS1">
      <v>45804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7" sId="4" odxf="1" dxf="1" numFmtId="21">
    <nc r="DT1">
      <v>45805</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8" sId="4" odxf="1" dxf="1" numFmtId="21">
    <nc r="DU1">
      <v>45806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59" sId="4" odxf="1" dxf="1" numFmtId="21">
    <nc r="DV1">
      <v>45807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260" sId="4" odxf="1" dxf="1">
    <nc r="DW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261" sId="4" odxf="1" dxf="1">
    <nc r="DK2">
      <f>SUM(DE2:DJ2)</f>
    </nc>
    <odxf>
      <fill>
        <patternFill patternType="none">
          <bgColor indexed="65"/>
        </patternFill>
      </fill>
    </odxf>
    <ndxf>
      <fill>
        <patternFill patternType="solid">
          <bgColor theme="0" tint="-0.14999847407452621"/>
        </patternFill>
      </fill>
    </ndxf>
  </rcc>
  <rcc rId="262" sId="4" odxf="1" dxf="1">
    <nc r="DQ2">
      <f>SUM(DL2:DP2)</f>
    </nc>
    <odxf>
      <fill>
        <patternFill patternType="none">
          <bgColor indexed="65"/>
        </patternFill>
      </fill>
    </odxf>
    <ndxf>
      <fill>
        <patternFill patternType="solid">
          <bgColor theme="0" tint="-0.14999847407452621"/>
        </patternFill>
      </fill>
    </ndxf>
  </rcc>
  <rcc rId="263" sId="4" odxf="1" dxf="1">
    <nc r="DW2">
      <f>SUM(DR2:DV2)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64" sId="4" odxf="1" dxf="1">
    <nc r="DK3">
      <f>SUM(DE3:DJ3)</f>
    </nc>
    <odxf>
      <fill>
        <patternFill patternType="none">
          <bgColor indexed="65"/>
        </patternFill>
      </fill>
    </odxf>
    <ndxf>
      <fill>
        <patternFill patternType="solid">
          <bgColor theme="0" tint="-0.14999847407452621"/>
        </patternFill>
      </fill>
    </ndxf>
  </rcc>
  <rcc rId="265" sId="4" odxf="1" dxf="1">
    <nc r="DQ3">
      <f>SUM(DL3:DP3)</f>
    </nc>
    <odxf>
      <fill>
        <patternFill patternType="none">
          <bgColor indexed="65"/>
        </patternFill>
      </fill>
    </odxf>
    <ndxf>
      <fill>
        <patternFill patternType="solid">
          <bgColor theme="0" tint="-0.14999847407452621"/>
        </patternFill>
      </fill>
    </ndxf>
  </rcc>
  <rcc rId="266" sId="4" odxf="1" dxf="1">
    <nc r="DW3">
      <f>SUM(DR3:DV3)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67" sId="4" odxf="1" dxf="1">
    <nc r="DK4">
      <f>SUM(DE4:DJ4)</f>
    </nc>
    <odxf>
      <fill>
        <patternFill patternType="none">
          <bgColor indexed="65"/>
        </patternFill>
      </fill>
    </odxf>
    <ndxf>
      <fill>
        <patternFill patternType="solid">
          <bgColor theme="0" tint="-0.14999847407452621"/>
        </patternFill>
      </fill>
    </ndxf>
  </rcc>
  <rcc rId="268" sId="4" odxf="1" dxf="1">
    <nc r="DQ4">
      <f>SUM(DL4:DP4)</f>
    </nc>
    <odxf>
      <fill>
        <patternFill patternType="none">
          <bgColor indexed="65"/>
        </patternFill>
      </fill>
    </odxf>
    <ndxf>
      <fill>
        <patternFill patternType="solid">
          <bgColor theme="0" tint="-0.14999847407452621"/>
        </patternFill>
      </fill>
    </ndxf>
  </rcc>
  <rcc rId="269" sId="4" odxf="1" dxf="1">
    <nc r="DW4">
      <f>SUM(DR4:DV4)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70" sId="4" odxf="1" dxf="1">
    <nc r="DK5">
      <f>SUM(DE5:DJ5)</f>
    </nc>
    <odxf>
      <fill>
        <patternFill patternType="none">
          <bgColor indexed="65"/>
        </patternFill>
      </fill>
    </odxf>
    <ndxf>
      <fill>
        <patternFill patternType="solid">
          <bgColor theme="0" tint="-0.14999847407452621"/>
        </patternFill>
      </fill>
    </ndxf>
  </rcc>
  <rcc rId="271" sId="4" odxf="1" dxf="1">
    <nc r="DQ5">
      <f>SUM(DL5:DP5)</f>
    </nc>
    <odxf>
      <fill>
        <patternFill patternType="none">
          <bgColor indexed="65"/>
        </patternFill>
      </fill>
    </odxf>
    <ndxf>
      <fill>
        <patternFill patternType="solid">
          <bgColor theme="0" tint="-0.14999847407452621"/>
        </patternFill>
      </fill>
    </ndxf>
  </rcc>
  <rcc rId="272" sId="4" odxf="1" dxf="1">
    <nc r="DW5">
      <f>SUM(DR5:DV5)</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73" sId="4" odxf="1" dxf="1">
    <nc r="DK6">
      <f>SUM(DE6:DJ6)</f>
    </nc>
    <odxf>
      <fill>
        <patternFill patternType="none">
          <bgColor indexed="65"/>
        </patternFill>
      </fill>
    </odxf>
    <ndxf>
      <fill>
        <patternFill patternType="solid">
          <bgColor theme="0" tint="-0.14999847407452621"/>
        </patternFill>
      </fill>
    </ndxf>
  </rcc>
  <rcc rId="274" sId="4" odxf="1" dxf="1">
    <nc r="DQ6">
      <f>SUM(DL6:DP6)</f>
    </nc>
    <odxf>
      <fill>
        <patternFill patternType="none">
          <bgColor indexed="65"/>
        </patternFill>
      </fill>
    </odxf>
    <ndxf>
      <fill>
        <patternFill patternType="solid">
          <bgColor theme="0" tint="-0.14999847407452621"/>
        </patternFill>
      </fill>
    </ndxf>
  </rcc>
  <rcc rId="275" sId="4" odxf="1" dxf="1">
    <nc r="DW6">
      <f>SUM(DR6:DV6)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76" sId="4" odxf="1" dxf="1">
    <nc r="DK7">
      <f>SUM(DE7:DJ7)</f>
    </nc>
    <odxf>
      <fill>
        <patternFill patternType="none">
          <bgColor indexed="65"/>
        </patternFill>
      </fill>
    </odxf>
    <ndxf>
      <fill>
        <patternFill patternType="solid">
          <bgColor theme="0" tint="-0.14999847407452621"/>
        </patternFill>
      </fill>
    </ndxf>
  </rcc>
  <rcc rId="277" sId="4" odxf="1" dxf="1">
    <nc r="DQ7">
      <f>SUM(DL7:DP7)</f>
    </nc>
    <odxf>
      <fill>
        <patternFill patternType="none">
          <bgColor indexed="65"/>
        </patternFill>
      </fill>
    </odxf>
    <ndxf>
      <fill>
        <patternFill patternType="solid">
          <bgColor theme="0" tint="-0.14999847407452621"/>
        </patternFill>
      </fill>
    </ndxf>
  </rcc>
  <rcc rId="278" sId="4" odxf="1" dxf="1">
    <nc r="DW7">
      <f>SUM(DR7:DV7)</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79" sId="4" odxf="1" dxf="1">
    <nc r="DK8">
      <f>SUM(DE8:DJ8)</f>
    </nc>
    <odxf>
      <fill>
        <patternFill patternType="none">
          <bgColor indexed="65"/>
        </patternFill>
      </fill>
    </odxf>
    <ndxf>
      <fill>
        <patternFill patternType="solid">
          <bgColor theme="0" tint="-0.14999847407452621"/>
        </patternFill>
      </fill>
    </ndxf>
  </rcc>
  <rcc rId="280" sId="4" odxf="1" dxf="1">
    <nc r="DQ8">
      <f>SUM(DL8:DP8)</f>
    </nc>
    <odxf>
      <fill>
        <patternFill patternType="none">
          <bgColor indexed="65"/>
        </patternFill>
      </fill>
    </odxf>
    <ndxf>
      <fill>
        <patternFill patternType="solid">
          <bgColor theme="0" tint="-0.14999847407452621"/>
        </patternFill>
      </fill>
    </ndxf>
  </rcc>
  <rcc rId="281" sId="4" odxf="1" dxf="1">
    <nc r="DW8">
      <f>SUM(DR8:DV8)</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82" sId="4" odxf="1" dxf="1">
    <nc r="DK9">
      <f>SUM(DE9:DJ9)</f>
    </nc>
    <odxf>
      <fill>
        <patternFill patternType="none">
          <bgColor indexed="65"/>
        </patternFill>
      </fill>
    </odxf>
    <ndxf>
      <fill>
        <patternFill patternType="solid">
          <bgColor theme="0" tint="-0.14999847407452621"/>
        </patternFill>
      </fill>
    </ndxf>
  </rcc>
  <rcc rId="283" sId="4" odxf="1" dxf="1">
    <nc r="DQ9">
      <f>SUM(DL9:DP9)</f>
    </nc>
    <odxf>
      <fill>
        <patternFill patternType="none">
          <bgColor indexed="65"/>
        </patternFill>
      </fill>
    </odxf>
    <ndxf>
      <fill>
        <patternFill patternType="solid">
          <bgColor theme="0" tint="-0.14999847407452621"/>
        </patternFill>
      </fill>
    </ndxf>
  </rcc>
  <rcc rId="284" sId="4" odxf="1" dxf="1">
    <nc r="DW9">
      <f>SUM(DR9:DV9)</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85" sId="4" odxf="1" dxf="1">
    <nc r="DK10">
      <f>SUM(DE10:DJ10)</f>
    </nc>
    <odxf>
      <fill>
        <patternFill patternType="none">
          <bgColor indexed="65"/>
        </patternFill>
      </fill>
    </odxf>
    <ndxf>
      <fill>
        <patternFill patternType="solid">
          <bgColor theme="0" tint="-0.14999847407452621"/>
        </patternFill>
      </fill>
    </ndxf>
  </rcc>
  <rcc rId="286" sId="4" odxf="1" dxf="1">
    <nc r="DQ10">
      <f>SUM(DL10:DP10)</f>
    </nc>
    <odxf>
      <fill>
        <patternFill patternType="none">
          <bgColor indexed="65"/>
        </patternFill>
      </fill>
    </odxf>
    <ndxf>
      <fill>
        <patternFill patternType="solid">
          <bgColor theme="0" tint="-0.14999847407452621"/>
        </patternFill>
      </fill>
    </ndxf>
  </rcc>
  <rcc rId="287" sId="4" odxf="1" dxf="1">
    <nc r="DW10">
      <f>SUM(DR10:DV10)</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88" sId="4">
    <nc r="DE11">
      <v>5</v>
    </nc>
  </rcc>
  <rcc rId="289" sId="4">
    <nc r="DF11">
      <v>5</v>
    </nc>
  </rcc>
  <rcc rId="290" sId="4">
    <nc r="DG11">
      <v>6</v>
    </nc>
  </rcc>
  <rcc rId="291" sId="4">
    <nc r="DH11">
      <v>6</v>
    </nc>
  </rcc>
  <rcc rId="292" sId="4">
    <nc r="DI11">
      <v>5</v>
    </nc>
  </rcc>
  <rcc rId="293" sId="4" odxf="1" dxf="1">
    <nc r="DK11">
      <f>SUM(DE11:DJ11)</f>
    </nc>
    <odxf>
      <fill>
        <patternFill patternType="none">
          <bgColor indexed="65"/>
        </patternFill>
      </fill>
    </odxf>
    <ndxf>
      <fill>
        <patternFill patternType="solid">
          <bgColor theme="0" tint="-0.14999847407452621"/>
        </patternFill>
      </fill>
    </ndxf>
  </rcc>
  <rcc rId="294" sId="4" odxf="1" dxf="1">
    <nc r="DQ11">
      <f>SUM(DL11:DP11)</f>
    </nc>
    <odxf>
      <fill>
        <patternFill patternType="none">
          <bgColor indexed="65"/>
        </patternFill>
      </fill>
    </odxf>
    <ndxf>
      <fill>
        <patternFill patternType="solid">
          <bgColor theme="0" tint="-0.14999847407452621"/>
        </patternFill>
      </fill>
    </ndxf>
  </rcc>
  <rcc rId="295" sId="4" odxf="1" dxf="1">
    <nc r="DW11">
      <f>SUM(DR11:DV11)</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296" sId="4">
    <nc r="DE12">
      <v>77</v>
    </nc>
  </rcc>
  <rcc rId="297" sId="4">
    <nc r="DF12">
      <v>60</v>
    </nc>
  </rcc>
  <rcc rId="298" sId="4">
    <nc r="DG12">
      <v>66</v>
    </nc>
  </rcc>
  <rcc rId="299" sId="4">
    <nc r="DH12">
      <v>85</v>
    </nc>
  </rcc>
  <rcc rId="300" sId="4">
    <nc r="DI12">
      <v>64</v>
    </nc>
  </rcc>
  <rcc rId="301" sId="4" odxf="1" dxf="1">
    <nc r="DK12">
      <f>SUM(DE12:DJ12)</f>
    </nc>
    <odxf>
      <fill>
        <patternFill patternType="none">
          <bgColor indexed="65"/>
        </patternFill>
      </fill>
    </odxf>
    <ndxf>
      <fill>
        <patternFill patternType="solid">
          <bgColor theme="0" tint="-0.14999847407452621"/>
        </patternFill>
      </fill>
    </ndxf>
  </rcc>
  <rcc rId="302" sId="4" odxf="1" dxf="1">
    <nc r="DQ12">
      <f>SUM(DL12:DP12)</f>
    </nc>
    <odxf>
      <fill>
        <patternFill patternType="none">
          <bgColor indexed="65"/>
        </patternFill>
      </fill>
    </odxf>
    <ndxf>
      <fill>
        <patternFill patternType="solid">
          <bgColor theme="0" tint="-0.14999847407452621"/>
        </patternFill>
      </fill>
    </ndxf>
  </rcc>
  <rcc rId="303" sId="4" odxf="1" dxf="1">
    <nc r="DW12">
      <f>SUM(DR12:DV12)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304" sId="4" odxf="1" dxf="1">
    <nc r="DK13">
      <f>SUM(DE13:DJ13)</f>
    </nc>
    <odxf>
      <fill>
        <patternFill patternType="none">
          <bgColor indexed="65"/>
        </patternFill>
      </fill>
    </odxf>
    <ndxf>
      <fill>
        <patternFill patternType="solid">
          <bgColor theme="0" tint="-0.14999847407452621"/>
        </patternFill>
      </fill>
    </ndxf>
  </rcc>
  <rcc rId="305" sId="4" odxf="1" dxf="1">
    <nc r="DQ13">
      <f>SUM(DL13:DP13)</f>
    </nc>
    <odxf>
      <fill>
        <patternFill patternType="none">
          <bgColor indexed="65"/>
        </patternFill>
      </fill>
    </odxf>
    <ndxf>
      <fill>
        <patternFill patternType="solid">
          <bgColor theme="0" tint="-0.14999847407452621"/>
        </patternFill>
      </fill>
    </ndxf>
  </rcc>
  <rcc rId="306" sId="4" odxf="1" dxf="1">
    <nc r="DW13">
      <f>SUM(DR13:DV13)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307" sId="4" odxf="1" dxf="1">
    <nc r="DK14">
      <f>SUM(DE14:DJ14)</f>
    </nc>
    <odxf>
      <fill>
        <patternFill patternType="none">
          <bgColor indexed="65"/>
        </patternFill>
      </fill>
    </odxf>
    <ndxf>
      <fill>
        <patternFill patternType="solid">
          <bgColor theme="0" tint="-0.14999847407452621"/>
        </patternFill>
      </fill>
    </ndxf>
  </rcc>
  <rcc rId="308" sId="4" odxf="1" dxf="1">
    <nc r="DQ14">
      <f>SUM(DL14:DP14)</f>
    </nc>
    <odxf>
      <fill>
        <patternFill patternType="none">
          <bgColor indexed="65"/>
        </patternFill>
      </fill>
    </odxf>
    <ndxf>
      <fill>
        <patternFill patternType="solid">
          <bgColor theme="0" tint="-0.14999847407452621"/>
        </patternFill>
      </fill>
    </ndxf>
  </rcc>
  <rcc rId="309" sId="4" odxf="1" dxf="1">
    <nc r="DW14">
      <f>SUM(DR14:DV14)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310" sId="4" odxf="1" dxf="1">
    <nc r="DK15">
      <f>SUM(DE15:DJ15)</f>
    </nc>
    <odxf>
      <fill>
        <patternFill patternType="none">
          <bgColor indexed="65"/>
        </patternFill>
      </fill>
    </odxf>
    <ndxf>
      <fill>
        <patternFill patternType="solid">
          <bgColor theme="0" tint="-0.14999847407452621"/>
        </patternFill>
      </fill>
    </ndxf>
  </rcc>
  <rcc rId="311" sId="4" odxf="1" dxf="1">
    <nc r="DQ15">
      <f>SUM(DL15:DP15)</f>
    </nc>
    <odxf>
      <fill>
        <patternFill patternType="none">
          <bgColor indexed="65"/>
        </patternFill>
      </fill>
    </odxf>
    <ndxf>
      <fill>
        <patternFill patternType="solid">
          <bgColor theme="0" tint="-0.14999847407452621"/>
        </patternFill>
      </fill>
    </ndxf>
  </rcc>
  <rcc rId="312" sId="4" odxf="1" dxf="1">
    <nc r="DW15">
      <f>SUM(DR15:DV15)</f>
    </nc>
    <odxf>
      <fill>
        <patternFill patternType="none">
          <bgColor indexed="65"/>
        </patternFill>
      </fill>
      <border outline="0">
        <right/>
      </border>
    </odxf>
    <ndxf>
      <fill>
        <patternFill patternType="solid">
          <bgColor theme="0" tint="-0.14999847407452621"/>
        </patternFill>
      </fill>
      <border outline="0">
        <right style="thin">
          <color indexed="64"/>
        </right>
      </border>
    </ndxf>
  </rcc>
  <rfmt sheetId="4" sqref="DE16" start="0" length="0">
    <dxf>
      <border outline="0">
        <bottom style="thin">
          <color indexed="64"/>
        </bottom>
      </border>
    </dxf>
  </rfmt>
  <rfmt sheetId="4" sqref="DF16" start="0" length="0">
    <dxf>
      <border outline="0">
        <bottom style="thin">
          <color indexed="64"/>
        </bottom>
      </border>
    </dxf>
  </rfmt>
  <rfmt sheetId="4" sqref="DG16" start="0" length="0">
    <dxf>
      <border outline="0">
        <bottom style="thin">
          <color indexed="64"/>
        </bottom>
      </border>
    </dxf>
  </rfmt>
  <rfmt sheetId="4" sqref="DH16" start="0" length="0">
    <dxf>
      <border outline="0">
        <bottom style="thin">
          <color indexed="64"/>
        </bottom>
      </border>
    </dxf>
  </rfmt>
  <rfmt sheetId="4" sqref="DI16" start="0" length="0">
    <dxf>
      <border outline="0">
        <bottom style="thin">
          <color indexed="64"/>
        </bottom>
      </border>
    </dxf>
  </rfmt>
  <rfmt sheetId="4" sqref="DJ16" start="0" length="0">
    <dxf>
      <border outline="0">
        <bottom style="thin">
          <color indexed="64"/>
        </bottom>
      </border>
    </dxf>
  </rfmt>
  <rcc rId="313" sId="4" odxf="1" dxf="1">
    <nc r="DK16">
      <f>SUM(DE16:DJ16)</f>
    </nc>
    <odxf>
      <fill>
        <patternFill patternType="none">
          <bgColor indexed="65"/>
        </patternFill>
      </fill>
      <border outline="0">
        <bottom/>
      </border>
    </odxf>
    <ndxf>
      <fill>
        <patternFill patternType="solid">
          <bgColor theme="0" tint="-0.14999847407452621"/>
        </patternFill>
      </fill>
      <border outline="0">
        <bottom style="thin">
          <color indexed="64"/>
        </bottom>
      </border>
    </ndxf>
  </rcc>
  <rfmt sheetId="4" sqref="DL16" start="0" length="0">
    <dxf>
      <border outline="0">
        <bottom style="thin">
          <color indexed="64"/>
        </bottom>
      </border>
    </dxf>
  </rfmt>
  <rfmt sheetId="4" sqref="DM16" start="0" length="0">
    <dxf>
      <border outline="0">
        <bottom style="thin">
          <color indexed="64"/>
        </bottom>
      </border>
    </dxf>
  </rfmt>
  <rfmt sheetId="4" sqref="DN16" start="0" length="0">
    <dxf>
      <border outline="0">
        <bottom style="thin">
          <color indexed="64"/>
        </bottom>
      </border>
    </dxf>
  </rfmt>
  <rfmt sheetId="4" sqref="DO16" start="0" length="0">
    <dxf>
      <border outline="0">
        <bottom style="thin">
          <color indexed="64"/>
        </bottom>
      </border>
    </dxf>
  </rfmt>
  <rfmt sheetId="4" sqref="DP16" start="0" length="0">
    <dxf>
      <border outline="0">
        <bottom style="thin">
          <color indexed="64"/>
        </bottom>
      </border>
    </dxf>
  </rfmt>
  <rcc rId="314" sId="4" odxf="1" dxf="1">
    <nc r="DQ16">
      <f>SUM(DL16:DP16)</f>
    </nc>
    <odxf>
      <fill>
        <patternFill patternType="none">
          <bgColor indexed="65"/>
        </patternFill>
      </fill>
      <border outline="0">
        <bottom/>
      </border>
    </odxf>
    <ndxf>
      <fill>
        <patternFill patternType="solid">
          <bgColor theme="0" tint="-0.14999847407452621"/>
        </patternFill>
      </fill>
      <border outline="0">
        <bottom style="thin">
          <color indexed="64"/>
        </bottom>
      </border>
    </ndxf>
  </rcc>
  <rfmt sheetId="4" sqref="DR16" start="0" length="0">
    <dxf>
      <border outline="0">
        <bottom style="thin">
          <color indexed="64"/>
        </bottom>
      </border>
    </dxf>
  </rfmt>
  <rfmt sheetId="4" sqref="DS16" start="0" length="0">
    <dxf>
      <border outline="0">
        <bottom style="thin">
          <color indexed="64"/>
        </bottom>
      </border>
    </dxf>
  </rfmt>
  <rfmt sheetId="4" sqref="DT16" start="0" length="0">
    <dxf>
      <border outline="0">
        <bottom style="thin">
          <color indexed="64"/>
        </bottom>
      </border>
    </dxf>
  </rfmt>
  <rfmt sheetId="4" sqref="DU16" start="0" length="0">
    <dxf>
      <border outline="0">
        <bottom style="thin">
          <color indexed="64"/>
        </bottom>
      </border>
    </dxf>
  </rfmt>
  <rfmt sheetId="4" sqref="DV16" start="0" length="0">
    <dxf>
      <border outline="0">
        <bottom style="thin">
          <color indexed="64"/>
        </bottom>
      </border>
    </dxf>
  </rfmt>
  <rcc rId="315" sId="4" odxf="1" dxf="1">
    <nc r="DW16">
      <f>SUM(DR16:DV16)</f>
    </nc>
    <odxf>
      <fill>
        <patternFill patternType="none">
          <bgColor indexed="65"/>
        </patternFill>
      </fill>
      <border outline="0">
        <right/>
      </border>
    </odxf>
    <ndxf>
      <fill>
        <patternFill patternType="solid">
          <bgColor theme="0" tint="-0.14999847407452621"/>
        </patternFill>
      </fill>
      <border outline="0">
        <right style="thin">
          <color indexed="64"/>
        </right>
      </border>
    </ndxf>
  </rcc>
  <rfmt sheetId="3" sqref="K2:K16" start="0" length="0">
    <dxf>
      <border>
        <left style="thin">
          <color rgb="FF000000"/>
        </left>
      </border>
    </dxf>
  </rfmt>
  <rfmt sheetId="3" sqref="Y2:Y16" start="0" length="0">
    <dxf>
      <border>
        <right style="thin">
          <color rgb="FF000000"/>
        </right>
      </border>
    </dxf>
  </rfmt>
  <rfmt sheetId="3" sqref="K16:Y16" start="0" length="0">
    <dxf>
      <border>
        <bottom style="thin">
          <color rgb="FF000000"/>
        </bottom>
      </border>
    </dxf>
  </rfmt>
  <rfmt sheetId="3" sqref="K2:Y16">
    <dxf>
      <border>
        <left style="thin">
          <color rgb="FF000000"/>
        </left>
        <right style="thin">
          <color rgb="FF000000"/>
        </right>
        <top style="thin">
          <color rgb="FF000000"/>
        </top>
        <bottom style="thin">
          <color rgb="FF000000"/>
        </bottom>
        <vertical style="thin">
          <color rgb="FF000000"/>
        </vertical>
        <horizontal style="thin">
          <color rgb="FF000000"/>
        </horizontal>
      </border>
    </dxf>
  </rfmt>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6" sId="5">
    <nc r="CJ3">
      <f>SUM(CE3:CI3)</f>
    </nc>
  </rcc>
  <rcc rId="317" sId="6" odxf="1" dxf="1">
    <nc r="CJ1" t="inlineStr">
      <is>
        <t>TOTAL SEMANA</t>
      </is>
    </nc>
    <odxf>
      <numFmt numFmtId="0" formatCode="General"/>
      <fill>
        <patternFill patternType="none">
          <bgColor indexed="65"/>
        </patternFill>
      </fill>
      <border outline="0">
        <left style="thin">
          <color auto="1"/>
        </left>
        <right style="thin">
          <color auto="1"/>
        </right>
        <top style="thin">
          <color auto="1"/>
        </top>
        <bottom style="thin">
          <color auto="1"/>
        </bottom>
      </border>
    </odxf>
    <ndxf>
      <numFmt numFmtId="21" formatCode="dd/mmm"/>
      <fill>
        <patternFill patternType="solid">
          <bgColor theme="0" tint="-0.14999847407452621"/>
        </patternFill>
      </fill>
      <border outline="0">
        <left/>
        <right/>
        <top/>
        <bottom/>
      </border>
    </ndxf>
  </rcc>
  <rfmt sheetId="6" sqref="CJ2" start="0" length="0">
    <dxf>
      <fill>
        <patternFill patternType="solid">
          <bgColor theme="0" tint="-0.14999847407452621"/>
        </patternFill>
      </fill>
      <border outline="0">
        <left/>
        <right/>
        <top/>
        <bottom/>
      </border>
    </dxf>
  </rfmt>
  <rcc rId="318" sId="6" odxf="1" dxf="1">
    <nc r="CJ3">
      <f>SUM(CE3:CI3)</f>
    </nc>
    <odxf>
      <fill>
        <patternFill patternType="none">
          <bgColor indexed="65"/>
        </patternFill>
      </fill>
      <border outline="0">
        <left style="thin">
          <color auto="1"/>
        </left>
        <right style="thin">
          <color auto="1"/>
        </right>
        <top style="thin">
          <color auto="1"/>
        </top>
        <bottom style="thin">
          <color auto="1"/>
        </bottom>
      </border>
    </odxf>
    <ndxf>
      <fill>
        <patternFill patternType="solid">
          <bgColor theme="0" tint="-0.14999847407452621"/>
        </patternFill>
      </fill>
      <border outline="0">
        <left/>
        <right/>
        <top/>
        <bottom/>
      </border>
    </ndxf>
  </rcc>
  <rfmt sheetId="6" sqref="CJ4" start="0" length="0">
    <dxf>
      <fill>
        <patternFill patternType="solid">
          <bgColor theme="0" tint="-0.14999847407452621"/>
        </patternFill>
      </fill>
      <border outline="0">
        <left/>
        <right/>
        <top/>
        <bottom/>
      </border>
    </dxf>
  </rfmt>
  <rfmt sheetId="6" sqref="CJ5" start="0" length="0">
    <dxf>
      <fill>
        <patternFill patternType="solid">
          <bgColor theme="0" tint="-0.14999847407452621"/>
        </patternFill>
      </fill>
      <border outline="0">
        <left/>
        <right/>
        <top/>
        <bottom/>
      </border>
    </dxf>
  </rfmt>
  <rfmt sheetId="6" sqref="CJ6" start="0" length="0">
    <dxf>
      <fill>
        <patternFill patternType="solid">
          <bgColor theme="0" tint="-0.14999847407452621"/>
        </patternFill>
      </fill>
      <border outline="0">
        <left/>
        <right/>
        <top/>
        <bottom/>
      </border>
    </dxf>
  </rfmt>
  <rfmt sheetId="6" sqref="CJ7" start="0" length="0">
    <dxf>
      <fill>
        <patternFill patternType="solid">
          <bgColor theme="0" tint="-0.14999847407452621"/>
        </patternFill>
      </fill>
      <border outline="0">
        <left/>
        <right/>
        <top/>
        <bottom/>
      </border>
    </dxf>
  </rfmt>
  <rcc rId="319" sId="6" odxf="1" dxf="1">
    <nc r="CJ8">
      <f>SUM(CE8:CI8)</f>
    </nc>
    <odxf>
      <fill>
        <patternFill patternType="none">
          <bgColor indexed="65"/>
        </patternFill>
      </fill>
      <border outline="0">
        <left style="thin">
          <color auto="1"/>
        </left>
        <right style="thin">
          <color auto="1"/>
        </right>
        <top style="thin">
          <color auto="1"/>
        </top>
        <bottom style="thin">
          <color auto="1"/>
        </bottom>
      </border>
    </odxf>
    <ndxf>
      <fill>
        <patternFill patternType="solid">
          <bgColor theme="0" tint="-0.14999847407452621"/>
        </patternFill>
      </fill>
      <border outline="0">
        <left/>
        <right/>
        <top/>
        <bottom/>
      </border>
    </ndxf>
  </rcc>
  <rcc rId="320" sId="6" odxf="1" dxf="1">
    <nc r="CJ9">
      <f>SUM(CE9:CI9)</f>
    </nc>
    <odxf>
      <fill>
        <patternFill patternType="none">
          <bgColor indexed="65"/>
        </patternFill>
      </fill>
      <border outline="0">
        <left style="thin">
          <color auto="1"/>
        </left>
        <right style="thin">
          <color auto="1"/>
        </right>
        <top style="thin">
          <color auto="1"/>
        </top>
        <bottom style="thin">
          <color auto="1"/>
        </bottom>
      </border>
    </odxf>
    <ndxf>
      <fill>
        <patternFill patternType="solid">
          <bgColor theme="0" tint="-0.14999847407452621"/>
        </patternFill>
      </fill>
      <border outline="0">
        <left/>
        <right/>
        <top/>
        <bottom/>
      </border>
    </ndxf>
  </rcc>
  <rcc rId="321" sId="6" odxf="1" dxf="1">
    <nc r="CJ10">
      <f>SUM(CE10:CI10)</f>
    </nc>
    <odxf>
      <fill>
        <patternFill patternType="none">
          <bgColor indexed="65"/>
        </patternFill>
      </fill>
      <border outline="0">
        <left style="thin">
          <color auto="1"/>
        </left>
        <right style="thin">
          <color auto="1"/>
        </right>
        <top style="thin">
          <color auto="1"/>
        </top>
        <bottom style="thin">
          <color auto="1"/>
        </bottom>
      </border>
    </odxf>
    <ndxf>
      <fill>
        <patternFill patternType="solid">
          <bgColor theme="0" tint="-0.14999847407452621"/>
        </patternFill>
      </fill>
      <border outline="0">
        <left/>
        <right/>
        <top/>
        <bottom/>
      </border>
    </ndxf>
  </rcc>
  <rcc rId="322" sId="6" odxf="1" dxf="1">
    <nc r="CJ11">
      <f>SUM(CE11:CI11)</f>
    </nc>
    <odxf>
      <fill>
        <patternFill patternType="none">
          <bgColor indexed="65"/>
        </patternFill>
      </fill>
      <border outline="0">
        <left style="thin">
          <color auto="1"/>
        </left>
        <right style="thin">
          <color auto="1"/>
        </right>
        <top style="thin">
          <color auto="1"/>
        </top>
        <bottom style="thin">
          <color auto="1"/>
        </bottom>
      </border>
    </odxf>
    <ndxf>
      <fill>
        <patternFill patternType="solid">
          <bgColor theme="0" tint="-0.14999847407452621"/>
        </patternFill>
      </fill>
      <border outline="0">
        <left/>
        <right/>
        <top/>
        <bottom/>
      </border>
    </ndxf>
  </rcc>
  <rfmt sheetId="6" sqref="CJ12" start="0" length="0">
    <dxf>
      <fill>
        <patternFill patternType="solid">
          <bgColor theme="0" tint="-0.14999847407452621"/>
        </patternFill>
      </fill>
      <border outline="0">
        <left/>
        <right/>
        <top/>
        <bottom/>
      </border>
    </dxf>
  </rfmt>
  <rfmt sheetId="6" sqref="CJ13" start="0" length="0">
    <dxf>
      <fill>
        <patternFill patternType="solid">
          <bgColor theme="0" tint="-0.14999847407452621"/>
        </patternFill>
      </fill>
      <border outline="0">
        <left/>
        <right/>
        <top/>
        <bottom/>
      </border>
    </dxf>
  </rfmt>
  <rfmt sheetId="6" sqref="CJ14" start="0" length="0">
    <dxf>
      <fill>
        <patternFill patternType="solid">
          <bgColor theme="0" tint="-0.14999847407452621"/>
        </patternFill>
      </fill>
      <border outline="0">
        <left/>
        <right/>
        <top/>
        <bottom/>
      </border>
    </dxf>
  </rfmt>
  <rfmt sheetId="6" sqref="CJ15" start="0" length="0">
    <dxf>
      <fill>
        <patternFill patternType="solid">
          <bgColor theme="0" tint="-0.14999847407452621"/>
        </patternFill>
      </fill>
      <border outline="0">
        <left/>
        <right/>
        <top/>
        <bottom/>
      </border>
    </dxf>
  </rfmt>
  <rfmt sheetId="6" sqref="CJ16" start="0" length="0">
    <dxf>
      <fill>
        <patternFill patternType="solid">
          <bgColor theme="0" tint="-0.14999847407452621"/>
        </patternFill>
      </fill>
      <border outline="0">
        <left/>
        <right/>
        <top/>
        <bottom/>
      </border>
    </dxf>
  </rfmt>
  <rcc rId="323" sId="6">
    <nc r="CJ7">
      <f>SUM(CE7:CI7)</f>
    </nc>
  </rcc>
  <rcv guid="{18A482E0-C8B6-4AA1-9E04-15FA7C9CD5E3}" action="delete"/>
  <rcv guid="{18A482E0-C8B6-4AA1-9E04-15FA7C9CD5E3}"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 sId="3">
    <oc r="R1" t="inlineStr">
      <is>
        <t xml:space="preserve">14/04 a 17/04/2025 </t>
      </is>
    </oc>
    <nc r="R1" t="inlineStr">
      <is>
        <t xml:space="preserve">14/04 a 18/04/2025 </t>
      </is>
    </nc>
  </rcc>
  <rfmt sheetId="10" sqref="M2:M16">
    <dxf>
      <alignment horizontal="center"/>
    </dxf>
  </rfmt>
  <rcc rId="325" sId="10">
    <oc r="M3">
      <f>SUM(H3:L3)</f>
    </oc>
    <nc r="M3">
      <f>SUM(H3:L3)</f>
    </nc>
  </rcc>
  <rfmt sheetId="3" sqref="K2:Y16">
    <dxf>
      <border>
        <left/>
        <right/>
        <top/>
        <bottom/>
        <vertical/>
        <horizontal/>
      </border>
    </dxf>
  </rfmt>
  <rfmt sheetId="3" sqref="K2:Y16">
    <dxf>
      <border>
        <left style="thin">
          <color rgb="FF000000"/>
        </left>
        <right style="thin">
          <color rgb="FF000000"/>
        </right>
        <top style="thin">
          <color rgb="FF000000"/>
        </top>
        <bottom style="thin">
          <color rgb="FF000000"/>
        </bottom>
        <vertical style="thin">
          <color rgb="FF000000"/>
        </vertical>
        <horizontal style="thin">
          <color rgb="FF000000"/>
        </horizontal>
      </border>
    </dxf>
  </rfmt>
  <rcc rId="326" sId="5">
    <oc r="CJ8">
      <f>SUM(CE8:CI8)</f>
    </oc>
    <nc r="CJ8"/>
  </rcc>
  <rcc rId="327" sId="5">
    <oc r="CJ9">
      <f>SUM(CE9:CI9)</f>
    </oc>
    <nc r="CJ9"/>
  </rcc>
  <rcc rId="328" sId="5">
    <oc r="CJ10">
      <f>SUM(CE10:CI10)</f>
    </oc>
    <nc r="CJ10"/>
  </rcc>
  <rcc rId="329" sId="5">
    <oc r="CJ11">
      <f>SUM(CE11:CI11)</f>
    </oc>
    <nc r="CJ11"/>
  </rcc>
  <rcc rId="330" sId="8" odxf="1" dxf="1">
    <oc r="CJ1" t="inlineStr">
      <is>
        <t xml:space="preserve">TOTAL SEMANA </t>
      </is>
    </oc>
    <nc r="CJ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8" sqref="CJ2" start="0" length="0">
    <dxf>
      <fill>
        <patternFill patternType="solid">
          <bgColor theme="0" tint="-0.14999847407452621"/>
        </patternFill>
      </fill>
    </dxf>
  </rfmt>
  <rfmt sheetId="8" sqref="CJ3" start="0" length="0">
    <dxf>
      <fill>
        <patternFill patternType="solid">
          <bgColor theme="0" tint="-0.14999847407452621"/>
        </patternFill>
      </fill>
    </dxf>
  </rfmt>
  <rfmt sheetId="8" sqref="CJ4" start="0" length="0">
    <dxf>
      <fill>
        <patternFill patternType="solid">
          <bgColor theme="0" tint="-0.14999847407452621"/>
        </patternFill>
      </fill>
    </dxf>
  </rfmt>
  <rfmt sheetId="8" sqref="CJ5" start="0" length="0">
    <dxf>
      <fill>
        <patternFill patternType="solid">
          <bgColor theme="0" tint="-0.14999847407452621"/>
        </patternFill>
      </fill>
    </dxf>
  </rfmt>
  <rfmt sheetId="8" sqref="CJ6" start="0" length="0">
    <dxf>
      <fill>
        <patternFill patternType="solid">
          <bgColor theme="0" tint="-0.14999847407452621"/>
        </patternFill>
      </fill>
    </dxf>
  </rfmt>
  <rcc rId="331" sId="8" odxf="1" dxf="1">
    <nc r="CJ7">
      <f>SUM(CE7:CI7)</f>
    </nc>
    <odxf>
      <fill>
        <patternFill patternType="none">
          <bgColor indexed="65"/>
        </patternFill>
      </fill>
    </odxf>
    <ndxf>
      <fill>
        <patternFill patternType="solid">
          <bgColor theme="0" tint="-0.14999847407452621"/>
        </patternFill>
      </fill>
    </ndxf>
  </rcc>
  <rcc rId="332" sId="8" odxf="1" dxf="1">
    <nc r="CJ8">
      <f>SUM(CE8:CI8)</f>
    </nc>
    <odxf>
      <fill>
        <patternFill patternType="none">
          <bgColor indexed="65"/>
        </patternFill>
      </fill>
    </odxf>
    <ndxf>
      <fill>
        <patternFill patternType="solid">
          <bgColor theme="0" tint="-0.14999847407452621"/>
        </patternFill>
      </fill>
    </ndxf>
  </rcc>
  <rcc rId="333" sId="8" odxf="1" dxf="1">
    <nc r="CJ9">
      <f>SUM(CE9:CI9)</f>
    </nc>
    <odxf>
      <fill>
        <patternFill patternType="none">
          <bgColor indexed="65"/>
        </patternFill>
      </fill>
    </odxf>
    <ndxf>
      <fill>
        <patternFill patternType="solid">
          <bgColor theme="0" tint="-0.14999847407452621"/>
        </patternFill>
      </fill>
    </ndxf>
  </rcc>
  <rcc rId="334" sId="8" odxf="1" dxf="1">
    <nc r="CJ10">
      <f>SUM(CE10:CI10)</f>
    </nc>
    <odxf>
      <fill>
        <patternFill patternType="none">
          <bgColor indexed="65"/>
        </patternFill>
      </fill>
    </odxf>
    <ndxf>
      <fill>
        <patternFill patternType="solid">
          <bgColor theme="0" tint="-0.14999847407452621"/>
        </patternFill>
      </fill>
    </ndxf>
  </rcc>
  <rcc rId="335" sId="8" odxf="1" dxf="1">
    <nc r="CJ11">
      <f>SUM(CE11:CI11)</f>
    </nc>
    <odxf>
      <fill>
        <patternFill patternType="none">
          <bgColor indexed="65"/>
        </patternFill>
      </fill>
    </odxf>
    <ndxf>
      <fill>
        <patternFill patternType="solid">
          <bgColor theme="0" tint="-0.14999847407452621"/>
        </patternFill>
      </fill>
    </ndxf>
  </rcc>
  <rfmt sheetId="8" sqref="CJ12" start="0" length="0">
    <dxf>
      <fill>
        <patternFill patternType="solid">
          <bgColor theme="0" tint="-0.14999847407452621"/>
        </patternFill>
      </fill>
    </dxf>
  </rfmt>
  <rfmt sheetId="8" sqref="CJ13" start="0" length="0">
    <dxf>
      <fill>
        <patternFill patternType="solid">
          <bgColor theme="0" tint="-0.14999847407452621"/>
        </patternFill>
      </fill>
    </dxf>
  </rfmt>
  <rfmt sheetId="8" sqref="CJ14" start="0" length="0">
    <dxf>
      <fill>
        <patternFill patternType="solid">
          <bgColor theme="0" tint="-0.14999847407452621"/>
        </patternFill>
      </fill>
    </dxf>
  </rfmt>
  <rfmt sheetId="8" sqref="CJ15" start="0" length="0">
    <dxf>
      <fill>
        <patternFill patternType="solid">
          <bgColor theme="0" tint="-0.14999847407452621"/>
        </patternFill>
      </fill>
    </dxf>
  </rfmt>
  <rfmt sheetId="8" sqref="CJ16" start="0" length="0">
    <dxf>
      <fill>
        <patternFill patternType="solid">
          <bgColor theme="0" tint="-0.14999847407452621"/>
        </patternFill>
      </fill>
    </dxf>
  </rfmt>
  <rfmt sheetId="7" sqref="CJ16" start="0" length="0">
    <dxf>
      <fill>
        <patternFill patternType="solid">
          <bgColor theme="0" tint="-0.14999847407452621"/>
        </patternFill>
      </fill>
    </dxf>
  </rfmt>
  <rcc rId="336" sId="9" odxf="1" dxf="1" numFmtId="21">
    <nc r="CE1">
      <v>45754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337" sId="9" odxf="1" dxf="1" numFmtId="21">
    <nc r="CF1">
      <v>45755</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338" sId="9" odxf="1" dxf="1" numFmtId="21">
    <nc r="CG1">
      <v>45756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339" sId="9" odxf="1" dxf="1" numFmtId="21">
    <nc r="CH1">
      <v>45757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340" sId="9" odxf="1" dxf="1" numFmtId="21">
    <nc r="CI1">
      <v>45758</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341" sId="9" odxf="1" dxf="1">
    <nc r="CJ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9" sqref="CJ2" start="0" length="0">
    <dxf>
      <fill>
        <patternFill patternType="solid">
          <bgColor theme="0" tint="-0.14999847407452621"/>
        </patternFill>
      </fill>
    </dxf>
  </rfmt>
  <rfmt sheetId="9" sqref="CJ3" start="0" length="0">
    <dxf>
      <fill>
        <patternFill patternType="solid">
          <bgColor theme="0" tint="-0.14999847407452621"/>
        </patternFill>
      </fill>
    </dxf>
  </rfmt>
  <rfmt sheetId="9" sqref="CJ4" start="0" length="0">
    <dxf>
      <fill>
        <patternFill patternType="solid">
          <bgColor theme="0" tint="-0.14999847407452621"/>
        </patternFill>
      </fill>
    </dxf>
  </rfmt>
  <rfmt sheetId="9" sqref="CJ5" start="0" length="0">
    <dxf>
      <fill>
        <patternFill patternType="solid">
          <bgColor theme="0" tint="-0.14999847407452621"/>
        </patternFill>
      </fill>
    </dxf>
  </rfmt>
  <rcc rId="342" sId="9" odxf="1" dxf="1">
    <nc r="CJ6">
      <f>SUM(CE6:CI6)</f>
    </nc>
    <odxf>
      <fill>
        <patternFill patternType="none">
          <bgColor indexed="65"/>
        </patternFill>
      </fill>
    </odxf>
    <ndxf>
      <fill>
        <patternFill patternType="solid">
          <bgColor theme="0" tint="-0.14999847407452621"/>
        </patternFill>
      </fill>
    </ndxf>
  </rcc>
  <rcc rId="343" sId="9" odxf="1" dxf="1">
    <nc r="CJ7">
      <f>SUM(CE7:CI7)</f>
    </nc>
    <odxf>
      <fill>
        <patternFill patternType="none">
          <bgColor indexed="65"/>
        </patternFill>
      </fill>
    </odxf>
    <ndxf>
      <fill>
        <patternFill patternType="solid">
          <bgColor theme="0" tint="-0.14999847407452621"/>
        </patternFill>
      </fill>
    </ndxf>
  </rcc>
  <rcc rId="344" sId="9" odxf="1" dxf="1">
    <nc r="CJ8">
      <f>SUM(CE8:CI8)</f>
    </nc>
    <odxf>
      <fill>
        <patternFill patternType="none">
          <bgColor indexed="65"/>
        </patternFill>
      </fill>
    </odxf>
    <ndxf>
      <fill>
        <patternFill patternType="solid">
          <bgColor theme="0" tint="-0.14999847407452621"/>
        </patternFill>
      </fill>
    </ndxf>
  </rcc>
  <rcc rId="345" sId="9" odxf="1" dxf="1">
    <nc r="CJ9">
      <f>SUM(CE9:CI9)</f>
    </nc>
    <odxf>
      <fill>
        <patternFill patternType="none">
          <bgColor indexed="65"/>
        </patternFill>
      </fill>
    </odxf>
    <ndxf>
      <fill>
        <patternFill patternType="solid">
          <bgColor theme="0" tint="-0.14999847407452621"/>
        </patternFill>
      </fill>
    </ndxf>
  </rcc>
  <rcc rId="346" sId="9" odxf="1" dxf="1">
    <nc r="CJ10">
      <f>SUM(CE10:CI10)</f>
    </nc>
    <odxf>
      <fill>
        <patternFill patternType="none">
          <bgColor indexed="65"/>
        </patternFill>
      </fill>
    </odxf>
    <ndxf>
      <fill>
        <patternFill patternType="solid">
          <bgColor theme="0" tint="-0.14999847407452621"/>
        </patternFill>
      </fill>
    </ndxf>
  </rcc>
  <rcc rId="347" sId="9" odxf="1" dxf="1">
    <nc r="CJ11">
      <f>SUM(CE11:CI11)</f>
    </nc>
    <odxf>
      <fill>
        <patternFill patternType="none">
          <bgColor indexed="65"/>
        </patternFill>
      </fill>
    </odxf>
    <ndxf>
      <fill>
        <patternFill patternType="solid">
          <bgColor theme="0" tint="-0.14999847407452621"/>
        </patternFill>
      </fill>
    </ndxf>
  </rcc>
  <rfmt sheetId="9" sqref="CJ12" start="0" length="0">
    <dxf>
      <fill>
        <patternFill patternType="solid">
          <bgColor theme="0" tint="-0.14999847407452621"/>
        </patternFill>
      </fill>
    </dxf>
  </rfmt>
  <rfmt sheetId="9" sqref="CJ13" start="0" length="0">
    <dxf>
      <fill>
        <patternFill patternType="solid">
          <bgColor theme="0" tint="-0.14999847407452621"/>
        </patternFill>
      </fill>
    </dxf>
  </rfmt>
  <rfmt sheetId="9" sqref="CJ14" start="0" length="0">
    <dxf>
      <fill>
        <patternFill patternType="solid">
          <bgColor theme="0" tint="-0.14999847407452621"/>
        </patternFill>
      </fill>
    </dxf>
  </rfmt>
  <rfmt sheetId="9" sqref="CJ15" start="0" length="0">
    <dxf>
      <fill>
        <patternFill patternType="solid">
          <bgColor theme="0" tint="-0.14999847407452621"/>
        </patternFill>
      </fill>
    </dxf>
  </rfmt>
  <rfmt sheetId="9" sqref="CJ16" start="0" length="0">
    <dxf>
      <fill>
        <patternFill patternType="solid">
          <bgColor theme="0" tint="-0.14999847407452621"/>
        </patternFill>
      </fill>
    </dxf>
  </rfmt>
  <rrc rId="348" sId="4" ref="CO1:CO1048576" action="insertCol"/>
  <rcc rId="349" sId="4" numFmtId="21">
    <nc r="CO1">
      <v>45765</v>
    </nc>
  </rcc>
  <rfmt sheetId="4" sqref="CO2" start="0" length="0">
    <dxf>
      <fill>
        <patternFill patternType="solid">
          <bgColor theme="6" tint="0.79998168889431442"/>
        </patternFill>
      </fill>
    </dxf>
  </rfmt>
  <rcc rId="350" sId="4" odxf="1" dxf="1">
    <nc r="CO18" t="inlineStr">
      <is>
        <t>FERIADO</t>
      </is>
    </nc>
    <odxf>
      <fill>
        <patternFill patternType="none">
          <bgColor indexed="65"/>
        </patternFill>
      </fill>
      <alignment wrapText="1"/>
    </odxf>
    <ndxf>
      <fill>
        <patternFill patternType="solid">
          <bgColor theme="6" tint="0.79998168889431442"/>
        </patternFill>
      </fill>
      <alignment wrapText="0"/>
    </ndxf>
  </rcc>
  <rfmt sheetId="4" sqref="CO2" start="0" length="0">
    <dxf>
      <fill>
        <patternFill patternType="none">
          <bgColor indexed="65"/>
        </patternFill>
      </fill>
    </dxf>
  </rfmt>
  <rcc rId="351" sId="4">
    <nc r="CO2" t="inlineStr">
      <is>
        <t>FERIADO</t>
      </is>
    </nc>
  </rcc>
  <rrc rId="352" sId="6" ref="CO1:CO1048576" action="insertCol"/>
  <rcc rId="353" sId="6" odxf="1" dxf="1" numFmtId="21">
    <nc r="CO1">
      <v>45765</v>
    </nc>
    <odxf>
      <border outline="0">
        <left/>
        <top/>
        <bottom/>
      </border>
    </odxf>
    <ndxf>
      <border outline="0">
        <left style="thin">
          <color indexed="64"/>
        </left>
        <top style="thin">
          <color indexed="64"/>
        </top>
        <bottom style="thin">
          <color indexed="64"/>
        </bottom>
      </border>
    </ndxf>
  </rcc>
  <rfmt sheetId="6" sqref="CO2" start="0" length="0">
    <dxf>
      <border outline="0">
        <top style="thin">
          <color indexed="64"/>
        </top>
        <bottom style="thin">
          <color indexed="64"/>
        </bottom>
      </border>
    </dxf>
  </rfmt>
  <rfmt sheetId="6" sqref="CO3" start="0" length="0">
    <dxf>
      <border outline="0">
        <top style="thin">
          <color indexed="64"/>
        </top>
        <bottom style="thin">
          <color indexed="64"/>
        </bottom>
      </border>
    </dxf>
  </rfmt>
  <rfmt sheetId="6" sqref="CO4" start="0" length="0">
    <dxf>
      <border outline="0">
        <top style="thin">
          <color indexed="64"/>
        </top>
        <bottom style="thin">
          <color indexed="64"/>
        </bottom>
      </border>
    </dxf>
  </rfmt>
  <rfmt sheetId="6" sqref="CO5" start="0" length="0">
    <dxf>
      <border outline="0">
        <top style="thin">
          <color indexed="64"/>
        </top>
        <bottom style="thin">
          <color indexed="64"/>
        </bottom>
      </border>
    </dxf>
  </rfmt>
  <rfmt sheetId="6" sqref="CO6" start="0" length="0">
    <dxf>
      <border outline="0">
        <top style="thin">
          <color indexed="64"/>
        </top>
        <bottom style="thin">
          <color indexed="64"/>
        </bottom>
      </border>
    </dxf>
  </rfmt>
  <rfmt sheetId="6" sqref="CO7" start="0" length="0">
    <dxf>
      <border outline="0">
        <top style="thin">
          <color indexed="64"/>
        </top>
        <bottom style="thin">
          <color indexed="64"/>
        </bottom>
      </border>
    </dxf>
  </rfmt>
  <rfmt sheetId="6" sqref="CO8" start="0" length="0">
    <dxf>
      <border outline="0">
        <top style="thin">
          <color indexed="64"/>
        </top>
        <bottom style="thin">
          <color indexed="64"/>
        </bottom>
      </border>
    </dxf>
  </rfmt>
  <rfmt sheetId="6" sqref="CO9" start="0" length="0">
    <dxf>
      <border outline="0">
        <top style="thin">
          <color indexed="64"/>
        </top>
        <bottom style="thin">
          <color indexed="64"/>
        </bottom>
      </border>
    </dxf>
  </rfmt>
  <rfmt sheetId="6" sqref="CO10" start="0" length="0">
    <dxf>
      <border outline="0">
        <top style="thin">
          <color indexed="64"/>
        </top>
        <bottom style="thin">
          <color indexed="64"/>
        </bottom>
      </border>
    </dxf>
  </rfmt>
  <rfmt sheetId="6" sqref="CO11" start="0" length="0">
    <dxf>
      <border outline="0">
        <top style="thin">
          <color indexed="64"/>
        </top>
        <bottom style="thin">
          <color indexed="64"/>
        </bottom>
      </border>
    </dxf>
  </rfmt>
  <rfmt sheetId="6" sqref="CO12" start="0" length="0">
    <dxf>
      <border outline="0">
        <top style="thin">
          <color indexed="64"/>
        </top>
        <bottom style="thin">
          <color indexed="64"/>
        </bottom>
      </border>
    </dxf>
  </rfmt>
  <rfmt sheetId="6" sqref="CO13" start="0" length="0">
    <dxf>
      <border outline="0">
        <top style="thin">
          <color indexed="64"/>
        </top>
        <bottom style="thin">
          <color indexed="64"/>
        </bottom>
      </border>
    </dxf>
  </rfmt>
  <rfmt sheetId="6" sqref="CO14" start="0" length="0">
    <dxf>
      <border outline="0">
        <top style="thin">
          <color indexed="64"/>
        </top>
        <bottom style="thin">
          <color indexed="64"/>
        </bottom>
      </border>
    </dxf>
  </rfmt>
  <rfmt sheetId="6" sqref="CO15" start="0" length="0">
    <dxf>
      <border outline="0">
        <top style="thin">
          <color indexed="64"/>
        </top>
        <bottom style="thin">
          <color indexed="64"/>
        </bottom>
      </border>
    </dxf>
  </rfmt>
  <rfmt sheetId="6" sqref="CO16" start="0" length="0">
    <dxf>
      <border outline="0">
        <top style="thin">
          <color indexed="64"/>
        </top>
        <bottom style="thin">
          <color indexed="64"/>
        </bottom>
      </border>
    </dxf>
  </rfmt>
  <rdn rId="354" name="_xlfn.ENCODEURL" function="1" oldFunction="1" hidden="1" oldHidden="1">
    <formula>#NAME?</formula>
  </rdn>
  <rcc rId="355" sId="4">
    <oc r="CP2">
      <f>SUM(CK2:CN2)</f>
    </oc>
    <nc r="CP2">
      <f>SUM(CK2:CO2)</f>
    </nc>
  </rcc>
  <rcc rId="356" sId="4">
    <oc r="CP3">
      <f>SUM(CK3:CN3)</f>
    </oc>
    <nc r="CP3">
      <f>SUM(CK3:CO3)</f>
    </nc>
  </rcc>
  <rcc rId="357" sId="4">
    <oc r="CP4">
      <f>SUM(CK4:CN4)</f>
    </oc>
    <nc r="CP4">
      <f>SUM(CK4:CO4)</f>
    </nc>
  </rcc>
  <rcc rId="358" sId="4">
    <oc r="CP5">
      <f>SUM(CK5:CN5)</f>
    </oc>
    <nc r="CP5">
      <f>SUM(CK5:CO5)</f>
    </nc>
  </rcc>
  <rcc rId="359" sId="4">
    <oc r="CP6">
      <f>SUM(CK6:CN6)</f>
    </oc>
    <nc r="CP6">
      <f>SUM(CK6:CO6)</f>
    </nc>
  </rcc>
  <rcc rId="360" sId="4">
    <oc r="CP7">
      <f>SUM(CK7:CN7)</f>
    </oc>
    <nc r="CP7">
      <f>SUM(CK7:CO7)</f>
    </nc>
  </rcc>
  <rcc rId="361" sId="4">
    <oc r="CP8">
      <f>SUM(CK8:CN8)</f>
    </oc>
    <nc r="CP8">
      <f>SUM(CK8:CO8)</f>
    </nc>
  </rcc>
  <rcc rId="362" sId="4">
    <oc r="CP9">
      <f>SUM(CK9:CN9)</f>
    </oc>
    <nc r="CP9">
      <f>SUM(CK9:CO9)</f>
    </nc>
  </rcc>
  <rcc rId="363" sId="4">
    <oc r="CP10">
      <f>SUM(CK10:CN10)</f>
    </oc>
    <nc r="CP10">
      <f>SUM(CK10:CO10)</f>
    </nc>
  </rcc>
  <rcc rId="364" sId="4">
    <oc r="CP11">
      <f>SUM(CK11:CN11)</f>
    </oc>
    <nc r="CP11">
      <f>SUM(CK11:CO11)</f>
    </nc>
  </rcc>
  <rcc rId="365" sId="4">
    <oc r="CP12">
      <f>SUM(CK12:CN12)</f>
    </oc>
    <nc r="CP12">
      <f>SUM(CK12:CO12)</f>
    </nc>
  </rcc>
  <rcc rId="366" sId="4">
    <oc r="CP13">
      <f>SUM(CK13:CN13)</f>
    </oc>
    <nc r="CP13">
      <f>SUM(CK13:CO13)</f>
    </nc>
  </rcc>
  <rcc rId="367" sId="4">
    <oc r="CP14">
      <f>SUM(CK14:CN14)</f>
    </oc>
    <nc r="CP14">
      <f>SUM(CK14:CO14)</f>
    </nc>
  </rcc>
  <rcc rId="368" sId="4">
    <oc r="CP15">
      <f>SUM(CK15:CN15)</f>
    </oc>
    <nc r="CP15">
      <f>SUM(CK15:CO15)</f>
    </nc>
  </rcc>
  <rcc rId="369" sId="4">
    <oc r="CP16">
      <f>SUM(CK16:CN16)</f>
    </oc>
    <nc r="CP16">
      <f>SUM(CK16:CO16)</f>
    </nc>
  </rcc>
  <rcv guid="{18A482E0-C8B6-4AA1-9E04-15FA7C9CD5E3}" action="delete"/>
  <rcv guid="{18A482E0-C8B6-4AA1-9E04-15FA7C9CD5E3}"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0" sId="6" odxf="1" dxf="1">
    <nc r="CP1" t="inlineStr">
      <is>
        <t>TOTAL SEMANA</t>
      </is>
    </nc>
    <odxf>
      <fill>
        <patternFill patternType="none">
          <bgColor indexed="65"/>
        </patternFill>
      </fill>
    </odxf>
    <ndxf>
      <fill>
        <patternFill patternType="solid">
          <bgColor theme="0" tint="-0.14999847407452621"/>
        </patternFill>
      </fill>
    </ndxf>
  </rcc>
  <rfmt sheetId="6" sqref="CP2" start="0" length="0">
    <dxf>
      <fill>
        <patternFill patternType="solid">
          <bgColor theme="0" tint="-0.14999847407452621"/>
        </patternFill>
      </fill>
    </dxf>
  </rfmt>
  <rfmt sheetId="6" sqref="CP3" start="0" length="0">
    <dxf>
      <fill>
        <patternFill patternType="solid">
          <bgColor theme="0" tint="-0.14999847407452621"/>
        </patternFill>
      </fill>
    </dxf>
  </rfmt>
  <rfmt sheetId="6" sqref="CP4" start="0" length="0">
    <dxf>
      <fill>
        <patternFill patternType="solid">
          <bgColor theme="0" tint="-0.14999847407452621"/>
        </patternFill>
      </fill>
    </dxf>
  </rfmt>
  <rfmt sheetId="6" sqref="CP5" start="0" length="0">
    <dxf>
      <fill>
        <patternFill patternType="solid">
          <bgColor theme="0" tint="-0.14999847407452621"/>
        </patternFill>
      </fill>
    </dxf>
  </rfmt>
  <rfmt sheetId="6" sqref="CP6" start="0" length="0">
    <dxf>
      <fill>
        <patternFill patternType="solid">
          <bgColor theme="0" tint="-0.14999847407452621"/>
        </patternFill>
      </fill>
    </dxf>
  </rfmt>
  <rcc rId="371" sId="6" odxf="1" dxf="1">
    <nc r="CP7">
      <f>SUM(CK7:CO7)</f>
    </nc>
    <odxf>
      <fill>
        <patternFill patternType="none">
          <bgColor indexed="65"/>
        </patternFill>
      </fill>
    </odxf>
    <ndxf>
      <fill>
        <patternFill patternType="solid">
          <bgColor theme="0" tint="-0.14999847407452621"/>
        </patternFill>
      </fill>
    </ndxf>
  </rcc>
  <rcc rId="372" sId="6" odxf="1" dxf="1">
    <nc r="CP8">
      <f>SUM(CK8:CO8)</f>
    </nc>
    <odxf>
      <fill>
        <patternFill patternType="none">
          <bgColor indexed="65"/>
        </patternFill>
      </fill>
    </odxf>
    <ndxf>
      <fill>
        <patternFill patternType="solid">
          <bgColor theme="0" tint="-0.14999847407452621"/>
        </patternFill>
      </fill>
    </ndxf>
  </rcc>
  <rcc rId="373" sId="6" odxf="1" dxf="1">
    <nc r="CP9">
      <f>SUM(CK9:CO9)</f>
    </nc>
    <odxf>
      <fill>
        <patternFill patternType="none">
          <bgColor indexed="65"/>
        </patternFill>
      </fill>
    </odxf>
    <ndxf>
      <fill>
        <patternFill patternType="solid">
          <bgColor theme="0" tint="-0.14999847407452621"/>
        </patternFill>
      </fill>
    </ndxf>
  </rcc>
  <rcc rId="374" sId="6" odxf="1" dxf="1">
    <nc r="CP10">
      <f>SUM(CK10:CO10)</f>
    </nc>
    <odxf>
      <fill>
        <patternFill patternType="none">
          <bgColor indexed="65"/>
        </patternFill>
      </fill>
    </odxf>
    <ndxf>
      <fill>
        <patternFill patternType="solid">
          <bgColor theme="0" tint="-0.14999847407452621"/>
        </patternFill>
      </fill>
    </ndxf>
  </rcc>
  <rcc rId="375" sId="6" odxf="1" dxf="1">
    <nc r="CP11">
      <f>SUM(CK11:CO11)</f>
    </nc>
    <odxf>
      <fill>
        <patternFill patternType="none">
          <bgColor indexed="65"/>
        </patternFill>
      </fill>
    </odxf>
    <ndxf>
      <fill>
        <patternFill patternType="solid">
          <bgColor theme="0" tint="-0.14999847407452621"/>
        </patternFill>
      </fill>
    </ndxf>
  </rcc>
  <rfmt sheetId="6" sqref="CP12" start="0" length="0">
    <dxf>
      <fill>
        <patternFill patternType="solid">
          <bgColor theme="0" tint="-0.14999847407452621"/>
        </patternFill>
      </fill>
    </dxf>
  </rfmt>
  <rfmt sheetId="6" sqref="CP13" start="0" length="0">
    <dxf>
      <fill>
        <patternFill patternType="solid">
          <bgColor theme="0" tint="-0.14999847407452621"/>
        </patternFill>
      </fill>
    </dxf>
  </rfmt>
  <rfmt sheetId="6" sqref="CP14" start="0" length="0">
    <dxf>
      <fill>
        <patternFill patternType="solid">
          <bgColor theme="0" tint="-0.14999847407452621"/>
        </patternFill>
      </fill>
    </dxf>
  </rfmt>
  <rfmt sheetId="6" sqref="CP15" start="0" length="0">
    <dxf>
      <fill>
        <patternFill patternType="solid">
          <bgColor theme="0" tint="-0.14999847407452621"/>
        </patternFill>
      </fill>
    </dxf>
  </rfmt>
  <rfmt sheetId="6" sqref="CP16" start="0" length="0">
    <dxf>
      <fill>
        <patternFill patternType="solid">
          <bgColor theme="0" tint="-0.14999847407452621"/>
        </patternFill>
      </fill>
    </dxf>
  </rfmt>
  <rcc rId="376" sId="6">
    <nc r="CP3">
      <f>SUM(CK3:CO3)</f>
    </nc>
  </rcc>
  <rrc rId="377" sId="8" ref="CO1:CO1048576" action="insertCol"/>
  <rm rId="378" sheetId="8" source="CN1" destination="CO1" sourceSheetId="8">
    <rfmt sheetId="8" sqref="CO1" start="0" length="0">
      <dxf>
        <numFmt numFmtId="21" formatCode="dd/mmm"/>
        <alignment horizontal="center" vertical="center"/>
      </dxf>
    </rfmt>
  </rm>
  <rcc rId="379" sId="8">
    <nc r="CO2" t="inlineStr">
      <is>
        <t>FERIADO</t>
      </is>
    </nc>
  </rcc>
  <rcc rId="380" sId="8" odxf="1" dxf="1" numFmtId="21">
    <nc r="CN1">
      <v>45764</v>
    </nc>
    <odxf>
      <numFmt numFmtId="0" formatCode="General"/>
    </odxf>
    <ndxf>
      <numFmt numFmtId="21" formatCode="dd/mmm"/>
    </ndxf>
  </rcc>
  <rcc rId="381" sId="8" numFmtId="21">
    <oc r="CO1">
      <v>45764</v>
    </oc>
    <nc r="CO1">
      <v>45765</v>
    </nc>
  </rcc>
  <rrc rId="382" sId="8" ref="CP1:CP1048576" action="deleteCol">
    <rfmt sheetId="8" xfDxf="1" sqref="CP1:CP1048576" start="0" length="0">
      <dxf>
        <alignment horizontal="center" vertical="center"/>
      </dxf>
    </rfmt>
    <rcc rId="0" sId="8">
      <nc r="CP1" t="inlineStr">
        <is>
          <t>FERIADO</t>
        </is>
      </nc>
    </rcc>
  </rrc>
  <rcc rId="383" sId="8" odxf="1" dxf="1">
    <oc r="CP1" t="inlineStr">
      <is>
        <t xml:space="preserve">TOTAL SEMANA </t>
      </is>
    </oc>
    <nc r="CP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8" sqref="CP2" start="0" length="0">
    <dxf>
      <fill>
        <patternFill patternType="solid">
          <bgColor theme="0" tint="-0.14999847407452621"/>
        </patternFill>
      </fill>
    </dxf>
  </rfmt>
  <rfmt sheetId="8" sqref="CP3" start="0" length="0">
    <dxf>
      <fill>
        <patternFill patternType="solid">
          <bgColor theme="0" tint="-0.14999847407452621"/>
        </patternFill>
      </fill>
    </dxf>
  </rfmt>
  <rfmt sheetId="8" sqref="CP4" start="0" length="0">
    <dxf>
      <fill>
        <patternFill patternType="solid">
          <bgColor theme="0" tint="-0.14999847407452621"/>
        </patternFill>
      </fill>
    </dxf>
  </rfmt>
  <rfmt sheetId="8" sqref="CP5" start="0" length="0">
    <dxf>
      <fill>
        <patternFill patternType="solid">
          <bgColor theme="0" tint="-0.14999847407452621"/>
        </patternFill>
      </fill>
    </dxf>
  </rfmt>
  <rfmt sheetId="8" sqref="CP6" start="0" length="0">
    <dxf>
      <fill>
        <patternFill patternType="solid">
          <bgColor theme="0" tint="-0.14999847407452621"/>
        </patternFill>
      </fill>
    </dxf>
  </rfmt>
  <rcc rId="384" sId="8" odxf="1" dxf="1">
    <nc r="CP7">
      <f>SUM(CK7:CO7)</f>
    </nc>
    <odxf>
      <fill>
        <patternFill patternType="none">
          <bgColor indexed="65"/>
        </patternFill>
      </fill>
    </odxf>
    <ndxf>
      <fill>
        <patternFill patternType="solid">
          <bgColor theme="0" tint="-0.14999847407452621"/>
        </patternFill>
      </fill>
    </ndxf>
  </rcc>
  <rcc rId="385" sId="8" odxf="1" dxf="1">
    <nc r="CP8">
      <f>SUM(CK8:CO8)</f>
    </nc>
    <odxf>
      <fill>
        <patternFill patternType="none">
          <bgColor indexed="65"/>
        </patternFill>
      </fill>
    </odxf>
    <ndxf>
      <fill>
        <patternFill patternType="solid">
          <bgColor theme="0" tint="-0.14999847407452621"/>
        </patternFill>
      </fill>
    </ndxf>
  </rcc>
  <rcc rId="386" sId="8" odxf="1" dxf="1">
    <nc r="CP9">
      <f>SUM(CK9:CO9)</f>
    </nc>
    <odxf>
      <fill>
        <patternFill patternType="none">
          <bgColor indexed="65"/>
        </patternFill>
      </fill>
    </odxf>
    <ndxf>
      <fill>
        <patternFill patternType="solid">
          <bgColor theme="0" tint="-0.14999847407452621"/>
        </patternFill>
      </fill>
    </ndxf>
  </rcc>
  <rcc rId="387" sId="8" odxf="1" dxf="1">
    <nc r="CP10">
      <f>SUM(CK10:CO10)</f>
    </nc>
    <odxf>
      <fill>
        <patternFill patternType="none">
          <bgColor indexed="65"/>
        </patternFill>
      </fill>
    </odxf>
    <ndxf>
      <fill>
        <patternFill patternType="solid">
          <bgColor theme="0" tint="-0.14999847407452621"/>
        </patternFill>
      </fill>
    </ndxf>
  </rcc>
  <rcc rId="388" sId="8" odxf="1" dxf="1">
    <nc r="CP11">
      <f>SUM(CK11:CO11)</f>
    </nc>
    <odxf>
      <fill>
        <patternFill patternType="none">
          <bgColor indexed="65"/>
        </patternFill>
      </fill>
    </odxf>
    <ndxf>
      <fill>
        <patternFill patternType="solid">
          <bgColor theme="0" tint="-0.14999847407452621"/>
        </patternFill>
      </fill>
    </ndxf>
  </rcc>
  <rfmt sheetId="8" sqref="CP12" start="0" length="0">
    <dxf>
      <fill>
        <patternFill patternType="solid">
          <bgColor theme="0" tint="-0.14999847407452621"/>
        </patternFill>
      </fill>
    </dxf>
  </rfmt>
  <rfmt sheetId="8" sqref="CP13" start="0" length="0">
    <dxf>
      <fill>
        <patternFill patternType="solid">
          <bgColor theme="0" tint="-0.14999847407452621"/>
        </patternFill>
      </fill>
    </dxf>
  </rfmt>
  <rfmt sheetId="8" sqref="CP14" start="0" length="0">
    <dxf>
      <fill>
        <patternFill patternType="solid">
          <bgColor theme="0" tint="-0.14999847407452621"/>
        </patternFill>
      </fill>
    </dxf>
  </rfmt>
  <rfmt sheetId="8" sqref="CP15" start="0" length="0">
    <dxf>
      <fill>
        <patternFill patternType="solid">
          <bgColor theme="0" tint="-0.14999847407452621"/>
        </patternFill>
      </fill>
    </dxf>
  </rfmt>
  <rfmt sheetId="8" sqref="CP16" start="0" length="0">
    <dxf>
      <fill>
        <patternFill patternType="solid">
          <bgColor theme="0" tint="-0.14999847407452621"/>
        </patternFill>
      </fill>
    </dxf>
  </rfmt>
  <rcv guid="{18A482E0-C8B6-4AA1-9E04-15FA7C9CD5E3}" action="delete"/>
  <rcv guid="{18A482E0-C8B6-4AA1-9E04-15FA7C9CD5E3}"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89" sId="4" ref="CR1:CR1048576" action="insertCol"/>
  <rcc rId="390" sId="4" numFmtId="21">
    <nc r="CR1">
      <v>45769</v>
    </nc>
  </rcc>
  <rcc rId="391" sId="4">
    <nc r="CR11">
      <v>5</v>
    </nc>
  </rcc>
  <rcc rId="392" sId="4">
    <nc r="CR12">
      <v>66</v>
    </nc>
  </rcc>
  <rcc rId="393" sId="4" numFmtId="21">
    <oc r="CQ1">
      <v>45769</v>
    </oc>
    <nc r="CQ1">
      <v>45768</v>
    </nc>
  </rcc>
  <rcc rId="394" sId="4">
    <oc r="CQ11">
      <v>5</v>
    </oc>
    <nc r="CQ11"/>
  </rcc>
  <rcc rId="395" sId="4">
    <oc r="CQ12">
      <v>66</v>
    </oc>
    <nc r="CQ12"/>
  </rcc>
  <rcc rId="396" sId="4">
    <nc r="CQ2" t="inlineStr">
      <is>
        <t>FERIADO</t>
      </is>
    </nc>
  </rcc>
  <rcc rId="397" sId="4" odxf="1" dxf="1">
    <nc r="CQ18" t="inlineStr">
      <is>
        <t>FERIADO</t>
      </is>
    </nc>
    <odxf>
      <fill>
        <patternFill patternType="none">
          <bgColor indexed="65"/>
        </patternFill>
      </fill>
    </odxf>
    <ndxf>
      <fill>
        <patternFill patternType="solid">
          <bgColor theme="6" tint="0.79998168889431442"/>
        </patternFill>
      </fill>
    </ndxf>
  </rcc>
  <rrc rId="398" sId="6" ref="CR1:CR1048576" action="insertCol"/>
  <rcc rId="399" sId="6" numFmtId="21">
    <nc r="CR1">
      <v>45769</v>
    </nc>
  </rcc>
  <rfmt sheetId="6" sqref="CR2" start="0" length="0">
    <dxf>
      <border outline="0">
        <right style="thin">
          <color indexed="64"/>
        </right>
      </border>
    </dxf>
  </rfmt>
  <rfmt sheetId="6" sqref="CR3" start="0" length="0">
    <dxf>
      <border outline="0">
        <right style="thin">
          <color indexed="64"/>
        </right>
      </border>
    </dxf>
  </rfmt>
  <rfmt sheetId="6" sqref="CR4" start="0" length="0">
    <dxf>
      <border outline="0">
        <right style="thin">
          <color indexed="64"/>
        </right>
      </border>
    </dxf>
  </rfmt>
  <rcc rId="400" sId="6">
    <nc r="CR8">
      <v>27</v>
    </nc>
  </rcc>
  <rcc rId="401" sId="6">
    <oc r="CQ8">
      <v>27</v>
    </oc>
    <nc r="CQ8"/>
  </rcc>
  <rcc rId="402" sId="6" numFmtId="21">
    <oc r="CQ1">
      <v>45769</v>
    </oc>
    <nc r="CQ1">
      <v>45768</v>
    </nc>
  </rcc>
  <rcc rId="403" sId="6" odxf="1" dxf="1">
    <nc r="CV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6" sqref="CV2" start="0" length="0">
    <dxf>
      <fill>
        <patternFill patternType="solid">
          <bgColor theme="0" tint="-0.14999847407452621"/>
        </patternFill>
      </fill>
    </dxf>
  </rfmt>
  <rcc rId="404" sId="6" odxf="1" dxf="1">
    <nc r="CV3">
      <f>SUM(CQ3:CU3)</f>
    </nc>
    <odxf>
      <fill>
        <patternFill patternType="none">
          <bgColor indexed="65"/>
        </patternFill>
      </fill>
    </odxf>
    <ndxf>
      <fill>
        <patternFill patternType="solid">
          <bgColor theme="0" tint="-0.14999847407452621"/>
        </patternFill>
      </fill>
    </ndxf>
  </rcc>
  <rfmt sheetId="6" sqref="CV4" start="0" length="0">
    <dxf>
      <fill>
        <patternFill patternType="solid">
          <bgColor theme="0" tint="-0.14999847407452621"/>
        </patternFill>
      </fill>
    </dxf>
  </rfmt>
  <rfmt sheetId="6" sqref="CV5" start="0" length="0">
    <dxf>
      <fill>
        <patternFill patternType="solid">
          <bgColor theme="0" tint="-0.14999847407452621"/>
        </patternFill>
      </fill>
    </dxf>
  </rfmt>
  <rfmt sheetId="6" sqref="CV6" start="0" length="0">
    <dxf>
      <fill>
        <patternFill patternType="solid">
          <bgColor theme="0" tint="-0.14999847407452621"/>
        </patternFill>
      </fill>
    </dxf>
  </rfmt>
  <rcc rId="405" sId="6" odxf="1" dxf="1">
    <nc r="CV7">
      <f>SUM(CQ7:CU7)</f>
    </nc>
    <odxf>
      <fill>
        <patternFill patternType="none">
          <bgColor indexed="65"/>
        </patternFill>
      </fill>
    </odxf>
    <ndxf>
      <fill>
        <patternFill patternType="solid">
          <bgColor theme="0" tint="-0.14999847407452621"/>
        </patternFill>
      </fill>
    </ndxf>
  </rcc>
  <rcc rId="406" sId="6" odxf="1" dxf="1">
    <nc r="CV8">
      <f>SUM(CQ8:CU8)</f>
    </nc>
    <odxf>
      <fill>
        <patternFill patternType="none">
          <bgColor indexed="65"/>
        </patternFill>
      </fill>
    </odxf>
    <ndxf>
      <fill>
        <patternFill patternType="solid">
          <bgColor theme="0" tint="-0.14999847407452621"/>
        </patternFill>
      </fill>
    </ndxf>
  </rcc>
  <rcc rId="407" sId="6" odxf="1" dxf="1">
    <nc r="CV9">
      <f>SUM(CQ9:CU9)</f>
    </nc>
    <odxf>
      <fill>
        <patternFill patternType="none">
          <bgColor indexed="65"/>
        </patternFill>
      </fill>
    </odxf>
    <ndxf>
      <fill>
        <patternFill patternType="solid">
          <bgColor theme="0" tint="-0.14999847407452621"/>
        </patternFill>
      </fill>
    </ndxf>
  </rcc>
  <rcc rId="408" sId="6" odxf="1" dxf="1">
    <nc r="CV10">
      <f>SUM(CQ10:CU10)</f>
    </nc>
    <odxf>
      <fill>
        <patternFill patternType="none">
          <bgColor indexed="65"/>
        </patternFill>
      </fill>
    </odxf>
    <ndxf>
      <fill>
        <patternFill patternType="solid">
          <bgColor theme="0" tint="-0.14999847407452621"/>
        </patternFill>
      </fill>
    </ndxf>
  </rcc>
  <rcc rId="409" sId="6" odxf="1" dxf="1">
    <nc r="CV11">
      <f>SUM(CQ11:CU11)</f>
    </nc>
    <odxf>
      <fill>
        <patternFill patternType="none">
          <bgColor indexed="65"/>
        </patternFill>
      </fill>
    </odxf>
    <ndxf>
      <fill>
        <patternFill patternType="solid">
          <bgColor theme="0" tint="-0.14999847407452621"/>
        </patternFill>
      </fill>
    </ndxf>
  </rcc>
  <rfmt sheetId="6" sqref="CV12" start="0" length="0">
    <dxf>
      <fill>
        <patternFill patternType="solid">
          <bgColor theme="0" tint="-0.14999847407452621"/>
        </patternFill>
      </fill>
    </dxf>
  </rfmt>
  <rfmt sheetId="6" sqref="CV13" start="0" length="0">
    <dxf>
      <fill>
        <patternFill patternType="solid">
          <bgColor theme="0" tint="-0.14999847407452621"/>
        </patternFill>
      </fill>
    </dxf>
  </rfmt>
  <rfmt sheetId="6" sqref="CV14" start="0" length="0">
    <dxf>
      <fill>
        <patternFill patternType="solid">
          <bgColor theme="0" tint="-0.14999847407452621"/>
        </patternFill>
      </fill>
    </dxf>
  </rfmt>
  <rfmt sheetId="6" sqref="CV15" start="0" length="0">
    <dxf>
      <fill>
        <patternFill patternType="solid">
          <bgColor theme="0" tint="-0.14999847407452621"/>
        </patternFill>
      </fill>
    </dxf>
  </rfmt>
  <rfmt sheetId="6" sqref="CV16" start="0" length="0">
    <dxf>
      <fill>
        <patternFill patternType="solid">
          <bgColor theme="0" tint="-0.14999847407452621"/>
        </patternFill>
      </fill>
    </dxf>
  </rfmt>
  <rcc rId="410" sId="6" odxf="1" dxf="1">
    <nc r="DB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6" sqref="DB2" start="0" length="0">
    <dxf>
      <fill>
        <patternFill patternType="solid">
          <bgColor theme="0" tint="-0.14999847407452621"/>
        </patternFill>
      </fill>
    </dxf>
  </rfmt>
  <rcc rId="411" sId="6" odxf="1" dxf="1">
    <nc r="DB3">
      <f>SUM(CW3:DA3)</f>
    </nc>
    <odxf>
      <fill>
        <patternFill patternType="none">
          <bgColor indexed="65"/>
        </patternFill>
      </fill>
    </odxf>
    <ndxf>
      <fill>
        <patternFill patternType="solid">
          <bgColor theme="0" tint="-0.14999847407452621"/>
        </patternFill>
      </fill>
    </ndxf>
  </rcc>
  <rfmt sheetId="6" sqref="DB4" start="0" length="0">
    <dxf>
      <fill>
        <patternFill patternType="solid">
          <bgColor theme="0" tint="-0.14999847407452621"/>
        </patternFill>
      </fill>
    </dxf>
  </rfmt>
  <rfmt sheetId="6" sqref="DB5" start="0" length="0">
    <dxf>
      <fill>
        <patternFill patternType="solid">
          <bgColor theme="0" tint="-0.14999847407452621"/>
        </patternFill>
      </fill>
    </dxf>
  </rfmt>
  <rfmt sheetId="6" sqref="DB6" start="0" length="0">
    <dxf>
      <fill>
        <patternFill patternType="solid">
          <bgColor theme="0" tint="-0.14999847407452621"/>
        </patternFill>
      </fill>
    </dxf>
  </rfmt>
  <rcc rId="412" sId="6" odxf="1" dxf="1">
    <nc r="DB7">
      <f>SUM(CW7:DA7)</f>
    </nc>
    <odxf>
      <fill>
        <patternFill patternType="none">
          <bgColor indexed="65"/>
        </patternFill>
      </fill>
    </odxf>
    <ndxf>
      <fill>
        <patternFill patternType="solid">
          <bgColor theme="0" tint="-0.14999847407452621"/>
        </patternFill>
      </fill>
    </ndxf>
  </rcc>
  <rcc rId="413" sId="6" odxf="1" dxf="1">
    <nc r="DB8">
      <f>SUM(CW8:DA8)</f>
    </nc>
    <odxf>
      <fill>
        <patternFill patternType="none">
          <bgColor indexed="65"/>
        </patternFill>
      </fill>
    </odxf>
    <ndxf>
      <fill>
        <patternFill patternType="solid">
          <bgColor theme="0" tint="-0.14999847407452621"/>
        </patternFill>
      </fill>
    </ndxf>
  </rcc>
  <rcc rId="414" sId="6" odxf="1" dxf="1">
    <nc r="DB9">
      <f>SUM(CW9:DA9)</f>
    </nc>
    <odxf>
      <fill>
        <patternFill patternType="none">
          <bgColor indexed="65"/>
        </patternFill>
      </fill>
    </odxf>
    <ndxf>
      <fill>
        <patternFill patternType="solid">
          <bgColor theme="0" tint="-0.14999847407452621"/>
        </patternFill>
      </fill>
    </ndxf>
  </rcc>
  <rcc rId="415" sId="6" odxf="1" dxf="1">
    <nc r="DB10">
      <f>SUM(CW10:DA10)</f>
    </nc>
    <odxf>
      <fill>
        <patternFill patternType="none">
          <bgColor indexed="65"/>
        </patternFill>
      </fill>
    </odxf>
    <ndxf>
      <fill>
        <patternFill patternType="solid">
          <bgColor theme="0" tint="-0.14999847407452621"/>
        </patternFill>
      </fill>
    </ndxf>
  </rcc>
  <rcc rId="416" sId="6" odxf="1" dxf="1">
    <nc r="DB11">
      <f>SUM(CW11:DA11)</f>
    </nc>
    <odxf>
      <fill>
        <patternFill patternType="none">
          <bgColor indexed="65"/>
        </patternFill>
      </fill>
    </odxf>
    <ndxf>
      <fill>
        <patternFill patternType="solid">
          <bgColor theme="0" tint="-0.14999847407452621"/>
        </patternFill>
      </fill>
    </ndxf>
  </rcc>
  <rfmt sheetId="6" sqref="DB12" start="0" length="0">
    <dxf>
      <fill>
        <patternFill patternType="solid">
          <bgColor theme="0" tint="-0.14999847407452621"/>
        </patternFill>
      </fill>
    </dxf>
  </rfmt>
  <rfmt sheetId="6" sqref="DB13" start="0" length="0">
    <dxf>
      <fill>
        <patternFill patternType="solid">
          <bgColor theme="0" tint="-0.14999847407452621"/>
        </patternFill>
      </fill>
    </dxf>
  </rfmt>
  <rfmt sheetId="6" sqref="DB14" start="0" length="0">
    <dxf>
      <fill>
        <patternFill patternType="solid">
          <bgColor theme="0" tint="-0.14999847407452621"/>
        </patternFill>
      </fill>
    </dxf>
  </rfmt>
  <rfmt sheetId="6" sqref="DB15" start="0" length="0">
    <dxf>
      <fill>
        <patternFill patternType="solid">
          <bgColor theme="0" tint="-0.14999847407452621"/>
        </patternFill>
      </fill>
    </dxf>
  </rfmt>
  <rfmt sheetId="6" sqref="DB16" start="0" length="0">
    <dxf>
      <fill>
        <patternFill patternType="solid">
          <bgColor theme="0" tint="-0.14999847407452621"/>
        </patternFill>
      </fill>
    </dxf>
  </rfmt>
  <rcc rId="417" sId="6">
    <nc r="CQ2" t="inlineStr">
      <is>
        <t>FERIADO</t>
      </is>
    </nc>
  </rcc>
  <rcc rId="418" sId="6">
    <nc r="CO2" t="inlineStr">
      <is>
        <t>FERIADO</t>
      </is>
    </nc>
  </rcc>
  <rrc rId="419" sId="7" ref="CP1:CP1048576" action="insertCol"/>
  <rcc rId="420" sId="7" numFmtId="21">
    <nc r="CO1">
      <v>45765</v>
    </nc>
  </rcc>
  <rcc rId="421" sId="7">
    <nc r="CO2" t="inlineStr">
      <is>
        <t>FERIADO</t>
      </is>
    </nc>
  </rcc>
  <rrc rId="422" sId="7" ref="CQ1:CQ1048576" action="insertCol"/>
  <rcc rId="423" sId="7" odxf="1" dxf="1">
    <nc r="CP1" t="inlineStr">
      <is>
        <t>TOTAL SEMANA</t>
      </is>
    </nc>
    <odxf>
      <fill>
        <patternFill patternType="none">
          <bgColor indexed="65"/>
        </patternFill>
      </fill>
    </odxf>
    <ndxf>
      <fill>
        <patternFill patternType="solid">
          <bgColor theme="0" tint="-0.14999847407452621"/>
        </patternFill>
      </fill>
    </ndxf>
  </rcc>
  <rfmt sheetId="7" sqref="CP2" start="0" length="0">
    <dxf>
      <fill>
        <patternFill patternType="solid">
          <bgColor theme="0" tint="-0.14999847407452621"/>
        </patternFill>
      </fill>
    </dxf>
  </rfmt>
  <rfmt sheetId="7" sqref="CP3" start="0" length="0">
    <dxf>
      <fill>
        <patternFill patternType="solid">
          <bgColor theme="0" tint="-0.14999847407452621"/>
        </patternFill>
      </fill>
    </dxf>
  </rfmt>
  <rfmt sheetId="7" sqref="CP4" start="0" length="0">
    <dxf>
      <fill>
        <patternFill patternType="solid">
          <bgColor theme="0" tint="-0.14999847407452621"/>
        </patternFill>
      </fill>
    </dxf>
  </rfmt>
  <rfmt sheetId="7" sqref="CP5" start="0" length="0">
    <dxf>
      <fill>
        <patternFill patternType="solid">
          <bgColor theme="0" tint="-0.14999847407452621"/>
        </patternFill>
      </fill>
    </dxf>
  </rfmt>
  <rfmt sheetId="7" sqref="CP6" start="0" length="0">
    <dxf>
      <fill>
        <patternFill patternType="solid">
          <bgColor theme="0" tint="-0.14999847407452621"/>
        </patternFill>
      </fill>
    </dxf>
  </rfmt>
  <rcc rId="424" sId="7" odxf="1" dxf="1">
    <nc r="CP7">
      <f>SUM(CK7:CO7)</f>
    </nc>
    <odxf>
      <fill>
        <patternFill patternType="none">
          <bgColor indexed="65"/>
        </patternFill>
      </fill>
    </odxf>
    <ndxf>
      <fill>
        <patternFill patternType="solid">
          <bgColor theme="0" tint="-0.14999847407452621"/>
        </patternFill>
      </fill>
    </ndxf>
  </rcc>
  <rcc rId="425" sId="7" odxf="1" dxf="1">
    <nc r="CP8">
      <f>SUM(CK8:CO8)</f>
    </nc>
    <odxf>
      <fill>
        <patternFill patternType="none">
          <bgColor indexed="65"/>
        </patternFill>
      </fill>
    </odxf>
    <ndxf>
      <fill>
        <patternFill patternType="solid">
          <bgColor theme="0" tint="-0.14999847407452621"/>
        </patternFill>
      </fill>
    </ndxf>
  </rcc>
  <rcc rId="426" sId="7" odxf="1" dxf="1">
    <nc r="CP9">
      <f>SUM(CK9:CO9)</f>
    </nc>
    <odxf>
      <fill>
        <patternFill patternType="none">
          <bgColor indexed="65"/>
        </patternFill>
      </fill>
    </odxf>
    <ndxf>
      <fill>
        <patternFill patternType="solid">
          <bgColor theme="0" tint="-0.14999847407452621"/>
        </patternFill>
      </fill>
    </ndxf>
  </rcc>
  <rcc rId="427" sId="7" odxf="1" dxf="1">
    <nc r="CP10">
      <f>SUM(CK10:CO10)</f>
    </nc>
    <odxf>
      <fill>
        <patternFill patternType="none">
          <bgColor indexed="65"/>
        </patternFill>
      </fill>
    </odxf>
    <ndxf>
      <fill>
        <patternFill patternType="solid">
          <bgColor theme="0" tint="-0.14999847407452621"/>
        </patternFill>
      </fill>
    </ndxf>
  </rcc>
  <rcc rId="428" sId="7" odxf="1" dxf="1">
    <nc r="CP11">
      <f>SUM(CK11:CO11)</f>
    </nc>
    <odxf>
      <fill>
        <patternFill patternType="none">
          <bgColor indexed="65"/>
        </patternFill>
      </fill>
    </odxf>
    <ndxf>
      <fill>
        <patternFill patternType="solid">
          <bgColor theme="0" tint="-0.14999847407452621"/>
        </patternFill>
      </fill>
    </ndxf>
  </rcc>
  <rfmt sheetId="7" sqref="CP12" start="0" length="0">
    <dxf>
      <fill>
        <patternFill patternType="solid">
          <bgColor theme="0" tint="-0.14999847407452621"/>
        </patternFill>
      </fill>
    </dxf>
  </rfmt>
  <rfmt sheetId="7" sqref="CP13" start="0" length="0">
    <dxf>
      <fill>
        <patternFill patternType="solid">
          <bgColor theme="0" tint="-0.14999847407452621"/>
        </patternFill>
      </fill>
    </dxf>
  </rfmt>
  <rfmt sheetId="7" sqref="CP14" start="0" length="0">
    <dxf>
      <fill>
        <patternFill patternType="solid">
          <bgColor theme="0" tint="-0.14999847407452621"/>
        </patternFill>
      </fill>
    </dxf>
  </rfmt>
  <rfmt sheetId="7" sqref="CP15" start="0" length="0">
    <dxf>
      <fill>
        <patternFill patternType="solid">
          <bgColor theme="0" tint="-0.14999847407452621"/>
        </patternFill>
      </fill>
    </dxf>
  </rfmt>
  <rfmt sheetId="7" sqref="CP16" start="0" length="0">
    <dxf>
      <fill>
        <patternFill patternType="solid">
          <bgColor theme="0" tint="-0.14999847407452621"/>
        </patternFill>
      </fill>
    </dxf>
  </rfmt>
  <rcc rId="429" sId="7">
    <nc r="CP6">
      <f>SUM(CK6:CO6)</f>
    </nc>
  </rcc>
  <rcc rId="430" sId="7" numFmtId="21">
    <nc r="CQ1">
      <v>45768</v>
    </nc>
  </rcc>
  <rcc rId="431" sId="7">
    <nc r="CQ2" t="inlineStr">
      <is>
        <t>FERIADO</t>
      </is>
    </nc>
  </rcc>
  <rcc rId="432" sId="8">
    <nc r="CQ2" t="inlineStr">
      <is>
        <t>FERIADO</t>
      </is>
    </nc>
  </rcc>
  <rcc rId="433" sId="8" odxf="1" dxf="1" numFmtId="21">
    <oc r="CQ1" t="inlineStr">
      <is>
        <t>FERIADO</t>
      </is>
    </oc>
    <nc r="CQ1">
      <v>45768</v>
    </nc>
    <odxf>
      <numFmt numFmtId="0" formatCode="General"/>
    </odxf>
    <ndxf>
      <numFmt numFmtId="21" formatCode="dd/mmm"/>
    </ndxf>
  </rcc>
  <rcc rId="434" sId="8" odxf="1" dxf="1">
    <oc r="CV1" t="inlineStr">
      <is>
        <t xml:space="preserve">TOTAL SEMANA </t>
      </is>
    </oc>
    <nc r="CV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8" sqref="CV2" start="0" length="0">
    <dxf>
      <fill>
        <patternFill patternType="solid">
          <bgColor theme="0" tint="-0.14999847407452621"/>
        </patternFill>
      </fill>
    </dxf>
  </rfmt>
  <rfmt sheetId="8" sqref="CV3" start="0" length="0">
    <dxf>
      <fill>
        <patternFill patternType="solid">
          <bgColor theme="0" tint="-0.14999847407452621"/>
        </patternFill>
      </fill>
    </dxf>
  </rfmt>
  <rfmt sheetId="8" sqref="CV4" start="0" length="0">
    <dxf>
      <fill>
        <patternFill patternType="solid">
          <bgColor theme="0" tint="-0.14999847407452621"/>
        </patternFill>
      </fill>
    </dxf>
  </rfmt>
  <rfmt sheetId="8" sqref="CV5" start="0" length="0">
    <dxf>
      <fill>
        <patternFill patternType="solid">
          <bgColor theme="0" tint="-0.14999847407452621"/>
        </patternFill>
      </fill>
    </dxf>
  </rfmt>
  <rfmt sheetId="8" sqref="CV6" start="0" length="0">
    <dxf>
      <fill>
        <patternFill patternType="solid">
          <bgColor theme="0" tint="-0.14999847407452621"/>
        </patternFill>
      </fill>
    </dxf>
  </rfmt>
  <rcc rId="435" sId="8" odxf="1" dxf="1">
    <nc r="CV7">
      <f>SUM(CQ7:CU7)</f>
    </nc>
    <odxf>
      <fill>
        <patternFill patternType="none">
          <bgColor indexed="65"/>
        </patternFill>
      </fill>
    </odxf>
    <ndxf>
      <fill>
        <patternFill patternType="solid">
          <bgColor theme="0" tint="-0.14999847407452621"/>
        </patternFill>
      </fill>
    </ndxf>
  </rcc>
  <rcc rId="436" sId="8" odxf="1" dxf="1">
    <nc r="CV8">
      <f>SUM(CQ8:CU8)</f>
    </nc>
    <odxf>
      <fill>
        <patternFill patternType="none">
          <bgColor indexed="65"/>
        </patternFill>
      </fill>
    </odxf>
    <ndxf>
      <fill>
        <patternFill patternType="solid">
          <bgColor theme="0" tint="-0.14999847407452621"/>
        </patternFill>
      </fill>
    </ndxf>
  </rcc>
  <rcc rId="437" sId="8" odxf="1" dxf="1">
    <nc r="CV9">
      <f>SUM(CQ9:CU9)</f>
    </nc>
    <odxf>
      <fill>
        <patternFill patternType="none">
          <bgColor indexed="65"/>
        </patternFill>
      </fill>
    </odxf>
    <ndxf>
      <fill>
        <patternFill patternType="solid">
          <bgColor theme="0" tint="-0.14999847407452621"/>
        </patternFill>
      </fill>
    </ndxf>
  </rcc>
  <rfmt sheetId="8" sqref="CV10" start="0" length="0">
    <dxf>
      <fill>
        <patternFill patternType="solid">
          <bgColor theme="0" tint="-0.14999847407452621"/>
        </patternFill>
      </fill>
    </dxf>
  </rfmt>
  <rcc rId="438" sId="8" odxf="1" dxf="1">
    <nc r="CV11">
      <f>SUM(CQ11:CU11)</f>
    </nc>
    <odxf>
      <fill>
        <patternFill patternType="none">
          <bgColor indexed="65"/>
        </patternFill>
      </fill>
    </odxf>
    <ndxf>
      <fill>
        <patternFill patternType="solid">
          <bgColor theme="0" tint="-0.14999847407452621"/>
        </patternFill>
      </fill>
    </ndxf>
  </rcc>
  <rfmt sheetId="8" sqref="CV12" start="0" length="0">
    <dxf>
      <fill>
        <patternFill patternType="solid">
          <bgColor theme="0" tint="-0.14999847407452621"/>
        </patternFill>
      </fill>
    </dxf>
  </rfmt>
  <rfmt sheetId="8" sqref="CV13" start="0" length="0">
    <dxf>
      <fill>
        <patternFill patternType="solid">
          <bgColor theme="0" tint="-0.14999847407452621"/>
        </patternFill>
      </fill>
    </dxf>
  </rfmt>
  <rfmt sheetId="8" sqref="CV14" start="0" length="0">
    <dxf>
      <fill>
        <patternFill patternType="solid">
          <bgColor theme="0" tint="-0.14999847407452621"/>
        </patternFill>
      </fill>
    </dxf>
  </rfmt>
  <rfmt sheetId="8" sqref="CV15" start="0" length="0">
    <dxf>
      <fill>
        <patternFill patternType="solid">
          <bgColor theme="0" tint="-0.14999847407452621"/>
        </patternFill>
      </fill>
    </dxf>
  </rfmt>
  <rfmt sheetId="8" sqref="CV16" start="0" length="0">
    <dxf>
      <fill>
        <patternFill patternType="solid">
          <bgColor theme="0" tint="-0.14999847407452621"/>
        </patternFill>
      </fill>
    </dxf>
  </rfmt>
  <rcc rId="439" sId="8">
    <nc r="CV10">
      <f>SUM(CQ10:CU10)</f>
    </nc>
  </rcc>
  <rcv guid="{18A482E0-C8B6-4AA1-9E04-15FA7C9CD5E3}" action="delete"/>
  <rcv guid="{18A482E0-C8B6-4AA1-9E04-15FA7C9CD5E3}" action="add"/>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0" sId="9" odxf="1" dxf="1">
    <nc r="CK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cc rId="441" sId="9" odxf="1" dxf="1" numFmtId="21">
    <nc r="CL1">
      <v>45761</v>
    </nc>
    <odxf>
      <numFmt numFmtId="0" formatCode="General"/>
    </odxf>
    <ndxf>
      <numFmt numFmtId="21" formatCode="dd/mmm"/>
    </ndxf>
  </rcc>
  <rcc rId="442" sId="9" odxf="1" dxf="1" numFmtId="21">
    <nc r="CM1">
      <v>45762</v>
    </nc>
    <odxf>
      <numFmt numFmtId="0" formatCode="General"/>
    </odxf>
    <ndxf>
      <numFmt numFmtId="21" formatCode="dd/mmm"/>
    </ndxf>
  </rcc>
  <rcc rId="443" sId="9" odxf="1" dxf="1" numFmtId="21">
    <nc r="CN1">
      <v>45763</v>
    </nc>
    <odxf>
      <numFmt numFmtId="0" formatCode="General"/>
    </odxf>
    <ndxf>
      <numFmt numFmtId="21" formatCode="dd/mmm"/>
    </ndxf>
  </rcc>
  <rcc rId="444" sId="9" odxf="1" dxf="1" numFmtId="21">
    <nc r="CO1">
      <v>45764</v>
    </nc>
    <odxf>
      <numFmt numFmtId="0" formatCode="General"/>
    </odxf>
    <ndxf>
      <numFmt numFmtId="21" formatCode="dd/mmm"/>
    </ndxf>
  </rcc>
  <rcc rId="445" sId="9" odxf="1" dxf="1" numFmtId="21">
    <nc r="CP1">
      <v>45765</v>
    </nc>
    <odxf>
      <numFmt numFmtId="0" formatCode="General"/>
    </odxf>
    <ndxf>
      <numFmt numFmtId="21" formatCode="dd/mmm"/>
    </ndxf>
  </rcc>
  <rcc rId="446" sId="9" odxf="1" dxf="1">
    <nc r="CQ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cc rId="447" sId="9" odxf="1" dxf="1" numFmtId="21">
    <nc r="CR1">
      <v>45768</v>
    </nc>
    <odxf>
      <numFmt numFmtId="0" formatCode="General"/>
    </odxf>
    <ndxf>
      <numFmt numFmtId="21" formatCode="dd/mmm"/>
    </ndxf>
  </rcc>
  <rcc rId="448" sId="9" odxf="1" dxf="1" numFmtId="21">
    <nc r="CS1">
      <v>45769</v>
    </nc>
    <odxf>
      <numFmt numFmtId="0" formatCode="General"/>
    </odxf>
    <ndxf>
      <numFmt numFmtId="21" formatCode="dd/mmm"/>
    </ndxf>
  </rcc>
  <rcc rId="449" sId="9" odxf="1" dxf="1" numFmtId="21">
    <nc r="CT1">
      <v>45770</v>
    </nc>
    <odxf>
      <numFmt numFmtId="0" formatCode="General"/>
    </odxf>
    <ndxf>
      <numFmt numFmtId="21" formatCode="dd/mmm"/>
    </ndxf>
  </rcc>
  <rcc rId="450" sId="9" odxf="1" dxf="1" numFmtId="21">
    <nc r="CU1">
      <v>45771</v>
    </nc>
    <odxf>
      <numFmt numFmtId="0" formatCode="General"/>
    </odxf>
    <ndxf>
      <numFmt numFmtId="21" formatCode="dd/mmm"/>
    </ndxf>
  </rcc>
  <rcc rId="451" sId="9" odxf="1" dxf="1" numFmtId="21">
    <nc r="CV1">
      <v>45772</v>
    </nc>
    <odxf>
      <numFmt numFmtId="0" formatCode="General"/>
    </odxf>
    <ndxf>
      <numFmt numFmtId="21" formatCode="dd/mmm"/>
    </ndxf>
  </rcc>
  <rcc rId="452" sId="9" odxf="1" dxf="1">
    <nc r="CW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9" sqref="CK2" start="0" length="0">
    <dxf>
      <fill>
        <patternFill patternType="solid">
          <bgColor theme="0" tint="-0.14999847407452621"/>
        </patternFill>
      </fill>
    </dxf>
  </rfmt>
  <rcc rId="453" sId="9">
    <nc r="CP2" t="inlineStr">
      <is>
        <t>FERIADO</t>
      </is>
    </nc>
  </rcc>
  <rfmt sheetId="9" sqref="CQ2" start="0" length="0">
    <dxf>
      <fill>
        <patternFill patternType="solid">
          <bgColor theme="0" tint="-0.14999847407452621"/>
        </patternFill>
      </fill>
    </dxf>
  </rfmt>
  <rcc rId="454" sId="9">
    <nc r="CR2" t="inlineStr">
      <is>
        <t>FERIADO</t>
      </is>
    </nc>
  </rcc>
  <rfmt sheetId="9" sqref="CW2" start="0" length="0">
    <dxf>
      <fill>
        <patternFill patternType="solid">
          <bgColor theme="0" tint="-0.14999847407452621"/>
        </patternFill>
      </fill>
    </dxf>
  </rfmt>
  <rfmt sheetId="9" sqref="CK3" start="0" length="0">
    <dxf>
      <fill>
        <patternFill patternType="solid">
          <bgColor theme="0" tint="-0.14999847407452621"/>
        </patternFill>
      </fill>
    </dxf>
  </rfmt>
  <rfmt sheetId="9" sqref="CQ3" start="0" length="0">
    <dxf>
      <fill>
        <patternFill patternType="solid">
          <bgColor theme="0" tint="-0.14999847407452621"/>
        </patternFill>
      </fill>
    </dxf>
  </rfmt>
  <rfmt sheetId="9" sqref="CW3" start="0" length="0">
    <dxf>
      <fill>
        <patternFill patternType="solid">
          <bgColor theme="0" tint="-0.14999847407452621"/>
        </patternFill>
      </fill>
    </dxf>
  </rfmt>
  <rfmt sheetId="9" sqref="CK4" start="0" length="0">
    <dxf>
      <fill>
        <patternFill patternType="solid">
          <bgColor theme="0" tint="-0.14999847407452621"/>
        </patternFill>
      </fill>
    </dxf>
  </rfmt>
  <rfmt sheetId="9" sqref="CQ4" start="0" length="0">
    <dxf>
      <fill>
        <patternFill patternType="solid">
          <bgColor theme="0" tint="-0.14999847407452621"/>
        </patternFill>
      </fill>
    </dxf>
  </rfmt>
  <rfmt sheetId="9" sqref="CW4" start="0" length="0">
    <dxf>
      <fill>
        <patternFill patternType="solid">
          <bgColor theme="0" tint="-0.14999847407452621"/>
        </patternFill>
      </fill>
    </dxf>
  </rfmt>
  <rfmt sheetId="9" sqref="CK5" start="0" length="0">
    <dxf>
      <fill>
        <patternFill patternType="solid">
          <bgColor theme="0" tint="-0.14999847407452621"/>
        </patternFill>
      </fill>
    </dxf>
  </rfmt>
  <rfmt sheetId="9" sqref="CQ5" start="0" length="0">
    <dxf>
      <fill>
        <patternFill patternType="solid">
          <bgColor theme="0" tint="-0.14999847407452621"/>
        </patternFill>
      </fill>
    </dxf>
  </rfmt>
  <rfmt sheetId="9" sqref="CW5" start="0" length="0">
    <dxf>
      <fill>
        <patternFill patternType="solid">
          <bgColor theme="0" tint="-0.14999847407452621"/>
        </patternFill>
      </fill>
    </dxf>
  </rfmt>
  <rfmt sheetId="9" sqref="CK6" start="0" length="0">
    <dxf>
      <fill>
        <patternFill patternType="solid">
          <bgColor theme="0" tint="-0.14999847407452621"/>
        </patternFill>
      </fill>
    </dxf>
  </rfmt>
  <rfmt sheetId="9" sqref="CQ6" start="0" length="0">
    <dxf>
      <fill>
        <patternFill patternType="solid">
          <bgColor theme="0" tint="-0.14999847407452621"/>
        </patternFill>
      </fill>
    </dxf>
  </rfmt>
  <rfmt sheetId="9" sqref="CW6" start="0" length="0">
    <dxf>
      <fill>
        <patternFill patternType="solid">
          <bgColor theme="0" tint="-0.14999847407452621"/>
        </patternFill>
      </fill>
    </dxf>
  </rfmt>
  <rcc rId="455" sId="9" odxf="1" dxf="1">
    <nc r="CK7">
      <f>SUM(CF7:CJ7)</f>
    </nc>
    <odxf>
      <fill>
        <patternFill patternType="none">
          <bgColor indexed="65"/>
        </patternFill>
      </fill>
    </odxf>
    <ndxf>
      <fill>
        <patternFill patternType="solid">
          <bgColor theme="0" tint="-0.14999847407452621"/>
        </patternFill>
      </fill>
    </ndxf>
  </rcc>
  <rcc rId="456" sId="9" odxf="1" dxf="1">
    <nc r="CQ7">
      <f>SUM(CL7:CP7)</f>
    </nc>
    <odxf>
      <fill>
        <patternFill patternType="none">
          <bgColor indexed="65"/>
        </patternFill>
      </fill>
    </odxf>
    <ndxf>
      <fill>
        <patternFill patternType="solid">
          <bgColor theme="0" tint="-0.14999847407452621"/>
        </patternFill>
      </fill>
    </ndxf>
  </rcc>
  <rcc rId="457" sId="9" odxf="1" dxf="1">
    <nc r="CW7">
      <f>SUM(CR7:CV7)</f>
    </nc>
    <odxf>
      <fill>
        <patternFill patternType="none">
          <bgColor indexed="65"/>
        </patternFill>
      </fill>
    </odxf>
    <ndxf>
      <fill>
        <patternFill patternType="solid">
          <bgColor theme="0" tint="-0.14999847407452621"/>
        </patternFill>
      </fill>
    </ndxf>
  </rcc>
  <rcc rId="458" sId="9" odxf="1" dxf="1">
    <nc r="CK8">
      <f>SUM(CF8:CJ8)</f>
    </nc>
    <odxf>
      <fill>
        <patternFill patternType="none">
          <bgColor indexed="65"/>
        </patternFill>
      </fill>
    </odxf>
    <ndxf>
      <fill>
        <patternFill patternType="solid">
          <bgColor theme="0" tint="-0.14999847407452621"/>
        </patternFill>
      </fill>
    </ndxf>
  </rcc>
  <rcc rId="459" sId="9" odxf="1" dxf="1">
    <nc r="CQ8">
      <f>SUM(CL8:CP8)</f>
    </nc>
    <odxf>
      <fill>
        <patternFill patternType="none">
          <bgColor indexed="65"/>
        </patternFill>
      </fill>
    </odxf>
    <ndxf>
      <fill>
        <patternFill patternType="solid">
          <bgColor theme="0" tint="-0.14999847407452621"/>
        </patternFill>
      </fill>
    </ndxf>
  </rcc>
  <rcc rId="460" sId="9" odxf="1" dxf="1">
    <nc r="CW8">
      <f>SUM(CR8:CV8)</f>
    </nc>
    <odxf>
      <fill>
        <patternFill patternType="none">
          <bgColor indexed="65"/>
        </patternFill>
      </fill>
    </odxf>
    <ndxf>
      <fill>
        <patternFill patternType="solid">
          <bgColor theme="0" tint="-0.14999847407452621"/>
        </patternFill>
      </fill>
    </ndxf>
  </rcc>
  <rcc rId="461" sId="9" odxf="1" dxf="1">
    <nc r="CK9">
      <f>SUM(CF9:CJ9)</f>
    </nc>
    <odxf>
      <fill>
        <patternFill patternType="none">
          <bgColor indexed="65"/>
        </patternFill>
      </fill>
    </odxf>
    <ndxf>
      <fill>
        <patternFill patternType="solid">
          <bgColor theme="0" tint="-0.14999847407452621"/>
        </patternFill>
      </fill>
    </ndxf>
  </rcc>
  <rcc rId="462" sId="9" odxf="1" dxf="1">
    <nc r="CQ9">
      <f>SUM(CL9:CP9)</f>
    </nc>
    <odxf>
      <fill>
        <patternFill patternType="none">
          <bgColor indexed="65"/>
        </patternFill>
      </fill>
    </odxf>
    <ndxf>
      <fill>
        <patternFill patternType="solid">
          <bgColor theme="0" tint="-0.14999847407452621"/>
        </patternFill>
      </fill>
    </ndxf>
  </rcc>
  <rcc rId="463" sId="9" odxf="1" dxf="1">
    <nc r="CW9">
      <f>SUM(CR9:CV9)</f>
    </nc>
    <odxf>
      <fill>
        <patternFill patternType="none">
          <bgColor indexed="65"/>
        </patternFill>
      </fill>
    </odxf>
    <ndxf>
      <fill>
        <patternFill patternType="solid">
          <bgColor theme="0" tint="-0.14999847407452621"/>
        </patternFill>
      </fill>
    </ndxf>
  </rcc>
  <rcc rId="464" sId="9" odxf="1" dxf="1">
    <nc r="CK10">
      <f>SUM(CF10:CJ10)</f>
    </nc>
    <odxf>
      <fill>
        <patternFill patternType="none">
          <bgColor indexed="65"/>
        </patternFill>
      </fill>
    </odxf>
    <ndxf>
      <fill>
        <patternFill patternType="solid">
          <bgColor theme="0" tint="-0.14999847407452621"/>
        </patternFill>
      </fill>
    </ndxf>
  </rcc>
  <rcc rId="465" sId="9" odxf="1" dxf="1">
    <nc r="CQ10">
      <f>SUM(CL10:CP10)</f>
    </nc>
    <odxf>
      <fill>
        <patternFill patternType="none">
          <bgColor indexed="65"/>
        </patternFill>
      </fill>
    </odxf>
    <ndxf>
      <fill>
        <patternFill patternType="solid">
          <bgColor theme="0" tint="-0.14999847407452621"/>
        </patternFill>
      </fill>
    </ndxf>
  </rcc>
  <rcc rId="466" sId="9">
    <nc r="CT10">
      <v>7</v>
    </nc>
  </rcc>
  <rcc rId="467" sId="9">
    <nc r="CU10">
      <v>7</v>
    </nc>
  </rcc>
  <rcc rId="468" sId="9" odxf="1" dxf="1">
    <nc r="CW10">
      <f>SUM(CR10:CV10)</f>
    </nc>
    <odxf>
      <fill>
        <patternFill patternType="none">
          <bgColor indexed="65"/>
        </patternFill>
      </fill>
    </odxf>
    <ndxf>
      <fill>
        <patternFill patternType="solid">
          <bgColor theme="0" tint="-0.14999847407452621"/>
        </patternFill>
      </fill>
    </ndxf>
  </rcc>
  <rcc rId="469" sId="9" odxf="1" dxf="1">
    <nc r="CK11">
      <f>SUM(CF11:CJ11)</f>
    </nc>
    <odxf>
      <fill>
        <patternFill patternType="none">
          <bgColor indexed="65"/>
        </patternFill>
      </fill>
    </odxf>
    <ndxf>
      <fill>
        <patternFill patternType="solid">
          <bgColor theme="0" tint="-0.14999847407452621"/>
        </patternFill>
      </fill>
    </ndxf>
  </rcc>
  <rcc rId="470" sId="9" odxf="1" dxf="1">
    <nc r="CQ11">
      <f>SUM(CL11:CP11)</f>
    </nc>
    <odxf>
      <fill>
        <patternFill patternType="none">
          <bgColor indexed="65"/>
        </patternFill>
      </fill>
    </odxf>
    <ndxf>
      <fill>
        <patternFill patternType="solid">
          <bgColor theme="0" tint="-0.14999847407452621"/>
        </patternFill>
      </fill>
    </ndxf>
  </rcc>
  <rcc rId="471" sId="9">
    <nc r="CT11">
      <v>17</v>
    </nc>
  </rcc>
  <rcc rId="472" sId="9">
    <nc r="CU11">
      <v>9</v>
    </nc>
  </rcc>
  <rcc rId="473" sId="9" odxf="1" dxf="1">
    <nc r="CW11">
      <f>SUM(CR11:CV11)</f>
    </nc>
    <odxf>
      <fill>
        <patternFill patternType="none">
          <bgColor indexed="65"/>
        </patternFill>
      </fill>
    </odxf>
    <ndxf>
      <fill>
        <patternFill patternType="solid">
          <bgColor theme="0" tint="-0.14999847407452621"/>
        </patternFill>
      </fill>
    </ndxf>
  </rcc>
  <rfmt sheetId="9" sqref="CK12" start="0" length="0">
    <dxf>
      <fill>
        <patternFill patternType="solid">
          <bgColor theme="0" tint="-0.14999847407452621"/>
        </patternFill>
      </fill>
    </dxf>
  </rfmt>
  <rfmt sheetId="9" sqref="CQ12" start="0" length="0">
    <dxf>
      <fill>
        <patternFill patternType="solid">
          <bgColor theme="0" tint="-0.14999847407452621"/>
        </patternFill>
      </fill>
    </dxf>
  </rfmt>
  <rfmt sheetId="9" sqref="CW12" start="0" length="0">
    <dxf>
      <fill>
        <patternFill patternType="solid">
          <bgColor theme="0" tint="-0.14999847407452621"/>
        </patternFill>
      </fill>
    </dxf>
  </rfmt>
  <rfmt sheetId="9" sqref="CK13" start="0" length="0">
    <dxf>
      <fill>
        <patternFill patternType="solid">
          <bgColor theme="0" tint="-0.14999847407452621"/>
        </patternFill>
      </fill>
    </dxf>
  </rfmt>
  <rfmt sheetId="9" sqref="CQ13" start="0" length="0">
    <dxf>
      <fill>
        <patternFill patternType="solid">
          <bgColor theme="0" tint="-0.14999847407452621"/>
        </patternFill>
      </fill>
    </dxf>
  </rfmt>
  <rfmt sheetId="9" sqref="CW13" start="0" length="0">
    <dxf>
      <fill>
        <patternFill patternType="solid">
          <bgColor theme="0" tint="-0.14999847407452621"/>
        </patternFill>
      </fill>
    </dxf>
  </rfmt>
  <rfmt sheetId="9" sqref="CK14" start="0" length="0">
    <dxf>
      <fill>
        <patternFill patternType="solid">
          <bgColor theme="0" tint="-0.14999847407452621"/>
        </patternFill>
      </fill>
    </dxf>
  </rfmt>
  <rfmt sheetId="9" sqref="CQ14" start="0" length="0">
    <dxf>
      <fill>
        <patternFill patternType="solid">
          <bgColor theme="0" tint="-0.14999847407452621"/>
        </patternFill>
      </fill>
    </dxf>
  </rfmt>
  <rfmt sheetId="9" sqref="CW14" start="0" length="0">
    <dxf>
      <fill>
        <patternFill patternType="solid">
          <bgColor theme="0" tint="-0.14999847407452621"/>
        </patternFill>
      </fill>
    </dxf>
  </rfmt>
  <rfmt sheetId="9" sqref="CK15" start="0" length="0">
    <dxf>
      <fill>
        <patternFill patternType="solid">
          <bgColor theme="0" tint="-0.14999847407452621"/>
        </patternFill>
      </fill>
    </dxf>
  </rfmt>
  <rfmt sheetId="9" sqref="CQ15" start="0" length="0">
    <dxf>
      <fill>
        <patternFill patternType="solid">
          <bgColor theme="0" tint="-0.14999847407452621"/>
        </patternFill>
      </fill>
    </dxf>
  </rfmt>
  <rfmt sheetId="9" sqref="CW15" start="0" length="0">
    <dxf>
      <fill>
        <patternFill patternType="solid">
          <bgColor theme="0" tint="-0.14999847407452621"/>
        </patternFill>
      </fill>
    </dxf>
  </rfmt>
  <rfmt sheetId="9" sqref="CK16" start="0" length="0">
    <dxf>
      <fill>
        <patternFill patternType="solid">
          <bgColor theme="0" tint="-0.14999847407452621"/>
        </patternFill>
      </fill>
    </dxf>
  </rfmt>
  <rfmt sheetId="9" sqref="CQ16" start="0" length="0">
    <dxf>
      <fill>
        <patternFill patternType="solid">
          <bgColor theme="0" tint="-0.14999847407452621"/>
        </patternFill>
      </fill>
    </dxf>
  </rfmt>
  <rfmt sheetId="9" sqref="CW16" start="0" length="0">
    <dxf>
      <fill>
        <patternFill patternType="solid">
          <bgColor theme="0" tint="-0.14999847407452621"/>
        </patternFill>
      </fill>
    </dxf>
  </rfmt>
  <rrc rId="474" sId="9" ref="CK1:CK1048576" action="deleteCol">
    <rfmt sheetId="9" xfDxf="1" sqref="CK1:CK1048576" start="0" length="0">
      <dxf>
        <alignment horizontal="center" vertical="center"/>
      </dxf>
    </rfmt>
    <rcc rId="0" sId="9" dxf="1">
      <nc r="CK1" t="inlineStr">
        <is>
          <t>TOTAL SEMANA</t>
        </is>
      </nc>
      <ndxf>
        <numFmt numFmtId="21" formatCode="dd/mmm"/>
        <fill>
          <patternFill patternType="solid">
            <bgColor theme="0" tint="-0.14999847407452621"/>
          </patternFill>
        </fill>
      </ndxf>
    </rcc>
    <rfmt sheetId="9" sqref="CK2" start="0" length="0">
      <dxf>
        <fill>
          <patternFill patternType="solid">
            <bgColor theme="0" tint="-0.14999847407452621"/>
          </patternFill>
        </fill>
      </dxf>
    </rfmt>
    <rfmt sheetId="9" sqref="CK3" start="0" length="0">
      <dxf>
        <fill>
          <patternFill patternType="solid">
            <bgColor theme="0" tint="-0.14999847407452621"/>
          </patternFill>
        </fill>
      </dxf>
    </rfmt>
    <rfmt sheetId="9" sqref="CK4" start="0" length="0">
      <dxf>
        <fill>
          <patternFill patternType="solid">
            <bgColor theme="0" tint="-0.14999847407452621"/>
          </patternFill>
        </fill>
      </dxf>
    </rfmt>
    <rfmt sheetId="9" sqref="CK5" start="0" length="0">
      <dxf>
        <fill>
          <patternFill patternType="solid">
            <bgColor theme="0" tint="-0.14999847407452621"/>
          </patternFill>
        </fill>
      </dxf>
    </rfmt>
    <rfmt sheetId="9" sqref="CK6" start="0" length="0">
      <dxf>
        <fill>
          <patternFill patternType="solid">
            <bgColor theme="0" tint="-0.14999847407452621"/>
          </patternFill>
        </fill>
      </dxf>
    </rfmt>
    <rcc rId="0" sId="9" dxf="1">
      <nc r="CK7">
        <f>SUM(CF7:CJ7)</f>
      </nc>
      <ndxf>
        <fill>
          <patternFill patternType="solid">
            <bgColor theme="0" tint="-0.14999847407452621"/>
          </patternFill>
        </fill>
      </ndxf>
    </rcc>
    <rcc rId="0" sId="9" dxf="1">
      <nc r="CK8">
        <f>SUM(CF8:CJ8)</f>
      </nc>
      <ndxf>
        <fill>
          <patternFill patternType="solid">
            <bgColor theme="0" tint="-0.14999847407452621"/>
          </patternFill>
        </fill>
      </ndxf>
    </rcc>
    <rcc rId="0" sId="9" dxf="1">
      <nc r="CK9">
        <f>SUM(CF9:CJ9)</f>
      </nc>
      <ndxf>
        <fill>
          <patternFill patternType="solid">
            <bgColor theme="0" tint="-0.14999847407452621"/>
          </patternFill>
        </fill>
      </ndxf>
    </rcc>
    <rcc rId="0" sId="9" dxf="1">
      <nc r="CK10">
        <f>SUM(CF10:CJ10)</f>
      </nc>
      <ndxf>
        <fill>
          <patternFill patternType="solid">
            <bgColor theme="0" tint="-0.14999847407452621"/>
          </patternFill>
        </fill>
      </ndxf>
    </rcc>
    <rcc rId="0" sId="9" dxf="1">
      <nc r="CK11">
        <f>SUM(CF11:CJ11)</f>
      </nc>
      <ndxf>
        <fill>
          <patternFill patternType="solid">
            <bgColor theme="0" tint="-0.14999847407452621"/>
          </patternFill>
        </fill>
      </ndxf>
    </rcc>
    <rfmt sheetId="9" sqref="CK12" start="0" length="0">
      <dxf>
        <fill>
          <patternFill patternType="solid">
            <bgColor theme="0" tint="-0.14999847407452621"/>
          </patternFill>
        </fill>
      </dxf>
    </rfmt>
    <rfmt sheetId="9" sqref="CK13" start="0" length="0">
      <dxf>
        <fill>
          <patternFill patternType="solid">
            <bgColor theme="0" tint="-0.14999847407452621"/>
          </patternFill>
        </fill>
      </dxf>
    </rfmt>
    <rfmt sheetId="9" sqref="CK14" start="0" length="0">
      <dxf>
        <fill>
          <patternFill patternType="solid">
            <bgColor theme="0" tint="-0.14999847407452621"/>
          </patternFill>
        </fill>
      </dxf>
    </rfmt>
    <rfmt sheetId="9" sqref="CK15" start="0" length="0">
      <dxf>
        <fill>
          <patternFill patternType="solid">
            <bgColor theme="0" tint="-0.14999847407452621"/>
          </patternFill>
        </fill>
      </dxf>
    </rfmt>
    <rfmt sheetId="9" sqref="CK16" start="0" length="0">
      <dxf>
        <fill>
          <patternFill patternType="solid">
            <bgColor theme="0" tint="-0.14999847407452621"/>
          </patternFill>
        </fill>
      </dxf>
    </rfmt>
  </rrc>
  <rfmt sheetId="10" sqref="Y2:Y16">
    <dxf>
      <alignment horizontal="center"/>
    </dxf>
  </rfmt>
  <rrc rId="475" sId="4" ref="CZ1:DA1048576" action="insertCol"/>
  <rcc rId="476" sId="4" numFmtId="21">
    <nc r="CZ1">
      <v>45778</v>
    </nc>
  </rcc>
  <rcc rId="477" sId="4" numFmtId="21">
    <nc r="DA1">
      <v>45779</v>
    </nc>
  </rcc>
  <rcc rId="478" sId="4">
    <nc r="CZ2" t="inlineStr">
      <is>
        <t xml:space="preserve">FERIADO </t>
      </is>
    </nc>
  </rcc>
  <rcc rId="479" sId="4" xfDxf="1" dxf="1">
    <nc r="DA2" t="inlineStr">
      <is>
        <t>PONTO FACULTATIVO</t>
      </is>
    </nc>
    <ndxf>
      <alignment horizontal="center" vertical="center"/>
    </ndxf>
  </rcc>
  <rcc rId="480" sId="4">
    <oc r="DB2">
      <f>SUM(CW2:CY2)</f>
    </oc>
    <nc r="DB2">
      <f>SUM(CW2:DA2)</f>
    </nc>
  </rcc>
  <rcc rId="481" sId="4">
    <oc r="DB3">
      <f>SUM(CW3:CY3)</f>
    </oc>
    <nc r="DB3">
      <f>SUM(CW3:DA3)</f>
    </nc>
  </rcc>
  <rcc rId="482" sId="4">
    <oc r="DB4">
      <f>SUM(CW4:CY4)</f>
    </oc>
    <nc r="DB4">
      <f>SUM(CW4:DA4)</f>
    </nc>
  </rcc>
  <rcc rId="483" sId="4">
    <oc r="DB5">
      <f>SUM(CW5:CY5)</f>
    </oc>
    <nc r="DB5">
      <f>SUM(CW5:DA5)</f>
    </nc>
  </rcc>
  <rcc rId="484" sId="4">
    <oc r="DB6">
      <f>SUM(CW6:CY6)</f>
    </oc>
    <nc r="DB6">
      <f>SUM(CW6:DA6)</f>
    </nc>
  </rcc>
  <rcc rId="485" sId="4">
    <oc r="DB7">
      <f>SUM(CW7:CY7)</f>
    </oc>
    <nc r="DB7">
      <f>SUM(CW7:DA7)</f>
    </nc>
  </rcc>
  <rcc rId="486" sId="4">
    <oc r="DB8">
      <f>SUM(CW8:CY8)</f>
    </oc>
    <nc r="DB8">
      <f>SUM(CW8:DA8)</f>
    </nc>
  </rcc>
  <rcc rId="487" sId="4">
    <oc r="DB9">
      <f>SUM(CW9:CY9)</f>
    </oc>
    <nc r="DB9">
      <f>SUM(CW9:DA9)</f>
    </nc>
  </rcc>
  <rcc rId="488" sId="4">
    <oc r="DB10">
      <f>SUM(CW10:CY10)</f>
    </oc>
    <nc r="DB10">
      <f>SUM(CW10:DA10)</f>
    </nc>
  </rcc>
  <rcc rId="489" sId="4">
    <oc r="DB11">
      <f>SUM(CW11:CY11)</f>
    </oc>
    <nc r="DB11">
      <f>SUM(CW11:DA11)</f>
    </nc>
  </rcc>
  <rcc rId="490" sId="4">
    <oc r="DB12">
      <f>SUM(CW12:CY12)</f>
    </oc>
    <nc r="DB12">
      <f>SUM(CW12:DA12)</f>
    </nc>
  </rcc>
  <rcc rId="491" sId="4">
    <oc r="DB13">
      <f>SUM(CW13:CY13)</f>
    </oc>
    <nc r="DB13">
      <f>SUM(CW13:DA13)</f>
    </nc>
  </rcc>
  <rcc rId="492" sId="4">
    <oc r="DB14">
      <f>SUM(CW14:CY14)</f>
    </oc>
    <nc r="DB14">
      <f>SUM(CW14:DA14)</f>
    </nc>
  </rcc>
  <rcc rId="493" sId="4">
    <oc r="DB15">
      <f>SUM(CW15:CY15)</f>
    </oc>
    <nc r="DB15">
      <f>SUM(CW15:DA15)</f>
    </nc>
  </rcc>
  <rcc rId="494" sId="4">
    <oc r="DB16">
      <f>SUM(CW16:CY16)</f>
    </oc>
    <nc r="DB16">
      <f>SUM(CW16:DA16)</f>
    </nc>
  </rcc>
  <rcc rId="495" sId="5">
    <nc r="DB2">
      <f>SUM(CW2:DA2)</f>
    </nc>
  </rcc>
  <rcc rId="496" sId="5">
    <nc r="DB3">
      <f>SUM(CW3:DA3)</f>
    </nc>
  </rcc>
  <rcc rId="497" sId="5">
    <nc r="DB4">
      <f>SUM(CW4:DA4)</f>
    </nc>
  </rcc>
  <rcc rId="498" sId="6" odxf="1" dxf="1">
    <nc r="CZ2" t="inlineStr">
      <is>
        <t xml:space="preserve">FERIADO </t>
      </is>
    </nc>
    <odxf>
      <border outline="0">
        <left style="thin">
          <color auto="1"/>
        </left>
        <right style="thin">
          <color auto="1"/>
        </right>
        <top style="thin">
          <color auto="1"/>
        </top>
        <bottom style="thin">
          <color auto="1"/>
        </bottom>
      </border>
    </odxf>
    <ndxf>
      <border outline="0">
        <left/>
        <right/>
        <top/>
        <bottom/>
      </border>
    </ndxf>
  </rcc>
  <rcc rId="499" sId="6" odxf="1" dxf="1">
    <nc r="DA2" t="inlineStr">
      <is>
        <t>PONTO FACULTATIVO</t>
      </is>
    </nc>
    <odxf>
      <border outline="0">
        <left style="thin">
          <color auto="1"/>
        </left>
        <right style="thin">
          <color auto="1"/>
        </right>
        <top style="thin">
          <color auto="1"/>
        </top>
        <bottom style="thin">
          <color auto="1"/>
        </bottom>
      </border>
    </odxf>
    <ndxf>
      <border outline="0">
        <left/>
        <right/>
        <top/>
        <bottom/>
      </border>
    </ndxf>
  </rcc>
  <rrc rId="500" sId="7" ref="CV1:CV1048576" action="insertCol"/>
  <rcc rId="501" sId="7" odxf="1" dxf="1">
    <nc r="CV1" t="inlineStr">
      <is>
        <t>TOTAL SEMANA</t>
      </is>
    </nc>
    <odxf>
      <fill>
        <patternFill patternType="none">
          <bgColor indexed="65"/>
        </patternFill>
      </fill>
    </odxf>
    <ndxf>
      <fill>
        <patternFill patternType="solid">
          <bgColor theme="0" tint="-0.14999847407452621"/>
        </patternFill>
      </fill>
    </ndxf>
  </rcc>
  <rfmt sheetId="7" sqref="CV2" start="0" length="0">
    <dxf>
      <fill>
        <patternFill patternType="solid">
          <bgColor theme="0" tint="-0.14999847407452621"/>
        </patternFill>
      </fill>
    </dxf>
  </rfmt>
  <rcc rId="502" sId="7" odxf="1" dxf="1">
    <nc r="CV3">
      <f>SUM(CQ3:CU3)</f>
    </nc>
    <odxf>
      <fill>
        <patternFill patternType="none">
          <bgColor indexed="65"/>
        </patternFill>
      </fill>
    </odxf>
    <ndxf>
      <fill>
        <patternFill patternType="solid">
          <bgColor theme="0" tint="-0.14999847407452621"/>
        </patternFill>
      </fill>
    </ndxf>
  </rcc>
  <rfmt sheetId="7" sqref="CV4" start="0" length="0">
    <dxf>
      <fill>
        <patternFill patternType="solid">
          <bgColor theme="0" tint="-0.14999847407452621"/>
        </patternFill>
      </fill>
    </dxf>
  </rfmt>
  <rfmt sheetId="7" sqref="CV5" start="0" length="0">
    <dxf>
      <fill>
        <patternFill patternType="solid">
          <bgColor theme="0" tint="-0.14999847407452621"/>
        </patternFill>
      </fill>
    </dxf>
  </rfmt>
  <rfmt sheetId="7" sqref="CV6" start="0" length="0">
    <dxf>
      <fill>
        <patternFill patternType="solid">
          <bgColor theme="0" tint="-0.14999847407452621"/>
        </patternFill>
      </fill>
    </dxf>
  </rfmt>
  <rcc rId="503" sId="7" odxf="1" dxf="1">
    <nc r="CV7">
      <f>SUM(CQ7:CU7)</f>
    </nc>
    <odxf>
      <fill>
        <patternFill patternType="none">
          <bgColor indexed="65"/>
        </patternFill>
      </fill>
    </odxf>
    <ndxf>
      <fill>
        <patternFill patternType="solid">
          <bgColor theme="0" tint="-0.14999847407452621"/>
        </patternFill>
      </fill>
    </ndxf>
  </rcc>
  <rcc rId="504" sId="7" odxf="1" dxf="1">
    <nc r="CV8">
      <f>SUM(CQ8:CU8)</f>
    </nc>
    <odxf>
      <fill>
        <patternFill patternType="none">
          <bgColor indexed="65"/>
        </patternFill>
      </fill>
    </odxf>
    <ndxf>
      <fill>
        <patternFill patternType="solid">
          <bgColor theme="0" tint="-0.14999847407452621"/>
        </patternFill>
      </fill>
    </ndxf>
  </rcc>
  <rcc rId="505" sId="7" odxf="1" dxf="1">
    <nc r="CV9">
      <f>SUM(CQ9:CU9)</f>
    </nc>
    <odxf>
      <fill>
        <patternFill patternType="none">
          <bgColor indexed="65"/>
        </patternFill>
      </fill>
    </odxf>
    <ndxf>
      <fill>
        <patternFill patternType="solid">
          <bgColor theme="0" tint="-0.14999847407452621"/>
        </patternFill>
      </fill>
    </ndxf>
  </rcc>
  <rcc rId="506" sId="7" odxf="1" dxf="1">
    <nc r="CV10">
      <f>SUM(CQ10:CU10)</f>
    </nc>
    <odxf>
      <fill>
        <patternFill patternType="none">
          <bgColor indexed="65"/>
        </patternFill>
      </fill>
    </odxf>
    <ndxf>
      <fill>
        <patternFill patternType="solid">
          <bgColor theme="0" tint="-0.14999847407452621"/>
        </patternFill>
      </fill>
    </ndxf>
  </rcc>
  <rcc rId="507" sId="7" odxf="1" dxf="1">
    <nc r="CV11">
      <f>SUM(CQ11:CU11)</f>
    </nc>
    <odxf>
      <fill>
        <patternFill patternType="none">
          <bgColor indexed="65"/>
        </patternFill>
      </fill>
    </odxf>
    <ndxf>
      <fill>
        <patternFill patternType="solid">
          <bgColor theme="0" tint="-0.14999847407452621"/>
        </patternFill>
      </fill>
    </ndxf>
  </rcc>
  <rfmt sheetId="7" sqref="CV12" start="0" length="0">
    <dxf>
      <fill>
        <patternFill patternType="solid">
          <bgColor theme="0" tint="-0.14999847407452621"/>
        </patternFill>
      </fill>
    </dxf>
  </rfmt>
  <rfmt sheetId="7" sqref="CV13" start="0" length="0">
    <dxf>
      <fill>
        <patternFill patternType="solid">
          <bgColor theme="0" tint="-0.14999847407452621"/>
        </patternFill>
      </fill>
    </dxf>
  </rfmt>
  <rfmt sheetId="7" sqref="CV14" start="0" length="0">
    <dxf>
      <fill>
        <patternFill patternType="solid">
          <bgColor theme="0" tint="-0.14999847407452621"/>
        </patternFill>
      </fill>
    </dxf>
  </rfmt>
  <rfmt sheetId="7" sqref="CV15" start="0" length="0">
    <dxf>
      <fill>
        <patternFill patternType="solid">
          <bgColor theme="0" tint="-0.14999847407452621"/>
        </patternFill>
      </fill>
    </dxf>
  </rfmt>
  <rfmt sheetId="7" sqref="CV16" start="0" length="0">
    <dxf>
      <fill>
        <patternFill patternType="solid">
          <bgColor theme="0" tint="-0.14999847407452621"/>
        </patternFill>
      </fill>
    </dxf>
  </rfmt>
  <rcc rId="508" sId="7">
    <nc r="CV12">
      <f>SUM(CQ12:CU12)</f>
    </nc>
  </rcc>
  <rcc rId="509" sId="7">
    <nc r="CV13">
      <f>SUM(CQ13:CU13)</f>
    </nc>
  </rcc>
  <rcc rId="510" sId="7">
    <nc r="CV14">
      <f>SUM(CQ14:CU14)</f>
    </nc>
  </rcc>
  <rcc rId="511" sId="7">
    <nc r="CV15">
      <f>SUM(CQ15:CU15)</f>
    </nc>
  </rcc>
  <rcc rId="512" sId="7">
    <nc r="CV16">
      <f>SUM(CQ16:CU16)</f>
    </nc>
  </rcc>
  <rrc rId="513" sId="7" ref="CZ1:DA1048576" action="insertCol"/>
  <rcc rId="514" sId="7" odxf="1" dxf="1" numFmtId="21">
    <nc r="CZ1">
      <v>45778</v>
    </nc>
    <odxf>
      <border outline="0">
        <left/>
        <right/>
        <top/>
        <bottom/>
      </border>
    </odxf>
    <ndxf>
      <border outline="0">
        <left style="thin">
          <color auto="1"/>
        </left>
        <right style="thin">
          <color auto="1"/>
        </right>
        <top style="thin">
          <color auto="1"/>
        </top>
        <bottom style="thin">
          <color auto="1"/>
        </bottom>
      </border>
    </ndxf>
  </rcc>
  <rcc rId="515" sId="7" odxf="1" dxf="1" numFmtId="21">
    <nc r="DA1">
      <v>45779</v>
    </nc>
    <odxf>
      <border outline="0">
        <left/>
        <right/>
        <top/>
        <bottom/>
      </border>
    </odxf>
    <ndxf>
      <border outline="0">
        <left style="thin">
          <color auto="1"/>
        </left>
        <right style="thin">
          <color auto="1"/>
        </right>
        <top style="thin">
          <color auto="1"/>
        </top>
        <bottom style="thin">
          <color auto="1"/>
        </bottom>
      </border>
    </ndxf>
  </rcc>
  <rcc rId="516" sId="7">
    <nc r="CZ2" t="inlineStr">
      <is>
        <t xml:space="preserve">FERIADO </t>
      </is>
    </nc>
  </rcc>
  <rcc rId="517" sId="7">
    <nc r="DA2" t="inlineStr">
      <is>
        <t>PONTO FACULTATIVO</t>
      </is>
    </nc>
  </rcc>
  <rrc rId="518" sId="7" ref="DB1:DB1048576" action="insertCol"/>
  <rcc rId="519" sId="7" odxf="1" dxf="1">
    <nc r="DB1" t="inlineStr">
      <is>
        <t>TOTAL SEMANA</t>
      </is>
    </nc>
    <odxf>
      <fill>
        <patternFill patternType="none">
          <bgColor indexed="65"/>
        </patternFill>
      </fill>
    </odxf>
    <ndxf>
      <fill>
        <patternFill patternType="solid">
          <bgColor theme="0" tint="-0.14999847407452621"/>
        </patternFill>
      </fill>
    </ndxf>
  </rcc>
  <rfmt sheetId="7" sqref="DB2" start="0" length="0">
    <dxf>
      <fill>
        <patternFill patternType="solid">
          <bgColor theme="0" tint="-0.14999847407452621"/>
        </patternFill>
      </fill>
    </dxf>
  </rfmt>
  <rcc rId="520" sId="7" odxf="1" dxf="1">
    <nc r="DB3">
      <f>SUM(CW3:DA3)</f>
    </nc>
    <odxf>
      <fill>
        <patternFill patternType="none">
          <bgColor indexed="65"/>
        </patternFill>
      </fill>
    </odxf>
    <ndxf>
      <fill>
        <patternFill patternType="solid">
          <bgColor theme="0" tint="-0.14999847407452621"/>
        </patternFill>
      </fill>
    </ndxf>
  </rcc>
  <rfmt sheetId="7" sqref="DB4" start="0" length="0">
    <dxf>
      <fill>
        <patternFill patternType="solid">
          <bgColor theme="0" tint="-0.14999847407452621"/>
        </patternFill>
      </fill>
    </dxf>
  </rfmt>
  <rfmt sheetId="7" sqref="DB5" start="0" length="0">
    <dxf>
      <fill>
        <patternFill patternType="solid">
          <bgColor theme="0" tint="-0.14999847407452621"/>
        </patternFill>
      </fill>
    </dxf>
  </rfmt>
  <rfmt sheetId="7" sqref="DB6" start="0" length="0">
    <dxf>
      <fill>
        <patternFill patternType="solid">
          <bgColor theme="0" tint="-0.14999847407452621"/>
        </patternFill>
      </fill>
    </dxf>
  </rfmt>
  <rcc rId="521" sId="7" odxf="1" dxf="1">
    <nc r="DB7">
      <f>SUM(CW7:DA7)</f>
    </nc>
    <odxf>
      <fill>
        <patternFill patternType="none">
          <bgColor indexed="65"/>
        </patternFill>
      </fill>
    </odxf>
    <ndxf>
      <fill>
        <patternFill patternType="solid">
          <bgColor theme="0" tint="-0.14999847407452621"/>
        </patternFill>
      </fill>
    </ndxf>
  </rcc>
  <rcc rId="522" sId="7" odxf="1" dxf="1">
    <nc r="DB8">
      <f>SUM(CW8:DA8)</f>
    </nc>
    <odxf>
      <fill>
        <patternFill patternType="none">
          <bgColor indexed="65"/>
        </patternFill>
      </fill>
    </odxf>
    <ndxf>
      <fill>
        <patternFill patternType="solid">
          <bgColor theme="0" tint="-0.14999847407452621"/>
        </patternFill>
      </fill>
    </ndxf>
  </rcc>
  <rcc rId="523" sId="7" odxf="1" dxf="1">
    <nc r="DB9">
      <f>SUM(CW9:DA9)</f>
    </nc>
    <odxf>
      <fill>
        <patternFill patternType="none">
          <bgColor indexed="65"/>
        </patternFill>
      </fill>
    </odxf>
    <ndxf>
      <fill>
        <patternFill patternType="solid">
          <bgColor theme="0" tint="-0.14999847407452621"/>
        </patternFill>
      </fill>
    </ndxf>
  </rcc>
  <rcc rId="524" sId="7" odxf="1" dxf="1">
    <nc r="DB10">
      <f>SUM(CW10:DA10)</f>
    </nc>
    <odxf>
      <fill>
        <patternFill patternType="none">
          <bgColor indexed="65"/>
        </patternFill>
      </fill>
    </odxf>
    <ndxf>
      <fill>
        <patternFill patternType="solid">
          <bgColor theme="0" tint="-0.14999847407452621"/>
        </patternFill>
      </fill>
    </ndxf>
  </rcc>
  <rcc rId="525" sId="7" odxf="1" dxf="1">
    <nc r="DB11">
      <f>SUM(CW11:DA11)</f>
    </nc>
    <odxf>
      <fill>
        <patternFill patternType="none">
          <bgColor indexed="65"/>
        </patternFill>
      </fill>
    </odxf>
    <ndxf>
      <fill>
        <patternFill patternType="solid">
          <bgColor theme="0" tint="-0.14999847407452621"/>
        </patternFill>
      </fill>
    </ndxf>
  </rcc>
  <rfmt sheetId="7" sqref="DB12" start="0" length="0">
    <dxf>
      <fill>
        <patternFill patternType="solid">
          <bgColor theme="0" tint="-0.14999847407452621"/>
        </patternFill>
      </fill>
    </dxf>
  </rfmt>
  <rfmt sheetId="7" sqref="DB13" start="0" length="0">
    <dxf>
      <fill>
        <patternFill patternType="solid">
          <bgColor theme="0" tint="-0.14999847407452621"/>
        </patternFill>
      </fill>
    </dxf>
  </rfmt>
  <rfmt sheetId="7" sqref="DB14" start="0" length="0">
    <dxf>
      <fill>
        <patternFill patternType="solid">
          <bgColor theme="0" tint="-0.14999847407452621"/>
        </patternFill>
      </fill>
    </dxf>
  </rfmt>
  <rfmt sheetId="7" sqref="DB15" start="0" length="0">
    <dxf>
      <fill>
        <patternFill patternType="solid">
          <bgColor theme="0" tint="-0.14999847407452621"/>
        </patternFill>
      </fill>
    </dxf>
  </rfmt>
  <rfmt sheetId="7" sqref="DB16" start="0" length="0">
    <dxf>
      <fill>
        <patternFill patternType="solid">
          <bgColor theme="0" tint="-0.14999847407452621"/>
        </patternFill>
      </fill>
    </dxf>
  </rfmt>
  <rcc rId="526" sId="8">
    <oc r="DA2" t="inlineStr">
      <is>
        <t>FERIADO</t>
      </is>
    </oc>
    <nc r="DA2" t="inlineStr">
      <is>
        <t>PONTO FACULTATIVO</t>
      </is>
    </nc>
  </rcc>
  <rcc rId="527" sId="8" odxf="1" dxf="1">
    <oc r="DB1" t="inlineStr">
      <is>
        <t xml:space="preserve">TOTAL SEMANA </t>
      </is>
    </oc>
    <nc r="DB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8" sqref="DB2" start="0" length="0">
    <dxf>
      <fill>
        <patternFill patternType="solid">
          <bgColor theme="0" tint="-0.14999847407452621"/>
        </patternFill>
      </fill>
    </dxf>
  </rfmt>
  <rcc rId="528" sId="8" odxf="1" dxf="1">
    <nc r="DB3">
      <f>SUM(CW3:DA3)</f>
    </nc>
    <odxf>
      <fill>
        <patternFill patternType="none">
          <bgColor indexed="65"/>
        </patternFill>
      </fill>
    </odxf>
    <ndxf>
      <fill>
        <patternFill patternType="solid">
          <bgColor theme="0" tint="-0.14999847407452621"/>
        </patternFill>
      </fill>
    </ndxf>
  </rcc>
  <rfmt sheetId="8" sqref="DB4" start="0" length="0">
    <dxf>
      <fill>
        <patternFill patternType="solid">
          <bgColor theme="0" tint="-0.14999847407452621"/>
        </patternFill>
      </fill>
    </dxf>
  </rfmt>
  <rfmt sheetId="8" sqref="DB5" start="0" length="0">
    <dxf>
      <fill>
        <patternFill patternType="solid">
          <bgColor theme="0" tint="-0.14999847407452621"/>
        </patternFill>
      </fill>
    </dxf>
  </rfmt>
  <rfmt sheetId="8" sqref="DB6" start="0" length="0">
    <dxf>
      <fill>
        <patternFill patternType="solid">
          <bgColor theme="0" tint="-0.14999847407452621"/>
        </patternFill>
      </fill>
    </dxf>
  </rfmt>
  <rcc rId="529" sId="8" odxf="1" dxf="1">
    <nc r="DB7">
      <f>SUM(CW7:DA7)</f>
    </nc>
    <odxf>
      <fill>
        <patternFill patternType="none">
          <bgColor indexed="65"/>
        </patternFill>
      </fill>
    </odxf>
    <ndxf>
      <fill>
        <patternFill patternType="solid">
          <bgColor theme="0" tint="-0.14999847407452621"/>
        </patternFill>
      </fill>
    </ndxf>
  </rcc>
  <rcc rId="530" sId="8" odxf="1" dxf="1">
    <nc r="DB8">
      <f>SUM(CW8:DA8)</f>
    </nc>
    <odxf>
      <fill>
        <patternFill patternType="none">
          <bgColor indexed="65"/>
        </patternFill>
      </fill>
    </odxf>
    <ndxf>
      <fill>
        <patternFill patternType="solid">
          <bgColor theme="0" tint="-0.14999847407452621"/>
        </patternFill>
      </fill>
    </ndxf>
  </rcc>
  <rcc rId="531" sId="8" odxf="1" dxf="1">
    <nc r="DB9">
      <f>SUM(CW9:DA9)</f>
    </nc>
    <odxf>
      <fill>
        <patternFill patternType="none">
          <bgColor indexed="65"/>
        </patternFill>
      </fill>
    </odxf>
    <ndxf>
      <fill>
        <patternFill patternType="solid">
          <bgColor theme="0" tint="-0.14999847407452621"/>
        </patternFill>
      </fill>
    </ndxf>
  </rcc>
  <rcc rId="532" sId="8" odxf="1" dxf="1">
    <nc r="DB10">
      <f>SUM(CW10:DA10)</f>
    </nc>
    <odxf>
      <fill>
        <patternFill patternType="none">
          <bgColor indexed="65"/>
        </patternFill>
      </fill>
    </odxf>
    <ndxf>
      <fill>
        <patternFill patternType="solid">
          <bgColor theme="0" tint="-0.14999847407452621"/>
        </patternFill>
      </fill>
    </ndxf>
  </rcc>
  <rcc rId="533" sId="8" odxf="1" dxf="1">
    <nc r="DB11">
      <f>SUM(CW11:DA11)</f>
    </nc>
    <odxf>
      <fill>
        <patternFill patternType="none">
          <bgColor indexed="65"/>
        </patternFill>
      </fill>
    </odxf>
    <ndxf>
      <fill>
        <patternFill patternType="solid">
          <bgColor theme="0" tint="-0.14999847407452621"/>
        </patternFill>
      </fill>
    </ndxf>
  </rcc>
  <rfmt sheetId="8" sqref="DB12" start="0" length="0">
    <dxf>
      <fill>
        <patternFill patternType="solid">
          <bgColor theme="0" tint="-0.14999847407452621"/>
        </patternFill>
      </fill>
    </dxf>
  </rfmt>
  <rfmt sheetId="8" sqref="DB13" start="0" length="0">
    <dxf>
      <fill>
        <patternFill patternType="solid">
          <bgColor theme="0" tint="-0.14999847407452621"/>
        </patternFill>
      </fill>
    </dxf>
  </rfmt>
  <rfmt sheetId="8" sqref="DB14" start="0" length="0">
    <dxf>
      <fill>
        <patternFill patternType="solid">
          <bgColor theme="0" tint="-0.14999847407452621"/>
        </patternFill>
      </fill>
    </dxf>
  </rfmt>
  <rfmt sheetId="8" sqref="DB15" start="0" length="0">
    <dxf>
      <fill>
        <patternFill patternType="solid">
          <bgColor theme="0" tint="-0.14999847407452621"/>
        </patternFill>
      </fill>
    </dxf>
  </rfmt>
  <rfmt sheetId="8" sqref="DB16" start="0" length="0">
    <dxf>
      <fill>
        <patternFill patternType="solid">
          <bgColor theme="0" tint="-0.14999847407452621"/>
        </patternFill>
      </fill>
    </dxf>
  </rfmt>
  <rcv guid="{18A482E0-C8B6-4AA1-9E04-15FA7C9CD5E3}" action="delete"/>
  <rcv guid="{18A482E0-C8B6-4AA1-9E04-15FA7C9CD5E3}"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4" sId="6" odxf="1" dxf="1">
    <nc r="DH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fmt sheetId="6" sqref="DH2" start="0" length="0">
    <dxf>
      <fill>
        <patternFill patternType="solid">
          <bgColor theme="0" tint="-0.14999847407452621"/>
        </patternFill>
      </fill>
    </dxf>
  </rfmt>
  <rcc rId="535" sId="6" odxf="1" dxf="1">
    <nc r="DH3">
      <f>SUM(DC3:DG3)</f>
    </nc>
    <odxf>
      <fill>
        <patternFill patternType="none">
          <bgColor indexed="65"/>
        </patternFill>
      </fill>
    </odxf>
    <ndxf>
      <fill>
        <patternFill patternType="solid">
          <bgColor theme="0" tint="-0.14999847407452621"/>
        </patternFill>
      </fill>
    </ndxf>
  </rcc>
  <rcc rId="536" sId="6" odxf="1" dxf="1">
    <nc r="DH4">
      <f>SUM(DC4:DG4)</f>
    </nc>
    <odxf>
      <fill>
        <patternFill patternType="none">
          <bgColor indexed="65"/>
        </patternFill>
      </fill>
    </odxf>
    <ndxf>
      <fill>
        <patternFill patternType="solid">
          <bgColor theme="0" tint="-0.14999847407452621"/>
        </patternFill>
      </fill>
    </ndxf>
  </rcc>
  <rcc rId="537" sId="6" odxf="1" dxf="1">
    <nc r="DH5">
      <f>SUM(DC5:DG5)</f>
    </nc>
    <odxf>
      <fill>
        <patternFill patternType="none">
          <bgColor indexed="65"/>
        </patternFill>
      </fill>
    </odxf>
    <ndxf>
      <fill>
        <patternFill patternType="solid">
          <bgColor theme="0" tint="-0.14999847407452621"/>
        </patternFill>
      </fill>
    </ndxf>
  </rcc>
  <rcc rId="538" sId="6" odxf="1" dxf="1">
    <nc r="DH6">
      <f>SUM(DC6:DG6)</f>
    </nc>
    <odxf>
      <fill>
        <patternFill patternType="none">
          <bgColor indexed="65"/>
        </patternFill>
      </fill>
    </odxf>
    <ndxf>
      <fill>
        <patternFill patternType="solid">
          <bgColor theme="0" tint="-0.14999847407452621"/>
        </patternFill>
      </fill>
    </ndxf>
  </rcc>
  <rcc rId="539" sId="6" odxf="1" dxf="1">
    <nc r="DH7">
      <f>SUM(DC7:DG7)</f>
    </nc>
    <odxf>
      <fill>
        <patternFill patternType="none">
          <bgColor indexed="65"/>
        </patternFill>
      </fill>
    </odxf>
    <ndxf>
      <fill>
        <patternFill patternType="solid">
          <bgColor theme="0" tint="-0.14999847407452621"/>
        </patternFill>
      </fill>
    </ndxf>
  </rcc>
  <rcc rId="540" sId="6" odxf="1" dxf="1">
    <nc r="DH8">
      <f>SUM(DC8:DG8)</f>
    </nc>
    <odxf>
      <fill>
        <patternFill patternType="none">
          <bgColor indexed="65"/>
        </patternFill>
      </fill>
    </odxf>
    <ndxf>
      <fill>
        <patternFill patternType="solid">
          <bgColor theme="0" tint="-0.14999847407452621"/>
        </patternFill>
      </fill>
    </ndxf>
  </rcc>
  <rcc rId="541" sId="6" odxf="1" dxf="1">
    <nc r="DH9">
      <f>SUM(DC9:DG9)</f>
    </nc>
    <odxf>
      <fill>
        <patternFill patternType="none">
          <bgColor indexed="65"/>
        </patternFill>
      </fill>
    </odxf>
    <ndxf>
      <fill>
        <patternFill patternType="solid">
          <bgColor theme="0" tint="-0.14999847407452621"/>
        </patternFill>
      </fill>
    </ndxf>
  </rcc>
  <rcc rId="542" sId="6" odxf="1" dxf="1">
    <nc r="DH10">
      <f>SUM(DC10:DG10)</f>
    </nc>
    <odxf>
      <fill>
        <patternFill patternType="none">
          <bgColor indexed="65"/>
        </patternFill>
      </fill>
    </odxf>
    <ndxf>
      <fill>
        <patternFill patternType="solid">
          <bgColor theme="0" tint="-0.14999847407452621"/>
        </patternFill>
      </fill>
    </ndxf>
  </rcc>
  <rcc rId="543" sId="6" odxf="1" dxf="1">
    <nc r="DH11">
      <f>SUM(DC11:DG11)</f>
    </nc>
    <odxf>
      <fill>
        <patternFill patternType="none">
          <bgColor indexed="65"/>
        </patternFill>
      </fill>
    </odxf>
    <ndxf>
      <fill>
        <patternFill patternType="solid">
          <bgColor theme="0" tint="-0.14999847407452621"/>
        </patternFill>
      </fill>
    </ndxf>
  </rcc>
  <rcc rId="544" sId="6" odxf="1" dxf="1">
    <nc r="DH12">
      <f>SUM(DC12:DG12)</f>
    </nc>
    <odxf>
      <fill>
        <patternFill patternType="none">
          <bgColor indexed="65"/>
        </patternFill>
      </fill>
    </odxf>
    <ndxf>
      <fill>
        <patternFill patternType="solid">
          <bgColor theme="0" tint="-0.14999847407452621"/>
        </patternFill>
      </fill>
    </ndxf>
  </rcc>
  <rcc rId="545" sId="6" odxf="1" dxf="1">
    <nc r="DH13">
      <f>SUM(DC13:DG13)</f>
    </nc>
    <odxf>
      <fill>
        <patternFill patternType="none">
          <bgColor indexed="65"/>
        </patternFill>
      </fill>
    </odxf>
    <ndxf>
      <fill>
        <patternFill patternType="solid">
          <bgColor theme="0" tint="-0.14999847407452621"/>
        </patternFill>
      </fill>
    </ndxf>
  </rcc>
  <rcc rId="546" sId="6" odxf="1" dxf="1">
    <nc r="DH14">
      <f>SUM(DC14:DG14)</f>
    </nc>
    <odxf>
      <fill>
        <patternFill patternType="none">
          <bgColor indexed="65"/>
        </patternFill>
      </fill>
    </odxf>
    <ndxf>
      <fill>
        <patternFill patternType="solid">
          <bgColor theme="0" tint="-0.14999847407452621"/>
        </patternFill>
      </fill>
    </ndxf>
  </rcc>
  <rcc rId="547" sId="6" odxf="1" dxf="1">
    <nc r="DH15">
      <f>SUM(DC15:DG15)</f>
    </nc>
    <odxf>
      <fill>
        <patternFill patternType="none">
          <bgColor indexed="65"/>
        </patternFill>
      </fill>
    </odxf>
    <ndxf>
      <fill>
        <patternFill patternType="solid">
          <bgColor theme="0" tint="-0.14999847407452621"/>
        </patternFill>
      </fill>
    </ndxf>
  </rcc>
  <rcc rId="548" sId="6" odxf="1" dxf="1">
    <nc r="DH16">
      <f>SUM(DC16:DG16)</f>
    </nc>
    <odxf>
      <fill>
        <patternFill patternType="none">
          <bgColor indexed="65"/>
        </patternFill>
      </fill>
    </odxf>
    <ndxf>
      <fill>
        <patternFill patternType="solid">
          <bgColor theme="0" tint="-0.14999847407452621"/>
        </patternFill>
      </fill>
    </ndxf>
  </rcc>
  <rcc rId="549" sId="6">
    <nc r="DH2">
      <f>SUM(DC2:DG2)</f>
    </nc>
  </rcc>
  <rrc rId="550" sId="7" ref="DH1:DH1048576" action="insertCol"/>
  <rcc rId="551" sId="7" odxf="1" dxf="1">
    <nc r="DH1" t="inlineStr">
      <is>
        <t>TOTAL SEMANA</t>
      </is>
    </nc>
    <odxf>
      <fill>
        <patternFill patternType="none">
          <bgColor indexed="65"/>
        </patternFill>
      </fill>
    </odxf>
    <ndxf>
      <fill>
        <patternFill patternType="solid">
          <bgColor theme="0" tint="-0.14999847407452621"/>
        </patternFill>
      </fill>
    </ndxf>
  </rcc>
  <rcc rId="552" sId="7" odxf="1" dxf="1">
    <nc r="DH2">
      <f>SUM(DC2:DG2)</f>
    </nc>
    <odxf>
      <fill>
        <patternFill patternType="none">
          <bgColor indexed="65"/>
        </patternFill>
      </fill>
    </odxf>
    <ndxf>
      <fill>
        <patternFill patternType="solid">
          <bgColor theme="0" tint="-0.14999847407452621"/>
        </patternFill>
      </fill>
    </ndxf>
  </rcc>
  <rcc rId="553" sId="7" odxf="1" dxf="1">
    <nc r="DH3">
      <f>SUM(DC3:DG3)</f>
    </nc>
    <odxf>
      <fill>
        <patternFill patternType="none">
          <bgColor indexed="65"/>
        </patternFill>
      </fill>
    </odxf>
    <ndxf>
      <fill>
        <patternFill patternType="solid">
          <bgColor theme="0" tint="-0.14999847407452621"/>
        </patternFill>
      </fill>
    </ndxf>
  </rcc>
  <rcc rId="554" sId="7" odxf="1" dxf="1">
    <nc r="DH4">
      <f>SUM(DC4:DG4)</f>
    </nc>
    <odxf>
      <fill>
        <patternFill patternType="none">
          <bgColor indexed="65"/>
        </patternFill>
      </fill>
    </odxf>
    <ndxf>
      <fill>
        <patternFill patternType="solid">
          <bgColor theme="0" tint="-0.14999847407452621"/>
        </patternFill>
      </fill>
    </ndxf>
  </rcc>
  <rcc rId="555" sId="7" odxf="1" dxf="1">
    <nc r="DH5">
      <f>SUM(DC5:DG5)</f>
    </nc>
    <odxf>
      <fill>
        <patternFill patternType="none">
          <bgColor indexed="65"/>
        </patternFill>
      </fill>
    </odxf>
    <ndxf>
      <fill>
        <patternFill patternType="solid">
          <bgColor theme="0" tint="-0.14999847407452621"/>
        </patternFill>
      </fill>
    </ndxf>
  </rcc>
  <rcc rId="556" sId="7" odxf="1" dxf="1">
    <nc r="DH6">
      <f>SUM(DC6:DG6)</f>
    </nc>
    <odxf>
      <fill>
        <patternFill patternType="none">
          <bgColor indexed="65"/>
        </patternFill>
      </fill>
    </odxf>
    <ndxf>
      <fill>
        <patternFill patternType="solid">
          <bgColor theme="0" tint="-0.14999847407452621"/>
        </patternFill>
      </fill>
    </ndxf>
  </rcc>
  <rcc rId="557" sId="7" odxf="1" dxf="1">
    <nc r="DH7">
      <f>SUM(DC7:DG7)</f>
    </nc>
    <odxf>
      <fill>
        <patternFill patternType="none">
          <bgColor indexed="65"/>
        </patternFill>
      </fill>
    </odxf>
    <ndxf>
      <fill>
        <patternFill patternType="solid">
          <bgColor theme="0" tint="-0.14999847407452621"/>
        </patternFill>
      </fill>
    </ndxf>
  </rcc>
  <rcc rId="558" sId="7" odxf="1" dxf="1">
    <nc r="DH8">
      <f>SUM(DC8:DG8)</f>
    </nc>
    <odxf>
      <fill>
        <patternFill patternType="none">
          <bgColor indexed="65"/>
        </patternFill>
      </fill>
    </odxf>
    <ndxf>
      <fill>
        <patternFill patternType="solid">
          <bgColor theme="0" tint="-0.14999847407452621"/>
        </patternFill>
      </fill>
    </ndxf>
  </rcc>
  <rcc rId="559" sId="7" odxf="1" dxf="1">
    <nc r="DH9">
      <f>SUM(DC9:DG9)</f>
    </nc>
    <odxf>
      <fill>
        <patternFill patternType="none">
          <bgColor indexed="65"/>
        </patternFill>
      </fill>
    </odxf>
    <ndxf>
      <fill>
        <patternFill patternType="solid">
          <bgColor theme="0" tint="-0.14999847407452621"/>
        </patternFill>
      </fill>
    </ndxf>
  </rcc>
  <rcc rId="560" sId="7" odxf="1" dxf="1">
    <nc r="DH10">
      <f>SUM(DC10:DG10)</f>
    </nc>
    <odxf>
      <fill>
        <patternFill patternType="none">
          <bgColor indexed="65"/>
        </patternFill>
      </fill>
    </odxf>
    <ndxf>
      <fill>
        <patternFill patternType="solid">
          <bgColor theme="0" tint="-0.14999847407452621"/>
        </patternFill>
      </fill>
    </ndxf>
  </rcc>
  <rcc rId="561" sId="7" odxf="1" dxf="1">
    <nc r="DH11">
      <f>SUM(DC11:DG11)</f>
    </nc>
    <odxf>
      <fill>
        <patternFill patternType="none">
          <bgColor indexed="65"/>
        </patternFill>
      </fill>
    </odxf>
    <ndxf>
      <fill>
        <patternFill patternType="solid">
          <bgColor theme="0" tint="-0.14999847407452621"/>
        </patternFill>
      </fill>
    </ndxf>
  </rcc>
  <rcc rId="562" sId="7" odxf="1" dxf="1">
    <nc r="DH12">
      <f>SUM(DC12:DG12)</f>
    </nc>
    <odxf>
      <fill>
        <patternFill patternType="none">
          <bgColor indexed="65"/>
        </patternFill>
      </fill>
    </odxf>
    <ndxf>
      <fill>
        <patternFill patternType="solid">
          <bgColor theme="0" tint="-0.14999847407452621"/>
        </patternFill>
      </fill>
    </ndxf>
  </rcc>
  <rcc rId="563" sId="7" odxf="1" dxf="1">
    <nc r="DH13">
      <f>SUM(DC13:DG13)</f>
    </nc>
    <odxf>
      <fill>
        <patternFill patternType="none">
          <bgColor indexed="65"/>
        </patternFill>
      </fill>
    </odxf>
    <ndxf>
      <fill>
        <patternFill patternType="solid">
          <bgColor theme="0" tint="-0.14999847407452621"/>
        </patternFill>
      </fill>
    </ndxf>
  </rcc>
  <rcc rId="564" sId="7" odxf="1" dxf="1">
    <nc r="DH14">
      <f>SUM(DC14:DG14)</f>
    </nc>
    <odxf>
      <fill>
        <patternFill patternType="none">
          <bgColor indexed="65"/>
        </patternFill>
      </fill>
    </odxf>
    <ndxf>
      <fill>
        <patternFill patternType="solid">
          <bgColor theme="0" tint="-0.14999847407452621"/>
        </patternFill>
      </fill>
    </ndxf>
  </rcc>
  <rcc rId="565" sId="7" odxf="1" dxf="1">
    <nc r="DH15">
      <f>SUM(DC15:DG15)</f>
    </nc>
    <odxf>
      <fill>
        <patternFill patternType="none">
          <bgColor indexed="65"/>
        </patternFill>
      </fill>
    </odxf>
    <ndxf>
      <fill>
        <patternFill patternType="solid">
          <bgColor theme="0" tint="-0.14999847407452621"/>
        </patternFill>
      </fill>
    </ndxf>
  </rcc>
  <rcc rId="566" sId="7" odxf="1" dxf="1">
    <nc r="DH16">
      <f>SUM(DC16:DG16)</f>
    </nc>
    <odxf>
      <fill>
        <patternFill patternType="none">
          <bgColor indexed="65"/>
        </patternFill>
      </fill>
    </odxf>
    <ndxf>
      <fill>
        <patternFill patternType="solid">
          <bgColor theme="0" tint="-0.14999847407452621"/>
        </patternFill>
      </fill>
    </ndxf>
  </rcc>
  <rcc rId="567" sId="8" odxf="1" dxf="1">
    <oc r="DH1" t="inlineStr">
      <is>
        <t xml:space="preserve">TOTAL SEMANA </t>
      </is>
    </oc>
    <nc r="DH1" t="inlineStr">
      <is>
        <t>TOTAL SEMANA</t>
      </is>
    </nc>
    <odxf>
      <numFmt numFmtId="0" formatCode="General"/>
      <fill>
        <patternFill patternType="none">
          <bgColor indexed="65"/>
        </patternFill>
      </fill>
      <alignment wrapText="1"/>
    </odxf>
    <ndxf>
      <numFmt numFmtId="21" formatCode="dd/mmm"/>
      <fill>
        <patternFill patternType="solid">
          <bgColor theme="0" tint="-0.14999847407452621"/>
        </patternFill>
      </fill>
      <alignment wrapText="0"/>
    </ndxf>
  </rcc>
  <rcc rId="568" sId="8" odxf="1" dxf="1">
    <nc r="DH2">
      <f>SUM(DC2:DG2)</f>
    </nc>
    <odxf>
      <fill>
        <patternFill patternType="none">
          <bgColor indexed="65"/>
        </patternFill>
      </fill>
    </odxf>
    <ndxf>
      <fill>
        <patternFill patternType="solid">
          <bgColor theme="0" tint="-0.14999847407452621"/>
        </patternFill>
      </fill>
    </ndxf>
  </rcc>
  <rcc rId="569" sId="8" odxf="1" dxf="1">
    <nc r="DH3">
      <f>SUM(DC3:DG3)</f>
    </nc>
    <odxf>
      <fill>
        <patternFill patternType="none">
          <bgColor indexed="65"/>
        </patternFill>
      </fill>
    </odxf>
    <ndxf>
      <fill>
        <patternFill patternType="solid">
          <bgColor theme="0" tint="-0.14999847407452621"/>
        </patternFill>
      </fill>
    </ndxf>
  </rcc>
  <rcc rId="570" sId="8" odxf="1" dxf="1">
    <nc r="DH4">
      <f>SUM(DC4:DG4)</f>
    </nc>
    <odxf>
      <fill>
        <patternFill patternType="none">
          <bgColor indexed="65"/>
        </patternFill>
      </fill>
    </odxf>
    <ndxf>
      <fill>
        <patternFill patternType="solid">
          <bgColor theme="0" tint="-0.14999847407452621"/>
        </patternFill>
      </fill>
    </ndxf>
  </rcc>
  <rcc rId="571" sId="8" odxf="1" dxf="1">
    <nc r="DH5">
      <f>SUM(DC5:DG5)</f>
    </nc>
    <odxf>
      <fill>
        <patternFill patternType="none">
          <bgColor indexed="65"/>
        </patternFill>
      </fill>
    </odxf>
    <ndxf>
      <fill>
        <patternFill patternType="solid">
          <bgColor theme="0" tint="-0.14999847407452621"/>
        </patternFill>
      </fill>
    </ndxf>
  </rcc>
  <rcc rId="572" sId="8" odxf="1" dxf="1">
    <nc r="DH6">
      <f>SUM(DC6:DG6)</f>
    </nc>
    <odxf>
      <fill>
        <patternFill patternType="none">
          <bgColor indexed="65"/>
        </patternFill>
      </fill>
    </odxf>
    <ndxf>
      <fill>
        <patternFill patternType="solid">
          <bgColor theme="0" tint="-0.14999847407452621"/>
        </patternFill>
      </fill>
    </ndxf>
  </rcc>
  <rcc rId="573" sId="8" odxf="1" dxf="1">
    <nc r="DH7">
      <f>SUM(DC7:DG7)</f>
    </nc>
    <odxf>
      <fill>
        <patternFill patternType="none">
          <bgColor indexed="65"/>
        </patternFill>
      </fill>
    </odxf>
    <ndxf>
      <fill>
        <patternFill patternType="solid">
          <bgColor theme="0" tint="-0.14999847407452621"/>
        </patternFill>
      </fill>
    </ndxf>
  </rcc>
  <rcc rId="574" sId="8" odxf="1" dxf="1">
    <nc r="DH8">
      <f>SUM(DC8:DG8)</f>
    </nc>
    <odxf>
      <fill>
        <patternFill patternType="none">
          <bgColor indexed="65"/>
        </patternFill>
      </fill>
    </odxf>
    <ndxf>
      <fill>
        <patternFill patternType="solid">
          <bgColor theme="0" tint="-0.14999847407452621"/>
        </patternFill>
      </fill>
    </ndxf>
  </rcc>
  <rcc rId="575" sId="8" odxf="1" dxf="1">
    <nc r="DH9">
      <f>SUM(DC9:DG9)</f>
    </nc>
    <odxf>
      <fill>
        <patternFill patternType="none">
          <bgColor indexed="65"/>
        </patternFill>
      </fill>
    </odxf>
    <ndxf>
      <fill>
        <patternFill patternType="solid">
          <bgColor theme="0" tint="-0.14999847407452621"/>
        </patternFill>
      </fill>
    </ndxf>
  </rcc>
  <rcc rId="576" sId="8" odxf="1" dxf="1">
    <nc r="DH10">
      <f>SUM(DC10:DG10)</f>
    </nc>
    <odxf>
      <fill>
        <patternFill patternType="none">
          <bgColor indexed="65"/>
        </patternFill>
      </fill>
    </odxf>
    <ndxf>
      <fill>
        <patternFill patternType="solid">
          <bgColor theme="0" tint="-0.14999847407452621"/>
        </patternFill>
      </fill>
    </ndxf>
  </rcc>
  <rcc rId="577" sId="8" odxf="1" dxf="1">
    <nc r="DH11">
      <f>SUM(DC11:DG11)</f>
    </nc>
    <odxf>
      <fill>
        <patternFill patternType="none">
          <bgColor indexed="65"/>
        </patternFill>
      </fill>
    </odxf>
    <ndxf>
      <fill>
        <patternFill patternType="solid">
          <bgColor theme="0" tint="-0.14999847407452621"/>
        </patternFill>
      </fill>
    </ndxf>
  </rcc>
  <rcc rId="578" sId="8" odxf="1" dxf="1">
    <nc r="DH12">
      <f>SUM(DC12:DG12)</f>
    </nc>
    <odxf>
      <fill>
        <patternFill patternType="none">
          <bgColor indexed="65"/>
        </patternFill>
      </fill>
    </odxf>
    <ndxf>
      <fill>
        <patternFill patternType="solid">
          <bgColor theme="0" tint="-0.14999847407452621"/>
        </patternFill>
      </fill>
    </ndxf>
  </rcc>
  <rcc rId="579" sId="8" odxf="1" dxf="1">
    <nc r="DH13">
      <f>SUM(DC13:DG13)</f>
    </nc>
    <odxf>
      <fill>
        <patternFill patternType="none">
          <bgColor indexed="65"/>
        </patternFill>
      </fill>
    </odxf>
    <ndxf>
      <fill>
        <patternFill patternType="solid">
          <bgColor theme="0" tint="-0.14999847407452621"/>
        </patternFill>
      </fill>
    </ndxf>
  </rcc>
  <rcc rId="580" sId="8" odxf="1" dxf="1">
    <nc r="DH14">
      <f>SUM(DC14:DG14)</f>
    </nc>
    <odxf>
      <fill>
        <patternFill patternType="none">
          <bgColor indexed="65"/>
        </patternFill>
      </fill>
    </odxf>
    <ndxf>
      <fill>
        <patternFill patternType="solid">
          <bgColor theme="0" tint="-0.14999847407452621"/>
        </patternFill>
      </fill>
    </ndxf>
  </rcc>
  <rcc rId="581" sId="8" odxf="1" dxf="1">
    <nc r="DH15">
      <f>SUM(DC15:DG15)</f>
    </nc>
    <odxf>
      <fill>
        <patternFill patternType="none">
          <bgColor indexed="65"/>
        </patternFill>
      </fill>
    </odxf>
    <ndxf>
      <fill>
        <patternFill patternType="solid">
          <bgColor theme="0" tint="-0.14999847407452621"/>
        </patternFill>
      </fill>
    </ndxf>
  </rcc>
  <rcc rId="582" sId="8" odxf="1" dxf="1">
    <nc r="DH16">
      <f>SUM(DC16:DG16)</f>
    </nc>
    <odxf>
      <fill>
        <patternFill patternType="none">
          <bgColor indexed="65"/>
        </patternFill>
      </fill>
    </odxf>
    <ndxf>
      <fill>
        <patternFill patternType="solid">
          <bgColor theme="0" tint="-0.14999847407452621"/>
        </patternFill>
      </fill>
    </ndxf>
  </rcc>
  <rcc rId="583" sId="9" odxf="1" dxf="1" numFmtId="21">
    <nc r="CW1">
      <v>45782</v>
    </nc>
    <odxf>
      <numFmt numFmtId="0" formatCode="General"/>
    </odxf>
    <ndxf>
      <numFmt numFmtId="21" formatCode="dd/mmm"/>
    </ndxf>
  </rcc>
  <rcc rId="584" sId="9" odxf="1" dxf="1" numFmtId="21">
    <nc r="CX1">
      <v>45783</v>
    </nc>
    <odxf>
      <numFmt numFmtId="0" formatCode="General"/>
    </odxf>
    <ndxf>
      <numFmt numFmtId="21" formatCode="dd/mmm"/>
    </ndxf>
  </rcc>
  <rcc rId="585" sId="9" odxf="1" dxf="1" numFmtId="21">
    <nc r="CY1">
      <v>45784</v>
    </nc>
    <odxf>
      <numFmt numFmtId="0" formatCode="General"/>
    </odxf>
    <ndxf>
      <numFmt numFmtId="21" formatCode="dd/mmm"/>
    </ndxf>
  </rcc>
  <rcc rId="586" sId="9" odxf="1" dxf="1" numFmtId="21">
    <nc r="CZ1">
      <v>45785</v>
    </nc>
    <odxf>
      <numFmt numFmtId="0" formatCode="General"/>
    </odxf>
    <ndxf>
      <numFmt numFmtId="21" formatCode="dd/mmm"/>
    </ndxf>
  </rcc>
  <rcc rId="587" sId="9" odxf="1" dxf="1" numFmtId="21">
    <nc r="DA1">
      <v>45786</v>
    </nc>
    <odxf>
      <numFmt numFmtId="0" formatCode="General"/>
    </odxf>
    <ndxf>
      <numFmt numFmtId="21" formatCode="dd/mmm"/>
    </ndxf>
  </rcc>
  <rcc rId="588" sId="9" odxf="1" dxf="1">
    <nc r="DB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cc rId="589" sId="9" odxf="1" dxf="1">
    <nc r="DB2">
      <f>SUM(CW2:DA2)</f>
    </nc>
    <odxf>
      <fill>
        <patternFill patternType="none">
          <bgColor indexed="65"/>
        </patternFill>
      </fill>
    </odxf>
    <ndxf>
      <fill>
        <patternFill patternType="solid">
          <bgColor theme="0" tint="-0.14999847407452621"/>
        </patternFill>
      </fill>
    </ndxf>
  </rcc>
  <rcc rId="590" sId="9" odxf="1" dxf="1">
    <nc r="DB3">
      <f>SUM(CW3:DA3)</f>
    </nc>
    <odxf>
      <fill>
        <patternFill patternType="none">
          <bgColor indexed="65"/>
        </patternFill>
      </fill>
    </odxf>
    <ndxf>
      <fill>
        <patternFill patternType="solid">
          <bgColor theme="0" tint="-0.14999847407452621"/>
        </patternFill>
      </fill>
    </ndxf>
  </rcc>
  <rcc rId="591" sId="9" odxf="1" dxf="1">
    <nc r="DB4">
      <f>SUM(CW4:DA4)</f>
    </nc>
    <odxf>
      <fill>
        <patternFill patternType="none">
          <bgColor indexed="65"/>
        </patternFill>
      </fill>
    </odxf>
    <ndxf>
      <fill>
        <patternFill patternType="solid">
          <bgColor theme="0" tint="-0.14999847407452621"/>
        </patternFill>
      </fill>
    </ndxf>
  </rcc>
  <rcc rId="592" sId="9" odxf="1" dxf="1">
    <nc r="DB5">
      <f>SUM(CW5:DA5)</f>
    </nc>
    <odxf>
      <fill>
        <patternFill patternType="none">
          <bgColor indexed="65"/>
        </patternFill>
      </fill>
    </odxf>
    <ndxf>
      <fill>
        <patternFill patternType="solid">
          <bgColor theme="0" tint="-0.14999847407452621"/>
        </patternFill>
      </fill>
    </ndxf>
  </rcc>
  <rcc rId="593" sId="9" odxf="1" dxf="1">
    <nc r="DB6">
      <f>SUM(CW6:DA6)</f>
    </nc>
    <odxf>
      <fill>
        <patternFill patternType="none">
          <bgColor indexed="65"/>
        </patternFill>
      </fill>
    </odxf>
    <ndxf>
      <fill>
        <patternFill patternType="solid">
          <bgColor theme="0" tint="-0.14999847407452621"/>
        </patternFill>
      </fill>
    </ndxf>
  </rcc>
  <rcc rId="594" sId="9" odxf="1" dxf="1">
    <nc r="DB7">
      <f>SUM(CW7:DA7)</f>
    </nc>
    <odxf>
      <fill>
        <patternFill patternType="none">
          <bgColor indexed="65"/>
        </patternFill>
      </fill>
    </odxf>
    <ndxf>
      <fill>
        <patternFill patternType="solid">
          <bgColor theme="0" tint="-0.14999847407452621"/>
        </patternFill>
      </fill>
    </ndxf>
  </rcc>
  <rcc rId="595" sId="9" odxf="1" dxf="1">
    <nc r="DB8">
      <f>SUM(CW8:DA8)</f>
    </nc>
    <odxf>
      <fill>
        <patternFill patternType="none">
          <bgColor indexed="65"/>
        </patternFill>
      </fill>
    </odxf>
    <ndxf>
      <fill>
        <patternFill patternType="solid">
          <bgColor theme="0" tint="-0.14999847407452621"/>
        </patternFill>
      </fill>
    </ndxf>
  </rcc>
  <rcc rId="596" sId="9" odxf="1" dxf="1">
    <nc r="DB9">
      <f>SUM(CW9:DA9)</f>
    </nc>
    <odxf>
      <fill>
        <patternFill patternType="none">
          <bgColor indexed="65"/>
        </patternFill>
      </fill>
    </odxf>
    <ndxf>
      <fill>
        <patternFill patternType="solid">
          <bgColor theme="0" tint="-0.14999847407452621"/>
        </patternFill>
      </fill>
    </ndxf>
  </rcc>
  <rcc rId="597" sId="9" odxf="1" dxf="1">
    <nc r="DB10">
      <f>SUM(CW10:DA10)</f>
    </nc>
    <odxf>
      <fill>
        <patternFill patternType="none">
          <bgColor indexed="65"/>
        </patternFill>
      </fill>
    </odxf>
    <ndxf>
      <fill>
        <patternFill patternType="solid">
          <bgColor theme="0" tint="-0.14999847407452621"/>
        </patternFill>
      </fill>
    </ndxf>
  </rcc>
  <rcc rId="598" sId="9">
    <nc r="CW11">
      <v>5</v>
    </nc>
  </rcc>
  <rcc rId="599" sId="9">
    <nc r="CX11">
      <v>5</v>
    </nc>
  </rcc>
  <rcc rId="600" sId="9">
    <nc r="CY11">
      <v>3</v>
    </nc>
  </rcc>
  <rcc rId="601" sId="9">
    <nc r="CZ11">
      <v>2</v>
    </nc>
  </rcc>
  <rcc rId="602" sId="9" odxf="1" dxf="1">
    <nc r="DB11">
      <f>SUM(CW11:DA11)</f>
    </nc>
    <odxf>
      <fill>
        <patternFill patternType="none">
          <bgColor indexed="65"/>
        </patternFill>
      </fill>
    </odxf>
    <ndxf>
      <fill>
        <patternFill patternType="solid">
          <bgColor theme="0" tint="-0.14999847407452621"/>
        </patternFill>
      </fill>
    </ndxf>
  </rcc>
  <rcc rId="603" sId="9">
    <nc r="CW12">
      <v>57</v>
    </nc>
  </rcc>
  <rcc rId="604" sId="9">
    <nc r="CX12">
      <v>68</v>
    </nc>
  </rcc>
  <rcc rId="605" sId="9">
    <nc r="CY12">
      <v>40</v>
    </nc>
  </rcc>
  <rcc rId="606" sId="9">
    <nc r="CZ12">
      <v>32</v>
    </nc>
  </rcc>
  <rcc rId="607" sId="9" odxf="1" dxf="1">
    <nc r="DB12">
      <f>SUM(CW12:DA12)</f>
    </nc>
    <odxf>
      <fill>
        <patternFill patternType="none">
          <bgColor indexed="65"/>
        </patternFill>
      </fill>
    </odxf>
    <ndxf>
      <fill>
        <patternFill patternType="solid">
          <bgColor theme="0" tint="-0.14999847407452621"/>
        </patternFill>
      </fill>
    </ndxf>
  </rcc>
  <rcc rId="608" sId="9" odxf="1" dxf="1">
    <nc r="DB13">
      <f>SUM(CW13:DA13)</f>
    </nc>
    <odxf>
      <fill>
        <patternFill patternType="none">
          <bgColor indexed="65"/>
        </patternFill>
      </fill>
    </odxf>
    <ndxf>
      <fill>
        <patternFill patternType="solid">
          <bgColor theme="0" tint="-0.14999847407452621"/>
        </patternFill>
      </fill>
    </ndxf>
  </rcc>
  <rcc rId="609" sId="9" odxf="1" dxf="1">
    <nc r="DB14">
      <f>SUM(CW14:DA14)</f>
    </nc>
    <odxf>
      <fill>
        <patternFill patternType="none">
          <bgColor indexed="65"/>
        </patternFill>
      </fill>
    </odxf>
    <ndxf>
      <fill>
        <patternFill patternType="solid">
          <bgColor theme="0" tint="-0.14999847407452621"/>
        </patternFill>
      </fill>
    </ndxf>
  </rcc>
  <rcc rId="610" sId="9" odxf="1" dxf="1">
    <nc r="DB15">
      <f>SUM(CW15:DA15)</f>
    </nc>
    <odxf>
      <fill>
        <patternFill patternType="none">
          <bgColor indexed="65"/>
        </patternFill>
      </fill>
    </odxf>
    <ndxf>
      <fill>
        <patternFill patternType="solid">
          <bgColor theme="0" tint="-0.14999847407452621"/>
        </patternFill>
      </fill>
    </ndxf>
  </rcc>
  <rcc rId="611" sId="9" odxf="1" dxf="1">
    <nc r="DB16">
      <f>SUM(CW16:DA16)</f>
    </nc>
    <odxf>
      <fill>
        <patternFill patternType="none">
          <bgColor indexed="65"/>
        </patternFill>
      </fill>
    </odxf>
    <ndxf>
      <fill>
        <patternFill patternType="solid">
          <bgColor theme="0" tint="-0.14999847407452621"/>
        </patternFill>
      </fill>
    </ndxf>
  </rcc>
  <rcv guid="{18A482E0-C8B6-4AA1-9E04-15FA7C9CD5E3}" action="delete"/>
  <rcv guid="{18A482E0-C8B6-4AA1-9E04-15FA7C9CD5E3}" action="add"/>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12" sId="9" ref="CX1:CX1048576" action="insertCol"/>
  <rcc rId="613" sId="9">
    <oc r="CY11">
      <v>5</v>
    </oc>
    <nc r="CY11"/>
  </rcc>
  <rcc rId="614" sId="9">
    <oc r="CZ11">
      <v>3</v>
    </oc>
    <nc r="CZ11"/>
  </rcc>
  <rcc rId="615" sId="9">
    <oc r="DA11">
      <v>2</v>
    </oc>
    <nc r="DA11"/>
  </rcc>
  <rcc rId="616" sId="9">
    <oc r="CY12">
      <v>68</v>
    </oc>
    <nc r="CY12"/>
  </rcc>
  <rcc rId="617" sId="9">
    <oc r="CZ12">
      <v>40</v>
    </oc>
    <nc r="CZ12"/>
  </rcc>
  <rcc rId="618" sId="9">
    <oc r="DA12">
      <v>32</v>
    </oc>
    <nc r="DA12"/>
  </rcc>
  <rcc rId="619" sId="9" numFmtId="21">
    <nc r="CX1">
      <v>45782</v>
    </nc>
  </rcc>
  <rrc rId="620" sId="9" ref="CX1:DB1048576" action="insertCol"/>
  <rcc rId="621" sId="9" odxf="1" dxf="1">
    <nc r="DB1" t="inlineStr">
      <is>
        <t>TOTAL SEMANA</t>
      </is>
    </nc>
    <odxf>
      <fill>
        <patternFill patternType="none">
          <bgColor indexed="65"/>
        </patternFill>
      </fill>
    </odxf>
    <ndxf>
      <fill>
        <patternFill patternType="solid">
          <bgColor theme="0" tint="-0.14999847407452621"/>
        </patternFill>
      </fill>
    </ndxf>
  </rcc>
  <rcc rId="622" sId="9" odxf="1" dxf="1">
    <nc r="DB2">
      <f>SUM(CQ2:DA2)</f>
    </nc>
    <odxf>
      <fill>
        <patternFill patternType="none">
          <bgColor indexed="65"/>
        </patternFill>
      </fill>
    </odxf>
    <ndxf>
      <fill>
        <patternFill patternType="solid">
          <bgColor theme="0" tint="-0.14999847407452621"/>
        </patternFill>
      </fill>
    </ndxf>
  </rcc>
  <rcc rId="623" sId="9" odxf="1" dxf="1">
    <nc r="DB3">
      <f>SUM(CQ3:DA3)</f>
    </nc>
    <odxf>
      <fill>
        <patternFill patternType="none">
          <bgColor indexed="65"/>
        </patternFill>
      </fill>
    </odxf>
    <ndxf>
      <fill>
        <patternFill patternType="solid">
          <bgColor theme="0" tint="-0.14999847407452621"/>
        </patternFill>
      </fill>
    </ndxf>
  </rcc>
  <rcc rId="624" sId="9" odxf="1" dxf="1">
    <nc r="DB4">
      <f>SUM(CQ4:DA4)</f>
    </nc>
    <odxf>
      <fill>
        <patternFill patternType="none">
          <bgColor indexed="65"/>
        </patternFill>
      </fill>
    </odxf>
    <ndxf>
      <fill>
        <patternFill patternType="solid">
          <bgColor theme="0" tint="-0.14999847407452621"/>
        </patternFill>
      </fill>
    </ndxf>
  </rcc>
  <rcc rId="625" sId="9" odxf="1" dxf="1">
    <nc r="DB5">
      <f>SUM(CQ5:DA5)</f>
    </nc>
    <odxf>
      <fill>
        <patternFill patternType="none">
          <bgColor indexed="65"/>
        </patternFill>
      </fill>
    </odxf>
    <ndxf>
      <fill>
        <patternFill patternType="solid">
          <bgColor theme="0" tint="-0.14999847407452621"/>
        </patternFill>
      </fill>
    </ndxf>
  </rcc>
  <rcc rId="626" sId="9" odxf="1" dxf="1">
    <nc r="DB6">
      <f>SUM(CQ6:DA6)</f>
    </nc>
    <odxf>
      <fill>
        <patternFill patternType="none">
          <bgColor indexed="65"/>
        </patternFill>
      </fill>
    </odxf>
    <ndxf>
      <fill>
        <patternFill patternType="solid">
          <bgColor theme="0" tint="-0.14999847407452621"/>
        </patternFill>
      </fill>
    </ndxf>
  </rcc>
  <rcc rId="627" sId="9" odxf="1" dxf="1">
    <nc r="DB7">
      <f>SUM(CQ7:DA7)</f>
    </nc>
    <odxf>
      <fill>
        <patternFill patternType="none">
          <bgColor indexed="65"/>
        </patternFill>
      </fill>
    </odxf>
    <ndxf>
      <fill>
        <patternFill patternType="solid">
          <bgColor theme="0" tint="-0.14999847407452621"/>
        </patternFill>
      </fill>
    </ndxf>
  </rcc>
  <rcc rId="628" sId="9" odxf="1" dxf="1">
    <nc r="DB8">
      <f>SUM(CQ8:DA8)</f>
    </nc>
    <odxf>
      <fill>
        <patternFill patternType="none">
          <bgColor indexed="65"/>
        </patternFill>
      </fill>
    </odxf>
    <ndxf>
      <fill>
        <patternFill patternType="solid">
          <bgColor theme="0" tint="-0.14999847407452621"/>
        </patternFill>
      </fill>
    </ndxf>
  </rcc>
  <rcc rId="629" sId="9" odxf="1" dxf="1">
    <nc r="DB9">
      <f>SUM(CQ9:DA9)</f>
    </nc>
    <odxf>
      <fill>
        <patternFill patternType="none">
          <bgColor indexed="65"/>
        </patternFill>
      </fill>
    </odxf>
    <ndxf>
      <fill>
        <patternFill patternType="solid">
          <bgColor theme="0" tint="-0.14999847407452621"/>
        </patternFill>
      </fill>
    </ndxf>
  </rcc>
  <rcc rId="630" sId="9" odxf="1" dxf="1">
    <nc r="DB10">
      <f>SUM(CQ10:DA10)</f>
    </nc>
    <odxf>
      <fill>
        <patternFill patternType="none">
          <bgColor indexed="65"/>
        </patternFill>
      </fill>
    </odxf>
    <ndxf>
      <fill>
        <patternFill patternType="solid">
          <bgColor theme="0" tint="-0.14999847407452621"/>
        </patternFill>
      </fill>
    </ndxf>
  </rcc>
  <rcc rId="631" sId="9" odxf="1" dxf="1">
    <nc r="DB11">
      <f>SUM(CQ11:DA11)</f>
    </nc>
    <odxf>
      <fill>
        <patternFill patternType="none">
          <bgColor indexed="65"/>
        </patternFill>
      </fill>
    </odxf>
    <ndxf>
      <fill>
        <patternFill patternType="solid">
          <bgColor theme="0" tint="-0.14999847407452621"/>
        </patternFill>
      </fill>
    </ndxf>
  </rcc>
  <rcc rId="632" sId="9" odxf="1" dxf="1">
    <nc r="DB12">
      <f>SUM(CQ12:DA12)</f>
    </nc>
    <odxf>
      <fill>
        <patternFill patternType="none">
          <bgColor indexed="65"/>
        </patternFill>
      </fill>
    </odxf>
    <ndxf>
      <fill>
        <patternFill patternType="solid">
          <bgColor theme="0" tint="-0.14999847407452621"/>
        </patternFill>
      </fill>
    </ndxf>
  </rcc>
  <rcc rId="633" sId="9" odxf="1" dxf="1">
    <nc r="DB13">
      <f>SUM(CQ13:DA13)</f>
    </nc>
    <odxf>
      <fill>
        <patternFill patternType="none">
          <bgColor indexed="65"/>
        </patternFill>
      </fill>
    </odxf>
    <ndxf>
      <fill>
        <patternFill patternType="solid">
          <bgColor theme="0" tint="-0.14999847407452621"/>
        </patternFill>
      </fill>
    </ndxf>
  </rcc>
  <rcc rId="634" sId="9" odxf="1" dxf="1">
    <nc r="DB14">
      <f>SUM(CQ14:DA14)</f>
    </nc>
    <odxf>
      <fill>
        <patternFill patternType="none">
          <bgColor indexed="65"/>
        </patternFill>
      </fill>
    </odxf>
    <ndxf>
      <fill>
        <patternFill patternType="solid">
          <bgColor theme="0" tint="-0.14999847407452621"/>
        </patternFill>
      </fill>
    </ndxf>
  </rcc>
  <rcc rId="635" sId="9" odxf="1" dxf="1">
    <nc r="DB15">
      <f>SUM(CQ15:DA15)</f>
    </nc>
    <odxf>
      <fill>
        <patternFill patternType="none">
          <bgColor indexed="65"/>
        </patternFill>
      </fill>
    </odxf>
    <ndxf>
      <fill>
        <patternFill patternType="solid">
          <bgColor theme="0" tint="-0.14999847407452621"/>
        </patternFill>
      </fill>
    </ndxf>
  </rcc>
  <rcc rId="636" sId="9" odxf="1" dxf="1">
    <nc r="DB16">
      <f>SUM(CQ16:DA16)</f>
    </nc>
    <odxf>
      <fill>
        <patternFill patternType="none">
          <bgColor indexed="65"/>
        </patternFill>
      </fill>
    </odxf>
    <ndxf>
      <fill>
        <patternFill patternType="solid">
          <bgColor theme="0" tint="-0.14999847407452621"/>
        </patternFill>
      </fill>
    </ndxf>
  </rcc>
  <rcc rId="637" sId="9" numFmtId="21">
    <oc r="CW1">
      <v>45782</v>
    </oc>
    <nc r="CW1">
      <v>45775</v>
    </nc>
  </rcc>
  <rcc rId="638" sId="9" numFmtId="21">
    <nc r="CX1">
      <v>45776</v>
    </nc>
  </rcc>
  <rcc rId="639" sId="9" numFmtId="21">
    <nc r="CY1">
      <v>45777</v>
    </nc>
  </rcc>
  <rcc rId="640" sId="9" numFmtId="21">
    <nc r="CZ1">
      <v>45778</v>
    </nc>
  </rcc>
  <rcc rId="641" sId="9" numFmtId="21">
    <nc r="DA1">
      <v>45779</v>
    </nc>
  </rcc>
  <rcc rId="642" sId="9">
    <nc r="CZ2" t="inlineStr">
      <is>
        <t>FERIADO</t>
      </is>
    </nc>
  </rcc>
  <rcc rId="643" sId="9">
    <nc r="DA2" t="inlineStr">
      <is>
        <t>PONTO FACULTATIVO</t>
      </is>
    </nc>
  </rcc>
  <rcc rId="644" sId="9">
    <oc r="CW11">
      <v>5</v>
    </oc>
    <nc r="CW11"/>
  </rcc>
  <rcc rId="645" sId="9">
    <oc r="CW12">
      <v>57</v>
    </oc>
    <nc r="CW12"/>
  </rcc>
  <rcc rId="646" sId="9">
    <oc r="CS10">
      <v>7</v>
    </oc>
    <nc r="CS10"/>
  </rcc>
  <rcc rId="647" sId="9">
    <oc r="CT10">
      <v>7</v>
    </oc>
    <nc r="CT10"/>
  </rcc>
  <rcc rId="648" sId="9">
    <oc r="CS11">
      <v>17</v>
    </oc>
    <nc r="CS11"/>
  </rcc>
  <rcc rId="649" sId="9">
    <oc r="CT11">
      <v>9</v>
    </oc>
    <nc r="CT11"/>
  </rcc>
  <rrc rId="650" sId="4" ref="DN1:DN1048576" action="deleteCol">
    <undo index="65535" exp="area" dr="DI16:DN16" r="DO16" sId="4"/>
    <undo index="65535" exp="area" dr="DI15:DN15" r="DO15" sId="4"/>
    <undo index="65535" exp="area" dr="DI14:DN14" r="DO14" sId="4"/>
    <undo index="65535" exp="area" dr="DI13:DN13" r="DO13" sId="4"/>
    <undo index="65535" exp="area" dr="DI12:DN12" r="DO12" sId="4"/>
    <undo index="65535" exp="area" dr="DI11:DN11" r="DO11" sId="4"/>
    <undo index="65535" exp="area" dr="DI10:DN10" r="DO10" sId="4"/>
    <undo index="65535" exp="area" dr="DI9:DN9" r="DO9" sId="4"/>
    <undo index="65535" exp="area" dr="DI8:DN8" r="DO8" sId="4"/>
    <undo index="65535" exp="area" dr="DI7:DN7" r="DO7" sId="4"/>
    <undo index="65535" exp="area" dr="DI6:DN6" r="DO6" sId="4"/>
    <undo index="65535" exp="area" dr="DI5:DN5" r="DO5" sId="4"/>
    <undo index="65535" exp="area" dr="DI4:DN4" r="DO4" sId="4"/>
    <undo index="65535" exp="area" dr="DI3:DN3" r="DO3" sId="4"/>
    <undo index="65535" exp="area" dr="DI2:DN2" r="DO2" sId="4"/>
    <rfmt sheetId="4" xfDxf="1" sqref="DN1:DN1048576" start="0" length="0">
      <dxf>
        <alignment horizontal="center" vertical="center"/>
      </dxf>
    </rfmt>
    <rcc rId="0" sId="4" dxf="1" numFmtId="21">
      <nc r="DN1">
        <v>45794</v>
      </nc>
      <ndxf>
        <numFmt numFmtId="21" formatCode="dd/mmm"/>
        <border outline="0">
          <left style="thin">
            <color auto="1"/>
          </left>
          <right style="thin">
            <color auto="1"/>
          </right>
          <top style="thin">
            <color auto="1"/>
          </top>
          <bottom style="thin">
            <color auto="1"/>
          </bottom>
        </border>
      </ndxf>
    </rcc>
    <rfmt sheetId="4" sqref="DN16" start="0" length="0">
      <dxf>
        <border outline="0">
          <bottom style="thin">
            <color indexed="64"/>
          </bottom>
        </border>
      </dxf>
    </rfmt>
  </rrc>
  <rcc rId="651" sId="6" odxf="1" dxf="1">
    <nc r="DN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cc rId="652" sId="6" odxf="1" dxf="1">
    <nc r="DN2">
      <f>SUM(DI2:DM2)</f>
    </nc>
    <odxf>
      <fill>
        <patternFill patternType="none">
          <bgColor indexed="65"/>
        </patternFill>
      </fill>
    </odxf>
    <ndxf>
      <fill>
        <patternFill patternType="solid">
          <bgColor theme="0" tint="-0.14999847407452621"/>
        </patternFill>
      </fill>
    </ndxf>
  </rcc>
  <rcc rId="653" sId="6" odxf="1" dxf="1">
    <nc r="DN3">
      <f>SUM(DI3:DM3)</f>
    </nc>
    <odxf>
      <fill>
        <patternFill patternType="none">
          <bgColor indexed="65"/>
        </patternFill>
      </fill>
    </odxf>
    <ndxf>
      <fill>
        <patternFill patternType="solid">
          <bgColor theme="0" tint="-0.14999847407452621"/>
        </patternFill>
      </fill>
    </ndxf>
  </rcc>
  <rcc rId="654" sId="6" odxf="1" dxf="1">
    <nc r="DN4">
      <f>SUM(DI4:DM4)</f>
    </nc>
    <odxf>
      <fill>
        <patternFill patternType="none">
          <bgColor indexed="65"/>
        </patternFill>
      </fill>
    </odxf>
    <ndxf>
      <fill>
        <patternFill patternType="solid">
          <bgColor theme="0" tint="-0.14999847407452621"/>
        </patternFill>
      </fill>
    </ndxf>
  </rcc>
  <rcc rId="655" sId="6" odxf="1" dxf="1">
    <nc r="DN5">
      <f>SUM(DI5:DM5)</f>
    </nc>
    <odxf>
      <fill>
        <patternFill patternType="none">
          <bgColor indexed="65"/>
        </patternFill>
      </fill>
    </odxf>
    <ndxf>
      <fill>
        <patternFill patternType="solid">
          <bgColor theme="0" tint="-0.14999847407452621"/>
        </patternFill>
      </fill>
    </ndxf>
  </rcc>
  <rcc rId="656" sId="6" odxf="1" dxf="1">
    <nc r="DN6">
      <f>SUM(DI6:DM6)</f>
    </nc>
    <odxf>
      <fill>
        <patternFill patternType="none">
          <bgColor indexed="65"/>
        </patternFill>
      </fill>
    </odxf>
    <ndxf>
      <fill>
        <patternFill patternType="solid">
          <bgColor theme="0" tint="-0.14999847407452621"/>
        </patternFill>
      </fill>
    </ndxf>
  </rcc>
  <rcc rId="657" sId="6" odxf="1" dxf="1">
    <nc r="DN7">
      <f>SUM(DI7:DM7)</f>
    </nc>
    <odxf>
      <fill>
        <patternFill patternType="none">
          <bgColor indexed="65"/>
        </patternFill>
      </fill>
    </odxf>
    <ndxf>
      <fill>
        <patternFill patternType="solid">
          <bgColor theme="0" tint="-0.14999847407452621"/>
        </patternFill>
      </fill>
    </ndxf>
  </rcc>
  <rcc rId="658" sId="6" odxf="1" dxf="1">
    <nc r="DN8">
      <f>SUM(DI8:DM8)</f>
    </nc>
    <odxf>
      <fill>
        <patternFill patternType="none">
          <bgColor indexed="65"/>
        </patternFill>
      </fill>
    </odxf>
    <ndxf>
      <fill>
        <patternFill patternType="solid">
          <bgColor theme="0" tint="-0.14999847407452621"/>
        </patternFill>
      </fill>
    </ndxf>
  </rcc>
  <rcc rId="659" sId="6" odxf="1" dxf="1">
    <nc r="DN9">
      <f>SUM(DI9:DM9)</f>
    </nc>
    <odxf>
      <fill>
        <patternFill patternType="none">
          <bgColor indexed="65"/>
        </patternFill>
      </fill>
    </odxf>
    <ndxf>
      <fill>
        <patternFill patternType="solid">
          <bgColor theme="0" tint="-0.14999847407452621"/>
        </patternFill>
      </fill>
    </ndxf>
  </rcc>
  <rcc rId="660" sId="6" odxf="1" dxf="1">
    <nc r="DN10">
      <f>SUM(DI10:DM10)</f>
    </nc>
    <odxf>
      <fill>
        <patternFill patternType="none">
          <bgColor indexed="65"/>
        </patternFill>
      </fill>
    </odxf>
    <ndxf>
      <fill>
        <patternFill patternType="solid">
          <bgColor theme="0" tint="-0.14999847407452621"/>
        </patternFill>
      </fill>
    </ndxf>
  </rcc>
  <rcc rId="661" sId="6" odxf="1" dxf="1">
    <nc r="DN11">
      <f>SUM(DI11:DM11)</f>
    </nc>
    <odxf>
      <fill>
        <patternFill patternType="none">
          <bgColor indexed="65"/>
        </patternFill>
      </fill>
    </odxf>
    <ndxf>
      <fill>
        <patternFill patternType="solid">
          <bgColor theme="0" tint="-0.14999847407452621"/>
        </patternFill>
      </fill>
    </ndxf>
  </rcc>
  <rcc rId="662" sId="6" odxf="1" dxf="1">
    <nc r="DN12">
      <f>SUM(DI12:DM12)</f>
    </nc>
    <odxf>
      <fill>
        <patternFill patternType="none">
          <bgColor indexed="65"/>
        </patternFill>
      </fill>
    </odxf>
    <ndxf>
      <fill>
        <patternFill patternType="solid">
          <bgColor theme="0" tint="-0.14999847407452621"/>
        </patternFill>
      </fill>
    </ndxf>
  </rcc>
  <rcc rId="663" sId="6" odxf="1" dxf="1">
    <nc r="DN13">
      <f>SUM(DI13:DM13)</f>
    </nc>
    <odxf>
      <fill>
        <patternFill patternType="none">
          <bgColor indexed="65"/>
        </patternFill>
      </fill>
    </odxf>
    <ndxf>
      <fill>
        <patternFill patternType="solid">
          <bgColor theme="0" tint="-0.14999847407452621"/>
        </patternFill>
      </fill>
    </ndxf>
  </rcc>
  <rcc rId="664" sId="6" odxf="1" dxf="1">
    <nc r="DN14">
      <f>SUM(DI14:DM14)</f>
    </nc>
    <odxf>
      <fill>
        <patternFill patternType="none">
          <bgColor indexed="65"/>
        </patternFill>
      </fill>
    </odxf>
    <ndxf>
      <fill>
        <patternFill patternType="solid">
          <bgColor theme="0" tint="-0.14999847407452621"/>
        </patternFill>
      </fill>
    </ndxf>
  </rcc>
  <rcc rId="665" sId="6" odxf="1" dxf="1">
    <nc r="DN15">
      <f>SUM(DI15:DM15)</f>
    </nc>
    <odxf>
      <fill>
        <patternFill patternType="none">
          <bgColor indexed="65"/>
        </patternFill>
      </fill>
    </odxf>
    <ndxf>
      <fill>
        <patternFill patternType="solid">
          <bgColor theme="0" tint="-0.14999847407452621"/>
        </patternFill>
      </fill>
    </ndxf>
  </rcc>
  <rcc rId="666" sId="6" odxf="1" dxf="1">
    <nc r="DN16">
      <f>SUM(DI16:DM16)</f>
    </nc>
    <odxf>
      <fill>
        <patternFill patternType="none">
          <bgColor indexed="65"/>
        </patternFill>
      </fill>
    </odxf>
    <ndxf>
      <fill>
        <patternFill patternType="solid">
          <bgColor theme="0" tint="-0.14999847407452621"/>
        </patternFill>
      </fill>
    </ndxf>
  </rcc>
  <rcv guid="{18A482E0-C8B6-4AA1-9E04-15FA7C9CD5E3}" action="delete"/>
  <rcv guid="{18A482E0-C8B6-4AA1-9E04-15FA7C9CD5E3}" action="add"/>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67" sId="7" ref="DN1:DN1048576" action="insertCol"/>
  <rcc rId="668" sId="7" odxf="1" dxf="1">
    <nc r="DN1" t="inlineStr">
      <is>
        <t>TOTAL SEMANA</t>
      </is>
    </nc>
    <odxf>
      <fill>
        <patternFill patternType="none">
          <bgColor indexed="65"/>
        </patternFill>
      </fill>
    </odxf>
    <ndxf>
      <fill>
        <patternFill patternType="solid">
          <bgColor theme="0" tint="-0.14999847407452621"/>
        </patternFill>
      </fill>
    </ndxf>
  </rcc>
  <rcc rId="669" sId="7" odxf="1" dxf="1">
    <nc r="DN2">
      <f>SUM(DI2:DM2)</f>
    </nc>
    <odxf>
      <fill>
        <patternFill patternType="none">
          <bgColor indexed="65"/>
        </patternFill>
      </fill>
    </odxf>
    <ndxf>
      <fill>
        <patternFill patternType="solid">
          <bgColor theme="0" tint="-0.14999847407452621"/>
        </patternFill>
      </fill>
    </ndxf>
  </rcc>
  <rcc rId="670" sId="7" odxf="1" dxf="1">
    <nc r="DN3">
      <f>SUM(DI3:DM3)</f>
    </nc>
    <odxf>
      <fill>
        <patternFill patternType="none">
          <bgColor indexed="65"/>
        </patternFill>
      </fill>
    </odxf>
    <ndxf>
      <fill>
        <patternFill patternType="solid">
          <bgColor theme="0" tint="-0.14999847407452621"/>
        </patternFill>
      </fill>
    </ndxf>
  </rcc>
  <rcc rId="671" sId="7" odxf="1" dxf="1">
    <nc r="DN4">
      <f>SUM(DI4:DM4)</f>
    </nc>
    <odxf>
      <fill>
        <patternFill patternType="none">
          <bgColor indexed="65"/>
        </patternFill>
      </fill>
    </odxf>
    <ndxf>
      <fill>
        <patternFill patternType="solid">
          <bgColor theme="0" tint="-0.14999847407452621"/>
        </patternFill>
      </fill>
    </ndxf>
  </rcc>
  <rcc rId="672" sId="7" odxf="1" dxf="1">
    <nc r="DN5">
      <f>SUM(DI5:DM5)</f>
    </nc>
    <odxf>
      <fill>
        <patternFill patternType="none">
          <bgColor indexed="65"/>
        </patternFill>
      </fill>
    </odxf>
    <ndxf>
      <fill>
        <patternFill patternType="solid">
          <bgColor theme="0" tint="-0.14999847407452621"/>
        </patternFill>
      </fill>
    </ndxf>
  </rcc>
  <rcc rId="673" sId="7" odxf="1" dxf="1">
    <nc r="DN6">
      <f>SUM(DI6:DM6)</f>
    </nc>
    <odxf>
      <fill>
        <patternFill patternType="none">
          <bgColor indexed="65"/>
        </patternFill>
      </fill>
    </odxf>
    <ndxf>
      <fill>
        <patternFill patternType="solid">
          <bgColor theme="0" tint="-0.14999847407452621"/>
        </patternFill>
      </fill>
    </ndxf>
  </rcc>
  <rcc rId="674" sId="7" odxf="1" dxf="1">
    <nc r="DN7">
      <f>SUM(DI7:DM7)</f>
    </nc>
    <odxf>
      <fill>
        <patternFill patternType="none">
          <bgColor indexed="65"/>
        </patternFill>
      </fill>
    </odxf>
    <ndxf>
      <fill>
        <patternFill patternType="solid">
          <bgColor theme="0" tint="-0.14999847407452621"/>
        </patternFill>
      </fill>
    </ndxf>
  </rcc>
  <rcc rId="675" sId="7" odxf="1" dxf="1">
    <nc r="DN8">
      <f>SUM(DI8:DM8)</f>
    </nc>
    <odxf>
      <fill>
        <patternFill patternType="none">
          <bgColor indexed="65"/>
        </patternFill>
      </fill>
    </odxf>
    <ndxf>
      <fill>
        <patternFill patternType="solid">
          <bgColor theme="0" tint="-0.14999847407452621"/>
        </patternFill>
      </fill>
    </ndxf>
  </rcc>
  <rcc rId="676" sId="7" odxf="1" dxf="1">
    <nc r="DN9">
      <f>SUM(DI9:DM9)</f>
    </nc>
    <odxf>
      <fill>
        <patternFill patternType="none">
          <bgColor indexed="65"/>
        </patternFill>
      </fill>
    </odxf>
    <ndxf>
      <fill>
        <patternFill patternType="solid">
          <bgColor theme="0" tint="-0.14999847407452621"/>
        </patternFill>
      </fill>
    </ndxf>
  </rcc>
  <rcc rId="677" sId="7" odxf="1" dxf="1">
    <nc r="DN10">
      <f>SUM(DI10:DM10)</f>
    </nc>
    <odxf>
      <fill>
        <patternFill patternType="none">
          <bgColor indexed="65"/>
        </patternFill>
      </fill>
    </odxf>
    <ndxf>
      <fill>
        <patternFill patternType="solid">
          <bgColor theme="0" tint="-0.14999847407452621"/>
        </patternFill>
      </fill>
    </ndxf>
  </rcc>
  <rcc rId="678" sId="7" odxf="1" dxf="1">
    <nc r="DN11">
      <f>SUM(DI11:DM11)</f>
    </nc>
    <odxf>
      <fill>
        <patternFill patternType="none">
          <bgColor indexed="65"/>
        </patternFill>
      </fill>
    </odxf>
    <ndxf>
      <fill>
        <patternFill patternType="solid">
          <bgColor theme="0" tint="-0.14999847407452621"/>
        </patternFill>
      </fill>
    </ndxf>
  </rcc>
  <rcc rId="679" sId="7" odxf="1" dxf="1">
    <nc r="DN12">
      <f>SUM(DI12:DM12)</f>
    </nc>
    <odxf>
      <fill>
        <patternFill patternType="none">
          <bgColor indexed="65"/>
        </patternFill>
      </fill>
    </odxf>
    <ndxf>
      <fill>
        <patternFill patternType="solid">
          <bgColor theme="0" tint="-0.14999847407452621"/>
        </patternFill>
      </fill>
    </ndxf>
  </rcc>
  <rcc rId="680" sId="7" odxf="1" dxf="1">
    <nc r="DN13">
      <f>SUM(DI13:DM13)</f>
    </nc>
    <odxf>
      <fill>
        <patternFill patternType="none">
          <bgColor indexed="65"/>
        </patternFill>
      </fill>
    </odxf>
    <ndxf>
      <fill>
        <patternFill patternType="solid">
          <bgColor theme="0" tint="-0.14999847407452621"/>
        </patternFill>
      </fill>
    </ndxf>
  </rcc>
  <rcc rId="681" sId="7" odxf="1" dxf="1">
    <nc r="DN14">
      <f>SUM(DI14:DM14)</f>
    </nc>
    <odxf>
      <fill>
        <patternFill patternType="none">
          <bgColor indexed="65"/>
        </patternFill>
      </fill>
    </odxf>
    <ndxf>
      <fill>
        <patternFill patternType="solid">
          <bgColor theme="0" tint="-0.14999847407452621"/>
        </patternFill>
      </fill>
    </ndxf>
  </rcc>
  <rcc rId="682" sId="7" odxf="1" dxf="1">
    <nc r="DN15">
      <f>SUM(DI15:DM15)</f>
    </nc>
    <odxf>
      <fill>
        <patternFill patternType="none">
          <bgColor indexed="65"/>
        </patternFill>
      </fill>
    </odxf>
    <ndxf>
      <fill>
        <patternFill patternType="solid">
          <bgColor theme="0" tint="-0.14999847407452621"/>
        </patternFill>
      </fill>
    </ndxf>
  </rcc>
  <rcc rId="683" sId="7" odxf="1" dxf="1">
    <nc r="DN16">
      <f>SUM(DI16:DM16)</f>
    </nc>
    <odxf>
      <fill>
        <patternFill patternType="none">
          <bgColor indexed="65"/>
        </patternFill>
      </fill>
    </odxf>
    <ndxf>
      <fill>
        <patternFill patternType="solid">
          <bgColor theme="0" tint="-0.14999847407452621"/>
        </patternFill>
      </fill>
    </ndxf>
  </rcc>
  <rcc rId="684" sId="8">
    <oc r="DH11">
      <f>SUM(DC11:DG11)</f>
    </oc>
    <nc r="DH11">
      <f>SUM(DC11:DG11)</f>
    </nc>
  </rcc>
  <rcc rId="685" sId="8">
    <oc r="DH12">
      <f>SUM(DC12:DG12)</f>
    </oc>
    <nc r="DH12">
      <f>SUM(DC12:DG12)</f>
    </nc>
  </rcc>
  <rcc rId="686" sId="8" odxf="1" dxf="1">
    <oc r="DN1" t="inlineStr">
      <is>
        <t xml:space="preserve">TOTAL SEMANA </t>
      </is>
    </oc>
    <nc r="DN1" t="inlineStr">
      <is>
        <t>TOTAL SEMANA</t>
      </is>
    </nc>
    <odxf>
      <numFmt numFmtId="0" formatCode="General"/>
      <fill>
        <patternFill patternType="none">
          <bgColor indexed="65"/>
        </patternFill>
      </fill>
      <alignment wrapText="1"/>
    </odxf>
    <ndxf>
      <numFmt numFmtId="21" formatCode="dd/mmm"/>
      <fill>
        <patternFill patternType="solid">
          <bgColor theme="0" tint="-0.14999847407452621"/>
        </patternFill>
      </fill>
      <alignment wrapText="0"/>
    </ndxf>
  </rcc>
  <rcc rId="687" sId="8" odxf="1" dxf="1">
    <nc r="DN2">
      <f>SUM(DI2:DM2)</f>
    </nc>
    <odxf>
      <fill>
        <patternFill patternType="none">
          <bgColor indexed="65"/>
        </patternFill>
      </fill>
    </odxf>
    <ndxf>
      <fill>
        <patternFill patternType="solid">
          <bgColor theme="0" tint="-0.14999847407452621"/>
        </patternFill>
      </fill>
    </ndxf>
  </rcc>
  <rcc rId="688" sId="8" odxf="1" dxf="1">
    <nc r="DN3">
      <f>SUM(DI3:DM3)</f>
    </nc>
    <odxf>
      <fill>
        <patternFill patternType="none">
          <bgColor indexed="65"/>
        </patternFill>
      </fill>
    </odxf>
    <ndxf>
      <fill>
        <patternFill patternType="solid">
          <bgColor theme="0" tint="-0.14999847407452621"/>
        </patternFill>
      </fill>
    </ndxf>
  </rcc>
  <rcc rId="689" sId="8" odxf="1" dxf="1">
    <nc r="DN4">
      <f>SUM(DI4:DM4)</f>
    </nc>
    <odxf>
      <fill>
        <patternFill patternType="none">
          <bgColor indexed="65"/>
        </patternFill>
      </fill>
    </odxf>
    <ndxf>
      <fill>
        <patternFill patternType="solid">
          <bgColor theme="0" tint="-0.14999847407452621"/>
        </patternFill>
      </fill>
    </ndxf>
  </rcc>
  <rcc rId="690" sId="8" odxf="1" dxf="1">
    <nc r="DN5">
      <f>SUM(DI5:DM5)</f>
    </nc>
    <odxf>
      <fill>
        <patternFill patternType="none">
          <bgColor indexed="65"/>
        </patternFill>
      </fill>
    </odxf>
    <ndxf>
      <fill>
        <patternFill patternType="solid">
          <bgColor theme="0" tint="-0.14999847407452621"/>
        </patternFill>
      </fill>
    </ndxf>
  </rcc>
  <rcc rId="691" sId="8" odxf="1" dxf="1">
    <nc r="DN6">
      <f>SUM(DI6:DM6)</f>
    </nc>
    <odxf>
      <fill>
        <patternFill patternType="none">
          <bgColor indexed="65"/>
        </patternFill>
      </fill>
    </odxf>
    <ndxf>
      <fill>
        <patternFill patternType="solid">
          <bgColor theme="0" tint="-0.14999847407452621"/>
        </patternFill>
      </fill>
    </ndxf>
  </rcc>
  <rcc rId="692" sId="8" odxf="1" dxf="1">
    <nc r="DN7">
      <f>SUM(DI7:DM7)</f>
    </nc>
    <odxf>
      <fill>
        <patternFill patternType="none">
          <bgColor indexed="65"/>
        </patternFill>
      </fill>
    </odxf>
    <ndxf>
      <fill>
        <patternFill patternType="solid">
          <bgColor theme="0" tint="-0.14999847407452621"/>
        </patternFill>
      </fill>
    </ndxf>
  </rcc>
  <rcc rId="693" sId="8" odxf="1" dxf="1">
    <nc r="DN8">
      <f>SUM(DI8:DM8)</f>
    </nc>
    <odxf>
      <fill>
        <patternFill patternType="none">
          <bgColor indexed="65"/>
        </patternFill>
      </fill>
    </odxf>
    <ndxf>
      <fill>
        <patternFill patternType="solid">
          <bgColor theme="0" tint="-0.14999847407452621"/>
        </patternFill>
      </fill>
    </ndxf>
  </rcc>
  <rcc rId="694" sId="8" odxf="1" dxf="1">
    <nc r="DN9">
      <f>SUM(DI9:DM9)</f>
    </nc>
    <odxf>
      <fill>
        <patternFill patternType="none">
          <bgColor indexed="65"/>
        </patternFill>
      </fill>
    </odxf>
    <ndxf>
      <fill>
        <patternFill patternType="solid">
          <bgColor theme="0" tint="-0.14999847407452621"/>
        </patternFill>
      </fill>
    </ndxf>
  </rcc>
  <rcc rId="695" sId="8" odxf="1" dxf="1">
    <nc r="DN10">
      <f>SUM(DI10:DM10)</f>
    </nc>
    <odxf>
      <fill>
        <patternFill patternType="none">
          <bgColor indexed="65"/>
        </patternFill>
      </fill>
    </odxf>
    <ndxf>
      <fill>
        <patternFill patternType="solid">
          <bgColor theme="0" tint="-0.14999847407452621"/>
        </patternFill>
      </fill>
    </ndxf>
  </rcc>
  <rcc rId="696" sId="8" odxf="1" dxf="1">
    <nc r="DN11">
      <f>SUM(DI11:DM11)</f>
    </nc>
    <odxf>
      <fill>
        <patternFill patternType="none">
          <bgColor indexed="65"/>
        </patternFill>
      </fill>
    </odxf>
    <ndxf>
      <fill>
        <patternFill patternType="solid">
          <bgColor theme="0" tint="-0.14999847407452621"/>
        </patternFill>
      </fill>
    </ndxf>
  </rcc>
  <rcc rId="697" sId="8" odxf="1" dxf="1">
    <nc r="DN12">
      <f>SUM(DI12:DM12)</f>
    </nc>
    <odxf>
      <fill>
        <patternFill patternType="none">
          <bgColor indexed="65"/>
        </patternFill>
      </fill>
    </odxf>
    <ndxf>
      <fill>
        <patternFill patternType="solid">
          <bgColor theme="0" tint="-0.14999847407452621"/>
        </patternFill>
      </fill>
    </ndxf>
  </rcc>
  <rcc rId="698" sId="8" odxf="1" dxf="1">
    <nc r="DN13">
      <f>SUM(DI13:DM13)</f>
    </nc>
    <odxf>
      <fill>
        <patternFill patternType="none">
          <bgColor indexed="65"/>
        </patternFill>
      </fill>
    </odxf>
    <ndxf>
      <fill>
        <patternFill patternType="solid">
          <bgColor theme="0" tint="-0.14999847407452621"/>
        </patternFill>
      </fill>
    </ndxf>
  </rcc>
  <rcc rId="699" sId="8" odxf="1" dxf="1">
    <nc r="DN14">
      <f>SUM(DI14:DM14)</f>
    </nc>
    <odxf>
      <fill>
        <patternFill patternType="none">
          <bgColor indexed="65"/>
        </patternFill>
      </fill>
    </odxf>
    <ndxf>
      <fill>
        <patternFill patternType="solid">
          <bgColor theme="0" tint="-0.14999847407452621"/>
        </patternFill>
      </fill>
    </ndxf>
  </rcc>
  <rcc rId="700" sId="8" odxf="1" dxf="1">
    <nc r="DN15">
      <f>SUM(DI15:DM15)</f>
    </nc>
    <odxf>
      <fill>
        <patternFill patternType="none">
          <bgColor indexed="65"/>
        </patternFill>
      </fill>
    </odxf>
    <ndxf>
      <fill>
        <patternFill patternType="solid">
          <bgColor theme="0" tint="-0.14999847407452621"/>
        </patternFill>
      </fill>
    </ndxf>
  </rcc>
  <rcc rId="701" sId="8" odxf="1" dxf="1">
    <nc r="DN16">
      <f>SUM(DI16:DM16)</f>
    </nc>
    <odxf>
      <fill>
        <patternFill patternType="none">
          <bgColor indexed="65"/>
        </patternFill>
      </fill>
    </odxf>
    <ndxf>
      <fill>
        <patternFill patternType="solid">
          <bgColor theme="0" tint="-0.14999847407452621"/>
        </patternFill>
      </fill>
    </ndxf>
  </rcc>
  <rcv guid="{18A482E0-C8B6-4AA1-9E04-15FA7C9CD5E3}" action="delete"/>
  <rcv guid="{18A482E0-C8B6-4AA1-9E04-15FA7C9CD5E3}"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2" sId="8" odxf="1" dxf="1">
    <oc r="DT1" t="inlineStr">
      <is>
        <t xml:space="preserve">TOTAL SEMANA </t>
      </is>
    </oc>
    <nc r="DT1" t="inlineStr">
      <is>
        <t>TOTAL SEMANA</t>
      </is>
    </nc>
    <odxf>
      <numFmt numFmtId="0" formatCode="General"/>
      <fill>
        <patternFill patternType="none">
          <bgColor indexed="65"/>
        </patternFill>
      </fill>
      <alignment wrapText="1"/>
    </odxf>
    <ndxf>
      <numFmt numFmtId="21" formatCode="dd/mmm"/>
      <fill>
        <patternFill patternType="solid">
          <bgColor theme="0" tint="-0.14999847407452621"/>
        </patternFill>
      </fill>
      <alignment wrapText="0"/>
    </ndxf>
  </rcc>
  <rcc rId="703" sId="8" odxf="1" dxf="1">
    <nc r="DT2">
      <f>SUM(DO2:DS2)</f>
    </nc>
    <odxf>
      <fill>
        <patternFill patternType="none">
          <bgColor indexed="65"/>
        </patternFill>
      </fill>
    </odxf>
    <ndxf>
      <fill>
        <patternFill patternType="solid">
          <bgColor theme="0" tint="-0.14999847407452621"/>
        </patternFill>
      </fill>
    </ndxf>
  </rcc>
  <rcc rId="704" sId="8" odxf="1" dxf="1">
    <nc r="DT3">
      <f>SUM(DO3:DS3)</f>
    </nc>
    <odxf>
      <fill>
        <patternFill patternType="none">
          <bgColor indexed="65"/>
        </patternFill>
      </fill>
    </odxf>
    <ndxf>
      <fill>
        <patternFill patternType="solid">
          <bgColor theme="0" tint="-0.14999847407452621"/>
        </patternFill>
      </fill>
    </ndxf>
  </rcc>
  <rcc rId="705" sId="8" odxf="1" dxf="1">
    <nc r="DT4">
      <f>SUM(DO4:DS4)</f>
    </nc>
    <odxf>
      <fill>
        <patternFill patternType="none">
          <bgColor indexed="65"/>
        </patternFill>
      </fill>
    </odxf>
    <ndxf>
      <fill>
        <patternFill patternType="solid">
          <bgColor theme="0" tint="-0.14999847407452621"/>
        </patternFill>
      </fill>
    </ndxf>
  </rcc>
  <rcc rId="706" sId="8" odxf="1" dxf="1">
    <nc r="DT5">
      <f>SUM(DO5:DS5)</f>
    </nc>
    <odxf>
      <fill>
        <patternFill patternType="none">
          <bgColor indexed="65"/>
        </patternFill>
      </fill>
    </odxf>
    <ndxf>
      <fill>
        <patternFill patternType="solid">
          <bgColor theme="0" tint="-0.14999847407452621"/>
        </patternFill>
      </fill>
    </ndxf>
  </rcc>
  <rcc rId="707" sId="8" odxf="1" dxf="1">
    <nc r="DT6">
      <f>SUM(DO6:DS6)</f>
    </nc>
    <odxf>
      <fill>
        <patternFill patternType="none">
          <bgColor indexed="65"/>
        </patternFill>
      </fill>
    </odxf>
    <ndxf>
      <fill>
        <patternFill patternType="solid">
          <bgColor theme="0" tint="-0.14999847407452621"/>
        </patternFill>
      </fill>
    </ndxf>
  </rcc>
  <rcc rId="708" sId="8" odxf="1" dxf="1">
    <nc r="DT7">
      <f>SUM(DO7:DS7)</f>
    </nc>
    <odxf>
      <fill>
        <patternFill patternType="none">
          <bgColor indexed="65"/>
        </patternFill>
      </fill>
    </odxf>
    <ndxf>
      <fill>
        <patternFill patternType="solid">
          <bgColor theme="0" tint="-0.14999847407452621"/>
        </patternFill>
      </fill>
    </ndxf>
  </rcc>
  <rcc rId="709" sId="8" odxf="1" dxf="1">
    <nc r="DT8">
      <f>SUM(DO8:DS8)</f>
    </nc>
    <odxf>
      <fill>
        <patternFill patternType="none">
          <bgColor indexed="65"/>
        </patternFill>
      </fill>
    </odxf>
    <ndxf>
      <fill>
        <patternFill patternType="solid">
          <bgColor theme="0" tint="-0.14999847407452621"/>
        </patternFill>
      </fill>
    </ndxf>
  </rcc>
  <rcc rId="710" sId="8" odxf="1" dxf="1">
    <nc r="DT9">
      <f>SUM(DO9:DS9)</f>
    </nc>
    <odxf>
      <fill>
        <patternFill patternType="none">
          <bgColor indexed="65"/>
        </patternFill>
      </fill>
    </odxf>
    <ndxf>
      <fill>
        <patternFill patternType="solid">
          <bgColor theme="0" tint="-0.14999847407452621"/>
        </patternFill>
      </fill>
    </ndxf>
  </rcc>
  <rcc rId="711" sId="8" odxf="1" dxf="1">
    <nc r="DT10">
      <f>SUM(DO10:DS10)</f>
    </nc>
    <odxf>
      <fill>
        <patternFill patternType="none">
          <bgColor indexed="65"/>
        </patternFill>
      </fill>
    </odxf>
    <ndxf>
      <fill>
        <patternFill patternType="solid">
          <bgColor theme="0" tint="-0.14999847407452621"/>
        </patternFill>
      </fill>
    </ndxf>
  </rcc>
  <rcc rId="712" sId="8" odxf="1" dxf="1">
    <nc r="DT11">
      <f>SUM(DO11:DS11)</f>
    </nc>
    <odxf>
      <fill>
        <patternFill patternType="none">
          <bgColor indexed="65"/>
        </patternFill>
      </fill>
    </odxf>
    <ndxf>
      <fill>
        <patternFill patternType="solid">
          <bgColor theme="0" tint="-0.14999847407452621"/>
        </patternFill>
      </fill>
    </ndxf>
  </rcc>
  <rcc rId="713" sId="8" odxf="1" dxf="1">
    <nc r="DT12">
      <f>SUM(DO12:DS12)</f>
    </nc>
    <odxf>
      <fill>
        <patternFill patternType="none">
          <bgColor indexed="65"/>
        </patternFill>
      </fill>
    </odxf>
    <ndxf>
      <fill>
        <patternFill patternType="solid">
          <bgColor theme="0" tint="-0.14999847407452621"/>
        </patternFill>
      </fill>
    </ndxf>
  </rcc>
  <rcc rId="714" sId="8" odxf="1" dxf="1">
    <nc r="DT13">
      <f>SUM(DO13:DS13)</f>
    </nc>
    <odxf>
      <fill>
        <patternFill patternType="none">
          <bgColor indexed="65"/>
        </patternFill>
      </fill>
    </odxf>
    <ndxf>
      <fill>
        <patternFill patternType="solid">
          <bgColor theme="0" tint="-0.14999847407452621"/>
        </patternFill>
      </fill>
    </ndxf>
  </rcc>
  <rcc rId="715" sId="8" odxf="1" dxf="1">
    <nc r="DT14">
      <f>SUM(DO14:DS14)</f>
    </nc>
    <odxf>
      <fill>
        <patternFill patternType="none">
          <bgColor indexed="65"/>
        </patternFill>
      </fill>
    </odxf>
    <ndxf>
      <fill>
        <patternFill patternType="solid">
          <bgColor theme="0" tint="-0.14999847407452621"/>
        </patternFill>
      </fill>
    </ndxf>
  </rcc>
  <rcc rId="716" sId="8" odxf="1" dxf="1">
    <nc r="DT15">
      <f>SUM(DO15:DS15)</f>
    </nc>
    <odxf>
      <fill>
        <patternFill patternType="none">
          <bgColor indexed="65"/>
        </patternFill>
      </fill>
    </odxf>
    <ndxf>
      <fill>
        <patternFill patternType="solid">
          <bgColor theme="0" tint="-0.14999847407452621"/>
        </patternFill>
      </fill>
    </ndxf>
  </rcc>
  <rcc rId="717" sId="8" odxf="1" dxf="1">
    <nc r="DT16">
      <f>SUM(DO16:DS16)</f>
    </nc>
    <odxf>
      <fill>
        <patternFill patternType="none">
          <bgColor indexed="65"/>
        </patternFill>
      </fill>
    </odxf>
    <ndxf>
      <fill>
        <patternFill patternType="solid">
          <bgColor theme="0" tint="-0.14999847407452621"/>
        </patternFill>
      </fill>
    </ndxf>
  </rcc>
  <rcc rId="718" sId="6" odxf="1" dxf="1">
    <nc r="DT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cc rId="719" sId="6" odxf="1" dxf="1">
    <nc r="DT2">
      <f>SUM(DO2:DS2)</f>
    </nc>
    <odxf>
      <fill>
        <patternFill patternType="none">
          <bgColor indexed="65"/>
        </patternFill>
      </fill>
    </odxf>
    <ndxf>
      <fill>
        <patternFill patternType="solid">
          <bgColor theme="0" tint="-0.14999847407452621"/>
        </patternFill>
      </fill>
    </ndxf>
  </rcc>
  <rcc rId="720" sId="6" odxf="1" dxf="1">
    <nc r="DT3">
      <f>SUM(DO3:DS3)</f>
    </nc>
    <odxf>
      <fill>
        <patternFill patternType="none">
          <bgColor indexed="65"/>
        </patternFill>
      </fill>
    </odxf>
    <ndxf>
      <fill>
        <patternFill patternType="solid">
          <bgColor theme="0" tint="-0.14999847407452621"/>
        </patternFill>
      </fill>
    </ndxf>
  </rcc>
  <rcc rId="721" sId="6" odxf="1" dxf="1">
    <nc r="DT4">
      <f>SUM(DO4:DS4)</f>
    </nc>
    <odxf>
      <fill>
        <patternFill patternType="none">
          <bgColor indexed="65"/>
        </patternFill>
      </fill>
    </odxf>
    <ndxf>
      <fill>
        <patternFill patternType="solid">
          <bgColor theme="0" tint="-0.14999847407452621"/>
        </patternFill>
      </fill>
    </ndxf>
  </rcc>
  <rcc rId="722" sId="6" odxf="1" dxf="1">
    <nc r="DT5">
      <f>SUM(DO5:DS5)</f>
    </nc>
    <odxf>
      <fill>
        <patternFill patternType="none">
          <bgColor indexed="65"/>
        </patternFill>
      </fill>
    </odxf>
    <ndxf>
      <fill>
        <patternFill patternType="solid">
          <bgColor theme="0" tint="-0.14999847407452621"/>
        </patternFill>
      </fill>
    </ndxf>
  </rcc>
  <rcc rId="723" sId="6" odxf="1" dxf="1">
    <nc r="DT6">
      <f>SUM(DO6:DS6)</f>
    </nc>
    <odxf>
      <fill>
        <patternFill patternType="none">
          <bgColor indexed="65"/>
        </patternFill>
      </fill>
    </odxf>
    <ndxf>
      <fill>
        <patternFill patternType="solid">
          <bgColor theme="0" tint="-0.14999847407452621"/>
        </patternFill>
      </fill>
    </ndxf>
  </rcc>
  <rcc rId="724" sId="6" odxf="1" dxf="1">
    <nc r="DT7">
      <f>SUM(DO7:DS7)</f>
    </nc>
    <odxf>
      <fill>
        <patternFill patternType="none">
          <bgColor indexed="65"/>
        </patternFill>
      </fill>
    </odxf>
    <ndxf>
      <fill>
        <patternFill patternType="solid">
          <bgColor theme="0" tint="-0.14999847407452621"/>
        </patternFill>
      </fill>
    </ndxf>
  </rcc>
  <rcc rId="725" sId="6" odxf="1" dxf="1">
    <nc r="DT8">
      <f>SUM(DO8:DS8)</f>
    </nc>
    <odxf>
      <fill>
        <patternFill patternType="none">
          <bgColor indexed="65"/>
        </patternFill>
      </fill>
    </odxf>
    <ndxf>
      <fill>
        <patternFill patternType="solid">
          <bgColor theme="0" tint="-0.14999847407452621"/>
        </patternFill>
      </fill>
    </ndxf>
  </rcc>
  <rcc rId="726" sId="6" odxf="1" dxf="1">
    <nc r="DT9">
      <f>SUM(DO9:DS9)</f>
    </nc>
    <odxf>
      <fill>
        <patternFill patternType="none">
          <bgColor indexed="65"/>
        </patternFill>
      </fill>
    </odxf>
    <ndxf>
      <fill>
        <patternFill patternType="solid">
          <bgColor theme="0" tint="-0.14999847407452621"/>
        </patternFill>
      </fill>
    </ndxf>
  </rcc>
  <rcc rId="727" sId="6" odxf="1" dxf="1">
    <nc r="DT10">
      <f>SUM(DO10:DS10)</f>
    </nc>
    <odxf>
      <fill>
        <patternFill patternType="none">
          <bgColor indexed="65"/>
        </patternFill>
      </fill>
    </odxf>
    <ndxf>
      <fill>
        <patternFill patternType="solid">
          <bgColor theme="0" tint="-0.14999847407452621"/>
        </patternFill>
      </fill>
    </ndxf>
  </rcc>
  <rcc rId="728" sId="6" odxf="1" dxf="1">
    <nc r="DT11">
      <f>SUM(DO11:DS11)</f>
    </nc>
    <odxf>
      <fill>
        <patternFill patternType="none">
          <bgColor indexed="65"/>
        </patternFill>
      </fill>
    </odxf>
    <ndxf>
      <fill>
        <patternFill patternType="solid">
          <bgColor theme="0" tint="-0.14999847407452621"/>
        </patternFill>
      </fill>
    </ndxf>
  </rcc>
  <rcc rId="729" sId="6" odxf="1" dxf="1">
    <nc r="DT12">
      <f>SUM(DO12:DS12)</f>
    </nc>
    <odxf>
      <fill>
        <patternFill patternType="none">
          <bgColor indexed="65"/>
        </patternFill>
      </fill>
    </odxf>
    <ndxf>
      <fill>
        <patternFill patternType="solid">
          <bgColor theme="0" tint="-0.14999847407452621"/>
        </patternFill>
      </fill>
    </ndxf>
  </rcc>
  <rcc rId="730" sId="6" odxf="1" dxf="1">
    <nc r="DT13">
      <f>SUM(DO13:DS13)</f>
    </nc>
    <odxf>
      <fill>
        <patternFill patternType="none">
          <bgColor indexed="65"/>
        </patternFill>
      </fill>
    </odxf>
    <ndxf>
      <fill>
        <patternFill patternType="solid">
          <bgColor theme="0" tint="-0.14999847407452621"/>
        </patternFill>
      </fill>
    </ndxf>
  </rcc>
  <rcc rId="731" sId="6" odxf="1" dxf="1">
    <nc r="DT14">
      <f>SUM(DO14:DS14)</f>
    </nc>
    <odxf>
      <fill>
        <patternFill patternType="none">
          <bgColor indexed="65"/>
        </patternFill>
      </fill>
    </odxf>
    <ndxf>
      <fill>
        <patternFill patternType="solid">
          <bgColor theme="0" tint="-0.14999847407452621"/>
        </patternFill>
      </fill>
    </ndxf>
  </rcc>
  <rcc rId="732" sId="6" odxf="1" dxf="1">
    <nc r="DT15">
      <f>SUM(DO15:DS15)</f>
    </nc>
    <odxf>
      <fill>
        <patternFill patternType="none">
          <bgColor indexed="65"/>
        </patternFill>
      </fill>
    </odxf>
    <ndxf>
      <fill>
        <patternFill patternType="solid">
          <bgColor theme="0" tint="-0.14999847407452621"/>
        </patternFill>
      </fill>
    </ndxf>
  </rcc>
  <rcc rId="733" sId="6" odxf="1" dxf="1">
    <nc r="DT16">
      <f>SUM(DO16:DS16)</f>
    </nc>
    <odxf>
      <fill>
        <patternFill patternType="none">
          <bgColor indexed="65"/>
        </patternFill>
      </fill>
    </odxf>
    <ndxf>
      <fill>
        <patternFill patternType="solid">
          <bgColor theme="0" tint="-0.14999847407452621"/>
        </patternFill>
      </fill>
    </ndxf>
  </rcc>
  <rcc rId="734" sId="5" odxf="1" dxf="1" numFmtId="21">
    <nc r="DU1">
      <v>45803</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35" sId="5" odxf="1" dxf="1" numFmtId="21">
    <nc r="DV1">
      <v>45804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36" sId="5" odxf="1" dxf="1" numFmtId="21">
    <nc r="DW1">
      <v>45805</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37" sId="5" odxf="1" dxf="1" numFmtId="21">
    <nc r="DX1">
      <v>45806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38" sId="5" odxf="1" dxf="1" numFmtId="21">
    <nc r="DY1">
      <v>45807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39" sId="5" odxf="1" dxf="1">
    <nc r="DZ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740" sId="5" odxf="1" dxf="1">
    <nc r="DZ2">
      <f>SUM(DU2:DY2)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1" sId="5" odxf="1" dxf="1">
    <nc r="DZ3">
      <f>SUM(DU3:DY3)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2" sId="5" odxf="1" dxf="1">
    <nc r="DZ4">
      <f>SUM(DU4:DY4)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3" sId="5" odxf="1" dxf="1">
    <nc r="DZ5">
      <f>SUM(DU5:DY5)</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4" sId="5" odxf="1" dxf="1">
    <nc r="DZ6">
      <f>SUM(DU6:DY6)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5" sId="5" odxf="1" dxf="1">
    <nc r="DZ7">
      <f>SUM(DU7:DY7)</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6" sId="5" odxf="1" dxf="1">
    <nc r="DZ8">
      <f>SUM(DU8:DY8)</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7" sId="5" odxf="1" dxf="1">
    <nc r="DZ9">
      <f>SUM(DU9:DY9)</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8" sId="5" odxf="1" dxf="1">
    <nc r="DZ10">
      <f>SUM(DU10:DY10)</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49" sId="5" odxf="1" dxf="1">
    <nc r="DZ11">
      <f>SUM(DU11:DY11)</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50" sId="5" odxf="1" dxf="1">
    <nc r="DZ12">
      <f>SUM(DU12:DY12)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51" sId="5" odxf="1" dxf="1">
    <nc r="DZ13">
      <f>SUM(DU13:DY13)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52" sId="5" odxf="1" dxf="1">
    <nc r="DZ14">
      <f>SUM(DU14:DY14)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53" sId="5" odxf="1" dxf="1">
    <nc r="DZ15">
      <f>SUM(DU15:DY15)</f>
    </nc>
    <odxf>
      <fill>
        <patternFill patternType="none">
          <bgColor indexed="65"/>
        </patternFill>
      </fill>
      <border outline="0">
        <right/>
      </border>
    </odxf>
    <ndxf>
      <fill>
        <patternFill patternType="solid">
          <bgColor theme="0" tint="-0.14999847407452621"/>
        </patternFill>
      </fill>
      <border outline="0">
        <right style="thin">
          <color indexed="64"/>
        </right>
      </border>
    </ndxf>
  </rcc>
  <rfmt sheetId="5" sqref="DU16" start="0" length="0">
    <dxf>
      <border outline="0">
        <bottom style="thin">
          <color indexed="64"/>
        </bottom>
      </border>
    </dxf>
  </rfmt>
  <rfmt sheetId="5" sqref="DV16" start="0" length="0">
    <dxf>
      <border outline="0">
        <bottom style="thin">
          <color indexed="64"/>
        </bottom>
      </border>
    </dxf>
  </rfmt>
  <rfmt sheetId="5" sqref="DW16" start="0" length="0">
    <dxf>
      <border outline="0">
        <bottom style="thin">
          <color indexed="64"/>
        </bottom>
      </border>
    </dxf>
  </rfmt>
  <rfmt sheetId="5" sqref="DX16" start="0" length="0">
    <dxf>
      <border outline="0">
        <bottom style="thin">
          <color indexed="64"/>
        </bottom>
      </border>
    </dxf>
  </rfmt>
  <rfmt sheetId="5" sqref="DY16" start="0" length="0">
    <dxf>
      <border outline="0">
        <bottom style="thin">
          <color indexed="64"/>
        </bottom>
      </border>
    </dxf>
  </rfmt>
  <rcc rId="754" sId="5" odxf="1" dxf="1">
    <nc r="DZ16">
      <f>SUM(DU16:DY16)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55" sId="6" odxf="1" dxf="1" numFmtId="21">
    <nc r="DU1">
      <v>45803</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56" sId="6" odxf="1" dxf="1" numFmtId="21">
    <nc r="DV1">
      <v>45804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57" sId="6" odxf="1" dxf="1" numFmtId="21">
    <nc r="DW1">
      <v>45805</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58" sId="6" odxf="1" dxf="1" numFmtId="21">
    <nc r="DX1">
      <v>45806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59" sId="6" odxf="1" dxf="1" numFmtId="21">
    <nc r="DY1">
      <v>45807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60" sId="6" odxf="1" dxf="1">
    <nc r="DZ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761" sId="6" odxf="1" dxf="1">
    <nc r="DZ2">
      <f>SUM(DU2:DY2)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2" sId="6" odxf="1" dxf="1">
    <nc r="DZ3">
      <f>SUM(DU3:DY3)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3" sId="6" odxf="1" dxf="1">
    <nc r="DZ4">
      <f>SUM(DU4:DY4)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4" sId="6" odxf="1" dxf="1">
    <nc r="DZ5">
      <f>SUM(DU5:DY5)</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5" sId="6" odxf="1" dxf="1">
    <nc r="DZ6">
      <f>SUM(DU6:DY6)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6" sId="6" odxf="1" dxf="1">
    <nc r="DZ7">
      <f>SUM(DU7:DY7)</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7" sId="6" odxf="1" dxf="1">
    <nc r="DZ8">
      <f>SUM(DU8:DY8)</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8" sId="6" odxf="1" dxf="1">
    <nc r="DZ9">
      <f>SUM(DU9:DY9)</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69" sId="6" odxf="1" dxf="1">
    <nc r="DZ10">
      <f>SUM(DU10:DY10)</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70" sId="6" odxf="1" dxf="1">
    <nc r="DZ11">
      <f>SUM(DU11:DY11)</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71" sId="6" odxf="1" dxf="1">
    <nc r="DZ12">
      <f>SUM(DU12:DY12)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72" sId="6" odxf="1" dxf="1">
    <nc r="DZ13">
      <f>SUM(DU13:DY13)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73" sId="6" odxf="1" dxf="1">
    <nc r="DZ14">
      <f>SUM(DU14:DY14)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74" sId="6" odxf="1" dxf="1">
    <nc r="DZ15">
      <f>SUM(DU15:DY15)</f>
    </nc>
    <odxf>
      <fill>
        <patternFill patternType="none">
          <bgColor indexed="65"/>
        </patternFill>
      </fill>
      <border outline="0">
        <right/>
      </border>
    </odxf>
    <ndxf>
      <fill>
        <patternFill patternType="solid">
          <bgColor theme="0" tint="-0.14999847407452621"/>
        </patternFill>
      </fill>
      <border outline="0">
        <right style="thin">
          <color indexed="64"/>
        </right>
      </border>
    </ndxf>
  </rcc>
  <rfmt sheetId="6" sqref="DU16" start="0" length="0">
    <dxf>
      <border outline="0">
        <bottom style="thin">
          <color indexed="64"/>
        </bottom>
      </border>
    </dxf>
  </rfmt>
  <rfmt sheetId="6" sqref="DV16" start="0" length="0">
    <dxf>
      <border outline="0">
        <bottom style="thin">
          <color indexed="64"/>
        </bottom>
      </border>
    </dxf>
  </rfmt>
  <rfmt sheetId="6" sqref="DW16" start="0" length="0">
    <dxf>
      <border outline="0">
        <bottom style="thin">
          <color indexed="64"/>
        </bottom>
      </border>
    </dxf>
  </rfmt>
  <rfmt sheetId="6" sqref="DX16" start="0" length="0">
    <dxf>
      <border outline="0">
        <bottom style="thin">
          <color indexed="64"/>
        </bottom>
      </border>
    </dxf>
  </rfmt>
  <rfmt sheetId="6" sqref="DY16" start="0" length="0">
    <dxf>
      <border outline="0">
        <bottom style="thin">
          <color indexed="64"/>
        </bottom>
      </border>
    </dxf>
  </rfmt>
  <rcc rId="775" sId="6" odxf="1" dxf="1">
    <nc r="DZ16">
      <f>SUM(DU16:DY16)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76" sId="7" odxf="1" dxf="1" numFmtId="21">
    <nc r="DT1">
      <v>45803</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77" sId="7" odxf="1" dxf="1" numFmtId="21">
    <nc r="DU1">
      <v>45804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78" sId="7" odxf="1" dxf="1" numFmtId="21">
    <nc r="DV1">
      <v>45805</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79" sId="7" odxf="1" dxf="1" numFmtId="21">
    <nc r="DW1">
      <v>45806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80" sId="7" odxf="1" dxf="1" numFmtId="21">
    <nc r="DX1">
      <v>45807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781" sId="7" odxf="1" dxf="1">
    <nc r="DY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782" sId="7" odxf="1" dxf="1">
    <nc r="DY2">
      <f>SUM(DT2:DX2)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83" sId="7" odxf="1" dxf="1">
    <nc r="DY3">
      <f>SUM(DT3:DX3)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84" sId="7" odxf="1" dxf="1">
    <nc r="DY4">
      <f>SUM(DT4:DX4)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85" sId="7" odxf="1" dxf="1">
    <nc r="DY5">
      <f>SUM(DT5:DX5)</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86" sId="7" odxf="1" dxf="1">
    <nc r="DY6">
      <f>SUM(DT6:DX6)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87" sId="7" odxf="1" dxf="1">
    <nc r="DY7">
      <f>SUM(DT7:DX7)</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88" sId="7" odxf="1" dxf="1">
    <nc r="DY8">
      <f>SUM(DT8:DX8)</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89" sId="7" odxf="1" dxf="1">
    <nc r="DY9">
      <f>SUM(DT9:DX9)</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90" sId="7" odxf="1" dxf="1">
    <nc r="DY10">
      <f>SUM(DT10:DX10)</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91" sId="7" odxf="1" dxf="1">
    <nc r="DY11">
      <f>SUM(DT11:DX11)</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92" sId="7" odxf="1" dxf="1">
    <nc r="DY12">
      <f>SUM(DT12:DX12)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93" sId="7" odxf="1" dxf="1">
    <nc r="DY13">
      <f>SUM(DT13:DX13)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94" sId="7" odxf="1" dxf="1">
    <nc r="DY14">
      <f>SUM(DT14:DX14)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795" sId="7" odxf="1" dxf="1">
    <nc r="DY15">
      <f>SUM(DT15:DX15)</f>
    </nc>
    <odxf>
      <fill>
        <patternFill patternType="none">
          <bgColor indexed="65"/>
        </patternFill>
      </fill>
      <border outline="0">
        <right/>
      </border>
    </odxf>
    <ndxf>
      <fill>
        <patternFill patternType="solid">
          <bgColor theme="0" tint="-0.14999847407452621"/>
        </patternFill>
      </fill>
      <border outline="0">
        <right style="thin">
          <color indexed="64"/>
        </right>
      </border>
    </ndxf>
  </rcc>
  <rfmt sheetId="7" sqref="DT16" start="0" length="0">
    <dxf>
      <border outline="0">
        <bottom style="thin">
          <color indexed="64"/>
        </bottom>
      </border>
    </dxf>
  </rfmt>
  <rfmt sheetId="7" sqref="DU16" start="0" length="0">
    <dxf>
      <border outline="0">
        <bottom style="thin">
          <color indexed="64"/>
        </bottom>
      </border>
    </dxf>
  </rfmt>
  <rfmt sheetId="7" sqref="DV16" start="0" length="0">
    <dxf>
      <border outline="0">
        <bottom style="thin">
          <color indexed="64"/>
        </bottom>
      </border>
    </dxf>
  </rfmt>
  <rfmt sheetId="7" sqref="DW16" start="0" length="0">
    <dxf>
      <border outline="0">
        <bottom style="thin">
          <color indexed="64"/>
        </bottom>
      </border>
    </dxf>
  </rfmt>
  <rfmt sheetId="7" sqref="DX16" start="0" length="0">
    <dxf>
      <border outline="0">
        <bottom style="thin">
          <color indexed="64"/>
        </bottom>
      </border>
    </dxf>
  </rfmt>
  <rcc rId="796" sId="7" odxf="1" dxf="1">
    <nc r="DY16">
      <f>SUM(DT16:DX16)</f>
    </nc>
    <odxf>
      <fill>
        <patternFill patternType="none">
          <bgColor indexed="65"/>
        </patternFill>
      </fill>
      <border outline="0">
        <right/>
      </border>
    </odxf>
    <ndxf>
      <fill>
        <patternFill patternType="solid">
          <bgColor theme="0" tint="-0.14999847407452621"/>
        </patternFill>
      </fill>
      <border outline="0">
        <right style="thin">
          <color indexed="64"/>
        </right>
      </border>
    </ndxf>
  </rcc>
  <rrc rId="797" sId="7" ref="DT1:DT1048576" action="insertCol"/>
  <rcc rId="798" sId="7" odxf="1" dxf="1">
    <nc r="DT1" t="inlineStr">
      <is>
        <t>TOTAL SEMANA</t>
      </is>
    </nc>
    <odxf>
      <numFmt numFmtId="164" formatCode="dd/mmm"/>
      <fill>
        <patternFill patternType="none">
          <bgColor indexed="65"/>
        </patternFill>
      </fill>
    </odxf>
    <ndxf>
      <numFmt numFmtId="21" formatCode="dd/mmm"/>
      <fill>
        <patternFill patternType="solid">
          <bgColor theme="0" tint="-0.14999847407452621"/>
        </patternFill>
      </fill>
    </ndxf>
  </rcc>
  <rcc rId="799" sId="7" odxf="1" dxf="1">
    <nc r="DT2">
      <f>SUM(DO2:DS2)</f>
    </nc>
    <odxf>
      <fill>
        <patternFill patternType="none">
          <bgColor indexed="65"/>
        </patternFill>
      </fill>
    </odxf>
    <ndxf>
      <fill>
        <patternFill patternType="solid">
          <bgColor theme="0" tint="-0.14999847407452621"/>
        </patternFill>
      </fill>
    </ndxf>
  </rcc>
  <rcc rId="800" sId="7" odxf="1" dxf="1">
    <nc r="DT3">
      <f>SUM(DO3:DS3)</f>
    </nc>
    <odxf>
      <fill>
        <patternFill patternType="none">
          <bgColor indexed="65"/>
        </patternFill>
      </fill>
    </odxf>
    <ndxf>
      <fill>
        <patternFill patternType="solid">
          <bgColor theme="0" tint="-0.14999847407452621"/>
        </patternFill>
      </fill>
    </ndxf>
  </rcc>
  <rcc rId="801" sId="7" odxf="1" dxf="1">
    <nc r="DT4">
      <f>SUM(DO4:DS4)</f>
    </nc>
    <odxf>
      <fill>
        <patternFill patternType="none">
          <bgColor indexed="65"/>
        </patternFill>
      </fill>
    </odxf>
    <ndxf>
      <fill>
        <patternFill patternType="solid">
          <bgColor theme="0" tint="-0.14999847407452621"/>
        </patternFill>
      </fill>
    </ndxf>
  </rcc>
  <rcc rId="802" sId="7" odxf="1" dxf="1">
    <nc r="DT5">
      <f>SUM(DO5:DS5)</f>
    </nc>
    <odxf>
      <fill>
        <patternFill patternType="none">
          <bgColor indexed="65"/>
        </patternFill>
      </fill>
    </odxf>
    <ndxf>
      <fill>
        <patternFill patternType="solid">
          <bgColor theme="0" tint="-0.14999847407452621"/>
        </patternFill>
      </fill>
    </ndxf>
  </rcc>
  <rcc rId="803" sId="7" odxf="1" dxf="1">
    <nc r="DT6">
      <f>SUM(DO6:DS6)</f>
    </nc>
    <odxf>
      <fill>
        <patternFill patternType="none">
          <bgColor indexed="65"/>
        </patternFill>
      </fill>
    </odxf>
    <ndxf>
      <fill>
        <patternFill patternType="solid">
          <bgColor theme="0" tint="-0.14999847407452621"/>
        </patternFill>
      </fill>
    </ndxf>
  </rcc>
  <rcc rId="804" sId="7" odxf="1" dxf="1">
    <nc r="DT7">
      <f>SUM(DO7:DS7)</f>
    </nc>
    <odxf>
      <fill>
        <patternFill patternType="none">
          <bgColor indexed="65"/>
        </patternFill>
      </fill>
    </odxf>
    <ndxf>
      <fill>
        <patternFill patternType="solid">
          <bgColor theme="0" tint="-0.14999847407452621"/>
        </patternFill>
      </fill>
    </ndxf>
  </rcc>
  <rcc rId="805" sId="7" odxf="1" dxf="1">
    <nc r="DT8">
      <f>SUM(DO8:DS8)</f>
    </nc>
    <odxf>
      <fill>
        <patternFill patternType="none">
          <bgColor indexed="65"/>
        </patternFill>
      </fill>
    </odxf>
    <ndxf>
      <fill>
        <patternFill patternType="solid">
          <bgColor theme="0" tint="-0.14999847407452621"/>
        </patternFill>
      </fill>
    </ndxf>
  </rcc>
  <rcc rId="806" sId="7" odxf="1" dxf="1">
    <nc r="DT9">
      <f>SUM(DO9:DS9)</f>
    </nc>
    <odxf>
      <fill>
        <patternFill patternType="none">
          <bgColor indexed="65"/>
        </patternFill>
      </fill>
    </odxf>
    <ndxf>
      <fill>
        <patternFill patternType="solid">
          <bgColor theme="0" tint="-0.14999847407452621"/>
        </patternFill>
      </fill>
    </ndxf>
  </rcc>
  <rcc rId="807" sId="7" odxf="1" dxf="1">
    <nc r="DT10">
      <f>SUM(DO10:DS10)</f>
    </nc>
    <odxf>
      <fill>
        <patternFill patternType="none">
          <bgColor indexed="65"/>
        </patternFill>
      </fill>
    </odxf>
    <ndxf>
      <fill>
        <patternFill patternType="solid">
          <bgColor theme="0" tint="-0.14999847407452621"/>
        </patternFill>
      </fill>
    </ndxf>
  </rcc>
  <rcc rId="808" sId="7" odxf="1" dxf="1">
    <nc r="DT11">
      <f>SUM(DO11:DS11)</f>
    </nc>
    <odxf>
      <fill>
        <patternFill patternType="none">
          <bgColor indexed="65"/>
        </patternFill>
      </fill>
    </odxf>
    <ndxf>
      <fill>
        <patternFill patternType="solid">
          <bgColor theme="0" tint="-0.14999847407452621"/>
        </patternFill>
      </fill>
    </ndxf>
  </rcc>
  <rcc rId="809" sId="7" odxf="1" dxf="1">
    <nc r="DT12">
      <f>SUM(DO12:DS12)</f>
    </nc>
    <odxf>
      <fill>
        <patternFill patternType="none">
          <bgColor indexed="65"/>
        </patternFill>
      </fill>
    </odxf>
    <ndxf>
      <fill>
        <patternFill patternType="solid">
          <bgColor theme="0" tint="-0.14999847407452621"/>
        </patternFill>
      </fill>
    </ndxf>
  </rcc>
  <rcc rId="810" sId="7" odxf="1" dxf="1">
    <nc r="DT13">
      <f>SUM(DO13:DS13)</f>
    </nc>
    <odxf>
      <fill>
        <patternFill patternType="none">
          <bgColor indexed="65"/>
        </patternFill>
      </fill>
    </odxf>
    <ndxf>
      <fill>
        <patternFill patternType="solid">
          <bgColor theme="0" tint="-0.14999847407452621"/>
        </patternFill>
      </fill>
    </ndxf>
  </rcc>
  <rcc rId="811" sId="7" odxf="1" dxf="1">
    <nc r="DT14">
      <f>SUM(DO14:DS14)</f>
    </nc>
    <odxf>
      <fill>
        <patternFill patternType="none">
          <bgColor indexed="65"/>
        </patternFill>
      </fill>
    </odxf>
    <ndxf>
      <fill>
        <patternFill patternType="solid">
          <bgColor theme="0" tint="-0.14999847407452621"/>
        </patternFill>
      </fill>
    </ndxf>
  </rcc>
  <rcc rId="812" sId="7" odxf="1" dxf="1">
    <nc r="DT15">
      <f>SUM(DO15:DS15)</f>
    </nc>
    <odxf>
      <fill>
        <patternFill patternType="none">
          <bgColor indexed="65"/>
        </patternFill>
      </fill>
    </odxf>
    <ndxf>
      <fill>
        <patternFill patternType="solid">
          <bgColor theme="0" tint="-0.14999847407452621"/>
        </patternFill>
      </fill>
    </ndxf>
  </rcc>
  <rcc rId="813" sId="7" odxf="1" dxf="1">
    <nc r="DT16">
      <f>SUM(DO16:DS16)</f>
    </nc>
    <odxf>
      <fill>
        <patternFill patternType="none">
          <bgColor indexed="65"/>
        </patternFill>
      </fill>
    </odxf>
    <ndxf>
      <fill>
        <patternFill patternType="solid">
          <bgColor theme="0" tint="-0.14999847407452621"/>
        </patternFill>
      </fill>
    </ndxf>
  </rcc>
  <rcc rId="814" sId="8" odxf="1" dxf="1" numFmtId="21">
    <nc r="DU1">
      <v>45803</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15" sId="8" odxf="1" dxf="1" numFmtId="21">
    <nc r="DV1">
      <v>45804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16" sId="8" odxf="1" dxf="1" numFmtId="21">
    <nc r="DW1">
      <v>45805</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17" sId="8" odxf="1" dxf="1" numFmtId="21">
    <nc r="DX1">
      <v>45806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18" sId="8" odxf="1" dxf="1" numFmtId="21">
    <nc r="DY1">
      <v>45807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19" sId="8" odxf="1" dxf="1">
    <nc r="DZ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820" sId="8" odxf="1" dxf="1">
    <nc r="DZ2">
      <f>SUM(DU2:DY2)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1" sId="8" odxf="1" dxf="1">
    <nc r="DZ3">
      <f>SUM(DU3:DY3)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2" sId="8" odxf="1" dxf="1">
    <nc r="DZ4">
      <f>SUM(DU4:DY4)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3" sId="8" odxf="1" dxf="1">
    <nc r="DZ5">
      <f>SUM(DU5:DY5)</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4" sId="8" odxf="1" dxf="1">
    <nc r="DZ6">
      <f>SUM(DU6:DY6)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5" sId="8" odxf="1" dxf="1">
    <nc r="DZ7">
      <f>SUM(DU7:DY7)</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6" sId="8" odxf="1" dxf="1">
    <nc r="DZ8">
      <f>SUM(DU8:DY8)</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7" sId="8" odxf="1" dxf="1">
    <nc r="DZ9">
      <f>SUM(DU9:DY9)</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8" sId="8" odxf="1" dxf="1">
    <nc r="DZ10">
      <f>SUM(DU10:DY10)</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29" sId="8" odxf="1" dxf="1">
    <nc r="DZ11">
      <f>SUM(DU11:DY11)</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30" sId="8" odxf="1" dxf="1">
    <nc r="DZ12">
      <f>SUM(DU12:DY12)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31" sId="8" odxf="1" dxf="1">
    <nc r="DZ13">
      <f>SUM(DU13:DY13)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32" sId="8" odxf="1" dxf="1">
    <nc r="DZ14">
      <f>SUM(DU14:DY14)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33" sId="8" odxf="1" dxf="1">
    <nc r="DZ15">
      <f>SUM(DU15:DY15)</f>
    </nc>
    <odxf>
      <fill>
        <patternFill patternType="none">
          <bgColor indexed="65"/>
        </patternFill>
      </fill>
      <border outline="0">
        <right/>
      </border>
    </odxf>
    <ndxf>
      <fill>
        <patternFill patternType="solid">
          <bgColor theme="0" tint="-0.14999847407452621"/>
        </patternFill>
      </fill>
      <border outline="0">
        <right style="thin">
          <color indexed="64"/>
        </right>
      </border>
    </ndxf>
  </rcc>
  <rfmt sheetId="8" sqref="DU16" start="0" length="0">
    <dxf>
      <border outline="0">
        <bottom style="thin">
          <color indexed="64"/>
        </bottom>
      </border>
    </dxf>
  </rfmt>
  <rfmt sheetId="8" sqref="DV16" start="0" length="0">
    <dxf>
      <border outline="0">
        <bottom style="thin">
          <color indexed="64"/>
        </bottom>
      </border>
    </dxf>
  </rfmt>
  <rfmt sheetId="8" sqref="DW16" start="0" length="0">
    <dxf>
      <border outline="0">
        <bottom style="thin">
          <color indexed="64"/>
        </bottom>
      </border>
    </dxf>
  </rfmt>
  <rfmt sheetId="8" sqref="DX16" start="0" length="0">
    <dxf>
      <border outline="0">
        <bottom style="thin">
          <color indexed="64"/>
        </bottom>
      </border>
    </dxf>
  </rfmt>
  <rfmt sheetId="8" sqref="DY16" start="0" length="0">
    <dxf>
      <border outline="0">
        <bottom style="thin">
          <color indexed="64"/>
        </bottom>
      </border>
    </dxf>
  </rfmt>
  <rcc rId="834" sId="8" odxf="1" dxf="1">
    <nc r="DZ16">
      <f>SUM(DU16:DY16)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35" sId="7" odxf="1" dxf="1" numFmtId="21">
    <oc r="DI1" t="inlineStr">
      <is>
        <t>12/maiio</t>
      </is>
    </oc>
    <nc r="DI1">
      <v>45789</v>
    </nc>
    <odxf>
      <numFmt numFmtId="0" formatCode="General"/>
    </odxf>
    <ndxf>
      <numFmt numFmtId="21" formatCode="dd/mmm"/>
    </ndxf>
  </rcc>
  <rcc rId="836" sId="9" odxf="1" dxf="1" numFmtId="21">
    <nc r="DI1">
      <v>45789</v>
    </nc>
    <odxf>
      <numFmt numFmtId="0" formatCode="General"/>
    </odxf>
    <ndxf>
      <numFmt numFmtId="21" formatCode="dd/mmm"/>
    </ndxf>
  </rcc>
  <rcc rId="837" sId="9" odxf="1" dxf="1" numFmtId="21">
    <nc r="DJ1">
      <v>45790</v>
    </nc>
    <odxf>
      <numFmt numFmtId="0" formatCode="General"/>
    </odxf>
    <ndxf>
      <numFmt numFmtId="21" formatCode="dd/mmm"/>
    </ndxf>
  </rcc>
  <rcc rId="838" sId="9" odxf="1" dxf="1" numFmtId="21">
    <nc r="DK1">
      <v>45791</v>
    </nc>
    <odxf>
      <numFmt numFmtId="0" formatCode="General"/>
    </odxf>
    <ndxf>
      <numFmt numFmtId="21" formatCode="dd/mmm"/>
    </ndxf>
  </rcc>
  <rcc rId="839" sId="9" odxf="1" dxf="1" numFmtId="21">
    <nc r="DL1">
      <v>45792</v>
    </nc>
    <odxf>
      <numFmt numFmtId="0" formatCode="General"/>
    </odxf>
    <ndxf>
      <numFmt numFmtId="21" formatCode="dd/mmm"/>
    </ndxf>
  </rcc>
  <rcc rId="840" sId="9" odxf="1" dxf="1" numFmtId="21">
    <nc r="DM1">
      <v>45793</v>
    </nc>
    <odxf>
      <numFmt numFmtId="0" formatCode="General"/>
    </odxf>
    <ndxf>
      <numFmt numFmtId="21" formatCode="dd/mmm"/>
    </ndxf>
  </rcc>
  <rcc rId="841" sId="9" odxf="1" dxf="1">
    <nc r="DN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cc rId="842" sId="9" odxf="1" dxf="1" numFmtId="19">
    <nc r="DO1">
      <v>45796</v>
    </nc>
    <odxf>
      <numFmt numFmtId="0" formatCode="General"/>
    </odxf>
    <ndxf>
      <numFmt numFmtId="164" formatCode="dd/mmm"/>
    </ndxf>
  </rcc>
  <rcc rId="843" sId="9" odxf="1" dxf="1" numFmtId="19">
    <nc r="DP1">
      <v>45797</v>
    </nc>
    <odxf>
      <numFmt numFmtId="0" formatCode="General"/>
    </odxf>
    <ndxf>
      <numFmt numFmtId="164" formatCode="dd/mmm"/>
    </ndxf>
  </rcc>
  <rcc rId="844" sId="9" odxf="1" dxf="1" numFmtId="19">
    <nc r="DQ1">
      <v>45798</v>
    </nc>
    <odxf>
      <numFmt numFmtId="0" formatCode="General"/>
    </odxf>
    <ndxf>
      <numFmt numFmtId="164" formatCode="dd/mmm"/>
    </ndxf>
  </rcc>
  <rcc rId="845" sId="9" odxf="1" dxf="1" numFmtId="19">
    <nc r="DR1">
      <v>45799</v>
    </nc>
    <odxf>
      <numFmt numFmtId="0" formatCode="General"/>
    </odxf>
    <ndxf>
      <numFmt numFmtId="164" formatCode="dd/mmm"/>
    </ndxf>
  </rcc>
  <rcc rId="846" sId="9" odxf="1" dxf="1" numFmtId="19">
    <nc r="DS1">
      <v>45800</v>
    </nc>
    <odxf>
      <numFmt numFmtId="0" formatCode="General"/>
    </odxf>
    <ndxf>
      <numFmt numFmtId="164" formatCode="dd/mmm"/>
    </ndxf>
  </rcc>
  <rcc rId="847" sId="9" odxf="1" dxf="1">
    <nc r="DT1" t="inlineStr">
      <is>
        <t>TOTAL SEMANA</t>
      </is>
    </nc>
    <odxf>
      <numFmt numFmtId="0" formatCode="General"/>
      <fill>
        <patternFill patternType="none">
          <bgColor indexed="65"/>
        </patternFill>
      </fill>
    </odxf>
    <ndxf>
      <numFmt numFmtId="21" formatCode="dd/mmm"/>
      <fill>
        <patternFill patternType="solid">
          <bgColor theme="0" tint="-0.14999847407452621"/>
        </patternFill>
      </fill>
    </ndxf>
  </rcc>
  <rcc rId="848" sId="9" odxf="1" dxf="1" numFmtId="21">
    <nc r="DU1">
      <v>45803</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49" sId="9" odxf="1" dxf="1" numFmtId="21">
    <nc r="DV1">
      <v>45804</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50" sId="9" odxf="1" dxf="1" numFmtId="21">
    <nc r="DW1">
      <v>45805</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51" sId="9" odxf="1" dxf="1" numFmtId="21">
    <nc r="DX1">
      <v>45806</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52" sId="9" odxf="1" dxf="1" numFmtId="21">
    <nc r="DY1">
      <v>45807</v>
    </nc>
    <odxf>
      <numFmt numFmtId="0" formatCode="General"/>
      <border outline="0">
        <left/>
        <right/>
        <top/>
        <bottom/>
      </border>
    </odxf>
    <ndxf>
      <numFmt numFmtId="21" formatCode="dd/mmm"/>
      <border outline="0">
        <left style="thin">
          <color auto="1"/>
        </left>
        <right style="thin">
          <color auto="1"/>
        </right>
        <top style="thin">
          <color auto="1"/>
        </top>
        <bottom style="thin">
          <color auto="1"/>
        </bottom>
      </border>
    </ndxf>
  </rcc>
  <rcc rId="853" sId="9" odxf="1" dxf="1">
    <nc r="DZ1" t="inlineStr">
      <is>
        <t>TOTAL SEMANA</t>
      </is>
    </nc>
    <odxf>
      <fill>
        <patternFill patternType="none">
          <bgColor indexed="65"/>
        </patternFill>
      </fill>
      <border outline="0">
        <left/>
        <right/>
        <top/>
        <bottom/>
      </border>
    </odxf>
    <ndxf>
      <fill>
        <patternFill patternType="solid">
          <bgColor theme="0" tint="-0.14999847407452621"/>
        </patternFill>
      </fill>
      <border outline="0">
        <left style="thin">
          <color auto="1"/>
        </left>
        <right style="thin">
          <color auto="1"/>
        </right>
        <top style="thin">
          <color auto="1"/>
        </top>
        <bottom style="thin">
          <color auto="1"/>
        </bottom>
      </border>
    </ndxf>
  </rcc>
  <rcc rId="854" sId="9" odxf="1" dxf="1">
    <nc r="DN2">
      <f>SUM(DI2:DM2)</f>
    </nc>
    <odxf>
      <fill>
        <patternFill patternType="none">
          <bgColor indexed="65"/>
        </patternFill>
      </fill>
    </odxf>
    <ndxf>
      <fill>
        <patternFill patternType="solid">
          <bgColor theme="0" tint="-0.14999847407452621"/>
        </patternFill>
      </fill>
    </ndxf>
  </rcc>
  <rcc rId="855" sId="9" odxf="1" dxf="1">
    <nc r="DT2">
      <f>SUM(DO2:DS2)</f>
    </nc>
    <odxf>
      <fill>
        <patternFill patternType="none">
          <bgColor indexed="65"/>
        </patternFill>
      </fill>
    </odxf>
    <ndxf>
      <fill>
        <patternFill patternType="solid">
          <bgColor theme="0" tint="-0.14999847407452621"/>
        </patternFill>
      </fill>
    </ndxf>
  </rcc>
  <rcc rId="856" sId="9" odxf="1" dxf="1">
    <nc r="DZ2">
      <f>SUM(DU2:DY2)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57" sId="9" odxf="1" dxf="1">
    <nc r="DN3">
      <f>SUM(DI3:DM3)</f>
    </nc>
    <odxf>
      <fill>
        <patternFill patternType="none">
          <bgColor indexed="65"/>
        </patternFill>
      </fill>
    </odxf>
    <ndxf>
      <fill>
        <patternFill patternType="solid">
          <bgColor theme="0" tint="-0.14999847407452621"/>
        </patternFill>
      </fill>
    </ndxf>
  </rcc>
  <rcc rId="858" sId="9" odxf="1" dxf="1">
    <nc r="DT3">
      <f>SUM(DO3:DS3)</f>
    </nc>
    <odxf>
      <fill>
        <patternFill patternType="none">
          <bgColor indexed="65"/>
        </patternFill>
      </fill>
    </odxf>
    <ndxf>
      <fill>
        <patternFill patternType="solid">
          <bgColor theme="0" tint="-0.14999847407452621"/>
        </patternFill>
      </fill>
    </ndxf>
  </rcc>
  <rcc rId="859" sId="9" odxf="1" dxf="1">
    <nc r="DZ3">
      <f>SUM(DU3:DY3)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60" sId="9" odxf="1" dxf="1">
    <nc r="DN4">
      <f>SUM(DI4:DM4)</f>
    </nc>
    <odxf>
      <fill>
        <patternFill patternType="none">
          <bgColor indexed="65"/>
        </patternFill>
      </fill>
    </odxf>
    <ndxf>
      <fill>
        <patternFill patternType="solid">
          <bgColor theme="0" tint="-0.14999847407452621"/>
        </patternFill>
      </fill>
    </ndxf>
  </rcc>
  <rcc rId="861" sId="9" odxf="1" dxf="1">
    <nc r="DT4">
      <f>SUM(DO4:DS4)</f>
    </nc>
    <odxf>
      <fill>
        <patternFill patternType="none">
          <bgColor indexed="65"/>
        </patternFill>
      </fill>
    </odxf>
    <ndxf>
      <fill>
        <patternFill patternType="solid">
          <bgColor theme="0" tint="-0.14999847407452621"/>
        </patternFill>
      </fill>
    </ndxf>
  </rcc>
  <rcc rId="862" sId="9" odxf="1" dxf="1">
    <nc r="DZ4">
      <f>SUM(DU4:DY4)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63" sId="9" odxf="1" dxf="1">
    <nc r="DN5">
      <f>SUM(DI5:DM5)</f>
    </nc>
    <odxf>
      <fill>
        <patternFill patternType="none">
          <bgColor indexed="65"/>
        </patternFill>
      </fill>
    </odxf>
    <ndxf>
      <fill>
        <patternFill patternType="solid">
          <bgColor theme="0" tint="-0.14999847407452621"/>
        </patternFill>
      </fill>
    </ndxf>
  </rcc>
  <rcc rId="864" sId="9" odxf="1" dxf="1">
    <nc r="DT5">
      <f>SUM(DO5:DS5)</f>
    </nc>
    <odxf>
      <fill>
        <patternFill patternType="none">
          <bgColor indexed="65"/>
        </patternFill>
      </fill>
    </odxf>
    <ndxf>
      <fill>
        <patternFill patternType="solid">
          <bgColor theme="0" tint="-0.14999847407452621"/>
        </patternFill>
      </fill>
    </ndxf>
  </rcc>
  <rcc rId="865" sId="9" odxf="1" dxf="1">
    <nc r="DZ5">
      <f>SUM(DU5:DY5)</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66" sId="9" odxf="1" dxf="1">
    <nc r="DN6">
      <f>SUM(DI6:DM6)</f>
    </nc>
    <odxf>
      <fill>
        <patternFill patternType="none">
          <bgColor indexed="65"/>
        </patternFill>
      </fill>
    </odxf>
    <ndxf>
      <fill>
        <patternFill patternType="solid">
          <bgColor theme="0" tint="-0.14999847407452621"/>
        </patternFill>
      </fill>
    </ndxf>
  </rcc>
  <rcc rId="867" sId="9" odxf="1" dxf="1">
    <nc r="DT6">
      <f>SUM(DO6:DS6)</f>
    </nc>
    <odxf>
      <fill>
        <patternFill patternType="none">
          <bgColor indexed="65"/>
        </patternFill>
      </fill>
    </odxf>
    <ndxf>
      <fill>
        <patternFill patternType="solid">
          <bgColor theme="0" tint="-0.14999847407452621"/>
        </patternFill>
      </fill>
    </ndxf>
  </rcc>
  <rcc rId="868" sId="9" odxf="1" dxf="1">
    <nc r="DZ6">
      <f>SUM(DU6:DY6)</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69" sId="9" odxf="1" dxf="1">
    <nc r="DN7">
      <f>SUM(DI7:DM7)</f>
    </nc>
    <odxf>
      <fill>
        <patternFill patternType="none">
          <bgColor indexed="65"/>
        </patternFill>
      </fill>
    </odxf>
    <ndxf>
      <fill>
        <patternFill patternType="solid">
          <bgColor theme="0" tint="-0.14999847407452621"/>
        </patternFill>
      </fill>
    </ndxf>
  </rcc>
  <rcc rId="870" sId="9" odxf="1" dxf="1">
    <nc r="DT7">
      <f>SUM(DO7:DS7)</f>
    </nc>
    <odxf>
      <fill>
        <patternFill patternType="none">
          <bgColor indexed="65"/>
        </patternFill>
      </fill>
    </odxf>
    <ndxf>
      <fill>
        <patternFill patternType="solid">
          <bgColor theme="0" tint="-0.14999847407452621"/>
        </patternFill>
      </fill>
    </ndxf>
  </rcc>
  <rcc rId="871" sId="9" odxf="1" dxf="1">
    <nc r="DZ7">
      <f>SUM(DU7:DY7)</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72" sId="9" odxf="1" dxf="1">
    <nc r="DN8">
      <f>SUM(DI8:DM8)</f>
    </nc>
    <odxf>
      <fill>
        <patternFill patternType="none">
          <bgColor indexed="65"/>
        </patternFill>
      </fill>
    </odxf>
    <ndxf>
      <fill>
        <patternFill patternType="solid">
          <bgColor theme="0" tint="-0.14999847407452621"/>
        </patternFill>
      </fill>
    </ndxf>
  </rcc>
  <rcc rId="873" sId="9" odxf="1" dxf="1">
    <nc r="DT8">
      <f>SUM(DO8:DS8)</f>
    </nc>
    <odxf>
      <fill>
        <patternFill patternType="none">
          <bgColor indexed="65"/>
        </patternFill>
      </fill>
    </odxf>
    <ndxf>
      <fill>
        <patternFill patternType="solid">
          <bgColor theme="0" tint="-0.14999847407452621"/>
        </patternFill>
      </fill>
    </ndxf>
  </rcc>
  <rcc rId="874" sId="9" odxf="1" dxf="1">
    <nc r="DZ8">
      <f>SUM(DU8:DY8)</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75" sId="9" odxf="1" dxf="1">
    <nc r="DN9">
      <f>SUM(DI9:DM9)</f>
    </nc>
    <odxf>
      <fill>
        <patternFill patternType="none">
          <bgColor indexed="65"/>
        </patternFill>
      </fill>
    </odxf>
    <ndxf>
      <fill>
        <patternFill patternType="solid">
          <bgColor theme="0" tint="-0.14999847407452621"/>
        </patternFill>
      </fill>
    </ndxf>
  </rcc>
  <rcc rId="876" sId="9" odxf="1" dxf="1">
    <nc r="DT9">
      <f>SUM(DO9:DS9)</f>
    </nc>
    <odxf>
      <fill>
        <patternFill patternType="none">
          <bgColor indexed="65"/>
        </patternFill>
      </fill>
    </odxf>
    <ndxf>
      <fill>
        <patternFill patternType="solid">
          <bgColor theme="0" tint="-0.14999847407452621"/>
        </patternFill>
      </fill>
    </ndxf>
  </rcc>
  <rcc rId="877" sId="9" odxf="1" dxf="1">
    <nc r="DZ9">
      <f>SUM(DU9:DY9)</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78" sId="9" odxf="1" dxf="1">
    <nc r="DN10">
      <f>SUM(DI10:DM10)</f>
    </nc>
    <odxf>
      <fill>
        <patternFill patternType="none">
          <bgColor indexed="65"/>
        </patternFill>
      </fill>
    </odxf>
    <ndxf>
      <fill>
        <patternFill patternType="solid">
          <bgColor theme="0" tint="-0.14999847407452621"/>
        </patternFill>
      </fill>
    </ndxf>
  </rcc>
  <rcc rId="879" sId="9" odxf="1" dxf="1">
    <nc r="DT10">
      <f>SUM(DO10:DS10)</f>
    </nc>
    <odxf>
      <fill>
        <patternFill patternType="none">
          <bgColor indexed="65"/>
        </patternFill>
      </fill>
    </odxf>
    <ndxf>
      <fill>
        <patternFill patternType="solid">
          <bgColor theme="0" tint="-0.14999847407452621"/>
        </patternFill>
      </fill>
    </ndxf>
  </rcc>
  <rcc rId="880" sId="9" odxf="1" dxf="1">
    <nc r="DZ10">
      <f>SUM(DU10:DY10)</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81" sId="9" odxf="1" dxf="1">
    <nc r="DN11">
      <f>SUM(DI11:DM11)</f>
    </nc>
    <odxf>
      <fill>
        <patternFill patternType="none">
          <bgColor indexed="65"/>
        </patternFill>
      </fill>
    </odxf>
    <ndxf>
      <fill>
        <patternFill patternType="solid">
          <bgColor theme="0" tint="-0.14999847407452621"/>
        </patternFill>
      </fill>
    </ndxf>
  </rcc>
  <rcc rId="882" sId="9" odxf="1" dxf="1">
    <nc r="DT11">
      <f>SUM(DO11:DS11)</f>
    </nc>
    <odxf>
      <fill>
        <patternFill patternType="none">
          <bgColor indexed="65"/>
        </patternFill>
      </fill>
    </odxf>
    <ndxf>
      <fill>
        <patternFill patternType="solid">
          <bgColor theme="0" tint="-0.14999847407452621"/>
        </patternFill>
      </fill>
    </ndxf>
  </rcc>
  <rcc rId="883" sId="9" odxf="1" dxf="1">
    <nc r="DZ11">
      <f>SUM(DU11:DY11)</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84" sId="9" odxf="1" dxf="1">
    <nc r="DN12">
      <f>SUM(DI12:DM12)</f>
    </nc>
    <odxf>
      <fill>
        <patternFill patternType="none">
          <bgColor indexed="65"/>
        </patternFill>
      </fill>
    </odxf>
    <ndxf>
      <fill>
        <patternFill patternType="solid">
          <bgColor theme="0" tint="-0.14999847407452621"/>
        </patternFill>
      </fill>
    </ndxf>
  </rcc>
  <rcc rId="885" sId="9" odxf="1" dxf="1">
    <nc r="DT12">
      <f>SUM(DO12:DS12)</f>
    </nc>
    <odxf>
      <fill>
        <patternFill patternType="none">
          <bgColor indexed="65"/>
        </patternFill>
      </fill>
    </odxf>
    <ndxf>
      <fill>
        <patternFill patternType="solid">
          <bgColor theme="0" tint="-0.14999847407452621"/>
        </patternFill>
      </fill>
    </ndxf>
  </rcc>
  <rcc rId="886" sId="9" odxf="1" dxf="1">
    <nc r="DZ12">
      <f>SUM(DU12:DY12)</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87" sId="9" odxf="1" dxf="1">
    <nc r="DN13">
      <f>SUM(DI13:DM13)</f>
    </nc>
    <odxf>
      <fill>
        <patternFill patternType="none">
          <bgColor indexed="65"/>
        </patternFill>
      </fill>
    </odxf>
    <ndxf>
      <fill>
        <patternFill patternType="solid">
          <bgColor theme="0" tint="-0.14999847407452621"/>
        </patternFill>
      </fill>
    </ndxf>
  </rcc>
  <rcc rId="888" sId="9" odxf="1" dxf="1">
    <nc r="DT13">
      <f>SUM(DO13:DS13)</f>
    </nc>
    <odxf>
      <fill>
        <patternFill patternType="none">
          <bgColor indexed="65"/>
        </patternFill>
      </fill>
    </odxf>
    <ndxf>
      <fill>
        <patternFill patternType="solid">
          <bgColor theme="0" tint="-0.14999847407452621"/>
        </patternFill>
      </fill>
    </ndxf>
  </rcc>
  <rcc rId="889" sId="9" odxf="1" dxf="1">
    <nc r="DZ13">
      <f>SUM(DU13:DY13)</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90" sId="9" odxf="1" dxf="1">
    <nc r="DN14">
      <f>SUM(DI14:DM14)</f>
    </nc>
    <odxf>
      <fill>
        <patternFill patternType="none">
          <bgColor indexed="65"/>
        </patternFill>
      </fill>
    </odxf>
    <ndxf>
      <fill>
        <patternFill patternType="solid">
          <bgColor theme="0" tint="-0.14999847407452621"/>
        </patternFill>
      </fill>
    </ndxf>
  </rcc>
  <rcc rId="891" sId="9" odxf="1" dxf="1">
    <nc r="DT14">
      <f>SUM(DO14:DS14)</f>
    </nc>
    <odxf>
      <fill>
        <patternFill patternType="none">
          <bgColor indexed="65"/>
        </patternFill>
      </fill>
    </odxf>
    <ndxf>
      <fill>
        <patternFill patternType="solid">
          <bgColor theme="0" tint="-0.14999847407452621"/>
        </patternFill>
      </fill>
    </ndxf>
  </rcc>
  <rcc rId="892" sId="9" odxf="1" dxf="1">
    <nc r="DZ14">
      <f>SUM(DU14:DY14)</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93" sId="9" odxf="1" dxf="1">
    <nc r="DN15">
      <f>SUM(DI15:DM15)</f>
    </nc>
    <odxf>
      <fill>
        <patternFill patternType="none">
          <bgColor indexed="65"/>
        </patternFill>
      </fill>
    </odxf>
    <ndxf>
      <fill>
        <patternFill patternType="solid">
          <bgColor theme="0" tint="-0.14999847407452621"/>
        </patternFill>
      </fill>
    </ndxf>
  </rcc>
  <rcc rId="894" sId="9" odxf="1" dxf="1">
    <nc r="DT15">
      <f>SUM(DO15:DS15)</f>
    </nc>
    <odxf>
      <fill>
        <patternFill patternType="none">
          <bgColor indexed="65"/>
        </patternFill>
      </fill>
    </odxf>
    <ndxf>
      <fill>
        <patternFill patternType="solid">
          <bgColor theme="0" tint="-0.14999847407452621"/>
        </patternFill>
      </fill>
    </ndxf>
  </rcc>
  <rcc rId="895" sId="9" odxf="1" dxf="1">
    <nc r="DZ15">
      <f>SUM(DU15:DY15)</f>
    </nc>
    <odxf>
      <fill>
        <patternFill patternType="none">
          <bgColor indexed="65"/>
        </patternFill>
      </fill>
      <border outline="0">
        <right/>
      </border>
    </odxf>
    <ndxf>
      <fill>
        <patternFill patternType="solid">
          <bgColor theme="0" tint="-0.14999847407452621"/>
        </patternFill>
      </fill>
      <border outline="0">
        <right style="thin">
          <color indexed="64"/>
        </right>
      </border>
    </ndxf>
  </rcc>
  <rcc rId="896" sId="9" odxf="1" dxf="1">
    <nc r="DN16">
      <f>SUM(DI16:DM16)</f>
    </nc>
    <odxf>
      <fill>
        <patternFill patternType="none">
          <bgColor indexed="65"/>
        </patternFill>
      </fill>
    </odxf>
    <ndxf>
      <fill>
        <patternFill patternType="solid">
          <bgColor theme="0" tint="-0.14999847407452621"/>
        </patternFill>
      </fill>
    </ndxf>
  </rcc>
  <rcc rId="897" sId="9" odxf="1" dxf="1">
    <nc r="DT16">
      <f>SUM(DO16:DS16)</f>
    </nc>
    <odxf>
      <fill>
        <patternFill patternType="none">
          <bgColor indexed="65"/>
        </patternFill>
      </fill>
    </odxf>
    <ndxf>
      <fill>
        <patternFill patternType="solid">
          <bgColor theme="0" tint="-0.14999847407452621"/>
        </patternFill>
      </fill>
    </ndxf>
  </rcc>
  <rfmt sheetId="9" sqref="DU16" start="0" length="0">
    <dxf>
      <border outline="0">
        <bottom style="thin">
          <color indexed="64"/>
        </bottom>
      </border>
    </dxf>
  </rfmt>
  <rfmt sheetId="9" sqref="DV16" start="0" length="0">
    <dxf>
      <border outline="0">
        <bottom style="thin">
          <color indexed="64"/>
        </bottom>
      </border>
    </dxf>
  </rfmt>
  <rfmt sheetId="9" sqref="DW16" start="0" length="0">
    <dxf>
      <border outline="0">
        <bottom style="thin">
          <color indexed="64"/>
        </bottom>
      </border>
    </dxf>
  </rfmt>
  <rfmt sheetId="9" sqref="DX16" start="0" length="0">
    <dxf>
      <border outline="0">
        <bottom style="thin">
          <color indexed="64"/>
        </bottom>
      </border>
    </dxf>
  </rfmt>
  <rfmt sheetId="9" sqref="DY16" start="0" length="0">
    <dxf>
      <border outline="0">
        <bottom style="thin">
          <color indexed="64"/>
        </bottom>
      </border>
    </dxf>
  </rfmt>
  <rcc rId="898" sId="9" odxf="1" dxf="1">
    <nc r="DZ16">
      <f>SUM(DU16:DY16)</f>
    </nc>
    <odxf>
      <fill>
        <patternFill patternType="none">
          <bgColor indexed="65"/>
        </patternFill>
      </fill>
      <border outline="0">
        <right/>
      </border>
    </odxf>
    <ndxf>
      <fill>
        <patternFill patternType="solid">
          <bgColor theme="0" tint="-0.14999847407452621"/>
        </patternFill>
      </fill>
      <border outline="0">
        <right style="thin">
          <color indexed="64"/>
        </right>
      </border>
    </ndxf>
  </rcc>
  <rcv guid="{18A482E0-C8B6-4AA1-9E04-15FA7C9CD5E3}" action="delete"/>
  <rcv guid="{18A482E0-C8B6-4AA1-9E04-15FA7C9CD5E3}"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P6" start="0" length="0">
    <dxf>
      <fill>
        <patternFill patternType="solid">
          <bgColor rgb="FFFFFF00"/>
        </patternFill>
      </fill>
      <alignment horizontal="center" vertical="center"/>
    </dxf>
  </rfmt>
  <rcc rId="899" sId="3">
    <oc r="O3">
      <f>Marcelo!BS3+Patrícia!RN3+Diego!BS3+Aelton!BS3+Leonam!BS3+Danilo!BS3+Marcos!BS3+Carlos!BS3</f>
    </oc>
    <nc r="O3">
      <f>Marcelo!BX3+Patrícia!BX3+Diego!BX3+Aelton!BX3+Leonam!BX3+Danilo!BX3+Marcos!BX3+Carlos!BX3</f>
    </nc>
  </rcc>
  <rcc rId="900" sId="3" odxf="1" dxf="1">
    <nc r="O4">
      <f>Marcelo!BX4+Patrícia!BX4+Diego!BX4+Aelton!BX4+Leonam!BX4+Danilo!BX4+Marcos!BX4+Carlos!BX4</f>
    </nc>
    <odxf>
      <fill>
        <patternFill patternType="solid">
          <bgColor rgb="FFFFFF00"/>
        </patternFill>
      </fill>
    </odxf>
    <ndxf>
      <fill>
        <patternFill patternType="none">
          <bgColor indexed="65"/>
        </patternFill>
      </fill>
    </ndxf>
  </rcc>
  <rcc rId="901" sId="3">
    <nc r="O5">
      <f>Marcelo!BX5+Patrícia!BX5+Diego!BX5+Aelton!BX5+Leonam!BX5+Danilo!BX5+Marcos!BX5+Carlos!BX5</f>
    </nc>
  </rcc>
  <rcc rId="902" sId="3" odxf="1" dxf="1">
    <oc r="O6">
      <f>Marcelo!BS6+Patrícia!RN6+Diego!BS6+Aelton!BS6+Leonam!BS6+Danilo!BS6+Marcos!BS6+Carlos!BS6</f>
    </oc>
    <nc r="O6">
      <f>Marcelo!BX6+Patrícia!BX6+Diego!BX6+Aelton!BX6+Leonam!BX6+Danilo!BX6+Marcos!BX6+Carlos!BX6</f>
    </nc>
    <odxf>
      <fill>
        <patternFill patternType="solid">
          <bgColor rgb="FFFFFF00"/>
        </patternFill>
      </fill>
    </odxf>
    <ndxf>
      <fill>
        <patternFill patternType="none">
          <bgColor indexed="65"/>
        </patternFill>
      </fill>
    </ndxf>
  </rcc>
  <rcc rId="903" sId="3">
    <oc r="O7">
      <f>Marcelo!BS7+Patrícia!RN7+Diego!BS7+Aelton!BS7+Leonam!BS7+Danilo!BS7+Marcos!BS7+Carlos!BS7</f>
    </oc>
    <nc r="O7">
      <f>Marcelo!BX7+Patrícia!BX7+Diego!BX7+Aelton!BX7+Leonam!BX7+Danilo!BX7+Marcos!BX7+Carlos!BX7</f>
    </nc>
  </rcc>
  <rcc rId="904" sId="3" odxf="1" dxf="1">
    <oc r="O8">
      <f>Marcelo!BS8+Patrícia!RN8+Diego!BS8+Aelton!BS8+Leonam!BS8+Danilo!BS8+Marcos!BS8+Carlos!BS8</f>
    </oc>
    <nc r="O8">
      <f>Marcelo!BX8+Patrícia!BX8+Diego!BX8+Aelton!BX8+Leonam!BX8+Danilo!BX8+Marcos!BX8+Carlos!BX8</f>
    </nc>
    <odxf>
      <fill>
        <patternFill patternType="solid">
          <bgColor rgb="FFFFFF00"/>
        </patternFill>
      </fill>
    </odxf>
    <ndxf>
      <fill>
        <patternFill patternType="none">
          <bgColor indexed="65"/>
        </patternFill>
      </fill>
    </ndxf>
  </rcc>
  <rcc rId="905" sId="3">
    <oc r="O9">
      <f>Marcelo!BS9+Patrícia!RN9+Diego!BS9+Aelton!BS9+Leonam!BS9+Danilo!BS9+Marcos!BS9+Carlos!BS9</f>
    </oc>
    <nc r="O9">
      <f>Marcelo!BX9+Patrícia!BX9+Diego!BX9+Aelton!BX9+Leonam!BX9+Danilo!BX9+Marcos!BX9+Carlos!BX9</f>
    </nc>
  </rcc>
  <rcc rId="906" sId="3" odxf="1" dxf="1">
    <oc r="O10">
      <f>Marcelo!BS10+Patrícia!RN10+Diego!BS10+Aelton!BS10+Leonam!BS10+Danilo!BS10+Marcos!BS10+Carlos!BS10</f>
    </oc>
    <nc r="O10">
      <f>Marcelo!BX10+Patrícia!BX10+Diego!BX10+Aelton!BX10+Leonam!BX10+Danilo!BX10+Marcos!BX10+Carlos!BX10</f>
    </nc>
    <odxf>
      <fill>
        <patternFill patternType="solid">
          <bgColor rgb="FFFFFF00"/>
        </patternFill>
      </fill>
    </odxf>
    <ndxf>
      <fill>
        <patternFill patternType="none">
          <bgColor indexed="65"/>
        </patternFill>
      </fill>
    </ndxf>
  </rcc>
  <rcc rId="907" sId="3">
    <oc r="O11">
      <f>Marcelo!BS11+Patrícia!RN11+Diego!BS11+Aelton!BS11+Leonam!BS11+Danilo!BS11+Marcos!BS11+Carlos!BS11</f>
    </oc>
    <nc r="O11">
      <f>Marcelo!BX11+Patrícia!BX11+Diego!BX11+Aelton!BX11+Leonam!BX11+Danilo!BX11+Marcos!BX11+Carlos!BX11</f>
    </nc>
  </rcc>
  <rcc rId="908" sId="3" odxf="1" dxf="1">
    <oc r="O12">
      <f>Marcelo!BS12+Patrícia!RN12+Diego!BS12+Aelton!BS12+Leonam!BS12+Danilo!BS12+Marcos!BS12+Carlos!BS12</f>
    </oc>
    <nc r="O12">
      <f>Marcelo!BX12+Patrícia!BX12+Diego!BX12+Aelton!BX12+Leonam!BX12+Danilo!BX12+Marcos!BX12+Carlos!BX12</f>
    </nc>
    <odxf>
      <fill>
        <patternFill patternType="solid">
          <bgColor rgb="FFFFFF00"/>
        </patternFill>
      </fill>
    </odxf>
    <ndxf>
      <fill>
        <patternFill patternType="none">
          <bgColor indexed="65"/>
        </patternFill>
      </fill>
    </ndxf>
  </rcc>
  <rcc rId="909" sId="3">
    <nc r="O13">
      <f>Marcelo!BX13+Patrícia!BX13+Diego!BX13+Aelton!BX13+Leonam!BX13+Danilo!BX13+Marcos!BX13+Carlos!BX13</f>
    </nc>
  </rcc>
  <rcc rId="910" sId="3" odxf="1" dxf="1">
    <oc r="O14">
      <f>Marcelo!BS14+Patrícia!RN14+Diego!BS14+Aelton!BS14+Leonam!BS14+Danilo!BS14+Marcos!BS14+Carlos!BS14</f>
    </oc>
    <nc r="O14">
      <f>Marcelo!BX14+Patrícia!BX14+Diego!BX14+Aelton!BX14+Leonam!BX14+Danilo!BX14+Marcos!BX14+Carlos!BX14</f>
    </nc>
    <odxf>
      <fill>
        <patternFill patternType="solid">
          <bgColor rgb="FFFFFF00"/>
        </patternFill>
      </fill>
    </odxf>
    <ndxf>
      <fill>
        <patternFill patternType="none">
          <bgColor indexed="65"/>
        </patternFill>
      </fill>
    </ndxf>
  </rcc>
  <rcc rId="911" sId="3">
    <oc r="O15">
      <f>Marcelo!BS15+Patrícia!RN15+Diego!BS15+Aelton!BS15+Leonam!BS15+Danilo!BS15+Marcos!BS15+Carlos!BS15</f>
    </oc>
    <nc r="O15">
      <f>Marcelo!BX15+Patrícia!BX15+Diego!BX15+Aelton!BX15+Leonam!BX15+Danilo!BX15+Marcos!BX15+Carlos!BX15</f>
    </nc>
  </rcc>
  <rcc rId="912" sId="3" odxf="1" dxf="1">
    <oc r="O16">
      <f>Marcelo!BS16+Patrícia!RN16+Diego!BS16+Aelton!BS16+Leonam!BS16+Danilo!BS16+Marcos!BS16+Carlos!BS16</f>
    </oc>
    <nc r="O16">
      <f>Marcelo!BX16+Patrícia!BX16+Diego!BX16+Aelton!BX16+Leonam!BX16+Danilo!BX16+Marcos!BX16+Carlos!BX16</f>
    </nc>
    <odxf>
      <fill>
        <patternFill patternType="solid">
          <bgColor rgb="FFFFFF00"/>
        </patternFill>
      </fill>
    </odxf>
    <ndxf>
      <fill>
        <patternFill patternType="none">
          <bgColor indexed="65"/>
        </patternFill>
      </fill>
    </ndxf>
  </rcc>
  <rcc rId="913" sId="3" odxf="1" dxf="1">
    <nc r="O2">
      <f>Marcelo!BX2+Patrícia!BX2+Diego!BX2+Aelton!BX2+Leonam!BX2+Danilo!BX2+Marcos!BX2+Carlos!BX2</f>
    </nc>
    <odxf>
      <fill>
        <patternFill patternType="solid">
          <bgColor rgb="FFFFFF00"/>
        </patternFill>
      </fill>
    </odxf>
    <ndxf>
      <fill>
        <patternFill patternType="none">
          <bgColor indexed="65"/>
        </patternFill>
      </fill>
    </ndxf>
  </rcc>
  <rfmt sheetId="3" sqref="P2" start="0" length="0">
    <dxf>
      <alignment horizontal="center" vertical="center"/>
    </dxf>
  </rfmt>
  <rfmt sheetId="3" sqref="P3" start="0" length="0">
    <dxf>
      <alignment horizontal="center" vertical="center"/>
    </dxf>
  </rfmt>
  <rfmt sheetId="3" sqref="P4" start="0" length="0">
    <dxf>
      <alignment horizontal="center" vertical="center"/>
    </dxf>
  </rfmt>
  <rfmt sheetId="3" sqref="P5" start="0" length="0">
    <dxf>
      <alignment horizontal="center" vertical="center"/>
    </dxf>
  </rfmt>
  <rfmt sheetId="3" sqref="P6" start="0" length="0">
    <dxf>
      <fill>
        <patternFill patternType="none">
          <bgColor indexed="65"/>
        </patternFill>
      </fill>
    </dxf>
  </rfmt>
  <rfmt sheetId="3" sqref="P7" start="0" length="0">
    <dxf>
      <alignment horizontal="center" vertical="center"/>
    </dxf>
  </rfmt>
  <rfmt sheetId="3" sqref="P8" start="0" length="0">
    <dxf>
      <alignment horizontal="center" vertical="center"/>
    </dxf>
  </rfmt>
  <rfmt sheetId="3" sqref="P9" start="0" length="0">
    <dxf>
      <alignment horizontal="center" vertical="center"/>
    </dxf>
  </rfmt>
  <rfmt sheetId="3" sqref="P10" start="0" length="0">
    <dxf>
      <alignment horizontal="center" vertical="center"/>
    </dxf>
  </rfmt>
  <rfmt sheetId="3" sqref="P11" start="0" length="0">
    <dxf>
      <alignment horizontal="center" vertical="center"/>
    </dxf>
  </rfmt>
  <rfmt sheetId="3" sqref="P12" start="0" length="0">
    <dxf>
      <alignment horizontal="center" vertical="center"/>
    </dxf>
  </rfmt>
  <rfmt sheetId="3" sqref="P13" start="0" length="0">
    <dxf>
      <alignment horizontal="center" vertical="center"/>
    </dxf>
  </rfmt>
  <rfmt sheetId="3" sqref="P14" start="0" length="0">
    <dxf>
      <alignment horizontal="center" vertical="center"/>
    </dxf>
  </rfmt>
  <rfmt sheetId="3" sqref="P15" start="0" length="0">
    <dxf>
      <alignment horizontal="center" vertical="center"/>
    </dxf>
  </rfmt>
  <rfmt sheetId="3" sqref="P16" start="0" length="0">
    <dxf>
      <alignment horizontal="center" vertical="center"/>
    </dxf>
  </rfmt>
  <rcc rId="914" sId="3">
    <nc r="P3">
      <f>Marcelo!CD3+Patrícia!CD3+Diego!CD3+Aelton!CD3+Leonam!CD3+Danilo!CD3+Marcos!CD3+Carlos!CD3</f>
    </nc>
  </rcc>
  <rcc rId="915" sId="3">
    <nc r="P2">
      <f>Marcelo!CD2+Patrícia!CD2+Diego!CD2+Aelton!CD2+Leonam!CD2+Danilo!CD2+Marcos!CD2+Carlos!CD2</f>
    </nc>
  </rcc>
  <rcc rId="916" sId="3">
    <nc r="P4">
      <f>Marcelo!CD4+Patrícia!CD4+Diego!CD4+Aelton!CD4+Leonam!CD4+Danilo!CD4+Marcos!CD4+Carlos!CD4</f>
    </nc>
  </rcc>
  <rcc rId="917" sId="3">
    <nc r="P5">
      <f>Marcelo!CD5+Patrícia!CD5+Diego!CD5+Aelton!CD5+Leonam!CD5+Danilo!CD5+Marcos!CD5+Carlos!CD5</f>
    </nc>
  </rcc>
  <rcc rId="918" sId="3">
    <nc r="P6">
      <f>Marcelo!CD6+Patrícia!CD6+Diego!CD6+Aelton!CD6+Leonam!CD6+Danilo!CD6+Marcos!CD6+Carlos!CD6</f>
    </nc>
  </rcc>
  <rcc rId="919" sId="3">
    <nc r="P7">
      <f>Marcelo!CD7+Patrícia!CD7+Diego!CD7+Aelton!CD7+Leonam!CD7+Danilo!CD7+Marcos!CD7+Carlos!CD7</f>
    </nc>
  </rcc>
  <rcc rId="920" sId="3">
    <nc r="P8">
      <f>Marcelo!CD8+Patrícia!CD8+Diego!CD8+Aelton!CD8+Leonam!CD8+Danilo!CD8+Marcos!CD8+Carlos!CD8</f>
    </nc>
  </rcc>
  <rcc rId="921" sId="3">
    <nc r="P9">
      <f>Marcelo!CD9+Patrícia!CD9+Diego!CD9+Aelton!CD9+Leonam!CD9+Danilo!CD9+Marcos!CD9+Carlos!CD9</f>
    </nc>
  </rcc>
  <rcc rId="922" sId="3">
    <nc r="P10">
      <f>Marcelo!CD10+Patrícia!CD10+Diego!CD10+Aelton!CD10+Leonam!CD10+Danilo!CD10+Marcos!CD10+Carlos!CD10</f>
    </nc>
  </rcc>
  <rcc rId="923" sId="3">
    <nc r="P11">
      <f>Marcelo!CD11+Patrícia!CD11+Diego!CD11+Aelton!CD11+Leonam!CD11+Danilo!CD11+Marcos!CD11+Carlos!CD11</f>
    </nc>
  </rcc>
  <rcc rId="924" sId="3">
    <nc r="P12">
      <f>Marcelo!CD12+Patrícia!CD12+Diego!CD12+Aelton!CD12+Leonam!CD12+Danilo!CD12+Marcos!CD12+Carlos!CD12</f>
    </nc>
  </rcc>
  <rcc rId="925" sId="3">
    <nc r="P13">
      <f>Marcelo!CD13+Patrícia!CD13+Diego!CD13+Aelton!CD13+Leonam!CD13+Danilo!CD13+Marcos!CD13+Carlos!CD13</f>
    </nc>
  </rcc>
  <rcc rId="926" sId="3">
    <nc r="P14">
      <f>Marcelo!CD14+Patrícia!CD14+Diego!CD14+Aelton!CD14+Leonam!CD14+Danilo!CD14+Marcos!CD14+Carlos!CD14</f>
    </nc>
  </rcc>
  <rcc rId="927" sId="3">
    <nc r="P15">
      <f>Marcelo!CD15+Patrícia!CD15+Diego!CD15+Aelton!CD15+Leonam!CD15+Danilo!CD15+Marcos!CD15+Carlos!CD15</f>
    </nc>
  </rcc>
  <rcc rId="928" sId="3">
    <nc r="P16">
      <f>Marcelo!CD16+Patrícia!CD16+Diego!CD16+Aelton!CD16+Leonam!CD16+Danilo!CD16+Marcos!CD16+Carlos!CD16</f>
    </nc>
  </rcc>
  <rfmt sheetId="3" sqref="Q2" start="0" length="0">
    <dxf>
      <alignment horizontal="center" vertical="center"/>
    </dxf>
  </rfmt>
  <rcc rId="929" sId="3">
    <nc r="Q2">
      <f>Marcelo!CJ2+Patrícia!CJ2+Diego!CJ2+Aelton!CJ2+Leonam!CJ2+Danilo!CJ2+Marcos!CJ2+Carlos!CJ2</f>
    </nc>
  </rcc>
  <rcc rId="930" sId="3" odxf="1" dxf="1">
    <nc r="Q3">
      <f>Marcelo!CJ3+Patrícia!CJ3+Diego!CJ3+Aelton!CJ3+Leonam!CJ3+Danilo!CJ3+Marcos!CJ3+Carlos!CJ3</f>
    </nc>
    <odxf>
      <alignment horizontal="general" vertical="bottom"/>
    </odxf>
    <ndxf>
      <alignment horizontal="center" vertical="center"/>
    </ndxf>
  </rcc>
  <rcc rId="931" sId="3" odxf="1" dxf="1">
    <nc r="Q4">
      <f>Marcelo!CJ4+Patrícia!CJ4+Diego!CJ4+Aelton!CJ4+Leonam!CJ4+Danilo!CJ4+Marcos!CJ4+Carlos!CJ4</f>
    </nc>
    <odxf>
      <alignment horizontal="general" vertical="bottom"/>
    </odxf>
    <ndxf>
      <alignment horizontal="center" vertical="center"/>
    </ndxf>
  </rcc>
  <rcc rId="932" sId="3" odxf="1" dxf="1">
    <nc r="Q5">
      <f>Marcelo!CJ5+Patrícia!CJ5+Diego!CJ5+Aelton!CJ5+Leonam!CJ5+Danilo!CJ5+Marcos!CJ5+Carlos!CJ5</f>
    </nc>
    <odxf>
      <alignment horizontal="general" vertical="bottom"/>
    </odxf>
    <ndxf>
      <alignment horizontal="center" vertical="center"/>
    </ndxf>
  </rcc>
  <rcc rId="933" sId="3" odxf="1" dxf="1">
    <nc r="Q6">
      <f>Marcelo!CJ6+Patrícia!CJ6+Diego!CJ6+Aelton!CJ6+Leonam!CJ6+Danilo!CJ6+Marcos!CJ6+Carlos!CJ6</f>
    </nc>
    <odxf>
      <alignment horizontal="general" vertical="bottom"/>
    </odxf>
    <ndxf>
      <alignment horizontal="center" vertical="center"/>
    </ndxf>
  </rcc>
  <rcc rId="934" sId="3" odxf="1" dxf="1">
    <nc r="Q7">
      <f>Marcelo!CJ7+Patrícia!CJ7+Diego!CJ7+Aelton!CJ7+Leonam!CJ7+Danilo!CJ7+Marcos!CJ7+Carlos!CJ7</f>
    </nc>
    <odxf>
      <alignment horizontal="general" vertical="bottom"/>
    </odxf>
    <ndxf>
      <alignment horizontal="center" vertical="center"/>
    </ndxf>
  </rcc>
  <rcc rId="935" sId="3" odxf="1" dxf="1">
    <nc r="Q8">
      <f>Marcelo!CJ8+Patrícia!CJ8+Diego!CJ8+Aelton!CJ8+Leonam!CJ8+Danilo!CJ8+Marcos!CJ8+Carlos!CJ8</f>
    </nc>
    <odxf>
      <alignment horizontal="general" vertical="bottom"/>
    </odxf>
    <ndxf>
      <alignment horizontal="center" vertical="center"/>
    </ndxf>
  </rcc>
  <rcc rId="936" sId="3" odxf="1" dxf="1">
    <nc r="Q9">
      <f>Marcelo!CJ9+Patrícia!CJ9+Diego!CJ9+Aelton!CJ9+Leonam!CJ9+Danilo!CJ9+Marcos!CJ9+Carlos!CJ9</f>
    </nc>
    <odxf>
      <alignment horizontal="general" vertical="bottom"/>
    </odxf>
    <ndxf>
      <alignment horizontal="center" vertical="center"/>
    </ndxf>
  </rcc>
  <rcc rId="937" sId="3" odxf="1" dxf="1">
    <nc r="Q10">
      <f>Marcelo!CJ10+Patrícia!CJ10+Diego!CJ10+Aelton!CJ10+Leonam!CJ10+Danilo!CJ10+Marcos!CJ10+Carlos!CJ10</f>
    </nc>
    <odxf>
      <alignment horizontal="general" vertical="bottom"/>
    </odxf>
    <ndxf>
      <alignment horizontal="center" vertical="center"/>
    </ndxf>
  </rcc>
  <rcc rId="938" sId="3" odxf="1" dxf="1">
    <nc r="Q11">
      <f>Marcelo!CJ11+Patrícia!CJ11+Diego!CJ11+Aelton!CJ11+Leonam!CJ11+Danilo!CJ11+Marcos!CJ11+Carlos!CJ11</f>
    </nc>
    <odxf>
      <alignment horizontal="general" vertical="bottom"/>
    </odxf>
    <ndxf>
      <alignment horizontal="center" vertical="center"/>
    </ndxf>
  </rcc>
  <rcc rId="939" sId="3" odxf="1" dxf="1">
    <nc r="Q12">
      <f>Marcelo!CJ12+Patrícia!CJ12+Diego!CJ12+Aelton!CJ12+Leonam!CJ12+Danilo!CJ12+Marcos!CJ12+Carlos!CJ12</f>
    </nc>
    <odxf>
      <alignment horizontal="general" vertical="bottom"/>
    </odxf>
    <ndxf>
      <alignment horizontal="center" vertical="center"/>
    </ndxf>
  </rcc>
  <rcc rId="940" sId="3" odxf="1" dxf="1">
    <nc r="Q13">
      <f>Marcelo!CJ13+Patrícia!CJ13+Diego!CJ13+Aelton!CJ13+Leonam!CJ13+Danilo!CJ13+Marcos!CJ13+Carlos!CJ13</f>
    </nc>
    <odxf>
      <alignment horizontal="general" vertical="bottom"/>
    </odxf>
    <ndxf>
      <alignment horizontal="center" vertical="center"/>
    </ndxf>
  </rcc>
  <rcc rId="941" sId="3" odxf="1" dxf="1">
    <nc r="Q14">
      <f>Marcelo!CJ14+Patrícia!CJ14+Diego!CJ14+Aelton!CJ14+Leonam!CJ14+Danilo!CJ14+Marcos!CJ14+Carlos!CJ14</f>
    </nc>
    <odxf>
      <alignment horizontal="general" vertical="bottom"/>
    </odxf>
    <ndxf>
      <alignment horizontal="center" vertical="center"/>
    </ndxf>
  </rcc>
  <rcc rId="942" sId="3" odxf="1" dxf="1">
    <nc r="Q15">
      <f>Marcelo!CJ15+Patrícia!CJ15+Diego!CJ15+Aelton!CJ15+Leonam!CJ15+Danilo!CJ15+Marcos!CJ15+Carlos!CJ15</f>
    </nc>
    <odxf>
      <alignment horizontal="general" vertical="bottom"/>
    </odxf>
    <ndxf>
      <alignment horizontal="center" vertical="center"/>
    </ndxf>
  </rcc>
  <rcc rId="943" sId="3" odxf="1" dxf="1">
    <nc r="Q16">
      <f>Marcelo!CJ16+Patrícia!CJ16+Diego!CJ16+Aelton!CJ16+Leonam!CJ16+Danilo!CJ16+Marcos!CJ16+Carlos!CJ16</f>
    </nc>
    <odxf>
      <alignment horizontal="general" vertical="bottom"/>
    </odxf>
    <ndxf>
      <alignment horizontal="center" vertical="center"/>
    </ndxf>
  </rcc>
  <rfmt sheetId="3" sqref="R2" start="0" length="0">
    <dxf>
      <alignment horizontal="center" vertical="center"/>
    </dxf>
  </rfmt>
  <rcc rId="944" sId="3">
    <nc r="R2">
      <f>Marcelo!CP2+Patrícia!CP2+Diego!CP2+Aelton!CP2+Leonam!CP2+Danilo!CP2+Marcos!CP2+Carlos!CP2</f>
    </nc>
  </rcc>
  <rcc rId="945" sId="3" odxf="1" dxf="1">
    <nc r="R3">
      <f>Marcelo!CP3+Patrícia!CP3+Diego!CP3+Aelton!CP3+Leonam!CP3+Danilo!CP3+Marcos!CP3+Carlos!CP3</f>
    </nc>
    <odxf>
      <alignment horizontal="general" vertical="bottom"/>
    </odxf>
    <ndxf>
      <alignment horizontal="center" vertical="center"/>
    </ndxf>
  </rcc>
  <rcc rId="946" sId="3" odxf="1" dxf="1">
    <nc r="R4">
      <f>Marcelo!CP4+Patrícia!CP4+Diego!CP4+Aelton!CP4+Leonam!CP4+Danilo!CP4+Marcos!CP4+Carlos!CP4</f>
    </nc>
    <odxf>
      <alignment horizontal="general" vertical="bottom"/>
    </odxf>
    <ndxf>
      <alignment horizontal="center" vertical="center"/>
    </ndxf>
  </rcc>
  <rcc rId="947" sId="3" odxf="1" dxf="1">
    <nc r="R5">
      <f>Marcelo!CP5+Patrícia!CP5+Diego!CP5+Aelton!CP5+Leonam!CP5+Danilo!CP5+Marcos!CP5+Carlos!CP5</f>
    </nc>
    <odxf>
      <alignment horizontal="general" vertical="bottom"/>
    </odxf>
    <ndxf>
      <alignment horizontal="center" vertical="center"/>
    </ndxf>
  </rcc>
  <rcc rId="948" sId="3" odxf="1" dxf="1">
    <nc r="R6">
      <f>Marcelo!CP6+Patrícia!CP6+Diego!CP6+Aelton!CP6+Leonam!CP6+Danilo!CP6+Marcos!CP6+Carlos!CP6</f>
    </nc>
    <odxf>
      <alignment horizontal="general" vertical="bottom"/>
    </odxf>
    <ndxf>
      <alignment horizontal="center" vertical="center"/>
    </ndxf>
  </rcc>
  <rcc rId="949" sId="3" odxf="1" dxf="1">
    <nc r="R7">
      <f>Marcelo!CP7+Patrícia!CP7+Diego!CP7+Aelton!CP7+Leonam!CP7+Danilo!CP7+Marcos!CP7+Carlos!CP7</f>
    </nc>
    <odxf>
      <alignment horizontal="general" vertical="bottom"/>
    </odxf>
    <ndxf>
      <alignment horizontal="center" vertical="center"/>
    </ndxf>
  </rcc>
  <rcc rId="950" sId="3" odxf="1" dxf="1">
    <nc r="R8">
      <f>Marcelo!CP8+Patrícia!CP8+Diego!CP8+Aelton!CP8+Leonam!CP8+Danilo!CP8+Marcos!CP8+Carlos!CP8</f>
    </nc>
    <odxf>
      <alignment horizontal="general" vertical="bottom"/>
    </odxf>
    <ndxf>
      <alignment horizontal="center" vertical="center"/>
    </ndxf>
  </rcc>
  <rcc rId="951" sId="3" odxf="1" dxf="1">
    <nc r="R9">
      <f>Marcelo!CP9+Patrícia!CP9+Diego!CP9+Aelton!CP9+Leonam!CP9+Danilo!CP9+Marcos!CP9+Carlos!CP9</f>
    </nc>
    <odxf>
      <alignment horizontal="general" vertical="bottom"/>
    </odxf>
    <ndxf>
      <alignment horizontal="center" vertical="center"/>
    </ndxf>
  </rcc>
  <rcc rId="952" sId="3" odxf="1" dxf="1">
    <nc r="R10">
      <f>Marcelo!CP10+Patrícia!CP10+Diego!CP10+Aelton!CP10+Leonam!CP10+Danilo!CP10+Marcos!CP10+Carlos!CP10</f>
    </nc>
    <odxf>
      <alignment horizontal="general" vertical="bottom"/>
    </odxf>
    <ndxf>
      <alignment horizontal="center" vertical="center"/>
    </ndxf>
  </rcc>
  <rcc rId="953" sId="3" odxf="1" dxf="1">
    <nc r="R11">
      <f>Marcelo!CP11+Patrícia!CP11+Diego!CP11+Aelton!CP11+Leonam!CP11+Danilo!CP11+Marcos!CP11+Carlos!CP11</f>
    </nc>
    <odxf>
      <alignment horizontal="general" vertical="bottom"/>
    </odxf>
    <ndxf>
      <alignment horizontal="center" vertical="center"/>
    </ndxf>
  </rcc>
  <rcc rId="954" sId="3" odxf="1" dxf="1">
    <nc r="R12">
      <f>Marcelo!CP12+Patrícia!CP12+Diego!CP12+Aelton!CP12+Leonam!CP12+Danilo!CP12+Marcos!CP12+Carlos!CP12</f>
    </nc>
    <odxf>
      <alignment horizontal="general" vertical="bottom"/>
    </odxf>
    <ndxf>
      <alignment horizontal="center" vertical="center"/>
    </ndxf>
  </rcc>
  <rcc rId="955" sId="3" odxf="1" dxf="1">
    <nc r="R13">
      <f>Marcelo!CP13+Patrícia!CP13+Diego!CP13+Aelton!CP13+Leonam!CP13+Danilo!CP13+Marcos!CP13+Carlos!CP13</f>
    </nc>
    <odxf>
      <alignment horizontal="general" vertical="bottom"/>
    </odxf>
    <ndxf>
      <alignment horizontal="center" vertical="center"/>
    </ndxf>
  </rcc>
  <rcc rId="956" sId="3" odxf="1" dxf="1">
    <nc r="R14">
      <f>Marcelo!CP14+Patrícia!CP14+Diego!CP14+Aelton!CP14+Leonam!CP14+Danilo!CP14+Marcos!CP14+Carlos!CP14</f>
    </nc>
    <odxf>
      <alignment horizontal="general" vertical="bottom"/>
    </odxf>
    <ndxf>
      <alignment horizontal="center" vertical="center"/>
    </ndxf>
  </rcc>
  <rcc rId="957" sId="3" odxf="1" dxf="1">
    <nc r="R15">
      <f>Marcelo!CP15+Patrícia!CP15+Diego!CP15+Aelton!CP15+Leonam!CP15+Danilo!CP15+Marcos!CP15+Carlos!CP15</f>
    </nc>
    <odxf>
      <alignment horizontal="general" vertical="bottom"/>
    </odxf>
    <ndxf>
      <alignment horizontal="center" vertical="center"/>
    </ndxf>
  </rcc>
  <rcc rId="958" sId="3" odxf="1" dxf="1">
    <nc r="R16">
      <f>Marcelo!CP16+Patrícia!CP16+Diego!CP16+Aelton!CP16+Leonam!CP16+Danilo!CP16+Marcos!CP16+Carlos!CP16</f>
    </nc>
    <odxf>
      <alignment horizontal="general" vertical="bottom"/>
    </odxf>
    <ndxf>
      <alignment horizontal="center" vertical="center"/>
    </ndxf>
  </rcc>
  <rcc rId="959" sId="3">
    <oc r="S1" t="inlineStr">
      <is>
        <t xml:space="preserve">22/04 a 25/04/2025 </t>
      </is>
    </oc>
    <nc r="S1" t="inlineStr">
      <is>
        <t xml:space="preserve">21/04 a 25/04/2025 </t>
      </is>
    </nc>
  </rcc>
  <rfmt sheetId="3" sqref="S2" start="0" length="0">
    <dxf>
      <alignment horizontal="center" vertical="center"/>
    </dxf>
  </rfmt>
  <rcc rId="960" sId="3">
    <nc r="S2">
      <f>Marcelo!CV2+Patrícia!CV2+Diego!CV2+Aelton!CV2+Leonam!CV2+Danilo!CV2+Marcos!CV2+Carlos!CV2</f>
    </nc>
  </rcc>
  <rcc rId="961" sId="3" odxf="1" dxf="1">
    <nc r="S3">
      <f>Marcelo!CV3+Patrícia!CV3+Diego!CV3+Aelton!CV3+Leonam!CV3+Danilo!CV3+Marcos!CV3+Carlos!CV3</f>
    </nc>
    <odxf>
      <alignment horizontal="general" vertical="bottom"/>
    </odxf>
    <ndxf>
      <alignment horizontal="center" vertical="center"/>
    </ndxf>
  </rcc>
  <rcc rId="962" sId="3" odxf="1" dxf="1">
    <nc r="S4">
      <f>Marcelo!CV4+Patrícia!CV4+Diego!CV4+Aelton!CV4+Leonam!CV4+Danilo!CV4+Marcos!CV4+Carlos!CV4</f>
    </nc>
    <odxf>
      <alignment horizontal="general" vertical="bottom"/>
    </odxf>
    <ndxf>
      <alignment horizontal="center" vertical="center"/>
    </ndxf>
  </rcc>
  <rcc rId="963" sId="3" odxf="1" dxf="1">
    <nc r="S5">
      <f>Marcelo!CV5+Patrícia!CV5+Diego!CV5+Aelton!CV5+Leonam!CV5+Danilo!CV5+Marcos!CV5+Carlos!CV5</f>
    </nc>
    <odxf>
      <alignment horizontal="general" vertical="bottom"/>
    </odxf>
    <ndxf>
      <alignment horizontal="center" vertical="center"/>
    </ndxf>
  </rcc>
  <rcc rId="964" sId="3" odxf="1" dxf="1">
    <nc r="S6">
      <f>Marcelo!CV6+Patrícia!CV6+Diego!CV6+Aelton!CV6+Leonam!CV6+Danilo!CV6+Marcos!CV6+Carlos!CV6</f>
    </nc>
    <odxf>
      <alignment horizontal="general" vertical="bottom"/>
    </odxf>
    <ndxf>
      <alignment horizontal="center" vertical="center"/>
    </ndxf>
  </rcc>
  <rcc rId="965" sId="3" odxf="1" dxf="1">
    <nc r="S7">
      <f>Marcelo!CV7+Patrícia!CV7+Diego!CV7+Aelton!CV7+Leonam!CV7+Danilo!CV7+Marcos!CV7+Carlos!CV7</f>
    </nc>
    <odxf>
      <alignment horizontal="general" vertical="bottom"/>
    </odxf>
    <ndxf>
      <alignment horizontal="center" vertical="center"/>
    </ndxf>
  </rcc>
  <rcc rId="966" sId="3" odxf="1" dxf="1">
    <nc r="S8">
      <f>Marcelo!CV8+Patrícia!CV8+Diego!CV8+Aelton!CV8+Leonam!CV8+Danilo!CV8+Marcos!CV8+Carlos!CV8</f>
    </nc>
    <odxf>
      <alignment horizontal="general" vertical="bottom"/>
    </odxf>
    <ndxf>
      <alignment horizontal="center" vertical="center"/>
    </ndxf>
  </rcc>
  <rcc rId="967" sId="3" odxf="1" dxf="1">
    <nc r="S9">
      <f>Marcelo!CV9+Patrícia!CV9+Diego!CV9+Aelton!CV9+Leonam!CV9+Danilo!CV9+Marcos!CV9+Carlos!CV9</f>
    </nc>
    <odxf>
      <alignment horizontal="general" vertical="bottom"/>
    </odxf>
    <ndxf>
      <alignment horizontal="center" vertical="center"/>
    </ndxf>
  </rcc>
  <rcc rId="968" sId="3" odxf="1" dxf="1">
    <nc r="S10">
      <f>Marcelo!CV10+Patrícia!CV10+Diego!CV10+Aelton!CV10+Leonam!CV10+Danilo!CV10+Marcos!CV10+Carlos!CV10</f>
    </nc>
    <odxf>
      <alignment horizontal="general" vertical="bottom"/>
    </odxf>
    <ndxf>
      <alignment horizontal="center" vertical="center"/>
    </ndxf>
  </rcc>
  <rcc rId="969" sId="3" odxf="1" dxf="1">
    <nc r="S11">
      <f>Marcelo!CV11+Patrícia!CV11+Diego!CV11+Aelton!CV11+Leonam!CV11+Danilo!CV11+Marcos!CV11+Carlos!CV11</f>
    </nc>
    <odxf>
      <alignment horizontal="general" vertical="bottom"/>
    </odxf>
    <ndxf>
      <alignment horizontal="center" vertical="center"/>
    </ndxf>
  </rcc>
  <rcc rId="970" sId="3" odxf="1" dxf="1">
    <nc r="S12">
      <f>Marcelo!CV12+Patrícia!CV12+Diego!CV12+Aelton!CV12+Leonam!CV12+Danilo!CV12+Marcos!CV12+Carlos!CV12</f>
    </nc>
    <odxf>
      <alignment horizontal="general" vertical="bottom"/>
    </odxf>
    <ndxf>
      <alignment horizontal="center" vertical="center"/>
    </ndxf>
  </rcc>
  <rcc rId="971" sId="3" odxf="1" dxf="1">
    <nc r="S13">
      <f>Marcelo!CV13+Patrícia!CV13+Diego!CV13+Aelton!CV13+Leonam!CV13+Danilo!CV13+Marcos!CV13+Carlos!CV13</f>
    </nc>
    <odxf>
      <alignment horizontal="general" vertical="bottom"/>
    </odxf>
    <ndxf>
      <alignment horizontal="center" vertical="center"/>
    </ndxf>
  </rcc>
  <rcc rId="972" sId="3" odxf="1" dxf="1">
    <nc r="S14">
      <f>Marcelo!CV14+Patrícia!CV14+Diego!CV14+Aelton!CV14+Leonam!CV14+Danilo!CV14+Marcos!CV14+Carlos!CV14</f>
    </nc>
    <odxf>
      <alignment horizontal="general" vertical="bottom"/>
    </odxf>
    <ndxf>
      <alignment horizontal="center" vertical="center"/>
    </ndxf>
  </rcc>
  <rcc rId="973" sId="3" odxf="1" dxf="1">
    <nc r="S15">
      <f>Marcelo!CV15+Patrícia!CV15+Diego!CV15+Aelton!CV15+Leonam!CV15+Danilo!CV15+Marcos!CV15+Carlos!CV15</f>
    </nc>
    <odxf>
      <alignment horizontal="general" vertical="bottom"/>
    </odxf>
    <ndxf>
      <alignment horizontal="center" vertical="center"/>
    </ndxf>
  </rcc>
  <rcc rId="974" sId="3" odxf="1" dxf="1">
    <nc r="S16">
      <f>Marcelo!CV16+Patrícia!CV16+Diego!CV16+Aelton!CV16+Leonam!CV16+Danilo!CV16+Marcos!CV16+Carlos!CV16</f>
    </nc>
    <odxf>
      <alignment horizontal="general" vertical="bottom"/>
    </odxf>
    <ndxf>
      <alignment horizontal="center" vertical="center"/>
    </ndxf>
  </rcc>
  <rfmt sheetId="3" sqref="T2" start="0" length="0">
    <dxf>
      <alignment horizontal="center" vertical="center"/>
    </dxf>
  </rfmt>
  <rcc rId="975" sId="3">
    <nc r="T2">
      <f>Marcelo!DB2+Patrícia!DB2+Diego!DB2+Aelton!DB2+Leonam!DB2+Danilo!DB2+Marcos!DB2+Carlos!DB2</f>
    </nc>
  </rcc>
  <rcc rId="976" sId="3" odxf="1" dxf="1">
    <nc r="T3">
      <f>Marcelo!DB3+Patrícia!DB3+Diego!DB3+Aelton!DB3+Leonam!DB3+Danilo!DB3+Marcos!DB3+Carlos!DB3</f>
    </nc>
    <odxf>
      <alignment horizontal="general" vertical="bottom"/>
    </odxf>
    <ndxf>
      <alignment horizontal="center" vertical="center"/>
    </ndxf>
  </rcc>
  <rcc rId="977" sId="3" odxf="1" dxf="1">
    <nc r="T4">
      <f>Marcelo!DB4+Patrícia!DB4+Diego!DB4+Aelton!DB4+Leonam!DB4+Danilo!DB4+Marcos!DB4+Carlos!DB4</f>
    </nc>
    <odxf>
      <alignment horizontal="general" vertical="bottom"/>
    </odxf>
    <ndxf>
      <alignment horizontal="center" vertical="center"/>
    </ndxf>
  </rcc>
  <rcc rId="978" sId="3" odxf="1" dxf="1">
    <nc r="T5">
      <f>Marcelo!DB5+Patrícia!DB5+Diego!DB5+Aelton!DB5+Leonam!DB5+Danilo!DB5+Marcos!DB5+Carlos!DB5</f>
    </nc>
    <odxf>
      <alignment horizontal="general" vertical="bottom"/>
    </odxf>
    <ndxf>
      <alignment horizontal="center" vertical="center"/>
    </ndxf>
  </rcc>
  <rcc rId="979" sId="3" odxf="1" dxf="1">
    <nc r="T6">
      <f>Marcelo!DB6+Patrícia!DB6+Diego!DB6+Aelton!DB6+Leonam!DB6+Danilo!DB6+Marcos!DB6+Carlos!DB6</f>
    </nc>
    <odxf>
      <alignment horizontal="general" vertical="bottom"/>
    </odxf>
    <ndxf>
      <alignment horizontal="center" vertical="center"/>
    </ndxf>
  </rcc>
  <rcc rId="980" sId="3" odxf="1" dxf="1">
    <nc r="T7">
      <f>Marcelo!DB7+Patrícia!DB7+Diego!DB7+Aelton!DB7+Leonam!DB7+Danilo!DB7+Marcos!DB7+Carlos!DB7</f>
    </nc>
    <odxf>
      <alignment horizontal="general" vertical="bottom"/>
    </odxf>
    <ndxf>
      <alignment horizontal="center" vertical="center"/>
    </ndxf>
  </rcc>
  <rcc rId="981" sId="3" odxf="1" dxf="1">
    <nc r="T8">
      <f>Marcelo!DB8+Patrícia!DB8+Diego!DB8+Aelton!DB8+Leonam!DB8+Danilo!DB8+Marcos!DB8+Carlos!DB8</f>
    </nc>
    <odxf>
      <alignment horizontal="general" vertical="bottom"/>
    </odxf>
    <ndxf>
      <alignment horizontal="center" vertical="center"/>
    </ndxf>
  </rcc>
  <rcc rId="982" sId="3" odxf="1" dxf="1">
    <nc r="T9">
      <f>Marcelo!DB9+Patrícia!DB9+Diego!DB9+Aelton!DB9+Leonam!DB9+Danilo!DB9+Marcos!DB9+Carlos!DB9</f>
    </nc>
    <odxf>
      <alignment horizontal="general" vertical="bottom"/>
    </odxf>
    <ndxf>
      <alignment horizontal="center" vertical="center"/>
    </ndxf>
  </rcc>
  <rcc rId="983" sId="3" odxf="1" dxf="1">
    <nc r="T10">
      <f>Marcelo!DB10+Patrícia!DB10+Diego!DB10+Aelton!DB10+Leonam!DB10+Danilo!DB10+Marcos!DB10+Carlos!DB10</f>
    </nc>
    <odxf>
      <alignment horizontal="general" vertical="bottom"/>
    </odxf>
    <ndxf>
      <alignment horizontal="center" vertical="center"/>
    </ndxf>
  </rcc>
  <rcc rId="984" sId="3" odxf="1" dxf="1">
    <nc r="T11">
      <f>Marcelo!DB11+Patrícia!DB11+Diego!DB11+Aelton!DB11+Leonam!DB11+Danilo!DB11+Marcos!DB11+Carlos!DB11</f>
    </nc>
    <odxf>
      <alignment horizontal="general" vertical="bottom"/>
    </odxf>
    <ndxf>
      <alignment horizontal="center" vertical="center"/>
    </ndxf>
  </rcc>
  <rcc rId="985" sId="3" odxf="1" dxf="1">
    <nc r="T12">
      <f>Marcelo!DB12+Patrícia!DB12+Diego!DB12+Aelton!DB12+Leonam!DB12+Danilo!DB12+Marcos!DB12+Carlos!DB12</f>
    </nc>
    <odxf>
      <alignment horizontal="general" vertical="bottom"/>
    </odxf>
    <ndxf>
      <alignment horizontal="center" vertical="center"/>
    </ndxf>
  </rcc>
  <rcc rId="986" sId="3" odxf="1" dxf="1">
    <nc r="T13">
      <f>Marcelo!DB13+Patrícia!DB13+Diego!DB13+Aelton!DB13+Leonam!DB13+Danilo!DB13+Marcos!DB13+Carlos!DB13</f>
    </nc>
    <odxf>
      <alignment horizontal="general" vertical="bottom"/>
    </odxf>
    <ndxf>
      <alignment horizontal="center" vertical="center"/>
    </ndxf>
  </rcc>
  <rcc rId="987" sId="3" odxf="1" dxf="1">
    <nc r="T14">
      <f>Marcelo!DB14+Patrícia!DB14+Diego!DB14+Aelton!DB14+Leonam!DB14+Danilo!DB14+Marcos!DB14+Carlos!DB14</f>
    </nc>
    <odxf>
      <alignment horizontal="general" vertical="bottom"/>
    </odxf>
    <ndxf>
      <alignment horizontal="center" vertical="center"/>
    </ndxf>
  </rcc>
  <rcc rId="988" sId="3" odxf="1" dxf="1">
    <nc r="T15">
      <f>Marcelo!DB15+Patrícia!DB15+Diego!DB15+Aelton!DB15+Leonam!DB15+Danilo!DB15+Marcos!DB15+Carlos!DB15</f>
    </nc>
    <odxf>
      <alignment horizontal="general" vertical="bottom"/>
    </odxf>
    <ndxf>
      <alignment horizontal="center" vertical="center"/>
    </ndxf>
  </rcc>
  <rcc rId="989" sId="3" odxf="1" dxf="1">
    <nc r="T16">
      <f>Marcelo!DB16+Patrícia!DB16+Diego!DB16+Aelton!DB16+Leonam!DB16+Danilo!DB16+Marcos!DB16+Carlos!DB16</f>
    </nc>
    <odxf>
      <alignment horizontal="general" vertical="bottom"/>
    </odxf>
    <ndxf>
      <alignment horizontal="center" vertical="center"/>
    </ndxf>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90" sId="3" ref="U1:U1048576" action="deleteCol">
    <rfmt sheetId="3" xfDxf="1" sqref="U1:U1048576" start="0" length="0"/>
    <rcc rId="0" sId="3" dxf="1">
      <nc r="U1" t="inlineStr">
        <is>
          <t xml:space="preserve">28/04 a 02/05/2025 </t>
        </is>
      </nc>
      <n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ndxf>
    </rcc>
    <rfmt sheetId="3" sqref="U2" start="0" length="0">
      <dxf>
        <border outline="0">
          <left style="thin">
            <color rgb="FF000000"/>
          </left>
          <right style="thin">
            <color rgb="FF000000"/>
          </right>
          <top style="thin">
            <color rgb="FF000000"/>
          </top>
          <bottom style="thin">
            <color rgb="FF000000"/>
          </bottom>
        </border>
      </dxf>
    </rfmt>
    <rfmt sheetId="3" sqref="U3" start="0" length="0">
      <dxf>
        <border outline="0">
          <left style="thin">
            <color rgb="FF000000"/>
          </left>
          <right style="thin">
            <color rgb="FF000000"/>
          </right>
          <top style="thin">
            <color rgb="FF000000"/>
          </top>
          <bottom style="thin">
            <color rgb="FF000000"/>
          </bottom>
        </border>
      </dxf>
    </rfmt>
    <rfmt sheetId="3" sqref="U4" start="0" length="0">
      <dxf>
        <border outline="0">
          <left style="thin">
            <color rgb="FF000000"/>
          </left>
          <right style="thin">
            <color rgb="FF000000"/>
          </right>
          <top style="thin">
            <color rgb="FF000000"/>
          </top>
          <bottom style="thin">
            <color rgb="FF000000"/>
          </bottom>
        </border>
      </dxf>
    </rfmt>
    <rfmt sheetId="3" sqref="U5" start="0" length="0">
      <dxf>
        <border outline="0">
          <left style="thin">
            <color rgb="FF000000"/>
          </left>
          <right style="thin">
            <color rgb="FF000000"/>
          </right>
          <top style="thin">
            <color rgb="FF000000"/>
          </top>
          <bottom style="thin">
            <color rgb="FF000000"/>
          </bottom>
        </border>
      </dxf>
    </rfmt>
    <rfmt sheetId="3" sqref="U6" start="0" length="0">
      <dxf>
        <border outline="0">
          <left style="thin">
            <color rgb="FF000000"/>
          </left>
          <right style="thin">
            <color rgb="FF000000"/>
          </right>
          <top style="thin">
            <color rgb="FF000000"/>
          </top>
          <bottom style="thin">
            <color rgb="FF000000"/>
          </bottom>
        </border>
      </dxf>
    </rfmt>
    <rfmt sheetId="3" sqref="U7" start="0" length="0">
      <dxf>
        <border outline="0">
          <left style="thin">
            <color rgb="FF000000"/>
          </left>
          <right style="thin">
            <color rgb="FF000000"/>
          </right>
          <top style="thin">
            <color rgb="FF000000"/>
          </top>
          <bottom style="thin">
            <color rgb="FF000000"/>
          </bottom>
        </border>
      </dxf>
    </rfmt>
    <rfmt sheetId="3" sqref="U8" start="0" length="0">
      <dxf>
        <border outline="0">
          <left style="thin">
            <color rgb="FF000000"/>
          </left>
          <right style="thin">
            <color rgb="FF000000"/>
          </right>
          <top style="thin">
            <color rgb="FF000000"/>
          </top>
          <bottom style="thin">
            <color rgb="FF000000"/>
          </bottom>
        </border>
      </dxf>
    </rfmt>
    <rfmt sheetId="3" sqref="U9" start="0" length="0">
      <dxf>
        <border outline="0">
          <left style="thin">
            <color rgb="FF000000"/>
          </left>
          <right style="thin">
            <color rgb="FF000000"/>
          </right>
          <top style="thin">
            <color rgb="FF000000"/>
          </top>
          <bottom style="thin">
            <color rgb="FF000000"/>
          </bottom>
        </border>
      </dxf>
    </rfmt>
    <rfmt sheetId="3" sqref="U10" start="0" length="0">
      <dxf>
        <border outline="0">
          <left style="thin">
            <color rgb="FF000000"/>
          </left>
          <right style="thin">
            <color rgb="FF000000"/>
          </right>
          <top style="thin">
            <color rgb="FF000000"/>
          </top>
          <bottom style="thin">
            <color rgb="FF000000"/>
          </bottom>
        </border>
      </dxf>
    </rfmt>
    <rfmt sheetId="3" sqref="U11" start="0" length="0">
      <dxf>
        <border outline="0">
          <left style="thin">
            <color rgb="FF000000"/>
          </left>
          <right style="thin">
            <color rgb="FF000000"/>
          </right>
          <top style="thin">
            <color rgb="FF000000"/>
          </top>
          <bottom style="thin">
            <color rgb="FF000000"/>
          </bottom>
        </border>
      </dxf>
    </rfmt>
    <rfmt sheetId="3" sqref="U12" start="0" length="0">
      <dxf>
        <border outline="0">
          <left style="thin">
            <color rgb="FF000000"/>
          </left>
          <right style="thin">
            <color rgb="FF000000"/>
          </right>
          <top style="thin">
            <color rgb="FF000000"/>
          </top>
          <bottom style="thin">
            <color rgb="FF000000"/>
          </bottom>
        </border>
      </dxf>
    </rfmt>
    <rfmt sheetId="3" sqref="U13" start="0" length="0">
      <dxf>
        <border outline="0">
          <left style="thin">
            <color rgb="FF000000"/>
          </left>
          <right style="thin">
            <color rgb="FF000000"/>
          </right>
          <top style="thin">
            <color rgb="FF000000"/>
          </top>
          <bottom style="thin">
            <color rgb="FF000000"/>
          </bottom>
        </border>
      </dxf>
    </rfmt>
    <rfmt sheetId="3" sqref="U14" start="0" length="0">
      <dxf>
        <border outline="0">
          <left style="thin">
            <color rgb="FF000000"/>
          </left>
          <right style="thin">
            <color rgb="FF000000"/>
          </right>
          <top style="thin">
            <color rgb="FF000000"/>
          </top>
          <bottom style="thin">
            <color rgb="FF000000"/>
          </bottom>
        </border>
      </dxf>
    </rfmt>
    <rfmt sheetId="3" sqref="U15" start="0" length="0">
      <dxf>
        <border outline="0">
          <left style="thin">
            <color rgb="FF000000"/>
          </left>
          <right style="thin">
            <color rgb="FF000000"/>
          </right>
          <top style="thin">
            <color rgb="FF000000"/>
          </top>
          <bottom style="thin">
            <color rgb="FF000000"/>
          </bottom>
        </border>
      </dxf>
    </rfmt>
    <rfmt sheetId="3" sqref="U16" start="0" length="0">
      <dxf>
        <border outline="0">
          <left style="thin">
            <color rgb="FF000000"/>
          </left>
          <right style="thin">
            <color rgb="FF000000"/>
          </right>
          <top style="thin">
            <color rgb="FF000000"/>
          </top>
          <bottom style="thin">
            <color rgb="FF000000"/>
          </bottom>
        </border>
      </dxf>
    </rfmt>
  </rrc>
  <rfmt sheetId="3" sqref="U2" start="0" length="0">
    <dxf>
      <alignment horizontal="center" vertical="center"/>
    </dxf>
  </rfmt>
  <rcc rId="991" sId="3">
    <nc r="U2">
      <f>Marcelo!DH2+Patrícia!DH2+Diego!DH2+Aelton!DH2+Leonam!DH2+Danilo!DH2+Marcos!DH2+Carlos!DH2</f>
    </nc>
  </rcc>
  <rcc rId="992" sId="3" odxf="1" dxf="1">
    <nc r="U3">
      <f>Marcelo!DH3+Patrícia!DH3+Diego!DH3+Aelton!DH3+Leonam!DH3+Danilo!DH3+Marcos!DH3+Carlos!DH3</f>
    </nc>
    <odxf>
      <alignment horizontal="general" vertical="bottom"/>
    </odxf>
    <ndxf>
      <alignment horizontal="center" vertical="center"/>
    </ndxf>
  </rcc>
  <rcc rId="993" sId="3" odxf="1" dxf="1">
    <nc r="U4">
      <f>Marcelo!DH4+Patrícia!DH4+Diego!DH4+Aelton!DH4+Leonam!DH4+Danilo!DH4+Marcos!DH4+Carlos!DH4</f>
    </nc>
    <odxf>
      <alignment horizontal="general" vertical="bottom"/>
    </odxf>
    <ndxf>
      <alignment horizontal="center" vertical="center"/>
    </ndxf>
  </rcc>
  <rcc rId="994" sId="3" odxf="1" dxf="1">
    <nc r="U5">
      <f>Marcelo!DH5+Patrícia!DH5+Diego!DH5+Aelton!DH5+Leonam!DH5+Danilo!DH5+Marcos!DH5+Carlos!DH5</f>
    </nc>
    <odxf>
      <alignment horizontal="general" vertical="bottom"/>
    </odxf>
    <ndxf>
      <alignment horizontal="center" vertical="center"/>
    </ndxf>
  </rcc>
  <rcc rId="995" sId="3" odxf="1" dxf="1">
    <nc r="U6">
      <f>Marcelo!DH6+Patrícia!DH6+Diego!DH6+Aelton!DH6+Leonam!DH6+Danilo!DH6+Marcos!DH6+Carlos!DH6</f>
    </nc>
    <odxf>
      <alignment horizontal="general" vertical="bottom"/>
    </odxf>
    <ndxf>
      <alignment horizontal="center" vertical="center"/>
    </ndxf>
  </rcc>
  <rcc rId="996" sId="3" odxf="1" dxf="1">
    <nc r="U7">
      <f>Marcelo!DH7+Patrícia!DH7+Diego!DH7+Aelton!DH7+Leonam!DH7+Danilo!DH7+Marcos!DH7+Carlos!DH7</f>
    </nc>
    <odxf>
      <alignment horizontal="general" vertical="bottom"/>
    </odxf>
    <ndxf>
      <alignment horizontal="center" vertical="center"/>
    </ndxf>
  </rcc>
  <rcc rId="997" sId="3" odxf="1" dxf="1">
    <nc r="U8">
      <f>Marcelo!DH8+Patrícia!DH8+Diego!DH8+Aelton!DH8+Leonam!DH8+Danilo!DH8+Marcos!DH8+Carlos!DH8</f>
    </nc>
    <odxf>
      <alignment horizontal="general" vertical="bottom"/>
    </odxf>
    <ndxf>
      <alignment horizontal="center" vertical="center"/>
    </ndxf>
  </rcc>
  <rcc rId="998" sId="3" odxf="1" dxf="1">
    <nc r="U9">
      <f>Marcelo!DH9+Patrícia!DH9+Diego!DH9+Aelton!DH9+Leonam!DH9+Danilo!DH9+Marcos!DH9+Carlos!DH9</f>
    </nc>
    <odxf>
      <alignment horizontal="general" vertical="bottom"/>
    </odxf>
    <ndxf>
      <alignment horizontal="center" vertical="center"/>
    </ndxf>
  </rcc>
  <rcc rId="999" sId="3" odxf="1" dxf="1">
    <nc r="U10">
      <f>Marcelo!DH10+Patrícia!DH10+Diego!DH10+Aelton!DH10+Leonam!DH10+Danilo!DH10+Marcos!DH10+Carlos!DH10</f>
    </nc>
    <odxf>
      <alignment horizontal="general" vertical="bottom"/>
    </odxf>
    <ndxf>
      <alignment horizontal="center" vertical="center"/>
    </ndxf>
  </rcc>
  <rcc rId="1000" sId="3" odxf="1" dxf="1">
    <nc r="U11">
      <f>Marcelo!DH11+Patrícia!DH11+Diego!DH11+Aelton!DH11+Leonam!DH11+Danilo!DH11+Marcos!DH11+Carlos!DH11</f>
    </nc>
    <odxf>
      <alignment horizontal="general" vertical="bottom"/>
    </odxf>
    <ndxf>
      <alignment horizontal="center" vertical="center"/>
    </ndxf>
  </rcc>
  <rcc rId="1001" sId="3" odxf="1" dxf="1">
    <nc r="U12">
      <f>Marcelo!DH12+Patrícia!DH12+Diego!DH12+Aelton!DH12+Leonam!DH12+Danilo!DH12+Marcos!DH12+Carlos!DH12</f>
    </nc>
    <odxf>
      <alignment horizontal="general" vertical="bottom"/>
    </odxf>
    <ndxf>
      <alignment horizontal="center" vertical="center"/>
    </ndxf>
  </rcc>
  <rcc rId="1002" sId="3" odxf="1" dxf="1">
    <nc r="U13">
      <f>Marcelo!DH13+Patrícia!DH13+Diego!DH13+Aelton!DH13+Leonam!DH13+Danilo!DH13+Marcos!DH13+Carlos!DH13</f>
    </nc>
    <odxf>
      <alignment horizontal="general" vertical="bottom"/>
    </odxf>
    <ndxf>
      <alignment horizontal="center" vertical="center"/>
    </ndxf>
  </rcc>
  <rcc rId="1003" sId="3" odxf="1" dxf="1">
    <nc r="U14">
      <f>Marcelo!DH14+Patrícia!DH14+Diego!DH14+Aelton!DH14+Leonam!DH14+Danilo!DH14+Marcos!DH14+Carlos!DH14</f>
    </nc>
    <odxf>
      <alignment horizontal="general" vertical="bottom"/>
    </odxf>
    <ndxf>
      <alignment horizontal="center" vertical="center"/>
    </ndxf>
  </rcc>
  <rcc rId="1004" sId="3" odxf="1" dxf="1">
    <nc r="U15">
      <f>Marcelo!DH15+Patrícia!DH15+Diego!DH15+Aelton!DH15+Leonam!DH15+Danilo!DH15+Marcos!DH15+Carlos!DH15</f>
    </nc>
    <odxf>
      <alignment horizontal="general" vertical="bottom"/>
    </odxf>
    <ndxf>
      <alignment horizontal="center" vertical="center"/>
    </ndxf>
  </rcc>
  <rcc rId="1005" sId="3" odxf="1" dxf="1">
    <nc r="U16">
      <f>Marcelo!DH16+Patrícia!DH16+Diego!DH16+Aelton!DH16+Leonam!DH16+Danilo!DH16+Marcos!DH16+Carlos!DH16</f>
    </nc>
    <odxf>
      <alignment horizontal="general" vertical="bottom"/>
    </odxf>
    <ndxf>
      <alignment horizontal="center" vertical="center"/>
    </ndxf>
  </rc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V2" start="0" length="0">
    <dxf>
      <alignment horizontal="center" vertical="center"/>
    </dxf>
  </rfmt>
  <rcc rId="1006" sId="3">
    <nc r="V2">
      <f>Marcelo!DN2+Patrícia!DN2+Diego!DN2+Aelton!DN2+Leonam!DN2+Danilo!DN2+Marcos!DN2+Carlos!DN2</f>
    </nc>
  </rcc>
  <rcc rId="1007" sId="3" odxf="1" dxf="1">
    <nc r="V3">
      <f>Marcelo!DN3+Patrícia!DN3+Diego!DN3+Aelton!DN3+Leonam!DN3+Danilo!DN3+Marcos!DN3+Carlos!DN3</f>
    </nc>
    <odxf>
      <alignment horizontal="general" vertical="bottom"/>
    </odxf>
    <ndxf>
      <alignment horizontal="center" vertical="center"/>
    </ndxf>
  </rcc>
  <rcc rId="1008" sId="3" odxf="1" dxf="1">
    <nc r="V4">
      <f>Marcelo!DN4+Patrícia!DN4+Diego!DN4+Aelton!DN4+Leonam!DN4+Danilo!DN4+Marcos!DN4+Carlos!DN4</f>
    </nc>
    <odxf>
      <alignment horizontal="general" vertical="bottom"/>
    </odxf>
    <ndxf>
      <alignment horizontal="center" vertical="center"/>
    </ndxf>
  </rcc>
  <rcc rId="1009" sId="3" odxf="1" dxf="1">
    <nc r="V5">
      <f>Marcelo!DN5+Patrícia!DN5+Diego!DN5+Aelton!DN5+Leonam!DN5+Danilo!DN5+Marcos!DN5+Carlos!DN5</f>
    </nc>
    <odxf>
      <alignment horizontal="general" vertical="bottom"/>
    </odxf>
    <ndxf>
      <alignment horizontal="center" vertical="center"/>
    </ndxf>
  </rcc>
  <rcc rId="1010" sId="3" odxf="1" dxf="1">
    <nc r="V6">
      <f>Marcelo!DN6+Patrícia!DN6+Diego!DN6+Aelton!DN6+Leonam!DN6+Danilo!DN6+Marcos!DN6+Carlos!DN6</f>
    </nc>
    <odxf>
      <alignment horizontal="general" vertical="bottom"/>
    </odxf>
    <ndxf>
      <alignment horizontal="center" vertical="center"/>
    </ndxf>
  </rcc>
  <rcc rId="1011" sId="3" odxf="1" dxf="1">
    <nc r="V7">
      <f>Marcelo!DN7+Patrícia!DN7+Diego!DN7+Aelton!DN7+Leonam!DN7+Danilo!DN7+Marcos!DN7+Carlos!DN7</f>
    </nc>
    <odxf>
      <alignment horizontal="general" vertical="bottom"/>
    </odxf>
    <ndxf>
      <alignment horizontal="center" vertical="center"/>
    </ndxf>
  </rcc>
  <rcc rId="1012" sId="3" odxf="1" dxf="1">
    <nc r="V8">
      <f>Marcelo!DN8+Patrícia!DN8+Diego!DN8+Aelton!DN8+Leonam!DN8+Danilo!DN8+Marcos!DN8+Carlos!DN8</f>
    </nc>
    <odxf>
      <alignment horizontal="general" vertical="bottom"/>
    </odxf>
    <ndxf>
      <alignment horizontal="center" vertical="center"/>
    </ndxf>
  </rcc>
  <rcc rId="1013" sId="3" odxf="1" dxf="1">
    <nc r="V9">
      <f>Marcelo!DN9+Patrícia!DN9+Diego!DN9+Aelton!DN9+Leonam!DN9+Danilo!DN9+Marcos!DN9+Carlos!DN9</f>
    </nc>
    <odxf>
      <alignment horizontal="general" vertical="bottom"/>
    </odxf>
    <ndxf>
      <alignment horizontal="center" vertical="center"/>
    </ndxf>
  </rcc>
  <rcc rId="1014" sId="3" odxf="1" dxf="1">
    <nc r="V10">
      <f>Marcelo!DN10+Patrícia!DN10+Diego!DN10+Aelton!DN10+Leonam!DN10+Danilo!DN10+Marcos!DN10+Carlos!DN10</f>
    </nc>
    <odxf>
      <alignment horizontal="general" vertical="bottom"/>
    </odxf>
    <ndxf>
      <alignment horizontal="center" vertical="center"/>
    </ndxf>
  </rcc>
  <rcc rId="1015" sId="3" odxf="1" dxf="1">
    <nc r="V11">
      <f>Marcelo!DN11+Patrícia!DN11+Diego!DN11+Aelton!DN11+Leonam!DN11+Danilo!DN11+Marcos!DN11+Carlos!DN11</f>
    </nc>
    <odxf>
      <alignment horizontal="general" vertical="bottom"/>
    </odxf>
    <ndxf>
      <alignment horizontal="center" vertical="center"/>
    </ndxf>
  </rcc>
  <rcc rId="1016" sId="3" odxf="1" dxf="1">
    <nc r="V12">
      <f>Marcelo!DN12+Patrícia!DN12+Diego!DN12+Aelton!DN12+Leonam!DN12+Danilo!DN12+Marcos!DN12+Carlos!DN12</f>
    </nc>
    <odxf>
      <alignment horizontal="general" vertical="bottom"/>
    </odxf>
    <ndxf>
      <alignment horizontal="center" vertical="center"/>
    </ndxf>
  </rcc>
  <rcc rId="1017" sId="3" odxf="1" dxf="1">
    <nc r="V13">
      <f>Marcelo!DN13+Patrícia!DN13+Diego!DN13+Aelton!DN13+Leonam!DN13+Danilo!DN13+Marcos!DN13+Carlos!DN13</f>
    </nc>
    <odxf>
      <alignment horizontal="general" vertical="bottom"/>
    </odxf>
    <ndxf>
      <alignment horizontal="center" vertical="center"/>
    </ndxf>
  </rcc>
  <rcc rId="1018" sId="3" odxf="1" dxf="1">
    <nc r="V14">
      <f>Marcelo!DN14+Patrícia!DN14+Diego!DN14+Aelton!DN14+Leonam!DN14+Danilo!DN14+Marcos!DN14+Carlos!DN14</f>
    </nc>
    <odxf>
      <alignment horizontal="general" vertical="bottom"/>
    </odxf>
    <ndxf>
      <alignment horizontal="center" vertical="center"/>
    </ndxf>
  </rcc>
  <rcc rId="1019" sId="3" odxf="1" dxf="1">
    <nc r="V15">
      <f>Marcelo!DN15+Patrícia!DN15+Diego!DN15+Aelton!DN15+Leonam!DN15+Danilo!DN15+Marcos!DN15+Carlos!DN15</f>
    </nc>
    <odxf>
      <alignment horizontal="general" vertical="bottom"/>
    </odxf>
    <ndxf>
      <alignment horizontal="center" vertical="center"/>
    </ndxf>
  </rcc>
  <rcc rId="1020" sId="3" odxf="1" dxf="1">
    <nc r="V16">
      <f>Marcelo!DN16+Patrícia!DN16+Diego!DN16+Aelton!DN16+Leonam!DN16+Danilo!DN16+Marcos!DN16+Carlos!DN16</f>
    </nc>
    <odxf>
      <alignment horizontal="general" vertical="bottom"/>
    </odxf>
    <ndxf>
      <alignment horizontal="center" vertical="center"/>
    </ndxf>
  </rcc>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W2" start="0" length="0">
    <dxf>
      <alignment horizontal="center" vertical="center"/>
    </dxf>
  </rfmt>
  <rcc rId="1021" sId="3">
    <nc r="W2">
      <f>Marcelo!DT2+Patrícia!DT2+Diego!DT2+Aelton!DT2+Leonam!DT2+Danilo!DT2+Marcos!DT2+Carlos!DT2</f>
    </nc>
  </rcc>
  <rcc rId="1022" sId="3" odxf="1" dxf="1">
    <nc r="W3">
      <f>Marcelo!DT3+Patrícia!DT3+Diego!DT3+Aelton!DT3+Leonam!DT3+Danilo!DT3+Marcos!DT3+Carlos!DT3</f>
    </nc>
    <odxf>
      <alignment horizontal="general" vertical="bottom"/>
    </odxf>
    <ndxf>
      <alignment horizontal="center" vertical="center"/>
    </ndxf>
  </rcc>
  <rcc rId="1023" sId="3" odxf="1" dxf="1">
    <nc r="W4">
      <f>Marcelo!DT4+Patrícia!DT4+Diego!DT4+Aelton!DT4+Leonam!DT4+Danilo!DT4+Marcos!DT4+Carlos!DT4</f>
    </nc>
    <odxf>
      <alignment horizontal="general" vertical="bottom"/>
    </odxf>
    <ndxf>
      <alignment horizontal="center" vertical="center"/>
    </ndxf>
  </rcc>
  <rcc rId="1024" sId="3" odxf="1" dxf="1">
    <nc r="W5">
      <f>Marcelo!DT5+Patrícia!DT5+Diego!DT5+Aelton!DT5+Leonam!DT5+Danilo!DT5+Marcos!DT5+Carlos!DT5</f>
    </nc>
    <odxf>
      <alignment horizontal="general" vertical="bottom"/>
    </odxf>
    <ndxf>
      <alignment horizontal="center" vertical="center"/>
    </ndxf>
  </rcc>
  <rcc rId="1025" sId="3" odxf="1" dxf="1">
    <nc r="W6">
      <f>Marcelo!DT6+Patrícia!DT6+Diego!DT6+Aelton!DT6+Leonam!DT6+Danilo!DT6+Marcos!DT6+Carlos!DT6</f>
    </nc>
    <odxf>
      <alignment horizontal="general" vertical="bottom"/>
    </odxf>
    <ndxf>
      <alignment horizontal="center" vertical="center"/>
    </ndxf>
  </rcc>
  <rcc rId="1026" sId="3" odxf="1" dxf="1">
    <nc r="W7">
      <f>Marcelo!DT7+Patrícia!DT7+Diego!DT7+Aelton!DT7+Leonam!DT7+Danilo!DT7+Marcos!DT7+Carlos!DT7</f>
    </nc>
    <odxf>
      <alignment horizontal="general" vertical="bottom"/>
    </odxf>
    <ndxf>
      <alignment horizontal="center" vertical="center"/>
    </ndxf>
  </rcc>
  <rcc rId="1027" sId="3" odxf="1" dxf="1">
    <nc r="W8">
      <f>Marcelo!DT8+Patrícia!DT8+Diego!DT8+Aelton!DT8+Leonam!DT8+Danilo!DT8+Marcos!DT8+Carlos!DT8</f>
    </nc>
    <odxf>
      <alignment horizontal="general" vertical="bottom"/>
    </odxf>
    <ndxf>
      <alignment horizontal="center" vertical="center"/>
    </ndxf>
  </rcc>
  <rcc rId="1028" sId="3" odxf="1" dxf="1">
    <nc r="W9">
      <f>Marcelo!DT9+Patrícia!DT9+Diego!DT9+Aelton!DT9+Leonam!DT9+Danilo!DT9+Marcos!DT9+Carlos!DT9</f>
    </nc>
    <odxf>
      <alignment horizontal="general" vertical="bottom"/>
    </odxf>
    <ndxf>
      <alignment horizontal="center" vertical="center"/>
    </ndxf>
  </rcc>
  <rcc rId="1029" sId="3" odxf="1" dxf="1">
    <nc r="W10">
      <f>Marcelo!DT10+Patrícia!DT10+Diego!DT10+Aelton!DT10+Leonam!DT10+Danilo!DT10+Marcos!DT10+Carlos!DT10</f>
    </nc>
    <odxf>
      <alignment horizontal="general" vertical="bottom"/>
    </odxf>
    <ndxf>
      <alignment horizontal="center" vertical="center"/>
    </ndxf>
  </rcc>
  <rcc rId="1030" sId="3" odxf="1" dxf="1">
    <nc r="W11">
      <f>Marcelo!DT11+Patrícia!DT11+Diego!DT11+Aelton!DT11+Leonam!DT11+Danilo!DT11+Marcos!DT11+Carlos!DT11</f>
    </nc>
    <odxf>
      <alignment horizontal="general" vertical="bottom"/>
    </odxf>
    <ndxf>
      <alignment horizontal="center" vertical="center"/>
    </ndxf>
  </rcc>
  <rcc rId="1031" sId="3" odxf="1" dxf="1">
    <nc r="W12">
      <f>Marcelo!DT12+Patrícia!DT12+Diego!DT12+Aelton!DT12+Leonam!DT12+Danilo!DT12+Marcos!DT12+Carlos!DT12</f>
    </nc>
    <odxf>
      <alignment horizontal="general" vertical="bottom"/>
    </odxf>
    <ndxf>
      <alignment horizontal="center" vertical="center"/>
    </ndxf>
  </rcc>
  <rcc rId="1032" sId="3" odxf="1" dxf="1">
    <nc r="W13">
      <f>Marcelo!DT13+Patrícia!DT13+Diego!DT13+Aelton!DT13+Leonam!DT13+Danilo!DT13+Marcos!DT13+Carlos!DT13</f>
    </nc>
    <odxf>
      <alignment horizontal="general" vertical="bottom"/>
    </odxf>
    <ndxf>
      <alignment horizontal="center" vertical="center"/>
    </ndxf>
  </rcc>
  <rcc rId="1033" sId="3" odxf="1" dxf="1">
    <nc r="W14">
      <f>Marcelo!DT14+Patrícia!DT14+Diego!DT14+Aelton!DT14+Leonam!DT14+Danilo!DT14+Marcos!DT14+Carlos!DT14</f>
    </nc>
    <odxf>
      <alignment horizontal="general" vertical="bottom"/>
    </odxf>
    <ndxf>
      <alignment horizontal="center" vertical="center"/>
    </ndxf>
  </rcc>
  <rcc rId="1034" sId="3" odxf="1" dxf="1">
    <nc r="W15">
      <f>Marcelo!DT15+Patrícia!DT15+Diego!DT15+Aelton!DT15+Leonam!DT15+Danilo!DT15+Marcos!DT15+Carlos!DT15</f>
    </nc>
    <odxf>
      <alignment horizontal="general" vertical="bottom"/>
    </odxf>
    <ndxf>
      <alignment horizontal="center" vertical="center"/>
    </ndxf>
  </rcc>
  <rcc rId="1035" sId="3" odxf="1" dxf="1">
    <nc r="W16">
      <f>Marcelo!DT16+Patrícia!DT16+Diego!DT16+Aelton!DT16+Leonam!DT16+Danilo!DT16+Marcos!DT16+Carlos!DT16</f>
    </nc>
    <odxf>
      <alignment horizontal="general" vertical="bottom"/>
    </odxf>
    <ndxf>
      <alignment horizontal="center" vertical="center"/>
    </ndxf>
  </rcc>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X2" start="0" length="0">
    <dxf>
      <alignment horizontal="center" vertical="center"/>
    </dxf>
  </rfmt>
  <rcc rId="1036" sId="3">
    <nc r="X2">
      <f>Marcelo!DZ2+Patrícia!DZ2+Diego!DZ2+Aelton!DZ2+Leonam!DZ2+Danilo!DZ2+Marcos!DZ2+Carlos!DZ2</f>
    </nc>
  </rcc>
  <rcc rId="1037" sId="3" odxf="1" dxf="1">
    <nc r="X3">
      <f>Marcelo!DZ3+Patrícia!DZ3+Diego!DZ3+Aelton!DZ3+Leonam!DZ3+Danilo!DZ3+Marcos!DZ3+Carlos!DZ3</f>
    </nc>
    <odxf>
      <alignment horizontal="general" vertical="bottom"/>
    </odxf>
    <ndxf>
      <alignment horizontal="center" vertical="center"/>
    </ndxf>
  </rcc>
  <rcc rId="1038" sId="3" odxf="1" dxf="1">
    <nc r="X4">
      <f>Marcelo!DZ4+Patrícia!DZ4+Diego!DZ4+Aelton!DZ4+Leonam!DZ4+Danilo!DZ4+Marcos!DZ4+Carlos!DZ4</f>
    </nc>
    <odxf>
      <alignment horizontal="general" vertical="bottom"/>
    </odxf>
    <ndxf>
      <alignment horizontal="center" vertical="center"/>
    </ndxf>
  </rcc>
  <rcc rId="1039" sId="3" odxf="1" dxf="1">
    <nc r="X5">
      <f>Marcelo!DZ5+Patrícia!DZ5+Diego!DZ5+Aelton!DZ5+Leonam!DZ5+Danilo!DZ5+Marcos!DZ5+Carlos!DZ5</f>
    </nc>
    <odxf>
      <alignment horizontal="general" vertical="bottom"/>
    </odxf>
    <ndxf>
      <alignment horizontal="center" vertical="center"/>
    </ndxf>
  </rcc>
  <rcc rId="1040" sId="3" odxf="1" dxf="1">
    <nc r="X6">
      <f>Marcelo!DZ6+Patrícia!DZ6+Diego!DZ6+Aelton!DZ6+Leonam!DZ6+Danilo!DZ6+Marcos!DZ6+Carlos!DZ6</f>
    </nc>
    <odxf>
      <alignment horizontal="general" vertical="bottom"/>
    </odxf>
    <ndxf>
      <alignment horizontal="center" vertical="center"/>
    </ndxf>
  </rcc>
  <rcc rId="1041" sId="3" odxf="1" dxf="1">
    <nc r="X7">
      <f>Marcelo!DZ7+Patrícia!DZ7+Diego!DZ7+Aelton!DZ7+Leonam!DZ7+Danilo!DZ7+Marcos!DZ7+Carlos!DZ7</f>
    </nc>
    <odxf>
      <alignment horizontal="general" vertical="bottom"/>
    </odxf>
    <ndxf>
      <alignment horizontal="center" vertical="center"/>
    </ndxf>
  </rcc>
  <rcc rId="1042" sId="3" odxf="1" dxf="1">
    <nc r="X8">
      <f>Marcelo!DZ8+Patrícia!DZ8+Diego!DZ8+Aelton!DZ8+Leonam!DZ8+Danilo!DZ8+Marcos!DZ8+Carlos!DZ8</f>
    </nc>
    <odxf>
      <alignment horizontal="general" vertical="bottom"/>
    </odxf>
    <ndxf>
      <alignment horizontal="center" vertical="center"/>
    </ndxf>
  </rcc>
  <rcc rId="1043" sId="3" odxf="1" dxf="1">
    <nc r="X9">
      <f>Marcelo!DZ9+Patrícia!DZ9+Diego!DZ9+Aelton!DZ9+Leonam!DZ9+Danilo!DZ9+Marcos!DZ9+Carlos!DZ9</f>
    </nc>
    <odxf>
      <alignment horizontal="general" vertical="bottom"/>
    </odxf>
    <ndxf>
      <alignment horizontal="center" vertical="center"/>
    </ndxf>
  </rcc>
  <rcc rId="1044" sId="3" odxf="1" dxf="1">
    <nc r="X10">
      <f>Marcelo!DZ10+Patrícia!DZ10+Diego!DZ10+Aelton!DZ10+Leonam!DZ10+Danilo!DZ10+Marcos!DZ10+Carlos!DZ10</f>
    </nc>
    <odxf>
      <alignment horizontal="general" vertical="bottom"/>
    </odxf>
    <ndxf>
      <alignment horizontal="center" vertical="center"/>
    </ndxf>
  </rcc>
  <rcc rId="1045" sId="3" odxf="1" dxf="1">
    <nc r="X11">
      <f>Marcelo!DZ11+Patrícia!DZ11+Diego!DZ11+Aelton!DZ11+Leonam!DZ11+Danilo!DZ11+Marcos!DZ11+Carlos!DZ11</f>
    </nc>
    <odxf>
      <alignment horizontal="general" vertical="bottom"/>
    </odxf>
    <ndxf>
      <alignment horizontal="center" vertical="center"/>
    </ndxf>
  </rcc>
  <rcc rId="1046" sId="3" odxf="1" dxf="1">
    <nc r="X12">
      <f>Marcelo!DZ12+Patrícia!DZ12+Diego!DZ12+Aelton!DZ12+Leonam!DZ12+Danilo!DZ12+Marcos!DZ12+Carlos!DZ12</f>
    </nc>
    <odxf>
      <alignment horizontal="general" vertical="bottom"/>
    </odxf>
    <ndxf>
      <alignment horizontal="center" vertical="center"/>
    </ndxf>
  </rcc>
  <rcc rId="1047" sId="3" odxf="1" dxf="1">
    <nc r="X13">
      <f>Marcelo!DZ13+Patrícia!DZ13+Diego!DZ13+Aelton!DZ13+Leonam!DZ13+Danilo!DZ13+Marcos!DZ13+Carlos!DZ13</f>
    </nc>
    <odxf>
      <alignment horizontal="general" vertical="bottom"/>
    </odxf>
    <ndxf>
      <alignment horizontal="center" vertical="center"/>
    </ndxf>
  </rcc>
  <rcc rId="1048" sId="3" odxf="1" dxf="1">
    <nc r="X14">
      <f>Marcelo!DZ14+Patrícia!DZ14+Diego!DZ14+Aelton!DZ14+Leonam!DZ14+Danilo!DZ14+Marcos!DZ14+Carlos!DZ14</f>
    </nc>
    <odxf>
      <alignment horizontal="general" vertical="bottom"/>
    </odxf>
    <ndxf>
      <alignment horizontal="center" vertical="center"/>
    </ndxf>
  </rcc>
  <rcc rId="1049" sId="3" odxf="1" dxf="1">
    <nc r="X15">
      <f>Marcelo!DZ15+Patrícia!DZ15+Diego!DZ15+Aelton!DZ15+Leonam!DZ15+Danilo!DZ15+Marcos!DZ15+Carlos!DZ15</f>
    </nc>
    <odxf>
      <alignment horizontal="general" vertical="bottom"/>
    </odxf>
    <ndxf>
      <alignment horizontal="center" vertical="center"/>
    </ndxf>
  </rcc>
  <rcc rId="1050" sId="3" odxf="1" dxf="1">
    <nc r="X16">
      <f>Marcelo!DZ16+Patrícia!DZ16+Diego!DZ16+Aelton!DZ16+Leonam!DZ16+Danilo!DZ16+Marcos!DZ16+Carlos!DZ16</f>
    </nc>
    <odxf>
      <alignment horizontal="general" vertical="bottom"/>
    </odxf>
    <ndxf>
      <alignment horizontal="center" vertical="center"/>
    </ndxf>
  </rc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1" sId="3">
    <oc r="P2">
      <f>Marcelo!CD2+Patrícia!CD2+Diego!CD2+Aelton!CD2+Leonam!CD2+Danilo!CD2+Marcos!CD2+Carlos!CD2</f>
    </oc>
    <nc r="P2">
      <f>Marcelo!CD2+Patrícia!CD2+Diego!CD2+Aelton!CD2+Leonam!CD2+Danilo!CD2+Marcos!CD2+Carlos!CD2+Alessandro!G2</f>
    </nc>
  </rcc>
  <rcc rId="1052" sId="3">
    <oc r="P3">
      <f>Marcelo!CD3+Patrícia!CD3+Diego!CD3+Aelton!CD3+Leonam!CD3+Danilo!CD3+Marcos!CD3+Carlos!CD3</f>
    </oc>
    <nc r="P3">
      <f>Marcelo!CD3+Patrícia!CD3+Diego!CD3+Aelton!CD3+Leonam!CD3+Danilo!CD3+Marcos!CD3+Carlos!CD3+Alessandro!G3</f>
    </nc>
  </rcc>
  <rcc rId="1053" sId="3">
    <oc r="P4">
      <f>Marcelo!CD4+Patrícia!CD4+Diego!CD4+Aelton!CD4+Leonam!CD4+Danilo!CD4+Marcos!CD4+Carlos!CD4</f>
    </oc>
    <nc r="P4">
      <f>Marcelo!CD4+Patrícia!CD4+Diego!CD4+Aelton!CD4+Leonam!CD4+Danilo!CD4+Marcos!CD4+Carlos!CD4+Alessandro!G4</f>
    </nc>
  </rcc>
  <rcc rId="1054" sId="3">
    <oc r="P5">
      <f>Marcelo!CD5+Patrícia!CD5+Diego!CD5+Aelton!CD5+Leonam!CD5+Danilo!CD5+Marcos!CD5+Carlos!CD5</f>
    </oc>
    <nc r="P5">
      <f>Marcelo!CD5+Patrícia!CD5+Diego!CD5+Aelton!CD5+Leonam!CD5+Danilo!CD5+Marcos!CD5+Carlos!CD5+Alessandro!G5</f>
    </nc>
  </rcc>
  <rcc rId="1055" sId="3">
    <oc r="P6">
      <f>Marcelo!CD6+Patrícia!CD6+Diego!CD6+Aelton!CD6+Leonam!CD6+Danilo!CD6+Marcos!CD6+Carlos!CD6</f>
    </oc>
    <nc r="P6">
      <f>Marcelo!CD6+Patrícia!CD6+Diego!CD6+Aelton!CD6+Leonam!CD6+Danilo!CD6+Marcos!CD6+Carlos!CD6+Alessandro!G6</f>
    </nc>
  </rcc>
  <rcc rId="1056" sId="3">
    <oc r="P7">
      <f>Marcelo!CD7+Patrícia!CD7+Diego!CD7+Aelton!CD7+Leonam!CD7+Danilo!CD7+Marcos!CD7+Carlos!CD7</f>
    </oc>
    <nc r="P7">
      <f>Marcelo!CD7+Patrícia!CD7+Diego!CD7+Aelton!CD7+Leonam!CD7+Danilo!CD7+Marcos!CD7+Carlos!CD7+Alessandro!G7</f>
    </nc>
  </rcc>
  <rcc rId="1057" sId="3">
    <oc r="P8">
      <f>Marcelo!CD8+Patrícia!CD8+Diego!CD8+Aelton!CD8+Leonam!CD8+Danilo!CD8+Marcos!CD8+Carlos!CD8</f>
    </oc>
    <nc r="P8">
      <f>Marcelo!CD8+Patrícia!CD8+Diego!CD8+Aelton!CD8+Leonam!CD8+Danilo!CD8+Marcos!CD8+Carlos!CD8+Alessandro!G8</f>
    </nc>
  </rcc>
  <rcc rId="1058" sId="3">
    <oc r="P9">
      <f>Marcelo!CD9+Patrícia!CD9+Diego!CD9+Aelton!CD9+Leonam!CD9+Danilo!CD9+Marcos!CD9+Carlos!CD9</f>
    </oc>
    <nc r="P9">
      <f>Marcelo!CD9+Patrícia!CD9+Diego!CD9+Aelton!CD9+Leonam!CD9+Danilo!CD9+Marcos!CD9+Carlos!CD9+Alessandro!G9</f>
    </nc>
  </rcc>
  <rcc rId="1059" sId="3">
    <oc r="P10">
      <f>Marcelo!CD10+Patrícia!CD10+Diego!CD10+Aelton!CD10+Leonam!CD10+Danilo!CD10+Marcos!CD10+Carlos!CD10</f>
    </oc>
    <nc r="P10">
      <f>Marcelo!CD10+Patrícia!CD10+Diego!CD10+Aelton!CD10+Leonam!CD10+Danilo!CD10+Marcos!CD10+Carlos!CD10+Alessandro!G10</f>
    </nc>
  </rcc>
  <rcc rId="1060" sId="3">
    <oc r="P11">
      <f>Marcelo!CD11+Patrícia!CD11+Diego!CD11+Aelton!CD11+Leonam!CD11+Danilo!CD11+Marcos!CD11+Carlos!CD11</f>
    </oc>
    <nc r="P11">
      <f>Marcelo!CD11+Patrícia!CD11+Diego!CD11+Aelton!CD11+Leonam!CD11+Danilo!CD11+Marcos!CD11+Carlos!CD11+Alessandro!G11</f>
    </nc>
  </rcc>
  <rcc rId="1061" sId="3">
    <oc r="P12">
      <f>Marcelo!CD12+Patrícia!CD12+Diego!CD12+Aelton!CD12+Leonam!CD12+Danilo!CD12+Marcos!CD12+Carlos!CD12</f>
    </oc>
    <nc r="P12">
      <f>Marcelo!CD12+Patrícia!CD12+Diego!CD12+Aelton!CD12+Leonam!CD12+Danilo!CD12+Marcos!CD12+Carlos!CD12+Alessandro!G12</f>
    </nc>
  </rcc>
  <rcc rId="1062" sId="3">
    <oc r="P13">
      <f>Marcelo!CD13+Patrícia!CD13+Diego!CD13+Aelton!CD13+Leonam!CD13+Danilo!CD13+Marcos!CD13+Carlos!CD13</f>
    </oc>
    <nc r="P13">
      <f>Marcelo!CD13+Patrícia!CD13+Diego!CD13+Aelton!CD13+Leonam!CD13+Danilo!CD13+Marcos!CD13+Carlos!CD13+Alessandro!G13</f>
    </nc>
  </rcc>
  <rcc rId="1063" sId="3">
    <oc r="P14">
      <f>Marcelo!CD14+Patrícia!CD14+Diego!CD14+Aelton!CD14+Leonam!CD14+Danilo!CD14+Marcos!CD14+Carlos!CD14</f>
    </oc>
    <nc r="P14">
      <f>Marcelo!CD14+Patrícia!CD14+Diego!CD14+Aelton!CD14+Leonam!CD14+Danilo!CD14+Marcos!CD14+Carlos!CD14+Alessandro!G14</f>
    </nc>
  </rcc>
  <rcc rId="1064" sId="3">
    <oc r="P15">
      <f>Marcelo!CD15+Patrícia!CD15+Diego!CD15+Aelton!CD15+Leonam!CD15+Danilo!CD15+Marcos!CD15+Carlos!CD15</f>
    </oc>
    <nc r="P15">
      <f>Marcelo!CD15+Patrícia!CD15+Diego!CD15+Aelton!CD15+Leonam!CD15+Danilo!CD15+Marcos!CD15+Carlos!CD15+Alessandro!G15</f>
    </nc>
  </rcc>
  <rcc rId="1065" sId="3">
    <oc r="P16">
      <f>Marcelo!CD16+Patrícia!CD16+Diego!CD16+Aelton!CD16+Leonam!CD16+Danilo!CD16+Marcos!CD16+Carlos!CD16</f>
    </oc>
    <nc r="P16">
      <f>Marcelo!CD16+Patrícia!CD16+Diego!CD16+Aelton!CD16+Leonam!CD16+Danilo!CD16+Marcos!CD16+Carlos!CD16+Alessandro!G16</f>
    </nc>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6" sId="3">
    <oc r="Q2">
      <f>Marcelo!CJ2+Patrícia!CJ2+Diego!CJ2+Aelton!CJ2+Leonam!CJ2+Danilo!CJ2+Marcos!CJ2+Carlos!CJ2</f>
    </oc>
    <nc r="Q2">
      <f>Marcelo!CJ2+Patrícia!CJ2+Diego!CJ2+Aelton!CJ2+Leonam!CJ2+Danilo!CJ2+Marcos!CJ2+Carlos!CJ2++Alessandro!M2</f>
    </nc>
  </rcc>
  <rcc rId="1067" sId="3">
    <oc r="Q3">
      <f>Marcelo!CJ3+Patrícia!CJ3+Diego!CJ3+Aelton!CJ3+Leonam!CJ3+Danilo!CJ3+Marcos!CJ3+Carlos!CJ3</f>
    </oc>
    <nc r="Q3">
      <f>Marcelo!CJ3+Patrícia!CJ3+Diego!CJ3+Aelton!CJ3+Leonam!CJ3+Danilo!CJ3+Marcos!CJ3+Carlos!CJ3++Alessandro!M3</f>
    </nc>
  </rcc>
  <rcc rId="1068" sId="3">
    <oc r="Q4">
      <f>Marcelo!CJ4+Patrícia!CJ4+Diego!CJ4+Aelton!CJ4+Leonam!CJ4+Danilo!CJ4+Marcos!CJ4+Carlos!CJ4</f>
    </oc>
    <nc r="Q4">
      <f>Marcelo!CJ4+Patrícia!CJ4+Diego!CJ4+Aelton!CJ4+Leonam!CJ4+Danilo!CJ4+Marcos!CJ4+Carlos!CJ4++Alessandro!M4</f>
    </nc>
  </rcc>
  <rcc rId="1069" sId="3">
    <oc r="Q5">
      <f>Marcelo!CJ5+Patrícia!CJ5+Diego!CJ5+Aelton!CJ5+Leonam!CJ5+Danilo!CJ5+Marcos!CJ5+Carlos!CJ5</f>
    </oc>
    <nc r="Q5">
      <f>Marcelo!CJ5+Patrícia!CJ5+Diego!CJ5+Aelton!CJ5+Leonam!CJ5+Danilo!CJ5+Marcos!CJ5+Carlos!CJ5++Alessandro!M5</f>
    </nc>
  </rcc>
  <rcc rId="1070" sId="3">
    <oc r="Q6">
      <f>Marcelo!CJ6+Patrícia!CJ6+Diego!CJ6+Aelton!CJ6+Leonam!CJ6+Danilo!CJ6+Marcos!CJ6+Carlos!CJ6</f>
    </oc>
    <nc r="Q6">
      <f>Marcelo!CJ6+Patrícia!CJ6+Diego!CJ6+Aelton!CJ6+Leonam!CJ6+Danilo!CJ6+Marcos!CJ6+Carlos!CJ6++Alessandro!M6</f>
    </nc>
  </rcc>
  <rcc rId="1071" sId="3">
    <oc r="Q7">
      <f>Marcelo!CJ7+Patrícia!CJ7+Diego!CJ7+Aelton!CJ7+Leonam!CJ7+Danilo!CJ7+Marcos!CJ7+Carlos!CJ7</f>
    </oc>
    <nc r="Q7">
      <f>Marcelo!CJ7+Patrícia!CJ7+Diego!CJ7+Aelton!CJ7+Leonam!CJ7+Danilo!CJ7+Marcos!CJ7+Carlos!CJ7++Alessandro!M7</f>
    </nc>
  </rcc>
  <rcc rId="1072" sId="3">
    <oc r="Q8">
      <f>Marcelo!CJ8+Patrícia!CJ8+Diego!CJ8+Aelton!CJ8+Leonam!CJ8+Danilo!CJ8+Marcos!CJ8+Carlos!CJ8</f>
    </oc>
    <nc r="Q8">
      <f>Marcelo!CJ8+Patrícia!CJ8+Diego!CJ8+Aelton!CJ8+Leonam!CJ8+Danilo!CJ8+Marcos!CJ8+Carlos!CJ8++Alessandro!M8</f>
    </nc>
  </rcc>
  <rcc rId="1073" sId="3">
    <oc r="Q9">
      <f>Marcelo!CJ9+Patrícia!CJ9+Diego!CJ9+Aelton!CJ9+Leonam!CJ9+Danilo!CJ9+Marcos!CJ9+Carlos!CJ9</f>
    </oc>
    <nc r="Q9">
      <f>Marcelo!CJ9+Patrícia!CJ9+Diego!CJ9+Aelton!CJ9+Leonam!CJ9+Danilo!CJ9+Marcos!CJ9+Carlos!CJ9++Alessandro!M9</f>
    </nc>
  </rcc>
  <rcc rId="1074" sId="3">
    <oc r="Q10">
      <f>Marcelo!CJ10+Patrícia!CJ10+Diego!CJ10+Aelton!CJ10+Leonam!CJ10+Danilo!CJ10+Marcos!CJ10+Carlos!CJ10</f>
    </oc>
    <nc r="Q10">
      <f>Marcelo!CJ10+Patrícia!CJ10+Diego!CJ10+Aelton!CJ10+Leonam!CJ10+Danilo!CJ10+Marcos!CJ10+Carlos!CJ10++Alessandro!M10</f>
    </nc>
  </rcc>
  <rcc rId="1075" sId="3">
    <oc r="Q11">
      <f>Marcelo!CJ11+Patrícia!CJ11+Diego!CJ11+Aelton!CJ11+Leonam!CJ11+Danilo!CJ11+Marcos!CJ11+Carlos!CJ11</f>
    </oc>
    <nc r="Q11">
      <f>Marcelo!CJ11+Patrícia!CJ11+Diego!CJ11+Aelton!CJ11+Leonam!CJ11+Danilo!CJ11+Marcos!CJ11+Carlos!CJ11++Alessandro!M11</f>
    </nc>
  </rcc>
  <rcc rId="1076" sId="3">
    <oc r="Q12">
      <f>Marcelo!CJ12+Patrícia!CJ12+Diego!CJ12+Aelton!CJ12+Leonam!CJ12+Danilo!CJ12+Marcos!CJ12+Carlos!CJ12</f>
    </oc>
    <nc r="Q12">
      <f>Marcelo!CJ12+Patrícia!CJ12+Diego!CJ12+Aelton!CJ12+Leonam!CJ12+Danilo!CJ12+Marcos!CJ12+Carlos!CJ12++Alessandro!M12</f>
    </nc>
  </rcc>
  <rcc rId="1077" sId="3">
    <oc r="Q13">
      <f>Marcelo!CJ13+Patrícia!CJ13+Diego!CJ13+Aelton!CJ13+Leonam!CJ13+Danilo!CJ13+Marcos!CJ13+Carlos!CJ13</f>
    </oc>
    <nc r="Q13">
      <f>Marcelo!CJ13+Patrícia!CJ13+Diego!CJ13+Aelton!CJ13+Leonam!CJ13+Danilo!CJ13+Marcos!CJ13+Carlos!CJ13++Alessandro!M13</f>
    </nc>
  </rcc>
  <rcc rId="1078" sId="3">
    <oc r="Q14">
      <f>Marcelo!CJ14+Patrícia!CJ14+Diego!CJ14+Aelton!CJ14+Leonam!CJ14+Danilo!CJ14+Marcos!CJ14+Carlos!CJ14</f>
    </oc>
    <nc r="Q14">
      <f>Marcelo!CJ14+Patrícia!CJ14+Diego!CJ14+Aelton!CJ14+Leonam!CJ14+Danilo!CJ14+Marcos!CJ14+Carlos!CJ14++Alessandro!M14</f>
    </nc>
  </rcc>
  <rcc rId="1079" sId="3">
    <oc r="Q15">
      <f>Marcelo!CJ15+Patrícia!CJ15+Diego!CJ15+Aelton!CJ15+Leonam!CJ15+Danilo!CJ15+Marcos!CJ15+Carlos!CJ15</f>
    </oc>
    <nc r="Q15">
      <f>Marcelo!CJ15+Patrícia!CJ15+Diego!CJ15+Aelton!CJ15+Leonam!CJ15+Danilo!CJ15+Marcos!CJ15+Carlos!CJ15++Alessandro!M15</f>
    </nc>
  </rcc>
  <rcc rId="1080" sId="3">
    <oc r="Q16">
      <f>Marcelo!CJ16+Patrícia!CJ16+Diego!CJ16+Aelton!CJ16+Leonam!CJ16+Danilo!CJ16+Marcos!CJ16+Carlos!CJ16</f>
    </oc>
    <nc r="Q16">
      <f>Marcelo!CJ16+Patrícia!CJ16+Diego!CJ16+Aelton!CJ16+Leonam!CJ16+Danilo!CJ16+Marcos!CJ16+Carlos!CJ16++Alessandro!M16</f>
    </nc>
  </rc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1" sId="3">
    <oc r="Q2">
      <f>Marcelo!CJ2+Patrícia!CJ2+Diego!CJ2+Aelton!CJ2+Leonam!CJ2+Danilo!CJ2+Marcos!CJ2+Carlos!CJ2++Alessandro!M2</f>
    </oc>
    <nc r="Q2">
      <f>Marcelo!CJ2+Patrícia!CJ2+Diego!CJ2+Aelton!CJ2+Leonam!CJ2+Danilo!CJ2+Marcos!CJ2+Carlos!CJ2+Alessandro!M2</f>
    </nc>
  </rcc>
  <rcc rId="1082" sId="3">
    <oc r="R2">
      <f>Marcelo!CP2+Patrícia!CP2+Diego!CP2+Aelton!CP2+Leonam!CP2+Danilo!CP2+Marcos!CP2+Carlos!CP2</f>
    </oc>
    <nc r="R2">
      <f>Marcelo!CP2+Patrícia!CP2+Diego!CP2+Aelton!CP2+Leonam!CP2+Danilo!CP2+Marcos!CP2+Carlos!CP2+Alessandro!Y2</f>
    </nc>
  </rcc>
  <rcc rId="1083" sId="3">
    <oc r="S2">
      <f>Marcelo!CV2+Patrícia!CV2+Diego!CV2+Aelton!CV2+Leonam!CV2+Danilo!CV2+Marcos!CV2+Carlos!CV2</f>
    </oc>
    <nc r="S2">
      <f>Marcelo!CV2+Patrícia!CV2+Diego!CV2+Aelton!CV2+Leonam!CV2+Danilo!CV2+Marcos!CV2+Carlos!CV2+Alessandro!AE2</f>
    </nc>
  </rcc>
  <rcc rId="1084" sId="3">
    <oc r="S3">
      <f>Marcelo!CV3+Patrícia!CV3+Diego!CV3+Aelton!CV3+Leonam!CV3+Danilo!CV3+Marcos!CV3+Carlos!CV3</f>
    </oc>
    <nc r="S3">
      <f>Marcelo!CV3+Patrícia!CV3+Diego!CV3+Aelton!CV3+Leonam!CV3+Danilo!CV3+Marcos!CV3+Carlos!CV3+Alessandro!AE3</f>
    </nc>
  </rcc>
  <rcc rId="1085" sId="3">
    <oc r="S4">
      <f>Marcelo!CV4+Patrícia!CV4+Diego!CV4+Aelton!CV4+Leonam!CV4+Danilo!CV4+Marcos!CV4+Carlos!CV4</f>
    </oc>
    <nc r="S4">
      <f>Marcelo!CV4+Patrícia!CV4+Diego!CV4+Aelton!CV4+Leonam!CV4+Danilo!CV4+Marcos!CV4+Carlos!CV4+Alessandro!AE4</f>
    </nc>
  </rcc>
  <rcc rId="1086" sId="3">
    <oc r="S5">
      <f>Marcelo!CV5+Patrícia!CV5+Diego!CV5+Aelton!CV5+Leonam!CV5+Danilo!CV5+Marcos!CV5+Carlos!CV5</f>
    </oc>
    <nc r="S5">
      <f>Marcelo!CV5+Patrícia!CV5+Diego!CV5+Aelton!CV5+Leonam!CV5+Danilo!CV5+Marcos!CV5+Carlos!CV5+Alessandro!AE5</f>
    </nc>
  </rcc>
  <rcc rId="1087" sId="3">
    <oc r="S6">
      <f>Marcelo!CV6+Patrícia!CV6+Diego!CV6+Aelton!CV6+Leonam!CV6+Danilo!CV6+Marcos!CV6+Carlos!CV6</f>
    </oc>
    <nc r="S6">
      <f>Marcelo!CV6+Patrícia!CV6+Diego!CV6+Aelton!CV6+Leonam!CV6+Danilo!CV6+Marcos!CV6+Carlos!CV6+Alessandro!AE6</f>
    </nc>
  </rcc>
  <rcc rId="1088" sId="3">
    <oc r="S7">
      <f>Marcelo!CV7+Patrícia!CV7+Diego!CV7+Aelton!CV7+Leonam!CV7+Danilo!CV7+Marcos!CV7+Carlos!CV7</f>
    </oc>
    <nc r="S7">
      <f>Marcelo!CV7+Patrícia!CV7+Diego!CV7+Aelton!CV7+Leonam!CV7+Danilo!CV7+Marcos!CV7+Carlos!CV7+Alessandro!AE7</f>
    </nc>
  </rcc>
  <rcc rId="1089" sId="3">
    <oc r="S8">
      <f>Marcelo!CV8+Patrícia!CV8+Diego!CV8+Aelton!CV8+Leonam!CV8+Danilo!CV8+Marcos!CV8+Carlos!CV8</f>
    </oc>
    <nc r="S8">
      <f>Marcelo!CV8+Patrícia!CV8+Diego!CV8+Aelton!CV8+Leonam!CV8+Danilo!CV8+Marcos!CV8+Carlos!CV8+Alessandro!AE8</f>
    </nc>
  </rcc>
  <rcc rId="1090" sId="3">
    <oc r="S9">
      <f>Marcelo!CV9+Patrícia!CV9+Diego!CV9+Aelton!CV9+Leonam!CV9+Danilo!CV9+Marcos!CV9+Carlos!CV9</f>
    </oc>
    <nc r="S9">
      <f>Marcelo!CV9+Patrícia!CV9+Diego!CV9+Aelton!CV9+Leonam!CV9+Danilo!CV9+Marcos!CV9+Carlos!CV9+Alessandro!AE9</f>
    </nc>
  </rcc>
  <rcc rId="1091" sId="3">
    <oc r="S10">
      <f>Marcelo!CV10+Patrícia!CV10+Diego!CV10+Aelton!CV10+Leonam!CV10+Danilo!CV10+Marcos!CV10+Carlos!CV10</f>
    </oc>
    <nc r="S10">
      <f>Marcelo!CV10+Patrícia!CV10+Diego!CV10+Aelton!CV10+Leonam!CV10+Danilo!CV10+Marcos!CV10+Carlos!CV10+Alessandro!AE10</f>
    </nc>
  </rcc>
  <rcc rId="1092" sId="3">
    <oc r="S11">
      <f>Marcelo!CV11+Patrícia!CV11+Diego!CV11+Aelton!CV11+Leonam!CV11+Danilo!CV11+Marcos!CV11+Carlos!CV11</f>
    </oc>
    <nc r="S11">
      <f>Marcelo!CV11+Patrícia!CV11+Diego!CV11+Aelton!CV11+Leonam!CV11+Danilo!CV11+Marcos!CV11+Carlos!CV11+Alessandro!AE11</f>
    </nc>
  </rcc>
  <rcc rId="1093" sId="3">
    <oc r="S12">
      <f>Marcelo!CV12+Patrícia!CV12+Diego!CV12+Aelton!CV12+Leonam!CV12+Danilo!CV12+Marcos!CV12+Carlos!CV12</f>
    </oc>
    <nc r="S12">
      <f>Marcelo!CV12+Patrícia!CV12+Diego!CV12+Aelton!CV12+Leonam!CV12+Danilo!CV12+Marcos!CV12+Carlos!CV12+Alessandro!AE12</f>
    </nc>
  </rcc>
  <rcc rId="1094" sId="3">
    <oc r="S13">
      <f>Marcelo!CV13+Patrícia!CV13+Diego!CV13+Aelton!CV13+Leonam!CV13+Danilo!CV13+Marcos!CV13+Carlos!CV13</f>
    </oc>
    <nc r="S13">
      <f>Marcelo!CV13+Patrícia!CV13+Diego!CV13+Aelton!CV13+Leonam!CV13+Danilo!CV13+Marcos!CV13+Carlos!CV13+Alessandro!AE13</f>
    </nc>
  </rcc>
  <rcc rId="1095" sId="3">
    <oc r="S14">
      <f>Marcelo!CV14+Patrícia!CV14+Diego!CV14+Aelton!CV14+Leonam!CV14+Danilo!CV14+Marcos!CV14+Carlos!CV14</f>
    </oc>
    <nc r="S14">
      <f>Marcelo!CV14+Patrícia!CV14+Diego!CV14+Aelton!CV14+Leonam!CV14+Danilo!CV14+Marcos!CV14+Carlos!CV14+Alessandro!AE14</f>
    </nc>
  </rcc>
  <rcc rId="1096" sId="3">
    <oc r="S15">
      <f>Marcelo!CV15+Patrícia!CV15+Diego!CV15+Aelton!CV15+Leonam!CV15+Danilo!CV15+Marcos!CV15+Carlos!CV15</f>
    </oc>
    <nc r="S15">
      <f>Marcelo!CV15+Patrícia!CV15+Diego!CV15+Aelton!CV15+Leonam!CV15+Danilo!CV15+Marcos!CV15+Carlos!CV15+Alessandro!AE15</f>
    </nc>
  </rcc>
  <rcc rId="1097" sId="3">
    <oc r="S16">
      <f>Marcelo!CV16+Patrícia!CV16+Diego!CV16+Aelton!CV16+Leonam!CV16+Danilo!CV16+Marcos!CV16+Carlos!CV16</f>
    </oc>
    <nc r="S16">
      <f>Marcelo!CV16+Patrícia!CV16+Diego!CV16+Aelton!CV16+Leonam!CV16+Danilo!CV16+Marcos!CV16+Carlos!CV16+Alessandro!AE16</f>
    </nc>
  </rcc>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8" sId="3" odxf="1" dxf="1">
    <oc r="O2">
      <f>Marcelo!BX2+Patrícia!BX2+Diego!BX2+Aelton!BX2+Leonam!BX2+Danilo!BX2+Marcos!BX2+Carlos!BX2</f>
    </oc>
    <nc r="O2">
      <f>Marcelo!BX2+Patrícia!BX2+Diego!BX2+Aelton!BX2+Leonam!BX2+Danilo!BX2+Marcos!BX2+Carlos!BX2</f>
    </nc>
    <odxf>
      <fill>
        <patternFill patternType="none">
          <bgColor indexed="65"/>
        </patternFill>
      </fill>
    </odxf>
    <ndxf>
      <fill>
        <patternFill patternType="solid">
          <bgColor rgb="FFFFFF00"/>
        </patternFill>
      </fill>
    </ndxf>
  </rcc>
  <rcc rId="1099" sId="3" odxf="1" dxf="1">
    <oc r="P2">
      <f>Marcelo!CD2+Patrícia!CD2+Diego!CD2+Aelton!CD2+Leonam!CD2+Danilo!CD2+Marcos!CD2+Carlos!CD2+Alessandro!G2</f>
    </oc>
    <nc r="P2">
      <f>Marcelo!CD2+Patrícia!CD2+Diego!CD2+Aelton!CD2+Leonam!CD2+Danilo!CD2+Marcos!CD2+Carlos!CD2+Alessandro!G2</f>
    </nc>
    <odxf>
      <fill>
        <patternFill patternType="none">
          <bgColor indexed="65"/>
        </patternFill>
      </fill>
    </odxf>
    <ndxf>
      <fill>
        <patternFill patternType="solid">
          <bgColor rgb="FFFFFF00"/>
        </patternFill>
      </fill>
    </ndxf>
  </rcc>
  <rcc rId="1100" sId="3" odxf="1" dxf="1">
    <oc r="Q2">
      <f>Marcelo!CJ2+Patrícia!CJ2+Diego!CJ2+Aelton!CJ2+Leonam!CJ2+Danilo!CJ2+Marcos!CJ2+Carlos!CJ2+Alessandro!M2</f>
    </oc>
    <nc r="Q2">
      <f>Marcelo!CJ2+Patrícia!CJ2+Diego!CJ2+Aelton!CJ2+Leonam!CJ2+Danilo!CJ2+Marcos!CJ2+Carlos!CJ2+Alessandro!M2</f>
    </nc>
    <odxf>
      <fill>
        <patternFill patternType="none">
          <bgColor indexed="65"/>
        </patternFill>
      </fill>
    </odxf>
    <ndxf>
      <fill>
        <patternFill patternType="solid">
          <bgColor rgb="FFFFFF00"/>
        </patternFill>
      </fill>
    </ndxf>
  </rcc>
  <rcc rId="1101" sId="3" odxf="1" dxf="1">
    <oc r="R2">
      <f>Marcelo!CP2+Patrícia!CP2+Diego!CP2+Aelton!CP2+Leonam!CP2+Danilo!CP2+Marcos!CP2+Carlos!CP2+Alessandro!Y2</f>
    </oc>
    <nc r="R2">
      <f>Marcelo!CP2+Patrícia!CP2+Diego!CP2+Aelton!CP2+Leonam!CP2+Danilo!CP2+Marcos!CP2+Carlos!CP2+Alessandro!Y2</f>
    </nc>
    <odxf>
      <fill>
        <patternFill patternType="none">
          <bgColor indexed="65"/>
        </patternFill>
      </fill>
    </odxf>
    <ndxf>
      <fill>
        <patternFill patternType="solid">
          <bgColor rgb="FFFFFF00"/>
        </patternFill>
      </fill>
    </ndxf>
  </rcc>
  <rcc rId="1102" sId="3" odxf="1" dxf="1">
    <oc r="S2">
      <f>Marcelo!CV2+Patrícia!CV2+Diego!CV2+Aelton!CV2+Leonam!CV2+Danilo!CV2+Marcos!CV2+Carlos!CV2+Alessandro!AE2</f>
    </oc>
    <nc r="S2">
      <f>Marcelo!CV2+Patrícia!CV2+Diego!CV2+Aelton!CV2+Leonam!CV2+Danilo!CV2+Marcos!CV2+Carlos!CV2+Alessandro!AE2</f>
    </nc>
    <odxf>
      <fill>
        <patternFill patternType="none">
          <bgColor indexed="65"/>
        </patternFill>
      </fill>
    </odxf>
    <ndxf>
      <fill>
        <patternFill patternType="solid">
          <bgColor rgb="FFFFFF00"/>
        </patternFill>
      </fill>
    </ndxf>
  </rcc>
  <rcc rId="1103" sId="3" odxf="1" dxf="1">
    <oc r="T2">
      <f>Marcelo!DB2+Patrícia!DB2+Diego!DB2+Aelton!DB2+Leonam!DB2+Danilo!DB2+Marcos!DB2+Carlos!DB2</f>
    </oc>
    <nc r="T2">
      <f>Marcelo!DB2+Patrícia!DB2+Diego!DB2+Aelton!DB2+Leonam!DB2+Danilo!DB2+Marcos!DB2+Carlos!DB2</f>
    </nc>
    <odxf>
      <fill>
        <patternFill patternType="none">
          <bgColor indexed="65"/>
        </patternFill>
      </fill>
    </odxf>
    <ndxf>
      <fill>
        <patternFill patternType="solid">
          <bgColor rgb="FFFFFF00"/>
        </patternFill>
      </fill>
    </ndxf>
  </rcc>
  <rcc rId="1104" sId="3" odxf="1" dxf="1">
    <oc r="U2">
      <f>Marcelo!DH2+Patrícia!DH2+Diego!DH2+Aelton!DH2+Leonam!DH2+Danilo!DH2+Marcos!DH2+Carlos!DH2</f>
    </oc>
    <nc r="U2">
      <f>Marcelo!DH2+Patrícia!DH2+Diego!DH2+Aelton!DH2+Leonam!DH2+Danilo!DH2+Marcos!DH2+Carlos!DH2</f>
    </nc>
    <odxf>
      <fill>
        <patternFill patternType="none">
          <bgColor indexed="65"/>
        </patternFill>
      </fill>
    </odxf>
    <ndxf>
      <fill>
        <patternFill patternType="solid">
          <bgColor rgb="FFFFFF00"/>
        </patternFill>
      </fill>
    </ndxf>
  </rcc>
  <rcc rId="1105" sId="3" odxf="1" dxf="1">
    <oc r="V2">
      <f>Marcelo!DN2+Patrícia!DN2+Diego!DN2+Aelton!DN2+Leonam!DN2+Danilo!DN2+Marcos!DN2+Carlos!DN2</f>
    </oc>
    <nc r="V2">
      <f>Marcelo!DN2+Patrícia!DN2+Diego!DN2+Aelton!DN2+Leonam!DN2+Danilo!DN2+Marcos!DN2+Carlos!DN2</f>
    </nc>
    <odxf>
      <fill>
        <patternFill patternType="none">
          <bgColor indexed="65"/>
        </patternFill>
      </fill>
    </odxf>
    <ndxf>
      <fill>
        <patternFill patternType="solid">
          <bgColor rgb="FFFFFF00"/>
        </patternFill>
      </fill>
    </ndxf>
  </rcc>
  <rcc rId="1106" sId="3" odxf="1" dxf="1">
    <oc r="W2">
      <f>Marcelo!DT2+Patrícia!DT2+Diego!DT2+Aelton!DT2+Leonam!DT2+Danilo!DT2+Marcos!DT2+Carlos!DT2</f>
    </oc>
    <nc r="W2">
      <f>Marcelo!DT2+Patrícia!DT2+Diego!DT2+Aelton!DT2+Leonam!DT2+Danilo!DT2+Marcos!DT2+Carlos!DT2</f>
    </nc>
    <odxf>
      <fill>
        <patternFill patternType="none">
          <bgColor indexed="65"/>
        </patternFill>
      </fill>
    </odxf>
    <ndxf>
      <fill>
        <patternFill patternType="solid">
          <bgColor rgb="FFFFFF00"/>
        </patternFill>
      </fill>
    </ndxf>
  </rcc>
  <rcc rId="1107" sId="3" odxf="1" dxf="1">
    <oc r="X2">
      <f>Marcelo!DZ2+Patrícia!DZ2+Diego!DZ2+Aelton!DZ2+Leonam!DZ2+Danilo!DZ2+Marcos!DZ2+Carlos!DZ2</f>
    </oc>
    <nc r="X2">
      <f>Marcelo!DZ2+Patrícia!DZ2+Diego!DZ2+Aelton!DZ2+Leonam!DZ2+Danilo!DZ2+Marcos!DZ2+Carlos!DZ2</f>
    </nc>
    <odxf>
      <fill>
        <patternFill patternType="none">
          <bgColor indexed="65"/>
        </patternFill>
      </fill>
    </odxf>
    <ndxf>
      <fill>
        <patternFill patternType="solid">
          <bgColor rgb="FFFFFF00"/>
        </patternFill>
      </fill>
    </ndxf>
  </rcc>
  <rcc rId="1108" sId="3" odxf="1" dxf="1">
    <oc r="O4">
      <f>Marcelo!BX4+Patrícia!BX4+Diego!BX4+Aelton!BX4+Leonam!BX4+Danilo!BX4+Marcos!BX4+Carlos!BX4</f>
    </oc>
    <nc r="O4">
      <f>Marcelo!BX4+Patrícia!BX4+Diego!BX4+Aelton!BX4+Leonam!BX4+Danilo!BX4+Marcos!BX4+Carlos!BX4</f>
    </nc>
    <odxf>
      <fill>
        <patternFill patternType="none">
          <bgColor indexed="65"/>
        </patternFill>
      </fill>
    </odxf>
    <ndxf>
      <fill>
        <patternFill patternType="solid">
          <bgColor rgb="FFFFFF00"/>
        </patternFill>
      </fill>
    </ndxf>
  </rcc>
  <rcc rId="1109" sId="3" odxf="1" dxf="1">
    <oc r="P4">
      <f>Marcelo!CD4+Patrícia!CD4+Diego!CD4+Aelton!CD4+Leonam!CD4+Danilo!CD4+Marcos!CD4+Carlos!CD4+Alessandro!G4</f>
    </oc>
    <nc r="P4">
      <f>Marcelo!CD4+Patrícia!CD4+Diego!CD4+Aelton!CD4+Leonam!CD4+Danilo!CD4+Marcos!CD4+Carlos!CD4+Alessandro!G4</f>
    </nc>
    <odxf>
      <fill>
        <patternFill patternType="none">
          <bgColor indexed="65"/>
        </patternFill>
      </fill>
    </odxf>
    <ndxf>
      <fill>
        <patternFill patternType="solid">
          <bgColor rgb="FFFFFF00"/>
        </patternFill>
      </fill>
    </ndxf>
  </rcc>
  <rcc rId="1110" sId="3" odxf="1" dxf="1">
    <oc r="Q4">
      <f>Marcelo!CJ4+Patrícia!CJ4+Diego!CJ4+Aelton!CJ4+Leonam!CJ4+Danilo!CJ4+Marcos!CJ4+Carlos!CJ4++Alessandro!M4</f>
    </oc>
    <nc r="Q4">
      <f>Marcelo!CJ4+Patrícia!CJ4+Diego!CJ4+Aelton!CJ4+Leonam!CJ4+Danilo!CJ4+Marcos!CJ4+Carlos!CJ4++Alessandro!M4</f>
    </nc>
    <odxf>
      <fill>
        <patternFill patternType="none">
          <bgColor indexed="65"/>
        </patternFill>
      </fill>
    </odxf>
    <ndxf>
      <fill>
        <patternFill patternType="solid">
          <bgColor rgb="FFFFFF00"/>
        </patternFill>
      </fill>
    </ndxf>
  </rcc>
  <rcc rId="1111" sId="3" odxf="1" dxf="1">
    <oc r="R4">
      <f>Marcelo!CP4+Patrícia!CP4+Diego!CP4+Aelton!CP4+Leonam!CP4+Danilo!CP4+Marcos!CP4+Carlos!CP4</f>
    </oc>
    <nc r="R4">
      <f>Marcelo!CP4+Patrícia!CP4+Diego!CP4+Aelton!CP4+Leonam!CP4+Danilo!CP4+Marcos!CP4+Carlos!CP4</f>
    </nc>
    <odxf>
      <fill>
        <patternFill patternType="none">
          <bgColor indexed="65"/>
        </patternFill>
      </fill>
    </odxf>
    <ndxf>
      <fill>
        <patternFill patternType="solid">
          <bgColor rgb="FFFFFF00"/>
        </patternFill>
      </fill>
    </ndxf>
  </rcc>
  <rcc rId="1112" sId="3" odxf="1" dxf="1">
    <oc r="S4">
      <f>Marcelo!CV4+Patrícia!CV4+Diego!CV4+Aelton!CV4+Leonam!CV4+Danilo!CV4+Marcos!CV4+Carlos!CV4+Alessandro!AE4</f>
    </oc>
    <nc r="S4">
      <f>Marcelo!CV4+Patrícia!CV4+Diego!CV4+Aelton!CV4+Leonam!CV4+Danilo!CV4+Marcos!CV4+Carlos!CV4+Alessandro!AE4</f>
    </nc>
    <odxf>
      <fill>
        <patternFill patternType="none">
          <bgColor indexed="65"/>
        </patternFill>
      </fill>
    </odxf>
    <ndxf>
      <fill>
        <patternFill patternType="solid">
          <bgColor rgb="FFFFFF00"/>
        </patternFill>
      </fill>
    </ndxf>
  </rcc>
  <rcc rId="1113" sId="3" odxf="1" dxf="1">
    <oc r="T4">
      <f>Marcelo!DB4+Patrícia!DB4+Diego!DB4+Aelton!DB4+Leonam!DB4+Danilo!DB4+Marcos!DB4+Carlos!DB4</f>
    </oc>
    <nc r="T4">
      <f>Marcelo!DB4+Patrícia!DB4+Diego!DB4+Aelton!DB4+Leonam!DB4+Danilo!DB4+Marcos!DB4+Carlos!DB4</f>
    </nc>
    <odxf>
      <fill>
        <patternFill patternType="none">
          <bgColor indexed="65"/>
        </patternFill>
      </fill>
    </odxf>
    <ndxf>
      <fill>
        <patternFill patternType="solid">
          <bgColor rgb="FFFFFF00"/>
        </patternFill>
      </fill>
    </ndxf>
  </rcc>
  <rcc rId="1114" sId="3" odxf="1" dxf="1">
    <oc r="U4">
      <f>Marcelo!DH4+Patrícia!DH4+Diego!DH4+Aelton!DH4+Leonam!DH4+Danilo!DH4+Marcos!DH4+Carlos!DH4</f>
    </oc>
    <nc r="U4">
      <f>Marcelo!DH4+Patrícia!DH4+Diego!DH4+Aelton!DH4+Leonam!DH4+Danilo!DH4+Marcos!DH4+Carlos!DH4</f>
    </nc>
    <odxf>
      <fill>
        <patternFill patternType="none">
          <bgColor indexed="65"/>
        </patternFill>
      </fill>
    </odxf>
    <ndxf>
      <fill>
        <patternFill patternType="solid">
          <bgColor rgb="FFFFFF00"/>
        </patternFill>
      </fill>
    </ndxf>
  </rcc>
  <rcc rId="1115" sId="3" odxf="1" dxf="1">
    <oc r="V4">
      <f>Marcelo!DN4+Patrícia!DN4+Diego!DN4+Aelton!DN4+Leonam!DN4+Danilo!DN4+Marcos!DN4+Carlos!DN4</f>
    </oc>
    <nc r="V4">
      <f>Marcelo!DN4+Patrícia!DN4+Diego!DN4+Aelton!DN4+Leonam!DN4+Danilo!DN4+Marcos!DN4+Carlos!DN4</f>
    </nc>
    <odxf>
      <fill>
        <patternFill patternType="none">
          <bgColor indexed="65"/>
        </patternFill>
      </fill>
    </odxf>
    <ndxf>
      <fill>
        <patternFill patternType="solid">
          <bgColor rgb="FFFFFF00"/>
        </patternFill>
      </fill>
    </ndxf>
  </rcc>
  <rcc rId="1116" sId="3" odxf="1" dxf="1">
    <oc r="W4">
      <f>Marcelo!DT4+Patrícia!DT4+Diego!DT4+Aelton!DT4+Leonam!DT4+Danilo!DT4+Marcos!DT4+Carlos!DT4</f>
    </oc>
    <nc r="W4">
      <f>Marcelo!DT4+Patrícia!DT4+Diego!DT4+Aelton!DT4+Leonam!DT4+Danilo!DT4+Marcos!DT4+Carlos!DT4</f>
    </nc>
    <odxf>
      <fill>
        <patternFill patternType="none">
          <bgColor indexed="65"/>
        </patternFill>
      </fill>
    </odxf>
    <ndxf>
      <fill>
        <patternFill patternType="solid">
          <bgColor rgb="FFFFFF00"/>
        </patternFill>
      </fill>
    </ndxf>
  </rcc>
  <rcc rId="1117" sId="3" odxf="1" dxf="1">
    <oc r="X4">
      <f>Marcelo!DZ4+Patrícia!DZ4+Diego!DZ4+Aelton!DZ4+Leonam!DZ4+Danilo!DZ4+Marcos!DZ4+Carlos!DZ4</f>
    </oc>
    <nc r="X4">
      <f>Marcelo!DZ4+Patrícia!DZ4+Diego!DZ4+Aelton!DZ4+Leonam!DZ4+Danilo!DZ4+Marcos!DZ4+Carlos!DZ4</f>
    </nc>
    <odxf>
      <fill>
        <patternFill patternType="none">
          <bgColor indexed="65"/>
        </patternFill>
      </fill>
    </odxf>
    <ndxf>
      <fill>
        <patternFill patternType="solid">
          <bgColor rgb="FFFFFF00"/>
        </patternFill>
      </fill>
    </ndxf>
  </rcc>
  <rcc rId="1118" sId="3" odxf="1" dxf="1">
    <oc r="O6">
      <f>Marcelo!BX6+Patrícia!BX6+Diego!BX6+Aelton!BX6+Leonam!BX6+Danilo!BX6+Marcos!BX6+Carlos!BX6</f>
    </oc>
    <nc r="O6">
      <f>Marcelo!BX6+Patrícia!BX6+Diego!BX6+Aelton!BX6+Leonam!BX6+Danilo!BX6+Marcos!BX6+Carlos!BX6</f>
    </nc>
    <odxf>
      <fill>
        <patternFill patternType="none">
          <bgColor indexed="65"/>
        </patternFill>
      </fill>
    </odxf>
    <ndxf>
      <fill>
        <patternFill patternType="solid">
          <bgColor rgb="FFFFFF00"/>
        </patternFill>
      </fill>
    </ndxf>
  </rcc>
  <rcc rId="1119" sId="3" odxf="1" dxf="1">
    <oc r="P6">
      <f>Marcelo!CD6+Patrícia!CD6+Diego!CD6+Aelton!CD6+Leonam!CD6+Danilo!CD6+Marcos!CD6+Carlos!CD6+Alessandro!G6</f>
    </oc>
    <nc r="P6">
      <f>Marcelo!CD6+Patrícia!CD6+Diego!CD6+Aelton!CD6+Leonam!CD6+Danilo!CD6+Marcos!CD6+Carlos!CD6+Alessandro!G6</f>
    </nc>
    <odxf>
      <fill>
        <patternFill patternType="none">
          <bgColor indexed="65"/>
        </patternFill>
      </fill>
    </odxf>
    <ndxf>
      <fill>
        <patternFill patternType="solid">
          <bgColor rgb="FFFFFF00"/>
        </patternFill>
      </fill>
    </ndxf>
  </rcc>
  <rcc rId="1120" sId="3" odxf="1" dxf="1">
    <oc r="Q6">
      <f>Marcelo!CJ6+Patrícia!CJ6+Diego!CJ6+Aelton!CJ6+Leonam!CJ6+Danilo!CJ6+Marcos!CJ6+Carlos!CJ6++Alessandro!M6</f>
    </oc>
    <nc r="Q6">
      <f>Marcelo!CJ6+Patrícia!CJ6+Diego!CJ6+Aelton!CJ6+Leonam!CJ6+Danilo!CJ6+Marcos!CJ6+Carlos!CJ6++Alessandro!M6</f>
    </nc>
    <odxf>
      <fill>
        <patternFill patternType="none">
          <bgColor indexed="65"/>
        </patternFill>
      </fill>
    </odxf>
    <ndxf>
      <fill>
        <patternFill patternType="solid">
          <bgColor rgb="FFFFFF00"/>
        </patternFill>
      </fill>
    </ndxf>
  </rcc>
  <rcc rId="1121" sId="3" odxf="1" dxf="1">
    <oc r="R6">
      <f>Marcelo!CP6+Patrícia!CP6+Diego!CP6+Aelton!CP6+Leonam!CP6+Danilo!CP6+Marcos!CP6+Carlos!CP6</f>
    </oc>
    <nc r="R6">
      <f>Marcelo!CP6+Patrícia!CP6+Diego!CP6+Aelton!CP6+Leonam!CP6+Danilo!CP6+Marcos!CP6+Carlos!CP6</f>
    </nc>
    <odxf>
      <fill>
        <patternFill patternType="none">
          <bgColor indexed="65"/>
        </patternFill>
      </fill>
    </odxf>
    <ndxf>
      <fill>
        <patternFill patternType="solid">
          <bgColor rgb="FFFFFF00"/>
        </patternFill>
      </fill>
    </ndxf>
  </rcc>
  <rcc rId="1122" sId="3" odxf="1" dxf="1">
    <oc r="S6">
      <f>Marcelo!CV6+Patrícia!CV6+Diego!CV6+Aelton!CV6+Leonam!CV6+Danilo!CV6+Marcos!CV6+Carlos!CV6+Alessandro!AE6</f>
    </oc>
    <nc r="S6">
      <f>Marcelo!CV6+Patrícia!CV6+Diego!CV6+Aelton!CV6+Leonam!CV6+Danilo!CV6+Marcos!CV6+Carlos!CV6+Alessandro!AE6</f>
    </nc>
    <odxf>
      <fill>
        <patternFill patternType="none">
          <bgColor indexed="65"/>
        </patternFill>
      </fill>
    </odxf>
    <ndxf>
      <fill>
        <patternFill patternType="solid">
          <bgColor rgb="FFFFFF00"/>
        </patternFill>
      </fill>
    </ndxf>
  </rcc>
  <rcc rId="1123" sId="3" odxf="1" dxf="1">
    <oc r="T6">
      <f>Marcelo!DB6+Patrícia!DB6+Diego!DB6+Aelton!DB6+Leonam!DB6+Danilo!DB6+Marcos!DB6+Carlos!DB6</f>
    </oc>
    <nc r="T6">
      <f>Marcelo!DB6+Patrícia!DB6+Diego!DB6+Aelton!DB6+Leonam!DB6+Danilo!DB6+Marcos!DB6+Carlos!DB6</f>
    </nc>
    <odxf>
      <fill>
        <patternFill patternType="none">
          <bgColor indexed="65"/>
        </patternFill>
      </fill>
    </odxf>
    <ndxf>
      <fill>
        <patternFill patternType="solid">
          <bgColor rgb="FFFFFF00"/>
        </patternFill>
      </fill>
    </ndxf>
  </rcc>
  <rcc rId="1124" sId="3" odxf="1" dxf="1">
    <oc r="U6">
      <f>Marcelo!DH6+Patrícia!DH6+Diego!DH6+Aelton!DH6+Leonam!DH6+Danilo!DH6+Marcos!DH6+Carlos!DH6</f>
    </oc>
    <nc r="U6">
      <f>Marcelo!DH6+Patrícia!DH6+Diego!DH6+Aelton!DH6+Leonam!DH6+Danilo!DH6+Marcos!DH6+Carlos!DH6</f>
    </nc>
    <odxf>
      <fill>
        <patternFill patternType="none">
          <bgColor indexed="65"/>
        </patternFill>
      </fill>
    </odxf>
    <ndxf>
      <fill>
        <patternFill patternType="solid">
          <bgColor rgb="FFFFFF00"/>
        </patternFill>
      </fill>
    </ndxf>
  </rcc>
  <rcc rId="1125" sId="3" odxf="1" dxf="1">
    <oc r="V6">
      <f>Marcelo!DN6+Patrícia!DN6+Diego!DN6+Aelton!DN6+Leonam!DN6+Danilo!DN6+Marcos!DN6+Carlos!DN6</f>
    </oc>
    <nc r="V6">
      <f>Marcelo!DN6+Patrícia!DN6+Diego!DN6+Aelton!DN6+Leonam!DN6+Danilo!DN6+Marcos!DN6+Carlos!DN6</f>
    </nc>
    <odxf>
      <fill>
        <patternFill patternType="none">
          <bgColor indexed="65"/>
        </patternFill>
      </fill>
    </odxf>
    <ndxf>
      <fill>
        <patternFill patternType="solid">
          <bgColor rgb="FFFFFF00"/>
        </patternFill>
      </fill>
    </ndxf>
  </rcc>
  <rcc rId="1126" sId="3" odxf="1" dxf="1">
    <oc r="W6">
      <f>Marcelo!DT6+Patrícia!DT6+Diego!DT6+Aelton!DT6+Leonam!DT6+Danilo!DT6+Marcos!DT6+Carlos!DT6</f>
    </oc>
    <nc r="W6">
      <f>Marcelo!DT6+Patrícia!DT6+Diego!DT6+Aelton!DT6+Leonam!DT6+Danilo!DT6+Marcos!DT6+Carlos!DT6</f>
    </nc>
    <odxf>
      <fill>
        <patternFill patternType="none">
          <bgColor indexed="65"/>
        </patternFill>
      </fill>
    </odxf>
    <ndxf>
      <fill>
        <patternFill patternType="solid">
          <bgColor rgb="FFFFFF00"/>
        </patternFill>
      </fill>
    </ndxf>
  </rcc>
  <rcc rId="1127" sId="3" odxf="1" dxf="1">
    <oc r="X6">
      <f>Marcelo!DZ6+Patrícia!DZ6+Diego!DZ6+Aelton!DZ6+Leonam!DZ6+Danilo!DZ6+Marcos!DZ6+Carlos!DZ6</f>
    </oc>
    <nc r="X6">
      <f>Marcelo!DZ6+Patrícia!DZ6+Diego!DZ6+Aelton!DZ6+Leonam!DZ6+Danilo!DZ6+Marcos!DZ6+Carlos!DZ6</f>
    </nc>
    <odxf>
      <fill>
        <patternFill patternType="none">
          <bgColor indexed="65"/>
        </patternFill>
      </fill>
    </odxf>
    <ndxf>
      <fill>
        <patternFill patternType="solid">
          <bgColor rgb="FFFFFF00"/>
        </patternFill>
      </fill>
    </ndxf>
  </rcc>
  <rcc rId="1128" sId="3" odxf="1" dxf="1">
    <oc r="O8">
      <f>Marcelo!BX8+Patrícia!BX8+Diego!BX8+Aelton!BX8+Leonam!BX8+Danilo!BX8+Marcos!BX8+Carlos!BX8</f>
    </oc>
    <nc r="O8">
      <f>Marcelo!BX8+Patrícia!BX8+Diego!BX8+Aelton!BX8+Leonam!BX8+Danilo!BX8+Marcos!BX8+Carlos!BX8</f>
    </nc>
    <odxf>
      <fill>
        <patternFill patternType="none">
          <bgColor indexed="65"/>
        </patternFill>
      </fill>
    </odxf>
    <ndxf>
      <fill>
        <patternFill patternType="solid">
          <bgColor rgb="FFFFFF00"/>
        </patternFill>
      </fill>
    </ndxf>
  </rcc>
  <rcc rId="1129" sId="3" odxf="1" dxf="1">
    <oc r="P8">
      <f>Marcelo!CD8+Patrícia!CD8+Diego!CD8+Aelton!CD8+Leonam!CD8+Danilo!CD8+Marcos!CD8+Carlos!CD8+Alessandro!G8</f>
    </oc>
    <nc r="P8">
      <f>Marcelo!CD8+Patrícia!CD8+Diego!CD8+Aelton!CD8+Leonam!CD8+Danilo!CD8+Marcos!CD8+Carlos!CD8+Alessandro!G8</f>
    </nc>
    <odxf>
      <fill>
        <patternFill patternType="none">
          <bgColor indexed="65"/>
        </patternFill>
      </fill>
    </odxf>
    <ndxf>
      <fill>
        <patternFill patternType="solid">
          <bgColor rgb="FFFFFF00"/>
        </patternFill>
      </fill>
    </ndxf>
  </rcc>
  <rcc rId="1130" sId="3" odxf="1" dxf="1">
    <oc r="Q8">
      <f>Marcelo!CJ8+Patrícia!CJ8+Diego!CJ8+Aelton!CJ8+Leonam!CJ8+Danilo!CJ8+Marcos!CJ8+Carlos!CJ8++Alessandro!M8</f>
    </oc>
    <nc r="Q8">
      <f>Marcelo!CJ8+Patrícia!CJ8+Diego!CJ8+Aelton!CJ8+Leonam!CJ8+Danilo!CJ8+Marcos!CJ8+Carlos!CJ8++Alessandro!M8</f>
    </nc>
    <odxf>
      <fill>
        <patternFill patternType="none">
          <bgColor indexed="65"/>
        </patternFill>
      </fill>
    </odxf>
    <ndxf>
      <fill>
        <patternFill patternType="solid">
          <bgColor rgb="FFFFFF00"/>
        </patternFill>
      </fill>
    </ndxf>
  </rcc>
  <rcc rId="1131" sId="3" odxf="1" dxf="1">
    <oc r="R8">
      <f>Marcelo!CP8+Patrícia!CP8+Diego!CP8+Aelton!CP8+Leonam!CP8+Danilo!CP8+Marcos!CP8+Carlos!CP8</f>
    </oc>
    <nc r="R8">
      <f>Marcelo!CP8+Patrícia!CP8+Diego!CP8+Aelton!CP8+Leonam!CP8+Danilo!CP8+Marcos!CP8+Carlos!CP8</f>
    </nc>
    <odxf>
      <fill>
        <patternFill patternType="none">
          <bgColor indexed="65"/>
        </patternFill>
      </fill>
    </odxf>
    <ndxf>
      <fill>
        <patternFill patternType="solid">
          <bgColor rgb="FFFFFF00"/>
        </patternFill>
      </fill>
    </ndxf>
  </rcc>
  <rcc rId="1132" sId="3" odxf="1" dxf="1">
    <oc r="S8">
      <f>Marcelo!CV8+Patrícia!CV8+Diego!CV8+Aelton!CV8+Leonam!CV8+Danilo!CV8+Marcos!CV8+Carlos!CV8+Alessandro!AE8</f>
    </oc>
    <nc r="S8">
      <f>Marcelo!CV8+Patrícia!CV8+Diego!CV8+Aelton!CV8+Leonam!CV8+Danilo!CV8+Marcos!CV8+Carlos!CV8+Alessandro!AE8</f>
    </nc>
    <odxf>
      <fill>
        <patternFill patternType="none">
          <bgColor indexed="65"/>
        </patternFill>
      </fill>
    </odxf>
    <ndxf>
      <fill>
        <patternFill patternType="solid">
          <bgColor rgb="FFFFFF00"/>
        </patternFill>
      </fill>
    </ndxf>
  </rcc>
  <rcc rId="1133" sId="3" odxf="1" dxf="1">
    <oc r="T8">
      <f>Marcelo!DB8+Patrícia!DB8+Diego!DB8+Aelton!DB8+Leonam!DB8+Danilo!DB8+Marcos!DB8+Carlos!DB8</f>
    </oc>
    <nc r="T8">
      <f>Marcelo!DB8+Patrícia!DB8+Diego!DB8+Aelton!DB8+Leonam!DB8+Danilo!DB8+Marcos!DB8+Carlos!DB8</f>
    </nc>
    <odxf>
      <fill>
        <patternFill patternType="none">
          <bgColor indexed="65"/>
        </patternFill>
      </fill>
    </odxf>
    <ndxf>
      <fill>
        <patternFill patternType="solid">
          <bgColor rgb="FFFFFF00"/>
        </patternFill>
      </fill>
    </ndxf>
  </rcc>
  <rcc rId="1134" sId="3" odxf="1" dxf="1">
    <oc r="U8">
      <f>Marcelo!DH8+Patrícia!DH8+Diego!DH8+Aelton!DH8+Leonam!DH8+Danilo!DH8+Marcos!DH8+Carlos!DH8</f>
    </oc>
    <nc r="U8">
      <f>Marcelo!DH8+Patrícia!DH8+Diego!DH8+Aelton!DH8+Leonam!DH8+Danilo!DH8+Marcos!DH8+Carlos!DH8</f>
    </nc>
    <odxf>
      <fill>
        <patternFill patternType="none">
          <bgColor indexed="65"/>
        </patternFill>
      </fill>
    </odxf>
    <ndxf>
      <fill>
        <patternFill patternType="solid">
          <bgColor rgb="FFFFFF00"/>
        </patternFill>
      </fill>
    </ndxf>
  </rcc>
  <rcc rId="1135" sId="3" odxf="1" dxf="1">
    <oc r="V8">
      <f>Marcelo!DN8+Patrícia!DN8+Diego!DN8+Aelton!DN8+Leonam!DN8+Danilo!DN8+Marcos!DN8+Carlos!DN8</f>
    </oc>
    <nc r="V8">
      <f>Marcelo!DN8+Patrícia!DN8+Diego!DN8+Aelton!DN8+Leonam!DN8+Danilo!DN8+Marcos!DN8+Carlos!DN8</f>
    </nc>
    <odxf>
      <fill>
        <patternFill patternType="none">
          <bgColor indexed="65"/>
        </patternFill>
      </fill>
    </odxf>
    <ndxf>
      <fill>
        <patternFill patternType="solid">
          <bgColor rgb="FFFFFF00"/>
        </patternFill>
      </fill>
    </ndxf>
  </rcc>
  <rcc rId="1136" sId="3" odxf="1" dxf="1">
    <oc r="W8">
      <f>Marcelo!DT8+Patrícia!DT8+Diego!DT8+Aelton!DT8+Leonam!DT8+Danilo!DT8+Marcos!DT8+Carlos!DT8</f>
    </oc>
    <nc r="W8">
      <f>Marcelo!DT8+Patrícia!DT8+Diego!DT8+Aelton!DT8+Leonam!DT8+Danilo!DT8+Marcos!DT8+Carlos!DT8</f>
    </nc>
    <odxf>
      <fill>
        <patternFill patternType="none">
          <bgColor indexed="65"/>
        </patternFill>
      </fill>
    </odxf>
    <ndxf>
      <fill>
        <patternFill patternType="solid">
          <bgColor rgb="FFFFFF00"/>
        </patternFill>
      </fill>
    </ndxf>
  </rcc>
  <rcc rId="1137" sId="3" odxf="1" dxf="1">
    <oc r="X8">
      <f>Marcelo!DZ8+Patrícia!DZ8+Diego!DZ8+Aelton!DZ8+Leonam!DZ8+Danilo!DZ8+Marcos!DZ8+Carlos!DZ8</f>
    </oc>
    <nc r="X8">
      <f>Marcelo!DZ8+Patrícia!DZ8+Diego!DZ8+Aelton!DZ8+Leonam!DZ8+Danilo!DZ8+Marcos!DZ8+Carlos!DZ8</f>
    </nc>
    <odxf>
      <fill>
        <patternFill patternType="none">
          <bgColor indexed="65"/>
        </patternFill>
      </fill>
    </odxf>
    <ndxf>
      <fill>
        <patternFill patternType="solid">
          <bgColor rgb="FFFFFF00"/>
        </patternFill>
      </fill>
    </ndxf>
  </rcc>
  <rcc rId="1138" sId="3" odxf="1" dxf="1">
    <oc r="O10">
      <f>Marcelo!BX10+Patrícia!BX10+Diego!BX10+Aelton!BX10+Leonam!BX10+Danilo!BX10+Marcos!BX10+Carlos!BX10</f>
    </oc>
    <nc r="O10">
      <f>Marcelo!BX10+Patrícia!BX10+Diego!BX10+Aelton!BX10+Leonam!BX10+Danilo!BX10+Marcos!BX10+Carlos!BX10</f>
    </nc>
    <odxf>
      <fill>
        <patternFill patternType="none">
          <bgColor indexed="65"/>
        </patternFill>
      </fill>
    </odxf>
    <ndxf>
      <fill>
        <patternFill patternType="solid">
          <bgColor rgb="FFFFFF00"/>
        </patternFill>
      </fill>
    </ndxf>
  </rcc>
  <rcc rId="1139" sId="3" odxf="1" dxf="1">
    <oc r="P10">
      <f>Marcelo!CD10+Patrícia!CD10+Diego!CD10+Aelton!CD10+Leonam!CD10+Danilo!CD10+Marcos!CD10+Carlos!CD10+Alessandro!G10</f>
    </oc>
    <nc r="P10">
      <f>Marcelo!CD10+Patrícia!CD10+Diego!CD10+Aelton!CD10+Leonam!CD10+Danilo!CD10+Marcos!CD10+Carlos!CD10+Alessandro!G10</f>
    </nc>
    <odxf>
      <fill>
        <patternFill patternType="none">
          <bgColor indexed="65"/>
        </patternFill>
      </fill>
    </odxf>
    <ndxf>
      <fill>
        <patternFill patternType="solid">
          <bgColor rgb="FFFFFF00"/>
        </patternFill>
      </fill>
    </ndxf>
  </rcc>
  <rcc rId="1140" sId="3" odxf="1" dxf="1">
    <oc r="Q10">
      <f>Marcelo!CJ10+Patrícia!CJ10+Diego!CJ10+Aelton!CJ10+Leonam!CJ10+Danilo!CJ10+Marcos!CJ10+Carlos!CJ10++Alessandro!M10</f>
    </oc>
    <nc r="Q10">
      <f>Marcelo!CJ10+Patrícia!CJ10+Diego!CJ10+Aelton!CJ10+Leonam!CJ10+Danilo!CJ10+Marcos!CJ10+Carlos!CJ10++Alessandro!M10</f>
    </nc>
    <odxf>
      <fill>
        <patternFill patternType="none">
          <bgColor indexed="65"/>
        </patternFill>
      </fill>
    </odxf>
    <ndxf>
      <fill>
        <patternFill patternType="solid">
          <bgColor rgb="FFFFFF00"/>
        </patternFill>
      </fill>
    </ndxf>
  </rcc>
  <rcc rId="1141" sId="3" odxf="1" dxf="1">
    <oc r="R10">
      <f>Marcelo!CP10+Patrícia!CP10+Diego!CP10+Aelton!CP10+Leonam!CP10+Danilo!CP10+Marcos!CP10+Carlos!CP10</f>
    </oc>
    <nc r="R10">
      <f>Marcelo!CP10+Patrícia!CP10+Diego!CP10+Aelton!CP10+Leonam!CP10+Danilo!CP10+Marcos!CP10+Carlos!CP10</f>
    </nc>
    <odxf>
      <fill>
        <patternFill patternType="none">
          <bgColor indexed="65"/>
        </patternFill>
      </fill>
    </odxf>
    <ndxf>
      <fill>
        <patternFill patternType="solid">
          <bgColor rgb="FFFFFF00"/>
        </patternFill>
      </fill>
    </ndxf>
  </rcc>
  <rcc rId="1142" sId="3" odxf="1" dxf="1">
    <oc r="S10">
      <f>Marcelo!CV10+Patrícia!CV10+Diego!CV10+Aelton!CV10+Leonam!CV10+Danilo!CV10+Marcos!CV10+Carlos!CV10+Alessandro!AE10</f>
    </oc>
    <nc r="S10">
      <f>Marcelo!CV10+Patrícia!CV10+Diego!CV10+Aelton!CV10+Leonam!CV10+Danilo!CV10+Marcos!CV10+Carlos!CV10+Alessandro!AE10</f>
    </nc>
    <odxf>
      <fill>
        <patternFill patternType="none">
          <bgColor indexed="65"/>
        </patternFill>
      </fill>
    </odxf>
    <ndxf>
      <fill>
        <patternFill patternType="solid">
          <bgColor rgb="FFFFFF00"/>
        </patternFill>
      </fill>
    </ndxf>
  </rcc>
  <rcc rId="1143" sId="3" odxf="1" dxf="1">
    <oc r="T10">
      <f>Marcelo!DB10+Patrícia!DB10+Diego!DB10+Aelton!DB10+Leonam!DB10+Danilo!DB10+Marcos!DB10+Carlos!DB10</f>
    </oc>
    <nc r="T10">
      <f>Marcelo!DB10+Patrícia!DB10+Diego!DB10+Aelton!DB10+Leonam!DB10+Danilo!DB10+Marcos!DB10+Carlos!DB10</f>
    </nc>
    <odxf>
      <fill>
        <patternFill patternType="none">
          <bgColor indexed="65"/>
        </patternFill>
      </fill>
    </odxf>
    <ndxf>
      <fill>
        <patternFill patternType="solid">
          <bgColor rgb="FFFFFF00"/>
        </patternFill>
      </fill>
    </ndxf>
  </rcc>
  <rcc rId="1144" sId="3" odxf="1" dxf="1">
    <oc r="U10">
      <f>Marcelo!DH10+Patrícia!DH10+Diego!DH10+Aelton!DH10+Leonam!DH10+Danilo!DH10+Marcos!DH10+Carlos!DH10</f>
    </oc>
    <nc r="U10">
      <f>Marcelo!DH10+Patrícia!DH10+Diego!DH10+Aelton!DH10+Leonam!DH10+Danilo!DH10+Marcos!DH10+Carlos!DH10</f>
    </nc>
    <odxf>
      <fill>
        <patternFill patternType="none">
          <bgColor indexed="65"/>
        </patternFill>
      </fill>
    </odxf>
    <ndxf>
      <fill>
        <patternFill patternType="solid">
          <bgColor rgb="FFFFFF00"/>
        </patternFill>
      </fill>
    </ndxf>
  </rcc>
  <rcc rId="1145" sId="3" odxf="1" dxf="1">
    <oc r="V10">
      <f>Marcelo!DN10+Patrícia!DN10+Diego!DN10+Aelton!DN10+Leonam!DN10+Danilo!DN10+Marcos!DN10+Carlos!DN10</f>
    </oc>
    <nc r="V10">
      <f>Marcelo!DN10+Patrícia!DN10+Diego!DN10+Aelton!DN10+Leonam!DN10+Danilo!DN10+Marcos!DN10+Carlos!DN10</f>
    </nc>
    <odxf>
      <fill>
        <patternFill patternType="none">
          <bgColor indexed="65"/>
        </patternFill>
      </fill>
    </odxf>
    <ndxf>
      <fill>
        <patternFill patternType="solid">
          <bgColor rgb="FFFFFF00"/>
        </patternFill>
      </fill>
    </ndxf>
  </rcc>
  <rcc rId="1146" sId="3" odxf="1" dxf="1">
    <oc r="W10">
      <f>Marcelo!DT10+Patrícia!DT10+Diego!DT10+Aelton!DT10+Leonam!DT10+Danilo!DT10+Marcos!DT10+Carlos!DT10</f>
    </oc>
    <nc r="W10">
      <f>Marcelo!DT10+Patrícia!DT10+Diego!DT10+Aelton!DT10+Leonam!DT10+Danilo!DT10+Marcos!DT10+Carlos!DT10</f>
    </nc>
    <odxf>
      <fill>
        <patternFill patternType="none">
          <bgColor indexed="65"/>
        </patternFill>
      </fill>
    </odxf>
    <ndxf>
      <fill>
        <patternFill patternType="solid">
          <bgColor rgb="FFFFFF00"/>
        </patternFill>
      </fill>
    </ndxf>
  </rcc>
  <rcc rId="1147" sId="3" odxf="1" dxf="1">
    <oc r="X10">
      <f>Marcelo!DZ10+Patrícia!DZ10+Diego!DZ10+Aelton!DZ10+Leonam!DZ10+Danilo!DZ10+Marcos!DZ10+Carlos!DZ10</f>
    </oc>
    <nc r="X10">
      <f>Marcelo!DZ10+Patrícia!DZ10+Diego!DZ10+Aelton!DZ10+Leonam!DZ10+Danilo!DZ10+Marcos!DZ10+Carlos!DZ10</f>
    </nc>
    <odxf>
      <fill>
        <patternFill patternType="none">
          <bgColor indexed="65"/>
        </patternFill>
      </fill>
    </odxf>
    <ndxf>
      <fill>
        <patternFill patternType="solid">
          <bgColor rgb="FFFFFF00"/>
        </patternFill>
      </fill>
    </ndxf>
  </rcc>
  <rcc rId="1148" sId="3" odxf="1" dxf="1">
    <oc r="O12">
      <f>Marcelo!BX12+Patrícia!BX12+Diego!BX12+Aelton!BX12+Leonam!BX12+Danilo!BX12+Marcos!BX12+Carlos!BX12</f>
    </oc>
    <nc r="O12">
      <f>Marcelo!BX12+Patrícia!BX12+Diego!BX12+Aelton!BX12+Leonam!BX12+Danilo!BX12+Marcos!BX12+Carlos!BX12</f>
    </nc>
    <odxf>
      <fill>
        <patternFill patternType="none">
          <bgColor indexed="65"/>
        </patternFill>
      </fill>
    </odxf>
    <ndxf>
      <fill>
        <patternFill patternType="solid">
          <bgColor rgb="FFFFFF00"/>
        </patternFill>
      </fill>
    </ndxf>
  </rcc>
  <rcc rId="1149" sId="3" odxf="1" dxf="1">
    <oc r="P12">
      <f>Marcelo!CD12+Patrícia!CD12+Diego!CD12+Aelton!CD12+Leonam!CD12+Danilo!CD12+Marcos!CD12+Carlos!CD12+Alessandro!G12</f>
    </oc>
    <nc r="P12">
      <f>Marcelo!CD12+Patrícia!CD12+Diego!CD12+Aelton!CD12+Leonam!CD12+Danilo!CD12+Marcos!CD12+Carlos!CD12+Alessandro!G12</f>
    </nc>
    <odxf>
      <fill>
        <patternFill patternType="none">
          <bgColor indexed="65"/>
        </patternFill>
      </fill>
    </odxf>
    <ndxf>
      <fill>
        <patternFill patternType="solid">
          <bgColor rgb="FFFFFF00"/>
        </patternFill>
      </fill>
    </ndxf>
  </rcc>
  <rcc rId="1150" sId="3" odxf="1" dxf="1">
    <oc r="Q12">
      <f>Marcelo!CJ12+Patrícia!CJ12+Diego!CJ12+Aelton!CJ12+Leonam!CJ12+Danilo!CJ12+Marcos!CJ12+Carlos!CJ12++Alessandro!M12</f>
    </oc>
    <nc r="Q12">
      <f>Marcelo!CJ12+Patrícia!CJ12+Diego!CJ12+Aelton!CJ12+Leonam!CJ12+Danilo!CJ12+Marcos!CJ12+Carlos!CJ12++Alessandro!M12</f>
    </nc>
    <odxf>
      <fill>
        <patternFill patternType="none">
          <bgColor indexed="65"/>
        </patternFill>
      </fill>
    </odxf>
    <ndxf>
      <fill>
        <patternFill patternType="solid">
          <bgColor rgb="FFFFFF00"/>
        </patternFill>
      </fill>
    </ndxf>
  </rcc>
  <rcc rId="1151" sId="3" odxf="1" dxf="1">
    <oc r="R12">
      <f>Marcelo!CP12+Patrícia!CP12+Diego!CP12+Aelton!CP12+Leonam!CP12+Danilo!CP12+Marcos!CP12+Carlos!CP12</f>
    </oc>
    <nc r="R12">
      <f>Marcelo!CP12+Patrícia!CP12+Diego!CP12+Aelton!CP12+Leonam!CP12+Danilo!CP12+Marcos!CP12+Carlos!CP12</f>
    </nc>
    <odxf>
      <fill>
        <patternFill patternType="none">
          <bgColor indexed="65"/>
        </patternFill>
      </fill>
    </odxf>
    <ndxf>
      <fill>
        <patternFill patternType="solid">
          <bgColor rgb="FFFFFF00"/>
        </patternFill>
      </fill>
    </ndxf>
  </rcc>
  <rcc rId="1152" sId="3" odxf="1" dxf="1">
    <oc r="S12">
      <f>Marcelo!CV12+Patrícia!CV12+Diego!CV12+Aelton!CV12+Leonam!CV12+Danilo!CV12+Marcos!CV12+Carlos!CV12+Alessandro!AE12</f>
    </oc>
    <nc r="S12">
      <f>Marcelo!CV12+Patrícia!CV12+Diego!CV12+Aelton!CV12+Leonam!CV12+Danilo!CV12+Marcos!CV12+Carlos!CV12+Alessandro!AE12</f>
    </nc>
    <odxf>
      <fill>
        <patternFill patternType="none">
          <bgColor indexed="65"/>
        </patternFill>
      </fill>
    </odxf>
    <ndxf>
      <fill>
        <patternFill patternType="solid">
          <bgColor rgb="FFFFFF00"/>
        </patternFill>
      </fill>
    </ndxf>
  </rcc>
  <rcc rId="1153" sId="3" odxf="1" dxf="1">
    <oc r="T12">
      <f>Marcelo!DB12+Patrícia!DB12+Diego!DB12+Aelton!DB12+Leonam!DB12+Danilo!DB12+Marcos!DB12+Carlos!DB12</f>
    </oc>
    <nc r="T12">
      <f>Marcelo!DB12+Patrícia!DB12+Diego!DB12+Aelton!DB12+Leonam!DB12+Danilo!DB12+Marcos!DB12+Carlos!DB12</f>
    </nc>
    <odxf>
      <fill>
        <patternFill patternType="none">
          <bgColor indexed="65"/>
        </patternFill>
      </fill>
    </odxf>
    <ndxf>
      <fill>
        <patternFill patternType="solid">
          <bgColor rgb="FFFFFF00"/>
        </patternFill>
      </fill>
    </ndxf>
  </rcc>
  <rcc rId="1154" sId="3" odxf="1" dxf="1">
    <oc r="U12">
      <f>Marcelo!DH12+Patrícia!DH12+Diego!DH12+Aelton!DH12+Leonam!DH12+Danilo!DH12+Marcos!DH12+Carlos!DH12</f>
    </oc>
    <nc r="U12">
      <f>Marcelo!DH12+Patrícia!DH12+Diego!DH12+Aelton!DH12+Leonam!DH12+Danilo!DH12+Marcos!DH12+Carlos!DH12</f>
    </nc>
    <odxf>
      <fill>
        <patternFill patternType="none">
          <bgColor indexed="65"/>
        </patternFill>
      </fill>
    </odxf>
    <ndxf>
      <fill>
        <patternFill patternType="solid">
          <bgColor rgb="FFFFFF00"/>
        </patternFill>
      </fill>
    </ndxf>
  </rcc>
  <rcc rId="1155" sId="3" odxf="1" dxf="1">
    <oc r="V12">
      <f>Marcelo!DN12+Patrícia!DN12+Diego!DN12+Aelton!DN12+Leonam!DN12+Danilo!DN12+Marcos!DN12+Carlos!DN12</f>
    </oc>
    <nc r="V12">
      <f>Marcelo!DN12+Patrícia!DN12+Diego!DN12+Aelton!DN12+Leonam!DN12+Danilo!DN12+Marcos!DN12+Carlos!DN12</f>
    </nc>
    <odxf>
      <fill>
        <patternFill patternType="none">
          <bgColor indexed="65"/>
        </patternFill>
      </fill>
    </odxf>
    <ndxf>
      <fill>
        <patternFill patternType="solid">
          <bgColor rgb="FFFFFF00"/>
        </patternFill>
      </fill>
    </ndxf>
  </rcc>
  <rcc rId="1156" sId="3" odxf="1" dxf="1">
    <oc r="W12">
      <f>Marcelo!DT12+Patrícia!DT12+Diego!DT12+Aelton!DT12+Leonam!DT12+Danilo!DT12+Marcos!DT12+Carlos!DT12</f>
    </oc>
    <nc r="W12">
      <f>Marcelo!DT12+Patrícia!DT12+Diego!DT12+Aelton!DT12+Leonam!DT12+Danilo!DT12+Marcos!DT12+Carlos!DT12</f>
    </nc>
    <odxf>
      <fill>
        <patternFill patternType="none">
          <bgColor indexed="65"/>
        </patternFill>
      </fill>
    </odxf>
    <ndxf>
      <fill>
        <patternFill patternType="solid">
          <bgColor rgb="FFFFFF00"/>
        </patternFill>
      </fill>
    </ndxf>
  </rcc>
  <rcc rId="1157" sId="3" odxf="1" dxf="1">
    <oc r="X12">
      <f>Marcelo!DZ12+Patrícia!DZ12+Diego!DZ12+Aelton!DZ12+Leonam!DZ12+Danilo!DZ12+Marcos!DZ12+Carlos!DZ12</f>
    </oc>
    <nc r="X12">
      <f>Marcelo!DZ12+Patrícia!DZ12+Diego!DZ12+Aelton!DZ12+Leonam!DZ12+Danilo!DZ12+Marcos!DZ12+Carlos!DZ12</f>
    </nc>
    <odxf>
      <fill>
        <patternFill patternType="none">
          <bgColor indexed="65"/>
        </patternFill>
      </fill>
    </odxf>
    <ndxf>
      <fill>
        <patternFill patternType="solid">
          <bgColor rgb="FFFFFF00"/>
        </patternFill>
      </fill>
    </ndxf>
  </rcc>
  <rcc rId="1158" sId="3" odxf="1" dxf="1">
    <oc r="O14">
      <f>Marcelo!BX14+Patrícia!BX14+Diego!BX14+Aelton!BX14+Leonam!BX14+Danilo!BX14+Marcos!BX14+Carlos!BX14</f>
    </oc>
    <nc r="O14">
      <f>Marcelo!BX14+Patrícia!BX14+Diego!BX14+Aelton!BX14+Leonam!BX14+Danilo!BX14+Marcos!BX14+Carlos!BX14</f>
    </nc>
    <odxf>
      <fill>
        <patternFill patternType="none">
          <bgColor indexed="65"/>
        </patternFill>
      </fill>
    </odxf>
    <ndxf>
      <fill>
        <patternFill patternType="solid">
          <bgColor rgb="FFFFFF00"/>
        </patternFill>
      </fill>
    </ndxf>
  </rcc>
  <rcc rId="1159" sId="3" odxf="1" dxf="1">
    <oc r="P14">
      <f>Marcelo!CD14+Patrícia!CD14+Diego!CD14+Aelton!CD14+Leonam!CD14+Danilo!CD14+Marcos!CD14+Carlos!CD14+Alessandro!G14</f>
    </oc>
    <nc r="P14">
      <f>Marcelo!CD14+Patrícia!CD14+Diego!CD14+Aelton!CD14+Leonam!CD14+Danilo!CD14+Marcos!CD14+Carlos!CD14+Alessandro!G14</f>
    </nc>
    <odxf>
      <fill>
        <patternFill patternType="none">
          <bgColor indexed="65"/>
        </patternFill>
      </fill>
    </odxf>
    <ndxf>
      <fill>
        <patternFill patternType="solid">
          <bgColor rgb="FFFFFF00"/>
        </patternFill>
      </fill>
    </ndxf>
  </rcc>
  <rcc rId="1160" sId="3" odxf="1" dxf="1">
    <oc r="Q14">
      <f>Marcelo!CJ14+Patrícia!CJ14+Diego!CJ14+Aelton!CJ14+Leonam!CJ14+Danilo!CJ14+Marcos!CJ14+Carlos!CJ14++Alessandro!M14</f>
    </oc>
    <nc r="Q14">
      <f>Marcelo!CJ14+Patrícia!CJ14+Diego!CJ14+Aelton!CJ14+Leonam!CJ14+Danilo!CJ14+Marcos!CJ14+Carlos!CJ14++Alessandro!M14</f>
    </nc>
    <odxf>
      <fill>
        <patternFill patternType="none">
          <bgColor indexed="65"/>
        </patternFill>
      </fill>
    </odxf>
    <ndxf>
      <fill>
        <patternFill patternType="solid">
          <bgColor rgb="FFFFFF00"/>
        </patternFill>
      </fill>
    </ndxf>
  </rcc>
  <rcc rId="1161" sId="3" odxf="1" dxf="1">
    <oc r="R14">
      <f>Marcelo!CP14+Patrícia!CP14+Diego!CP14+Aelton!CP14+Leonam!CP14+Danilo!CP14+Marcos!CP14+Carlos!CP14</f>
    </oc>
    <nc r="R14">
      <f>Marcelo!CP14+Patrícia!CP14+Diego!CP14+Aelton!CP14+Leonam!CP14+Danilo!CP14+Marcos!CP14+Carlos!CP14</f>
    </nc>
    <odxf>
      <fill>
        <patternFill patternType="none">
          <bgColor indexed="65"/>
        </patternFill>
      </fill>
    </odxf>
    <ndxf>
      <fill>
        <patternFill patternType="solid">
          <bgColor rgb="FFFFFF00"/>
        </patternFill>
      </fill>
    </ndxf>
  </rcc>
  <rcc rId="1162" sId="3" odxf="1" dxf="1">
    <oc r="S14">
      <f>Marcelo!CV14+Patrícia!CV14+Diego!CV14+Aelton!CV14+Leonam!CV14+Danilo!CV14+Marcos!CV14+Carlos!CV14+Alessandro!AE14</f>
    </oc>
    <nc r="S14">
      <f>Marcelo!CV14+Patrícia!CV14+Diego!CV14+Aelton!CV14+Leonam!CV14+Danilo!CV14+Marcos!CV14+Carlos!CV14+Alessandro!AE14</f>
    </nc>
    <odxf>
      <fill>
        <patternFill patternType="none">
          <bgColor indexed="65"/>
        </patternFill>
      </fill>
    </odxf>
    <ndxf>
      <fill>
        <patternFill patternType="solid">
          <bgColor rgb="FFFFFF00"/>
        </patternFill>
      </fill>
    </ndxf>
  </rcc>
  <rcc rId="1163" sId="3" odxf="1" dxf="1">
    <oc r="T14">
      <f>Marcelo!DB14+Patrícia!DB14+Diego!DB14+Aelton!DB14+Leonam!DB14+Danilo!DB14+Marcos!DB14+Carlos!DB14</f>
    </oc>
    <nc r="T14">
      <f>Marcelo!DB14+Patrícia!DB14+Diego!DB14+Aelton!DB14+Leonam!DB14+Danilo!DB14+Marcos!DB14+Carlos!DB14</f>
    </nc>
    <odxf>
      <fill>
        <patternFill patternType="none">
          <bgColor indexed="65"/>
        </patternFill>
      </fill>
    </odxf>
    <ndxf>
      <fill>
        <patternFill patternType="solid">
          <bgColor rgb="FFFFFF00"/>
        </patternFill>
      </fill>
    </ndxf>
  </rcc>
  <rcc rId="1164" sId="3" odxf="1" dxf="1">
    <oc r="U14">
      <f>Marcelo!DH14+Patrícia!DH14+Diego!DH14+Aelton!DH14+Leonam!DH14+Danilo!DH14+Marcos!DH14+Carlos!DH14</f>
    </oc>
    <nc r="U14">
      <f>Marcelo!DH14+Patrícia!DH14+Diego!DH14+Aelton!DH14+Leonam!DH14+Danilo!DH14+Marcos!DH14+Carlos!DH14</f>
    </nc>
    <odxf>
      <fill>
        <patternFill patternType="none">
          <bgColor indexed="65"/>
        </patternFill>
      </fill>
    </odxf>
    <ndxf>
      <fill>
        <patternFill patternType="solid">
          <bgColor rgb="FFFFFF00"/>
        </patternFill>
      </fill>
    </ndxf>
  </rcc>
  <rcc rId="1165" sId="3" odxf="1" dxf="1">
    <oc r="V14">
      <f>Marcelo!DN14+Patrícia!DN14+Diego!DN14+Aelton!DN14+Leonam!DN14+Danilo!DN14+Marcos!DN14+Carlos!DN14</f>
    </oc>
    <nc r="V14">
      <f>Marcelo!DN14+Patrícia!DN14+Diego!DN14+Aelton!DN14+Leonam!DN14+Danilo!DN14+Marcos!DN14+Carlos!DN14</f>
    </nc>
    <odxf>
      <fill>
        <patternFill patternType="none">
          <bgColor indexed="65"/>
        </patternFill>
      </fill>
    </odxf>
    <ndxf>
      <fill>
        <patternFill patternType="solid">
          <bgColor rgb="FFFFFF00"/>
        </patternFill>
      </fill>
    </ndxf>
  </rcc>
  <rcc rId="1166" sId="3" odxf="1" dxf="1">
    <oc r="W14">
      <f>Marcelo!DT14+Patrícia!DT14+Diego!DT14+Aelton!DT14+Leonam!DT14+Danilo!DT14+Marcos!DT14+Carlos!DT14</f>
    </oc>
    <nc r="W14">
      <f>Marcelo!DT14+Patrícia!DT14+Diego!DT14+Aelton!DT14+Leonam!DT14+Danilo!DT14+Marcos!DT14+Carlos!DT14</f>
    </nc>
    <odxf>
      <fill>
        <patternFill patternType="none">
          <bgColor indexed="65"/>
        </patternFill>
      </fill>
    </odxf>
    <ndxf>
      <fill>
        <patternFill patternType="solid">
          <bgColor rgb="FFFFFF00"/>
        </patternFill>
      </fill>
    </ndxf>
  </rcc>
  <rcc rId="1167" sId="3" odxf="1" dxf="1">
    <oc r="X14">
      <f>Marcelo!DZ14+Patrícia!DZ14+Diego!DZ14+Aelton!DZ14+Leonam!DZ14+Danilo!DZ14+Marcos!DZ14+Carlos!DZ14</f>
    </oc>
    <nc r="X14">
      <f>Marcelo!DZ14+Patrícia!DZ14+Diego!DZ14+Aelton!DZ14+Leonam!DZ14+Danilo!DZ14+Marcos!DZ14+Carlos!DZ14</f>
    </nc>
    <odxf>
      <fill>
        <patternFill patternType="none">
          <bgColor indexed="65"/>
        </patternFill>
      </fill>
    </odxf>
    <ndxf>
      <fill>
        <patternFill patternType="solid">
          <bgColor rgb="FFFFFF00"/>
        </patternFill>
      </fill>
    </ndxf>
  </rcc>
  <rcc rId="1168" sId="3" odxf="1" dxf="1">
    <oc r="O16">
      <f>Marcelo!BX16+Patrícia!BX16+Diego!BX16+Aelton!BX16+Leonam!BX16+Danilo!BX16+Marcos!BX16+Carlos!BX16</f>
    </oc>
    <nc r="O16">
      <f>Marcelo!BX16+Patrícia!BX16+Diego!BX16+Aelton!BX16+Leonam!BX16+Danilo!BX16+Marcos!BX16+Carlos!BX16</f>
    </nc>
    <odxf>
      <fill>
        <patternFill patternType="none">
          <bgColor indexed="65"/>
        </patternFill>
      </fill>
    </odxf>
    <ndxf>
      <fill>
        <patternFill patternType="solid">
          <bgColor rgb="FFFFFF00"/>
        </patternFill>
      </fill>
    </ndxf>
  </rcc>
  <rcc rId="1169" sId="3" odxf="1" dxf="1">
    <oc r="P16">
      <f>Marcelo!CD16+Patrícia!CD16+Diego!CD16+Aelton!CD16+Leonam!CD16+Danilo!CD16+Marcos!CD16+Carlos!CD16+Alessandro!G16</f>
    </oc>
    <nc r="P16">
      <f>Marcelo!CD16+Patrícia!CD16+Diego!CD16+Aelton!CD16+Leonam!CD16+Danilo!CD16+Marcos!CD16+Carlos!CD16+Alessandro!G16</f>
    </nc>
    <odxf>
      <fill>
        <patternFill patternType="none">
          <bgColor indexed="65"/>
        </patternFill>
      </fill>
    </odxf>
    <ndxf>
      <fill>
        <patternFill patternType="solid">
          <bgColor rgb="FFFFFF00"/>
        </patternFill>
      </fill>
    </ndxf>
  </rcc>
  <rcc rId="1170" sId="3" odxf="1" dxf="1">
    <oc r="Q16">
      <f>Marcelo!CJ16+Patrícia!CJ16+Diego!CJ16+Aelton!CJ16+Leonam!CJ16+Danilo!CJ16+Marcos!CJ16+Carlos!CJ16++Alessandro!M16</f>
    </oc>
    <nc r="Q16">
      <f>Marcelo!CJ16+Patrícia!CJ16+Diego!CJ16+Aelton!CJ16+Leonam!CJ16+Danilo!CJ16+Marcos!CJ16+Carlos!CJ16++Alessandro!M16</f>
    </nc>
    <odxf>
      <fill>
        <patternFill patternType="none">
          <bgColor indexed="65"/>
        </patternFill>
      </fill>
    </odxf>
    <ndxf>
      <fill>
        <patternFill patternType="solid">
          <bgColor rgb="FFFFFF00"/>
        </patternFill>
      </fill>
    </ndxf>
  </rcc>
  <rcc rId="1171" sId="3" odxf="1" dxf="1">
    <oc r="R16">
      <f>Marcelo!CP16+Patrícia!CP16+Diego!CP16+Aelton!CP16+Leonam!CP16+Danilo!CP16+Marcos!CP16+Carlos!CP16</f>
    </oc>
    <nc r="R16">
      <f>Marcelo!CP16+Patrícia!CP16+Diego!CP16+Aelton!CP16+Leonam!CP16+Danilo!CP16+Marcos!CP16+Carlos!CP16</f>
    </nc>
    <odxf>
      <fill>
        <patternFill patternType="none">
          <bgColor indexed="65"/>
        </patternFill>
      </fill>
    </odxf>
    <ndxf>
      <fill>
        <patternFill patternType="solid">
          <bgColor rgb="FFFFFF00"/>
        </patternFill>
      </fill>
    </ndxf>
  </rcc>
  <rcc rId="1172" sId="3" odxf="1" dxf="1">
    <oc r="S16">
      <f>Marcelo!CV16+Patrícia!CV16+Diego!CV16+Aelton!CV16+Leonam!CV16+Danilo!CV16+Marcos!CV16+Carlos!CV16+Alessandro!AE16</f>
    </oc>
    <nc r="S16">
      <f>Marcelo!CV16+Patrícia!CV16+Diego!CV16+Aelton!CV16+Leonam!CV16+Danilo!CV16+Marcos!CV16+Carlos!CV16+Alessandro!AE16</f>
    </nc>
    <odxf>
      <fill>
        <patternFill patternType="none">
          <bgColor indexed="65"/>
        </patternFill>
      </fill>
    </odxf>
    <ndxf>
      <fill>
        <patternFill patternType="solid">
          <bgColor rgb="FFFFFF00"/>
        </patternFill>
      </fill>
    </ndxf>
  </rcc>
  <rcc rId="1173" sId="3" odxf="1" dxf="1">
    <oc r="T16">
      <f>Marcelo!DB16+Patrícia!DB16+Diego!DB16+Aelton!DB16+Leonam!DB16+Danilo!DB16+Marcos!DB16+Carlos!DB16</f>
    </oc>
    <nc r="T16">
      <f>Marcelo!DB16+Patrícia!DB16+Diego!DB16+Aelton!DB16+Leonam!DB16+Danilo!DB16+Marcos!DB16+Carlos!DB16</f>
    </nc>
    <odxf>
      <fill>
        <patternFill patternType="none">
          <bgColor indexed="65"/>
        </patternFill>
      </fill>
    </odxf>
    <ndxf>
      <fill>
        <patternFill patternType="solid">
          <bgColor rgb="FFFFFF00"/>
        </patternFill>
      </fill>
    </ndxf>
  </rcc>
  <rcc rId="1174" sId="3" odxf="1" dxf="1">
    <oc r="U16">
      <f>Marcelo!DH16+Patrícia!DH16+Diego!DH16+Aelton!DH16+Leonam!DH16+Danilo!DH16+Marcos!DH16+Carlos!DH16</f>
    </oc>
    <nc r="U16">
      <f>Marcelo!DH16+Patrícia!DH16+Diego!DH16+Aelton!DH16+Leonam!DH16+Danilo!DH16+Marcos!DH16+Carlos!DH16</f>
    </nc>
    <odxf>
      <fill>
        <patternFill patternType="none">
          <bgColor indexed="65"/>
        </patternFill>
      </fill>
    </odxf>
    <ndxf>
      <fill>
        <patternFill patternType="solid">
          <bgColor rgb="FFFFFF00"/>
        </patternFill>
      </fill>
    </ndxf>
  </rcc>
  <rcc rId="1175" sId="3" odxf="1" dxf="1">
    <oc r="V16">
      <f>Marcelo!DN16+Patrícia!DN16+Diego!DN16+Aelton!DN16+Leonam!DN16+Danilo!DN16+Marcos!DN16+Carlos!DN16</f>
    </oc>
    <nc r="V16">
      <f>Marcelo!DN16+Patrícia!DN16+Diego!DN16+Aelton!DN16+Leonam!DN16+Danilo!DN16+Marcos!DN16+Carlos!DN16</f>
    </nc>
    <odxf>
      <fill>
        <patternFill patternType="none">
          <bgColor indexed="65"/>
        </patternFill>
      </fill>
    </odxf>
    <ndxf>
      <fill>
        <patternFill patternType="solid">
          <bgColor rgb="FFFFFF00"/>
        </patternFill>
      </fill>
    </ndxf>
  </rcc>
  <rcc rId="1176" sId="3" odxf="1" dxf="1">
    <oc r="W16">
      <f>Marcelo!DT16+Patrícia!DT16+Diego!DT16+Aelton!DT16+Leonam!DT16+Danilo!DT16+Marcos!DT16+Carlos!DT16</f>
    </oc>
    <nc r="W16">
      <f>Marcelo!DT16+Patrícia!DT16+Diego!DT16+Aelton!DT16+Leonam!DT16+Danilo!DT16+Marcos!DT16+Carlos!DT16</f>
    </nc>
    <odxf>
      <fill>
        <patternFill patternType="none">
          <bgColor indexed="65"/>
        </patternFill>
      </fill>
    </odxf>
    <ndxf>
      <fill>
        <patternFill patternType="solid">
          <bgColor rgb="FFFFFF00"/>
        </patternFill>
      </fill>
    </ndxf>
  </rcc>
  <rcc rId="1177" sId="3" odxf="1" dxf="1">
    <oc r="X16">
      <f>Marcelo!DZ16+Patrícia!DZ16+Diego!DZ16+Aelton!DZ16+Leonam!DZ16+Danilo!DZ16+Marcos!DZ16+Carlos!DZ16</f>
    </oc>
    <nc r="X16">
      <f>Marcelo!DZ16+Patrícia!DZ16+Diego!DZ16+Aelton!DZ16+Leonam!DZ16+Danilo!DZ16+Marcos!DZ16+Carlos!DZ16</f>
    </nc>
    <odxf>
      <fill>
        <patternFill patternType="none">
          <bgColor indexed="65"/>
        </patternFill>
      </fill>
    </odxf>
    <ndxf>
      <fill>
        <patternFill patternType="solid">
          <bgColor rgb="FFFFFF00"/>
        </patternFill>
      </fill>
    </ndxf>
  </rc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C2" start="0" length="0">
    <dxf>
      <border outline="0">
        <left style="thin">
          <color rgb="FF000000"/>
        </left>
        <right style="thin">
          <color rgb="FF000000"/>
        </right>
        <top style="thin">
          <color rgb="FF000000"/>
        </top>
        <bottom style="thin">
          <color rgb="FF000000"/>
        </bottom>
      </border>
    </dxf>
  </rfmt>
  <rfmt sheetId="3" sqref="D2" start="0" length="0">
    <dxf>
      <border outline="0">
        <left style="thin">
          <color rgb="FF000000"/>
        </left>
        <right style="thin">
          <color rgb="FF000000"/>
        </right>
        <top style="thin">
          <color rgb="FF000000"/>
        </top>
        <bottom style="thin">
          <color rgb="FF000000"/>
        </bottom>
      </border>
    </dxf>
  </rfmt>
  <rfmt sheetId="3" sqref="E2" start="0" length="0">
    <dxf>
      <border outline="0">
        <left style="thin">
          <color rgb="FF000000"/>
        </left>
        <right style="thin">
          <color rgb="FF000000"/>
        </right>
        <top style="thin">
          <color rgb="FF000000"/>
        </top>
        <bottom style="thin">
          <color rgb="FF000000"/>
        </bottom>
      </border>
    </dxf>
  </rfmt>
  <rfmt sheetId="3" sqref="F2" start="0" length="0">
    <dxf>
      <border outline="0">
        <left style="thin">
          <color rgb="FF000000"/>
        </left>
        <right style="thin">
          <color rgb="FF000000"/>
        </right>
        <top style="thin">
          <color rgb="FF000000"/>
        </top>
        <bottom style="thin">
          <color rgb="FF000000"/>
        </bottom>
      </border>
    </dxf>
  </rfmt>
  <rfmt sheetId="3" sqref="G2" start="0" length="0">
    <dxf>
      <border outline="0">
        <left style="thin">
          <color rgb="FF000000"/>
        </left>
        <right style="thin">
          <color rgb="FF000000"/>
        </right>
        <top style="thin">
          <color rgb="FF000000"/>
        </top>
        <bottom style="thin">
          <color rgb="FF000000"/>
        </bottom>
      </border>
    </dxf>
  </rfmt>
  <rfmt sheetId="3" sqref="H2" start="0" length="0">
    <dxf>
      <border outline="0">
        <left style="thin">
          <color rgb="FF000000"/>
        </left>
        <right style="thin">
          <color rgb="FF000000"/>
        </right>
        <top style="thin">
          <color rgb="FF000000"/>
        </top>
        <bottom style="thin">
          <color rgb="FF000000"/>
        </bottom>
      </border>
    </dxf>
  </rfmt>
  <rfmt sheetId="3" sqref="I2" start="0" length="0">
    <dxf>
      <border outline="0">
        <left style="thin">
          <color rgb="FF000000"/>
        </left>
        <right style="thin">
          <color rgb="FF000000"/>
        </right>
        <top style="thin">
          <color rgb="FF000000"/>
        </top>
        <bottom style="thin">
          <color rgb="FF000000"/>
        </bottom>
      </border>
    </dxf>
  </rfmt>
  <rfmt sheetId="3" sqref="J2" start="0" length="0">
    <dxf>
      <border outline="0">
        <left style="thin">
          <color rgb="FF000000"/>
        </left>
        <right style="thin">
          <color rgb="FF000000"/>
        </right>
        <top style="thin">
          <color rgb="FF000000"/>
        </top>
        <bottom style="thin">
          <color rgb="FF000000"/>
        </bottom>
      </border>
    </dxf>
  </rfmt>
  <rfmt sheetId="3" sqref="C4" start="0" length="0">
    <dxf>
      <border outline="0">
        <left style="thin">
          <color rgb="FF000000"/>
        </left>
        <right style="thin">
          <color rgb="FF000000"/>
        </right>
        <top style="thin">
          <color rgb="FF000000"/>
        </top>
        <bottom style="thin">
          <color rgb="FF000000"/>
        </bottom>
      </border>
    </dxf>
  </rfmt>
  <rfmt sheetId="3" sqref="D4" start="0" length="0">
    <dxf>
      <border outline="0">
        <left style="thin">
          <color rgb="FF000000"/>
        </left>
        <right style="thin">
          <color rgb="FF000000"/>
        </right>
        <top style="thin">
          <color rgb="FF000000"/>
        </top>
        <bottom style="thin">
          <color rgb="FF000000"/>
        </bottom>
      </border>
    </dxf>
  </rfmt>
  <rfmt sheetId="3" sqref="E4" start="0" length="0">
    <dxf>
      <border outline="0">
        <left style="thin">
          <color rgb="FF000000"/>
        </left>
        <right style="thin">
          <color rgb="FF000000"/>
        </right>
        <top style="thin">
          <color rgb="FF000000"/>
        </top>
        <bottom style="thin">
          <color rgb="FF000000"/>
        </bottom>
      </border>
    </dxf>
  </rfmt>
  <rfmt sheetId="3" sqref="F4" start="0" length="0">
    <dxf>
      <border outline="0">
        <left style="thin">
          <color rgb="FF000000"/>
        </left>
        <right style="thin">
          <color rgb="FF000000"/>
        </right>
        <top style="thin">
          <color rgb="FF000000"/>
        </top>
        <bottom style="thin">
          <color rgb="FF000000"/>
        </bottom>
      </border>
    </dxf>
  </rfmt>
  <rfmt sheetId="3" sqref="G4" start="0" length="0">
    <dxf>
      <border outline="0">
        <left style="thin">
          <color rgb="FF000000"/>
        </left>
        <right style="thin">
          <color rgb="FF000000"/>
        </right>
        <top style="thin">
          <color rgb="FF000000"/>
        </top>
        <bottom style="thin">
          <color rgb="FF000000"/>
        </bottom>
      </border>
    </dxf>
  </rfmt>
  <rfmt sheetId="3" sqref="H4" start="0" length="0">
    <dxf>
      <border outline="0">
        <left style="thin">
          <color rgb="FF000000"/>
        </left>
        <right style="thin">
          <color rgb="FF000000"/>
        </right>
        <top style="thin">
          <color rgb="FF000000"/>
        </top>
        <bottom style="thin">
          <color rgb="FF000000"/>
        </bottom>
      </border>
    </dxf>
  </rfmt>
  <rfmt sheetId="3" sqref="I4" start="0" length="0">
    <dxf>
      <border outline="0">
        <left style="thin">
          <color rgb="FF000000"/>
        </left>
        <right style="thin">
          <color rgb="FF000000"/>
        </right>
        <top style="thin">
          <color rgb="FF000000"/>
        </top>
        <bottom style="thin">
          <color rgb="FF000000"/>
        </bottom>
      </border>
    </dxf>
  </rfmt>
  <rfmt sheetId="3" sqref="J4" start="0" length="0">
    <dxf>
      <border outline="0">
        <left style="thin">
          <color rgb="FF000000"/>
        </left>
        <right style="thin">
          <color rgb="FF000000"/>
        </right>
        <top style="thin">
          <color rgb="FF000000"/>
        </top>
        <bottom style="thin">
          <color rgb="FF000000"/>
        </bottom>
      </border>
    </dxf>
  </rfmt>
  <rcc rId="1178" sId="3" odxf="1" dxf="1">
    <oc r="C6">
      <f>Diego!E6+Aelton!E6+Leonam!E6+Danilo!E6+Marcos!E6</f>
    </oc>
    <nc r="C6">
      <f>Diego!E6+Aelton!E6+Leonam!E6+Danilo!E6+Marcos!E6</f>
    </nc>
    <odxf>
      <border outline="0">
        <left/>
        <right/>
        <top/>
        <bottom/>
      </border>
    </odxf>
    <ndxf>
      <border outline="0">
        <left style="thin">
          <color rgb="FF000000"/>
        </left>
        <right style="thin">
          <color rgb="FF000000"/>
        </right>
        <top style="thin">
          <color rgb="FF000000"/>
        </top>
        <bottom style="thin">
          <color rgb="FF000000"/>
        </bottom>
      </border>
    </ndxf>
  </rcc>
  <rcc rId="1179" sId="3" odxf="1" dxf="1">
    <oc r="D6">
      <f>Diego!K6+Aelton!K6+Leonam!K6+Danilo!K6+Marcos!F6</f>
    </oc>
    <nc r="D6">
      <f>Diego!K6+Aelton!K6+Leonam!K6+Danilo!K6+Marcos!F6</f>
    </nc>
    <odxf>
      <border outline="0">
        <left/>
        <right/>
        <top/>
        <bottom/>
      </border>
    </odxf>
    <ndxf>
      <border outline="0">
        <left style="thin">
          <color rgb="FF000000"/>
        </left>
        <right style="thin">
          <color rgb="FF000000"/>
        </right>
        <top style="thin">
          <color rgb="FF000000"/>
        </top>
        <bottom style="thin">
          <color rgb="FF000000"/>
        </bottom>
      </border>
    </ndxf>
  </rcc>
  <rcc rId="1180" sId="3" odxf="1" dxf="1">
    <oc r="E6">
      <f>Diego!Q6+Aelton!Q6+Leonam!Q6+Danilo!Q6+Marcos!Q6</f>
    </oc>
    <nc r="E6">
      <f>Diego!Q6+Aelton!Q6+Leonam!Q6+Danilo!Q6+Marcos!Q6</f>
    </nc>
    <odxf>
      <border outline="0">
        <left/>
        <right/>
        <top/>
        <bottom/>
      </border>
    </odxf>
    <ndxf>
      <border outline="0">
        <left style="thin">
          <color rgb="FF000000"/>
        </left>
        <right style="thin">
          <color rgb="FF000000"/>
        </right>
        <top style="thin">
          <color rgb="FF000000"/>
        </top>
        <bottom style="thin">
          <color rgb="FF000000"/>
        </bottom>
      </border>
    </ndxf>
  </rcc>
  <rcc rId="1181" sId="3" odxf="1" dxf="1">
    <oc r="F6">
      <f>Diego!X6+Aelton!X6+Leonam!X6+Danilo!X6+Marcos!X6</f>
    </oc>
    <nc r="F6">
      <f>Diego!X6+Aelton!X6+Leonam!X6+Danilo!X6+Marcos!X6</f>
    </nc>
    <odxf>
      <border outline="0">
        <left/>
        <right/>
        <top/>
        <bottom/>
      </border>
    </odxf>
    <ndxf>
      <border outline="0">
        <left style="thin">
          <color rgb="FF000000"/>
        </left>
        <right style="thin">
          <color rgb="FF000000"/>
        </right>
        <top style="thin">
          <color rgb="FF000000"/>
        </top>
        <bottom style="thin">
          <color rgb="FF000000"/>
        </bottom>
      </border>
    </ndxf>
  </rcc>
  <rcc rId="1182" sId="3" odxf="1" dxf="1">
    <oc r="G6">
      <f>Diego!AD6+Aelton!AD6+Leonam!AD6+Danilo!AD6+Marcos!AD6</f>
    </oc>
    <nc r="G6">
      <f>Diego!AD6+Aelton!AD6+Leonam!AD6+Danilo!AD6+Marcos!AD6</f>
    </nc>
    <odxf>
      <border outline="0">
        <left/>
        <right/>
        <top/>
        <bottom/>
      </border>
    </odxf>
    <ndxf>
      <border outline="0">
        <left style="thin">
          <color rgb="FF000000"/>
        </left>
        <right style="thin">
          <color rgb="FF000000"/>
        </right>
        <top style="thin">
          <color rgb="FF000000"/>
        </top>
        <bottom style="thin">
          <color rgb="FF000000"/>
        </bottom>
      </border>
    </ndxf>
  </rcc>
  <rcc rId="1183" sId="3" odxf="1" dxf="1">
    <oc r="H6">
      <f>Diego!AJ6+Aelton!AJ6+Leonam!AJ6+Danilo!AJ6+Marcos!AJ6+Carlos!AJ6</f>
    </oc>
    <nc r="H6">
      <f>Diego!AJ6+Aelton!AJ6+Leonam!AJ6+Danilo!AJ6+Marcos!AJ6+Carlos!AJ6</f>
    </nc>
    <odxf>
      <border outline="0">
        <left/>
        <right/>
        <top/>
        <bottom/>
      </border>
    </odxf>
    <ndxf>
      <border outline="0">
        <left style="thin">
          <color rgb="FF000000"/>
        </left>
        <right style="thin">
          <color rgb="FF000000"/>
        </right>
        <top style="thin">
          <color rgb="FF000000"/>
        </top>
        <bottom style="thin">
          <color rgb="FF000000"/>
        </bottom>
      </border>
    </ndxf>
  </rcc>
  <rcc rId="1184" sId="3" odxf="1" dxf="1">
    <oc r="I6">
      <f>Diego!AP6+Aelton!AP6+Leonam!AP6+Danilo!AP6+Marcos!AP6+Carlos!AP6</f>
    </oc>
    <nc r="I6">
      <f>Diego!AP6+Aelton!AP6+Leonam!AP6+Danilo!AP6+Marcos!AP6+Carlos!AP6</f>
    </nc>
    <odxf>
      <border outline="0">
        <left/>
        <right/>
        <top/>
        <bottom/>
      </border>
    </odxf>
    <ndxf>
      <border outline="0">
        <left style="thin">
          <color rgb="FF000000"/>
        </left>
        <right style="thin">
          <color rgb="FF000000"/>
        </right>
        <top style="thin">
          <color rgb="FF000000"/>
        </top>
        <bottom style="thin">
          <color rgb="FF000000"/>
        </bottom>
      </border>
    </ndxf>
  </rcc>
  <rcc rId="1185" sId="3" odxf="1" dxf="1">
    <oc r="J6">
      <f>Diego!AV6+Aelton!AV6+Leonam!AV6+Danilo!AV6+Marcos!AV6+Carlos!AV6</f>
    </oc>
    <nc r="J6">
      <f>Diego!AV6+Aelton!AV6+Leonam!AV6+Danilo!AV6+Marcos!AV6+Carlos!AV6</f>
    </nc>
    <odxf>
      <border outline="0">
        <left/>
        <right/>
        <top/>
        <bottom/>
      </border>
    </odxf>
    <ndxf>
      <border outline="0">
        <left style="thin">
          <color rgb="FF000000"/>
        </left>
        <right style="thin">
          <color rgb="FF000000"/>
        </right>
        <top style="thin">
          <color rgb="FF000000"/>
        </top>
        <bottom style="thin">
          <color rgb="FF000000"/>
        </bottom>
      </border>
    </ndxf>
  </rcc>
  <rcc rId="1186" sId="3" odxf="1" dxf="1">
    <oc r="C8">
      <f>Diego!E8+Aelton!E8+Leonam!E8+Danilo!E8+Marcos!E8</f>
    </oc>
    <nc r="C8">
      <f>Diego!E8+Aelton!E8+Leonam!E8+Danilo!E8+Marcos!E8</f>
    </nc>
    <odxf>
      <border outline="0">
        <left/>
        <right/>
        <top/>
        <bottom/>
      </border>
    </odxf>
    <ndxf>
      <border outline="0">
        <left style="thin">
          <color rgb="FF000000"/>
        </left>
        <right style="thin">
          <color rgb="FF000000"/>
        </right>
        <top style="thin">
          <color rgb="FF000000"/>
        </top>
        <bottom style="thin">
          <color rgb="FF000000"/>
        </bottom>
      </border>
    </ndxf>
  </rcc>
  <rcc rId="1187" sId="3" odxf="1" dxf="1">
    <oc r="D8">
      <f>Diego!K8+Aelton!K8+Leonam!K8+Danilo!K8+Marcos!F8</f>
    </oc>
    <nc r="D8">
      <f>Diego!K8+Aelton!K8+Leonam!K8+Danilo!K8+Marcos!F8</f>
    </nc>
    <odxf>
      <border outline="0">
        <left/>
        <right/>
        <top/>
        <bottom/>
      </border>
    </odxf>
    <ndxf>
      <border outline="0">
        <left style="thin">
          <color rgb="FF000000"/>
        </left>
        <right style="thin">
          <color rgb="FF000000"/>
        </right>
        <top style="thin">
          <color rgb="FF000000"/>
        </top>
        <bottom style="thin">
          <color rgb="FF000000"/>
        </bottom>
      </border>
    </ndxf>
  </rcc>
  <rcc rId="1188" sId="3" odxf="1" dxf="1">
    <oc r="E8">
      <f>Diego!Q8+Aelton!Q8+Leonam!Q8+Danilo!Q8+Marcos!Q8</f>
    </oc>
    <nc r="E8">
      <f>Diego!Q8+Aelton!Q8+Leonam!Q8+Danilo!Q8+Marcos!Q8</f>
    </nc>
    <odxf>
      <border outline="0">
        <left/>
        <right/>
        <top/>
        <bottom/>
      </border>
    </odxf>
    <ndxf>
      <border outline="0">
        <left style="thin">
          <color rgb="FF000000"/>
        </left>
        <right style="thin">
          <color rgb="FF000000"/>
        </right>
        <top style="thin">
          <color rgb="FF000000"/>
        </top>
        <bottom style="thin">
          <color rgb="FF000000"/>
        </bottom>
      </border>
    </ndxf>
  </rcc>
  <rcc rId="1189" sId="3" odxf="1" dxf="1">
    <oc r="F8">
      <f>Diego!X8+Aelton!X8+Leonam!X8+Danilo!X8+Marcos!X8</f>
    </oc>
    <nc r="F8">
      <f>Diego!X8+Aelton!X8+Leonam!X8+Danilo!X8+Marcos!X8</f>
    </nc>
    <odxf>
      <border outline="0">
        <left/>
        <right/>
        <top/>
        <bottom/>
      </border>
    </odxf>
    <ndxf>
      <border outline="0">
        <left style="thin">
          <color rgb="FF000000"/>
        </left>
        <right style="thin">
          <color rgb="FF000000"/>
        </right>
        <top style="thin">
          <color rgb="FF000000"/>
        </top>
        <bottom style="thin">
          <color rgb="FF000000"/>
        </bottom>
      </border>
    </ndxf>
  </rcc>
  <rcc rId="1190" sId="3" odxf="1" dxf="1">
    <oc r="G8">
      <f>Diego!AD8+Aelton!AD8+Leonam!AD8+Danilo!AD8+Marcos!AD8</f>
    </oc>
    <nc r="G8">
      <f>Diego!AD8+Aelton!AD8+Leonam!AD8+Danilo!AD8+Marcos!AD8</f>
    </nc>
    <odxf>
      <border outline="0">
        <left/>
        <right/>
        <top/>
        <bottom/>
      </border>
    </odxf>
    <ndxf>
      <border outline="0">
        <left style="thin">
          <color rgb="FF000000"/>
        </left>
        <right style="thin">
          <color rgb="FF000000"/>
        </right>
        <top style="thin">
          <color rgb="FF000000"/>
        </top>
        <bottom style="thin">
          <color rgb="FF000000"/>
        </bottom>
      </border>
    </ndxf>
  </rcc>
  <rcc rId="1191" sId="3" odxf="1" dxf="1">
    <oc r="H8">
      <f>Diego!AJ8+Aelton!AJ8+Leonam!AJ8+Danilo!AJ8+Marcos!AJ8+Carlos!AJ8</f>
    </oc>
    <nc r="H8">
      <f>Diego!AJ8+Aelton!AJ8+Leonam!AJ8+Danilo!AJ8+Marcos!AJ8+Carlos!AJ8</f>
    </nc>
    <odxf>
      <border outline="0">
        <left/>
        <right/>
        <top/>
        <bottom/>
      </border>
    </odxf>
    <ndxf>
      <border outline="0">
        <left style="thin">
          <color rgb="FF000000"/>
        </left>
        <right style="thin">
          <color rgb="FF000000"/>
        </right>
        <top style="thin">
          <color rgb="FF000000"/>
        </top>
        <bottom style="thin">
          <color rgb="FF000000"/>
        </bottom>
      </border>
    </ndxf>
  </rcc>
  <rcc rId="1192" sId="3" odxf="1" dxf="1">
    <oc r="I8">
      <f>Diego!AP8+Aelton!AP8+Leonam!AP8+Danilo!AP8+Marcos!AP8+Carlos!AP8</f>
    </oc>
    <nc r="I8">
      <f>Diego!AP8+Aelton!AP8+Leonam!AP8+Danilo!AP8+Marcos!AP8+Carlos!AP8</f>
    </nc>
    <odxf>
      <border outline="0">
        <left/>
        <right/>
        <top/>
        <bottom/>
      </border>
    </odxf>
    <ndxf>
      <border outline="0">
        <left style="thin">
          <color rgb="FF000000"/>
        </left>
        <right style="thin">
          <color rgb="FF000000"/>
        </right>
        <top style="thin">
          <color rgb="FF000000"/>
        </top>
        <bottom style="thin">
          <color rgb="FF000000"/>
        </bottom>
      </border>
    </ndxf>
  </rcc>
  <rcc rId="1193" sId="3" odxf="1" dxf="1">
    <oc r="J8">
      <f>Diego!AV8+Aelton!AV8+Leonam!AV8+Danilo!AV8+Marcos!AV8+Carlos!AV8</f>
    </oc>
    <nc r="J8">
      <f>Diego!AV8+Aelton!AV8+Leonam!AV8+Danilo!AV8+Marcos!AV8+Carlos!AV8</f>
    </nc>
    <odxf>
      <border outline="0">
        <left/>
        <right/>
        <top/>
        <bottom/>
      </border>
    </odxf>
    <ndxf>
      <border outline="0">
        <left style="thin">
          <color rgb="FF000000"/>
        </left>
        <right style="thin">
          <color rgb="FF000000"/>
        </right>
        <top style="thin">
          <color rgb="FF000000"/>
        </top>
        <bottom style="thin">
          <color rgb="FF000000"/>
        </bottom>
      </border>
    </ndxf>
  </rcc>
  <rcc rId="1194" sId="3" odxf="1" dxf="1">
    <oc r="C10">
      <f>Diego!E10+Aelton!E10+Leonam!E10+Danilo!E10+Marcos!E10</f>
    </oc>
    <nc r="C10">
      <f>Diego!E10+Aelton!E10+Leonam!E10+Danilo!E10+Marcos!E10</f>
    </nc>
    <odxf>
      <border outline="0">
        <left/>
        <right/>
        <top/>
        <bottom/>
      </border>
    </odxf>
    <ndxf>
      <border outline="0">
        <left style="thin">
          <color rgb="FF000000"/>
        </left>
        <right style="thin">
          <color rgb="FF000000"/>
        </right>
        <top style="thin">
          <color rgb="FF000000"/>
        </top>
        <bottom style="thin">
          <color rgb="FF000000"/>
        </bottom>
      </border>
    </ndxf>
  </rcc>
  <rcc rId="1195" sId="3" odxf="1" dxf="1">
    <oc r="D10">
      <f>Diego!K10+Aelton!K10+Leonam!K10+Danilo!K10+Marcos!F10</f>
    </oc>
    <nc r="D10">
      <f>Diego!K10+Aelton!K10+Leonam!K10+Danilo!K10+Marcos!F10</f>
    </nc>
    <odxf>
      <border outline="0">
        <left/>
        <right/>
        <top/>
        <bottom/>
      </border>
    </odxf>
    <ndxf>
      <border outline="0">
        <left style="thin">
          <color rgb="FF000000"/>
        </left>
        <right style="thin">
          <color rgb="FF000000"/>
        </right>
        <top style="thin">
          <color rgb="FF000000"/>
        </top>
        <bottom style="thin">
          <color rgb="FF000000"/>
        </bottom>
      </border>
    </ndxf>
  </rcc>
  <rcc rId="1196" sId="3" odxf="1" dxf="1">
    <oc r="E10">
      <f>Diego!Q10+Aelton!Q10+Leonam!Q10+Danilo!Q10+Marcos!Q10</f>
    </oc>
    <nc r="E10">
      <f>Diego!Q10+Aelton!Q10+Leonam!Q10+Danilo!Q10+Marcos!Q10</f>
    </nc>
    <odxf>
      <border outline="0">
        <left/>
        <right/>
        <top/>
        <bottom/>
      </border>
    </odxf>
    <ndxf>
      <border outline="0">
        <left style="thin">
          <color rgb="FF000000"/>
        </left>
        <right style="thin">
          <color rgb="FF000000"/>
        </right>
        <top style="thin">
          <color rgb="FF000000"/>
        </top>
        <bottom style="thin">
          <color rgb="FF000000"/>
        </bottom>
      </border>
    </ndxf>
  </rcc>
  <rcc rId="1197" sId="3" odxf="1" dxf="1">
    <oc r="F10">
      <f>Diego!X10+Aelton!X10+Leonam!X10+Danilo!X10+Marcos!X10</f>
    </oc>
    <nc r="F10">
      <f>Diego!X10+Aelton!X10+Leonam!X10+Danilo!X10+Marcos!X10</f>
    </nc>
    <odxf>
      <border outline="0">
        <left/>
        <right/>
        <top/>
        <bottom/>
      </border>
    </odxf>
    <ndxf>
      <border outline="0">
        <left style="thin">
          <color rgb="FF000000"/>
        </left>
        <right style="thin">
          <color rgb="FF000000"/>
        </right>
        <top style="thin">
          <color rgb="FF000000"/>
        </top>
        <bottom style="thin">
          <color rgb="FF000000"/>
        </bottom>
      </border>
    </ndxf>
  </rcc>
  <rcc rId="1198" sId="3" odxf="1" dxf="1">
    <oc r="G10">
      <f>Diego!AD10+Aelton!AD10+Leonam!AD10+Danilo!AD10+Marcos!AD10</f>
    </oc>
    <nc r="G10">
      <f>Diego!AD10+Aelton!AD10+Leonam!AD10+Danilo!AD10+Marcos!AD10</f>
    </nc>
    <odxf>
      <border outline="0">
        <left/>
        <right/>
        <top/>
        <bottom/>
      </border>
    </odxf>
    <ndxf>
      <border outline="0">
        <left style="thin">
          <color rgb="FF000000"/>
        </left>
        <right style="thin">
          <color rgb="FF000000"/>
        </right>
        <top style="thin">
          <color rgb="FF000000"/>
        </top>
        <bottom style="thin">
          <color rgb="FF000000"/>
        </bottom>
      </border>
    </ndxf>
  </rcc>
  <rcc rId="1199" sId="3" odxf="1" dxf="1">
    <oc r="H10">
      <f>Diego!AJ10+Aelton!AJ10+Leonam!AJ10+Danilo!AJ10+Marcos!AJ10+Carlos!AJ10</f>
    </oc>
    <nc r="H10">
      <f>Diego!AJ10+Aelton!AJ10+Leonam!AJ10+Danilo!AJ10+Marcos!AJ10+Carlos!AJ10</f>
    </nc>
    <odxf>
      <border outline="0">
        <left/>
        <right/>
        <top/>
        <bottom/>
      </border>
    </odxf>
    <ndxf>
      <border outline="0">
        <left style="thin">
          <color rgb="FF000000"/>
        </left>
        <right style="thin">
          <color rgb="FF000000"/>
        </right>
        <top style="thin">
          <color rgb="FF000000"/>
        </top>
        <bottom style="thin">
          <color rgb="FF000000"/>
        </bottom>
      </border>
    </ndxf>
  </rcc>
  <rcc rId="1200" sId="3" odxf="1" dxf="1">
    <oc r="I10">
      <f>Diego!AP10+Aelton!AP10+Leonam!AP10+Danilo!AP10+Marcos!AP10+Carlos!AP10</f>
    </oc>
    <nc r="I10">
      <f>Diego!AP10+Aelton!AP10+Leonam!AP10+Danilo!AP10+Marcos!AP10+Carlos!AP10</f>
    </nc>
    <odxf>
      <border outline="0">
        <left/>
        <right/>
        <top/>
        <bottom/>
      </border>
    </odxf>
    <ndxf>
      <border outline="0">
        <left style="thin">
          <color rgb="FF000000"/>
        </left>
        <right style="thin">
          <color rgb="FF000000"/>
        </right>
        <top style="thin">
          <color rgb="FF000000"/>
        </top>
        <bottom style="thin">
          <color rgb="FF000000"/>
        </bottom>
      </border>
    </ndxf>
  </rcc>
  <rcc rId="1201" sId="3" odxf="1" dxf="1">
    <oc r="J10">
      <f>Diego!AV10+Aelton!AV10+Leonam!AV10+Danilo!AV10+Marcos!AV10+Carlos!AV10</f>
    </oc>
    <nc r="J10">
      <f>Diego!AV10+Aelton!AV10+Leonam!AV10+Danilo!AV10+Marcos!AV10+Carlos!AV10</f>
    </nc>
    <odxf>
      <border outline="0">
        <left/>
        <right/>
        <top/>
        <bottom/>
      </border>
    </odxf>
    <ndxf>
      <border outline="0">
        <left style="thin">
          <color rgb="FF000000"/>
        </left>
        <right style="thin">
          <color rgb="FF000000"/>
        </right>
        <top style="thin">
          <color rgb="FF000000"/>
        </top>
        <bottom style="thin">
          <color rgb="FF000000"/>
        </bottom>
      </border>
    </ndxf>
  </rcc>
  <rcc rId="1202" sId="3" odxf="1" dxf="1">
    <oc r="C12">
      <f>Diego!E12+Aelton!E12+Leonam!E12+Danilo!E12+Marcos!E12</f>
    </oc>
    <nc r="C12">
      <f>Diego!E12+Aelton!E12+Leonam!E12+Danilo!E12+Marcos!E12</f>
    </nc>
    <odxf>
      <border outline="0">
        <left/>
        <right/>
        <top/>
        <bottom/>
      </border>
    </odxf>
    <ndxf>
      <border outline="0">
        <left style="thin">
          <color rgb="FF000000"/>
        </left>
        <right style="thin">
          <color rgb="FF000000"/>
        </right>
        <top style="thin">
          <color rgb="FF000000"/>
        </top>
        <bottom style="thin">
          <color rgb="FF000000"/>
        </bottom>
      </border>
    </ndxf>
  </rcc>
  <rcc rId="1203" sId="3" odxf="1" dxf="1">
    <oc r="D12">
      <f>Diego!K12+Aelton!K12+Leonam!K12+Danilo!K12+Marcos!F12</f>
    </oc>
    <nc r="D12">
      <f>Diego!K12+Aelton!K12+Leonam!K12+Danilo!K12+Marcos!F12</f>
    </nc>
    <odxf>
      <border outline="0">
        <left/>
        <right/>
        <top/>
        <bottom/>
      </border>
    </odxf>
    <ndxf>
      <border outline="0">
        <left style="thin">
          <color rgb="FF000000"/>
        </left>
        <right style="thin">
          <color rgb="FF000000"/>
        </right>
        <top style="thin">
          <color rgb="FF000000"/>
        </top>
        <bottom style="thin">
          <color rgb="FF000000"/>
        </bottom>
      </border>
    </ndxf>
  </rcc>
  <rcc rId="1204" sId="3" odxf="1" dxf="1">
    <oc r="E12">
      <f>Diego!Q12+Aelton!Q12+Leonam!Q12+Danilo!Q12+Marcos!Q12</f>
    </oc>
    <nc r="E12">
      <f>Diego!Q12+Aelton!Q12+Leonam!Q12+Danilo!Q12+Marcos!Q12</f>
    </nc>
    <odxf>
      <border outline="0">
        <left/>
        <right/>
        <top/>
        <bottom/>
      </border>
    </odxf>
    <ndxf>
      <border outline="0">
        <left style="thin">
          <color rgb="FF000000"/>
        </left>
        <right style="thin">
          <color rgb="FF000000"/>
        </right>
        <top style="thin">
          <color rgb="FF000000"/>
        </top>
        <bottom style="thin">
          <color rgb="FF000000"/>
        </bottom>
      </border>
    </ndxf>
  </rcc>
  <rcc rId="1205" sId="3" odxf="1" dxf="1">
    <oc r="F12">
      <f>Diego!X12+Aelton!X12+Leonam!X12+Danilo!X12+Marcos!X12</f>
    </oc>
    <nc r="F12">
      <f>Diego!X12+Aelton!X12+Leonam!X12+Danilo!X12+Marcos!X12</f>
    </nc>
    <odxf>
      <border outline="0">
        <left/>
        <right/>
        <top/>
        <bottom/>
      </border>
    </odxf>
    <ndxf>
      <border outline="0">
        <left style="thin">
          <color rgb="FF000000"/>
        </left>
        <right style="thin">
          <color rgb="FF000000"/>
        </right>
        <top style="thin">
          <color rgb="FF000000"/>
        </top>
        <bottom style="thin">
          <color rgb="FF000000"/>
        </bottom>
      </border>
    </ndxf>
  </rcc>
  <rcc rId="1206" sId="3" odxf="1" dxf="1">
    <oc r="G12">
      <f>Diego!AD12+Aelton!AD12+Leonam!AD12+Danilo!AD12+Marcos!AD12</f>
    </oc>
    <nc r="G12">
      <f>Diego!AD12+Aelton!AD12+Leonam!AD12+Danilo!AD12+Marcos!AD12</f>
    </nc>
    <odxf>
      <border outline="0">
        <left/>
        <right/>
        <top/>
        <bottom/>
      </border>
    </odxf>
    <ndxf>
      <border outline="0">
        <left style="thin">
          <color rgb="FF000000"/>
        </left>
        <right style="thin">
          <color rgb="FF000000"/>
        </right>
        <top style="thin">
          <color rgb="FF000000"/>
        </top>
        <bottom style="thin">
          <color rgb="FF000000"/>
        </bottom>
      </border>
    </ndxf>
  </rcc>
  <rcc rId="1207" sId="3" odxf="1" dxf="1">
    <oc r="H12">
      <f>Diego!AJ12+Aelton!AJ12+Leonam!AJ12+Danilo!AJ12+Marcos!AJ12+Carlos!AJ12</f>
    </oc>
    <nc r="H12">
      <f>Diego!AJ12+Aelton!AJ12+Leonam!AJ12+Danilo!AJ12+Marcos!AJ12+Carlos!AJ12</f>
    </nc>
    <odxf>
      <border outline="0">
        <left/>
        <right/>
        <top/>
        <bottom/>
      </border>
    </odxf>
    <ndxf>
      <border outline="0">
        <left style="thin">
          <color rgb="FF000000"/>
        </left>
        <right style="thin">
          <color rgb="FF000000"/>
        </right>
        <top style="thin">
          <color rgb="FF000000"/>
        </top>
        <bottom style="thin">
          <color rgb="FF000000"/>
        </bottom>
      </border>
    </ndxf>
  </rcc>
  <rcc rId="1208" sId="3" odxf="1" dxf="1">
    <oc r="I12">
      <f>Diego!AP12+Aelton!AP12+Leonam!AP12+Danilo!AP12+Marcos!AP12+Carlos!AP12</f>
    </oc>
    <nc r="I12">
      <f>Diego!AP12+Aelton!AP12+Leonam!AP12+Danilo!AP12+Marcos!AP12+Carlos!AP12</f>
    </nc>
    <odxf>
      <border outline="0">
        <left/>
        <right/>
        <top/>
        <bottom/>
      </border>
    </odxf>
    <ndxf>
      <border outline="0">
        <left style="thin">
          <color rgb="FF000000"/>
        </left>
        <right style="thin">
          <color rgb="FF000000"/>
        </right>
        <top style="thin">
          <color rgb="FF000000"/>
        </top>
        <bottom style="thin">
          <color rgb="FF000000"/>
        </bottom>
      </border>
    </ndxf>
  </rcc>
  <rcc rId="1209" sId="3" odxf="1" dxf="1">
    <oc r="J12">
      <f>Diego!AV12+Aelton!AV12+Leonam!AV12+Danilo!AV12+Marcos!AV12+Carlos!AV12</f>
    </oc>
    <nc r="J12">
      <f>Diego!AV12+Aelton!AV12+Leonam!AV12+Danilo!AV12+Marcos!AV12+Carlos!AV12</f>
    </nc>
    <odxf>
      <border outline="0">
        <left/>
        <right/>
        <top/>
        <bottom/>
      </border>
    </odxf>
    <ndxf>
      <border outline="0">
        <left style="thin">
          <color rgb="FF000000"/>
        </left>
        <right style="thin">
          <color rgb="FF000000"/>
        </right>
        <top style="thin">
          <color rgb="FF000000"/>
        </top>
        <bottom style="thin">
          <color rgb="FF000000"/>
        </bottom>
      </border>
    </ndxf>
  </rcc>
  <rcc rId="1210" sId="3" odxf="1" dxf="1">
    <oc r="C14">
      <f>Marcelo!E14+Patrícia!E14+Diego!E14+Aelton!E14+Leonam!E14+Danilo!E14+Marcos!E14</f>
    </oc>
    <nc r="C14">
      <f>Marcelo!E14+Patrícia!E14+Diego!E14+Aelton!E14+Leonam!E14+Danilo!E14+Marcos!E14</f>
    </nc>
    <odxf>
      <border outline="0">
        <left/>
        <right/>
        <top/>
        <bottom/>
      </border>
    </odxf>
    <ndxf>
      <border outline="0">
        <left style="thin">
          <color rgb="FF000000"/>
        </left>
        <right style="thin">
          <color rgb="FF000000"/>
        </right>
        <top style="thin">
          <color rgb="FF000000"/>
        </top>
        <bottom style="thin">
          <color rgb="FF000000"/>
        </bottom>
      </border>
    </ndxf>
  </rcc>
  <rcc rId="1211" sId="3" odxf="1" dxf="1">
    <oc r="D14">
      <f>Marcelo!K14+Patrícia!K14+Diego!K14+Aelton!K14+Leonam!K14+Danilo!K14+Marcos!K14</f>
    </oc>
    <nc r="D14">
      <f>Marcelo!K14+Patrícia!K14+Diego!K14+Aelton!K14+Leonam!K14+Danilo!K14+Marcos!K14</f>
    </nc>
    <odxf>
      <border outline="0">
        <left/>
        <right/>
        <top/>
        <bottom/>
      </border>
    </odxf>
    <ndxf>
      <border outline="0">
        <left style="thin">
          <color rgb="FF000000"/>
        </left>
        <right style="thin">
          <color rgb="FF000000"/>
        </right>
        <top style="thin">
          <color rgb="FF000000"/>
        </top>
        <bottom style="thin">
          <color rgb="FF000000"/>
        </bottom>
      </border>
    </ndxf>
  </rcc>
  <rcc rId="1212" sId="3" odxf="1" dxf="1">
    <oc r="E14">
      <f>Marcelo!Q14+Patrícia!Q14+Diego!Q14+Aelton!Q14+Leonam!Q14+Danilo!Q14+Marcos!Q14</f>
    </oc>
    <nc r="E14">
      <f>Marcelo!Q14+Patrícia!Q14+Diego!Q14+Aelton!Q14+Leonam!Q14+Danilo!Q14+Marcos!Q14</f>
    </nc>
    <odxf>
      <border outline="0">
        <left/>
        <right/>
        <top/>
        <bottom/>
      </border>
    </odxf>
    <ndxf>
      <border outline="0">
        <left style="thin">
          <color rgb="FF000000"/>
        </left>
        <right style="thin">
          <color rgb="FF000000"/>
        </right>
        <top style="thin">
          <color rgb="FF000000"/>
        </top>
        <bottom style="thin">
          <color rgb="FF000000"/>
        </bottom>
      </border>
    </ndxf>
  </rcc>
  <rcc rId="1213" sId="3" odxf="1" dxf="1">
    <oc r="F14">
      <f>Marcelo!X14+Patrícia!X14+Diego!X14+Aelton!X14+Leonam!X14+Danilo!X14+Marcos!X14</f>
    </oc>
    <nc r="F14">
      <f>Marcelo!X14+Patrícia!X14+Diego!X14+Aelton!X14+Leonam!X14+Danilo!X14+Marcos!X14</f>
    </nc>
    <odxf>
      <border outline="0">
        <left/>
        <right/>
        <top/>
        <bottom/>
      </border>
    </odxf>
    <ndxf>
      <border outline="0">
        <left style="thin">
          <color rgb="FF000000"/>
        </left>
        <right style="thin">
          <color rgb="FF000000"/>
        </right>
        <top style="thin">
          <color rgb="FF000000"/>
        </top>
        <bottom style="thin">
          <color rgb="FF000000"/>
        </bottom>
      </border>
    </ndxf>
  </rcc>
  <rcc rId="1214" sId="3" odxf="1" dxf="1">
    <oc r="G14">
      <f>Marcelo!AD14+Patrícia!AD14+Diego!AD14+Aelton!AD14+Leonam!AD14+Danilo!AD14+Marcos!AD14</f>
    </oc>
    <nc r="G14">
      <f>Marcelo!AD14+Patrícia!AD14+Diego!AD14+Aelton!AD14+Leonam!AD14+Danilo!AD14+Marcos!AD14</f>
    </nc>
    <odxf>
      <border outline="0">
        <left/>
        <right/>
        <top/>
        <bottom/>
      </border>
    </odxf>
    <ndxf>
      <border outline="0">
        <left style="thin">
          <color rgb="FF000000"/>
        </left>
        <right style="thin">
          <color rgb="FF000000"/>
        </right>
        <top style="thin">
          <color rgb="FF000000"/>
        </top>
        <bottom style="thin">
          <color rgb="FF000000"/>
        </bottom>
      </border>
    </ndxf>
  </rcc>
  <rcc rId="1215" sId="3" odxf="1" dxf="1">
    <oc r="H14">
      <f>Marcelo!AJ14+Patrícia!AJ14+Diego!AJ14+Aelton!AJ14+Leonam!AJ14+Danilo!AJ14+Marcos!AJ14</f>
    </oc>
    <nc r="H14">
      <f>Marcelo!AJ14+Patrícia!AJ14+Diego!AJ14+Aelton!AJ14+Leonam!AJ14+Danilo!AJ14+Marcos!AJ14</f>
    </nc>
    <odxf>
      <border outline="0">
        <left/>
        <right/>
        <top/>
        <bottom/>
      </border>
    </odxf>
    <ndxf>
      <border outline="0">
        <left style="thin">
          <color rgb="FF000000"/>
        </left>
        <right style="thin">
          <color rgb="FF000000"/>
        </right>
        <top style="thin">
          <color rgb="FF000000"/>
        </top>
        <bottom style="thin">
          <color rgb="FF000000"/>
        </bottom>
      </border>
    </ndxf>
  </rcc>
  <rcc rId="1216" sId="3" odxf="1" dxf="1">
    <oc r="I14">
      <f>Marcelo!AP14+Patrícia!AP14+Diego!AP14+Aelton!AP14+Leonam!AP14+Danilo!AP14+Marcos!AP14</f>
    </oc>
    <nc r="I14">
      <f>Marcelo!AP14+Patrícia!AP14+Diego!AP14+Aelton!AP14+Leonam!AP14+Danilo!AP14+Marcos!AP14</f>
    </nc>
    <odxf>
      <border outline="0">
        <left/>
        <right/>
        <top/>
        <bottom/>
      </border>
    </odxf>
    <ndxf>
      <border outline="0">
        <left style="thin">
          <color rgb="FF000000"/>
        </left>
        <right style="thin">
          <color rgb="FF000000"/>
        </right>
        <top style="thin">
          <color rgb="FF000000"/>
        </top>
        <bottom style="thin">
          <color rgb="FF000000"/>
        </bottom>
      </border>
    </ndxf>
  </rcc>
  <rcc rId="1217" sId="3" odxf="1" dxf="1">
    <oc r="J14">
      <f>Marcelo!AV14+Patrícia!AV14+Diego!AV14+Aelton!AV14+Leonam!AV14+Danilo!AV14+Marcos!AV14</f>
    </oc>
    <nc r="J14">
      <f>Marcelo!AV14+Patrícia!AV14+Diego!AV14+Aelton!AV14+Leonam!AV14+Danilo!AV14+Marcos!AV14</f>
    </nc>
    <odxf>
      <border outline="0">
        <left/>
        <right/>
        <top/>
        <bottom/>
      </border>
    </odxf>
    <ndxf>
      <border outline="0">
        <left style="thin">
          <color rgb="FF000000"/>
        </left>
        <right style="thin">
          <color rgb="FF000000"/>
        </right>
        <top style="thin">
          <color rgb="FF000000"/>
        </top>
        <bottom style="thin">
          <color rgb="FF000000"/>
        </bottom>
      </border>
    </ndxf>
  </rc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8" sId="3" odxf="1" dxf="1">
    <oc r="C16">
      <f>Diego!E16+Aelton!E16+Leonam!E16+Danilo!E16+Marcos!E16</f>
    </oc>
    <nc r="C16">
      <f>Diego!E16+Aelton!E16+Leonam!E16+Danilo!E16+Marcos!E16</f>
    </nc>
    <odxf>
      <border outline="0">
        <left/>
        <right/>
        <top/>
        <bottom/>
      </border>
    </odxf>
    <ndxf>
      <border outline="0">
        <left style="thin">
          <color rgb="FF000000"/>
        </left>
        <right style="thin">
          <color rgb="FF000000"/>
        </right>
        <top style="thin">
          <color rgb="FF000000"/>
        </top>
        <bottom style="thin">
          <color rgb="FF000000"/>
        </bottom>
      </border>
    </ndxf>
  </rcc>
  <rcc rId="1219" sId="3" odxf="1" dxf="1">
    <oc r="D16">
      <f>Diego!K16+Aelton!K16+Leonam!K16+Danilo!K16+Marcos!F16</f>
    </oc>
    <nc r="D16">
      <f>Diego!K16+Aelton!K16+Leonam!K16+Danilo!K16+Marcos!F16</f>
    </nc>
    <odxf>
      <border outline="0">
        <left/>
        <right/>
        <top/>
        <bottom/>
      </border>
    </odxf>
    <ndxf>
      <border outline="0">
        <left style="thin">
          <color rgb="FF000000"/>
        </left>
        <right style="thin">
          <color rgb="FF000000"/>
        </right>
        <top style="thin">
          <color rgb="FF000000"/>
        </top>
        <bottom style="thin">
          <color rgb="FF000000"/>
        </bottom>
      </border>
    </ndxf>
  </rcc>
  <rcc rId="1220" sId="3" odxf="1" dxf="1">
    <oc r="E16">
      <f>Diego!Q16+Aelton!Q16+Leonam!Q16+Danilo!Q16+Marcos!Q16</f>
    </oc>
    <nc r="E16">
      <f>Diego!Q16+Aelton!Q16+Leonam!Q16+Danilo!Q16+Marcos!Q16</f>
    </nc>
    <odxf>
      <border outline="0">
        <left/>
        <right/>
        <top/>
        <bottom/>
      </border>
    </odxf>
    <ndxf>
      <border outline="0">
        <left style="thin">
          <color rgb="FF000000"/>
        </left>
        <right style="thin">
          <color rgb="FF000000"/>
        </right>
        <top style="thin">
          <color rgb="FF000000"/>
        </top>
        <bottom style="thin">
          <color rgb="FF000000"/>
        </bottom>
      </border>
    </ndxf>
  </rcc>
  <rcc rId="1221" sId="3" odxf="1" dxf="1">
    <oc r="F16">
      <f>Diego!X16+Aelton!X16+Leonam!X16+Danilo!X16+Marcos!X16</f>
    </oc>
    <nc r="F16">
      <f>Diego!X16+Aelton!X16+Leonam!X16+Danilo!X16+Marcos!X16</f>
    </nc>
    <odxf>
      <border outline="0">
        <left/>
        <right/>
        <top/>
        <bottom/>
      </border>
    </odxf>
    <ndxf>
      <border outline="0">
        <left style="thin">
          <color rgb="FF000000"/>
        </left>
        <right style="thin">
          <color rgb="FF000000"/>
        </right>
        <top style="thin">
          <color rgb="FF000000"/>
        </top>
        <bottom style="thin">
          <color rgb="FF000000"/>
        </bottom>
      </border>
    </ndxf>
  </rcc>
  <rcc rId="1222" sId="3" odxf="1" dxf="1">
    <oc r="G16">
      <f>Diego!AD16+Aelton!AD16+Leonam!AD16+Danilo!AD16+Marcos!AD16</f>
    </oc>
    <nc r="G16">
      <f>Diego!AD16+Aelton!AD16+Leonam!AD16+Danilo!AD16+Marcos!AD16</f>
    </nc>
    <odxf>
      <border outline="0">
        <left/>
        <right/>
        <top/>
        <bottom/>
      </border>
    </odxf>
    <ndxf>
      <border outline="0">
        <left style="thin">
          <color rgb="FF000000"/>
        </left>
        <right style="thin">
          <color rgb="FF000000"/>
        </right>
        <top style="thin">
          <color rgb="FF000000"/>
        </top>
        <bottom style="thin">
          <color rgb="FF000000"/>
        </bottom>
      </border>
    </ndxf>
  </rcc>
  <rcc rId="1223" sId="3" odxf="1" dxf="1">
    <oc r="H16">
      <f>Diego!AJ16+Aelton!AJ16+Leonam!AJ16+Danilo!AJ16+Marcos!AJ16+Carlos!AJ16</f>
    </oc>
    <nc r="H16">
      <f>Diego!AJ16+Aelton!AJ16+Leonam!AJ16+Danilo!AJ16+Marcos!AJ16+Carlos!AJ16</f>
    </nc>
    <odxf>
      <border outline="0">
        <left/>
        <right/>
        <top/>
        <bottom/>
      </border>
    </odxf>
    <ndxf>
      <border outline="0">
        <left style="thin">
          <color rgb="FF000000"/>
        </left>
        <right style="thin">
          <color rgb="FF000000"/>
        </right>
        <top style="thin">
          <color rgb="FF000000"/>
        </top>
        <bottom style="thin">
          <color rgb="FF000000"/>
        </bottom>
      </border>
    </ndxf>
  </rcc>
  <rcc rId="1224" sId="3" odxf="1" dxf="1">
    <oc r="I16">
      <f>Diego!AP16+Aelton!AP16+Leonam!AP16+Danilo!AP16+Marcos!AP16+Carlos!AP16</f>
    </oc>
    <nc r="I16">
      <f>Diego!AP16+Aelton!AP16+Leonam!AP16+Danilo!AP16+Marcos!AP16+Carlos!AP16</f>
    </nc>
    <odxf>
      <border outline="0">
        <left/>
        <right/>
        <top/>
        <bottom/>
      </border>
    </odxf>
    <ndxf>
      <border outline="0">
        <left style="thin">
          <color rgb="FF000000"/>
        </left>
        <right style="thin">
          <color rgb="FF000000"/>
        </right>
        <top style="thin">
          <color rgb="FF000000"/>
        </top>
        <bottom style="thin">
          <color rgb="FF000000"/>
        </bottom>
      </border>
    </ndxf>
  </rcc>
  <rcc rId="1225" sId="3" odxf="1" dxf="1">
    <oc r="J16">
      <f>Diego!AV16+Aelton!AV16+Leonam!AV16+Danilo!AV16+Marcos!AV16+Carlos!AV16</f>
    </oc>
    <nc r="J16">
      <f>Diego!AV16+Aelton!AV16+Leonam!AV16+Danilo!AV16+Marcos!AV16+Carlos!AV16</f>
    </nc>
    <odxf>
      <border outline="0">
        <left/>
        <right/>
        <top/>
        <bottom/>
      </border>
    </odxf>
    <ndxf>
      <border outline="0">
        <left style="thin">
          <color rgb="FF000000"/>
        </left>
        <right style="thin">
          <color rgb="FF000000"/>
        </right>
        <top style="thin">
          <color rgb="FF000000"/>
        </top>
        <bottom style="thin">
          <color rgb="FF000000"/>
        </bottom>
      </border>
    </ndxf>
  </rc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6" sId="8">
    <oc r="DJ17" t="inlineStr">
      <is>
        <t>transferência de caixas da sala 3.71 para 4.47, para serem eliminação, perído da tarde arrumando e organizando a sala 4.47</t>
      </is>
    </oc>
    <nc r="DJ17" t="inlineStr">
      <is>
        <t>Transferência de caixas da sala 3.71 para 4.47, para serem eliminação, perído da tarde arrumando e organizando a sala 4.47</t>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7" sId="9">
    <nc r="BQ10">
      <v>7</v>
    </nc>
  </rcc>
  <rcc rId="1228" sId="9">
    <nc r="BQ9">
      <v>5</v>
    </nc>
  </rcc>
  <rcc rId="1229" sId="9">
    <nc r="BS10">
      <v>11</v>
    </nc>
  </rcc>
  <rcc rId="1230" sId="9">
    <oc r="BS9">
      <v>14</v>
    </oc>
    <nc r="BS9">
      <v>10</v>
    </nc>
  </rcc>
  <rcc rId="1231" sId="9">
    <nc r="BT10">
      <v>20</v>
    </nc>
  </rcc>
  <rcc rId="1232" sId="9">
    <nc r="BT9">
      <v>5</v>
    </nc>
  </rcc>
  <rcc rId="1233" sId="9">
    <nc r="BU10">
      <v>18</v>
    </nc>
  </rcc>
  <rcc rId="1234" sId="9">
    <nc r="BU9">
      <v>8</v>
    </nc>
  </rc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8" sqref="DP17">
    <dxf>
      <alignment wrapText="1"/>
    </dxf>
  </rfmt>
  <rcc rId="1235" sId="8">
    <nc r="DP17" t="inlineStr">
      <is>
        <t>Fazendo consulta e exames no período da tarde</t>
      </is>
    </nc>
  </rcc>
  <rcc rId="1236" sId="8">
    <nc r="DO15">
      <v>50</v>
    </nc>
  </rcc>
  <rcv guid="{E3841903-5B68-44FD-8F09-58E03D1025C5}" action="delete"/>
  <rcv guid="{E3841903-5B68-44FD-8F09-58E03D1025C5}" action="add"/>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7" sId="8">
    <nc r="DP15">
      <v>68</v>
    </nc>
  </rc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8" sId="9">
    <nc r="BV10">
      <v>14</v>
    </nc>
  </rcc>
  <rcc rId="1239" sId="9">
    <nc r="BV9">
      <v>11</v>
    </nc>
  </rcc>
  <rcc rId="1240" sId="9">
    <nc r="BW10">
      <v>7</v>
    </nc>
  </rcc>
  <rcc rId="1241" sId="9">
    <nc r="BW9">
      <v>7</v>
    </nc>
  </rcc>
  <rcc rId="1242" sId="9">
    <nc r="BY10">
      <v>12</v>
    </nc>
  </rcc>
  <rcc rId="1243" sId="9">
    <nc r="BY9">
      <v>9</v>
    </nc>
  </rcc>
  <rcc rId="1244" sId="9">
    <nc r="BZ10">
      <v>10</v>
    </nc>
  </rcc>
  <rcc rId="1245" sId="9">
    <nc r="BZ9">
      <v>10</v>
    </nc>
  </rcc>
  <rcc rId="1246" sId="9">
    <nc r="CA10">
      <v>11</v>
    </nc>
  </rcc>
  <rcc rId="1247" sId="9">
    <nc r="CA9">
      <v>11</v>
    </nc>
  </rcc>
  <rcc rId="1248" sId="9">
    <nc r="CB10">
      <v>3</v>
    </nc>
  </rcc>
  <rcc rId="1249" sId="9">
    <nc r="CB9">
      <v>9</v>
    </nc>
  </rcc>
  <rcc rId="1250" sId="9">
    <nc r="CC10">
      <v>5</v>
    </nc>
  </rcc>
  <rcc rId="1251" sId="9">
    <nc r="CC9">
      <v>5</v>
    </nc>
  </rcc>
  <rcc rId="1252" sId="9">
    <nc r="CE10">
      <v>6</v>
    </nc>
  </rcc>
  <rcc rId="1253" sId="9">
    <nc r="CE9">
      <v>6</v>
    </nc>
  </rcc>
  <rcc rId="1254" sId="9">
    <nc r="CH10">
      <v>10</v>
    </nc>
  </rcc>
  <rcc rId="1255" sId="9">
    <nc r="CH9">
      <v>4</v>
    </nc>
  </rcc>
  <rcc rId="1256" sId="9">
    <nc r="CI10">
      <v>21</v>
    </nc>
  </rcc>
  <rcc rId="1257" sId="9">
    <nc r="CI9">
      <v>1</v>
    </nc>
  </rcc>
  <rcc rId="1258" sId="9">
    <nc r="CK10">
      <v>13</v>
    </nc>
  </rcc>
  <rcc rId="1259" sId="9">
    <nc r="CK9">
      <v>1</v>
    </nc>
  </rcc>
  <rcc rId="1260" sId="9">
    <nc r="CL10">
      <v>8</v>
    </nc>
  </rcc>
  <rcc rId="1261" sId="9">
    <nc r="CL9">
      <v>8</v>
    </nc>
  </rcc>
  <rcc rId="1262" sId="9">
    <nc r="CM10">
      <v>2</v>
    </nc>
  </rcc>
  <rcc rId="1263" sId="9">
    <nc r="CM9">
      <v>2</v>
    </nc>
  </rcc>
  <rcc rId="1264" sId="9">
    <nc r="CR10">
      <v>5</v>
    </nc>
  </rcc>
  <rcc rId="1265" sId="9">
    <nc r="CR9">
      <v>5</v>
    </nc>
  </rcc>
  <rcc rId="1266" sId="9">
    <nc r="CS10">
      <v>7</v>
    </nc>
  </rcc>
  <rcc rId="1267" sId="9">
    <nc r="CS9">
      <v>7</v>
    </nc>
  </rcc>
  <rcc rId="1268" sId="9">
    <nc r="CX10">
      <v>3</v>
    </nc>
  </rcc>
  <rcc rId="1269" sId="9">
    <nc r="CX9">
      <v>3</v>
    </nc>
  </rcc>
  <rcc rId="1270" sId="9">
    <nc r="DC10">
      <v>2</v>
    </nc>
  </rcc>
  <rcc rId="1271" sId="9">
    <nc r="DC9">
      <v>2</v>
    </nc>
  </rcc>
  <rcc rId="1272" sId="9">
    <nc r="DI10">
      <v>100</v>
    </nc>
  </rcc>
  <rcc rId="1273" sId="9">
    <nc r="DI9">
      <v>1</v>
    </nc>
  </rcc>
  <rcc rId="1274" sId="9">
    <nc r="DJ10">
      <v>100</v>
    </nc>
  </rcc>
  <rcc rId="1275" sId="9">
    <nc r="DJ9">
      <v>1</v>
    </nc>
  </rcc>
  <rcc rId="1276" sId="9">
    <nc r="DK10">
      <v>123</v>
    </nc>
  </rcc>
  <rcc rId="1277" sId="9">
    <nc r="DK9">
      <v>1</v>
    </nc>
  </rcc>
  <rcc rId="1278" sId="9">
    <nc r="DL10">
      <v>100</v>
    </nc>
  </rcc>
  <rcc rId="1279" sId="9">
    <nc r="DL9">
      <v>1</v>
    </nc>
  </rcc>
  <rcc rId="1280" sId="9">
    <nc r="DM10">
      <v>100</v>
    </nc>
  </rcc>
  <rcc rId="1281" sId="9">
    <nc r="DM9">
      <v>1</v>
    </nc>
  </rcc>
  <rcv guid="{18A482E0-C8B6-4AA1-9E04-15FA7C9CD5E3}" action="delete"/>
  <rcv guid="{18A482E0-C8B6-4AA1-9E04-15FA7C9CD5E3}"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2" sId="9">
    <nc r="E18" t="inlineStr">
      <is>
        <t>férias</t>
      </is>
    </nc>
  </rcc>
  <rcc rId="1283" sId="9">
    <nc r="K18" t="inlineStr">
      <is>
        <t>férias</t>
      </is>
    </nc>
  </rcc>
  <rcc rId="1284" sId="9">
    <nc r="Q18" t="inlineStr">
      <is>
        <t>férias</t>
      </is>
    </nc>
  </rcc>
  <rcc rId="1285" sId="9">
    <nc r="R18" t="inlineStr">
      <is>
        <t>férias</t>
      </is>
    </nc>
  </rcc>
  <rcc rId="1286" sId="9">
    <nc r="X18" t="inlineStr">
      <is>
        <t>férias</t>
      </is>
    </nc>
  </rcc>
  <rcc rId="1287" sId="10" odxf="1" dxf="1" numFmtId="21">
    <nc r="AF1">
      <v>45782</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88" sId="10" odxf="1" dxf="1" numFmtId="21">
    <nc r="AG1">
      <v>45783</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89" sId="10" odxf="1" dxf="1" numFmtId="21">
    <nc r="AH1">
      <v>45784</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0" sId="10" odxf="1" dxf="1" numFmtId="21">
    <nc r="AI1">
      <v>45785</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1" sId="10" odxf="1" dxf="1" numFmtId="21">
    <nc r="AJ1">
      <v>45786</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fmt sheetId="10" sqref="AK1" start="0" length="0">
    <dxf>
      <fill>
        <patternFill patternType="solid">
          <bgColor theme="0" tint="-0.14999847407452621"/>
        </patternFill>
      </fill>
      <alignment horizontal="center" vertical="top"/>
      <border outline="0">
        <left style="thin">
          <color auto="1"/>
        </left>
        <right style="thin">
          <color auto="1"/>
        </right>
        <top style="thin">
          <color auto="1"/>
        </top>
        <bottom style="thin">
          <color auto="1"/>
        </bottom>
      </border>
    </dxf>
  </rfmt>
  <rcc rId="1292" sId="10" odxf="1" dxf="1" numFmtId="21">
    <nc r="AL1">
      <v>45789</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3" sId="10" odxf="1" dxf="1" numFmtId="21">
    <nc r="AM1">
      <v>45790</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4" sId="10" odxf="1" dxf="1" numFmtId="21">
    <nc r="AN1">
      <v>45791</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5" sId="10" odxf="1" dxf="1" numFmtId="21">
    <nc r="AO1">
      <v>45792</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6" sId="10" odxf="1" dxf="1" numFmtId="21">
    <nc r="AP1">
      <v>45793</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fmt sheetId="10" sqref="AQ1" start="0" length="0">
    <dxf>
      <fill>
        <patternFill patternType="solid">
          <bgColor theme="0" tint="-0.14999847407452621"/>
        </patternFill>
      </fill>
      <alignment horizontal="center" vertical="top"/>
      <border outline="0">
        <left style="thin">
          <color auto="1"/>
        </left>
        <right style="thin">
          <color auto="1"/>
        </right>
        <top style="thin">
          <color auto="1"/>
        </top>
        <bottom style="thin">
          <color auto="1"/>
        </bottom>
      </border>
    </dxf>
  </rfmt>
  <rcc rId="1297" sId="10" odxf="1" dxf="1" numFmtId="21">
    <nc r="AR1">
      <v>45796</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8" sId="10" odxf="1" dxf="1" numFmtId="21">
    <nc r="AS1">
      <v>45797</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299" sId="10" odxf="1" dxf="1" numFmtId="21">
    <nc r="AT1">
      <v>45798</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300" sId="10" odxf="1" dxf="1" numFmtId="21">
    <nc r="AU1">
      <v>45799</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301" sId="10" odxf="1" dxf="1" numFmtId="21">
    <nc r="AV1">
      <v>45800</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fmt sheetId="10" sqref="AW1" start="0" length="0">
    <dxf>
      <fill>
        <patternFill patternType="solid">
          <bgColor theme="0" tint="-0.14999847407452621"/>
        </patternFill>
      </fill>
      <alignment horizontal="center" vertical="top"/>
      <border outline="0">
        <left style="thin">
          <color auto="1"/>
        </left>
        <right style="thin">
          <color auto="1"/>
        </right>
        <top style="thin">
          <color auto="1"/>
        </top>
        <bottom style="thin">
          <color auto="1"/>
        </bottom>
      </border>
    </dxf>
  </rfmt>
  <rcc rId="1302" sId="10" odxf="1" dxf="1" numFmtId="21">
    <nc r="AX1">
      <v>45803</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303" sId="10" odxf="1" dxf="1" numFmtId="21">
    <nc r="AY1">
      <v>45804</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304" sId="10" odxf="1" dxf="1" numFmtId="21">
    <nc r="AZ1">
      <v>45805</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305" sId="10" odxf="1" dxf="1" numFmtId="21">
    <nc r="BA1">
      <v>45806</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cc rId="1306" sId="10" odxf="1" dxf="1" numFmtId="21">
    <nc r="BB1">
      <v>45807</v>
    </nc>
    <odxf>
      <numFmt numFmtId="0" formatCode="General"/>
      <alignment horizontal="general" vertical="bottom"/>
      <border outline="0">
        <left/>
        <right/>
        <top/>
        <bottom/>
      </border>
    </odxf>
    <ndxf>
      <numFmt numFmtId="21" formatCode="dd/mmm"/>
      <alignment horizontal="center" vertical="top"/>
      <border outline="0">
        <left style="thin">
          <color auto="1"/>
        </left>
        <right style="thin">
          <color auto="1"/>
        </right>
        <top style="thin">
          <color auto="1"/>
        </top>
        <bottom style="thin">
          <color auto="1"/>
        </bottom>
      </border>
    </ndxf>
  </rcc>
  <rfmt sheetId="10" sqref="BC1" start="0" length="0">
    <dxf>
      <fill>
        <patternFill patternType="solid">
          <bgColor theme="0" tint="-0.14999847407452621"/>
        </patternFill>
      </fill>
      <alignment horizontal="center" vertical="top"/>
      <border outline="0">
        <left style="thin">
          <color auto="1"/>
        </left>
        <right style="thin">
          <color auto="1"/>
        </right>
        <top style="thin">
          <color auto="1"/>
        </top>
        <bottom style="thin">
          <color auto="1"/>
        </bottom>
      </border>
    </dxf>
  </rfmt>
  <rcc rId="1307" sId="10" odxf="1" dxf="1">
    <nc r="AK2">
      <f>SUM(AF2:AJ2)</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08" sId="10" odxf="1" dxf="1">
    <nc r="AQ2">
      <f>SUM(AL2:AP2)</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09" sId="10" odxf="1" dxf="1">
    <nc r="AW2">
      <f>SUM(AR2:AV2)</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10" sId="10" odxf="1" dxf="1">
    <nc r="BC2">
      <f>SUM(AX2:BB2)</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11" sId="10" odxf="1" dxf="1">
    <nc r="AK3">
      <f>SUM(AF3:AJ3)</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12" sId="10" odxf="1" dxf="1">
    <nc r="AQ3">
      <f>SUM(AL3:AP3)</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13" sId="10" odxf="1" dxf="1">
    <nc r="AW3">
      <f>SUM(AR3:AV3)</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14" sId="10" odxf="1" dxf="1">
    <nc r="BC3">
      <f>SUM(AX3:BB3)</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15" sId="10" odxf="1" dxf="1">
    <nc r="AK4">
      <f>SUM(AF4:AJ4)</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16" sId="10" odxf="1" dxf="1">
    <nc r="AQ4">
      <f>SUM(AL4:AP4)</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17" sId="10" odxf="1" dxf="1">
    <nc r="AW4">
      <f>SUM(AR4:AV4)</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18" sId="10" odxf="1" dxf="1">
    <nc r="BC4">
      <f>SUM(AX4:BB4)</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19" sId="10" odxf="1" dxf="1">
    <nc r="AK5">
      <f>SUM(AF5:AJ5)</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0" sId="10" odxf="1" dxf="1">
    <nc r="AQ5">
      <f>SUM(AL5:AP5)</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1" sId="10" odxf="1" dxf="1">
    <nc r="AW5">
      <f>SUM(AR5:AV5)</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2" sId="10" odxf="1" dxf="1">
    <nc r="BC5">
      <f>SUM(AX5:BB5)</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23" sId="10" odxf="1" dxf="1">
    <nc r="AK6">
      <f>SUM(AF6:AJ6)</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4" sId="10" odxf="1" dxf="1">
    <nc r="AQ6">
      <f>SUM(AL6:AP6)</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5" sId="10" odxf="1" dxf="1">
    <nc r="AW6">
      <f>SUM(AR6:AV6)</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6" sId="10" odxf="1" dxf="1">
    <nc r="BC6">
      <f>SUM(AX6:BB6)</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27" sId="10" odxf="1" dxf="1">
    <nc r="AK7">
      <f>SUM(AF7:AJ7)</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8" sId="10" odxf="1" dxf="1">
    <nc r="AQ7">
      <f>SUM(AL7:AP7)</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29" sId="10" odxf="1" dxf="1">
    <nc r="AW7">
      <f>SUM(AR7:AV7)</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30" sId="10" odxf="1" dxf="1">
    <nc r="BC7">
      <f>SUM(AX7:BB7)</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31" sId="10" odxf="1" dxf="1">
    <nc r="AK8">
      <f>SUM(AF8:AJ8)</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32" sId="10" odxf="1" dxf="1">
    <nc r="AQ8">
      <f>SUM(AL8:AP8)</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33" sId="10" odxf="1" dxf="1">
    <nc r="AW8">
      <f>SUM(AR8:AV8)</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34" sId="10" odxf="1" dxf="1">
    <nc r="BC8">
      <f>SUM(AX8:BB8)</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35" sId="10" odxf="1" dxf="1">
    <nc r="AK9">
      <f>SUM(AF9:AJ9)</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36" sId="10" odxf="1" dxf="1">
    <nc r="AQ9">
      <f>SUM(AL9:AP9)</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37" sId="10" odxf="1" dxf="1">
    <nc r="AW9">
      <f>SUM(AR9:AV9)</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38" sId="10" odxf="1" dxf="1">
    <nc r="BC9">
      <f>SUM(AX9:BB9)</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39" sId="10" odxf="1" dxf="1">
    <nc r="AK10">
      <f>SUM(AF10:AJ10)</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0" sId="10" odxf="1" dxf="1">
    <nc r="AQ10">
      <f>SUM(AL10:AP10)</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1" sId="10" odxf="1" dxf="1">
    <nc r="AW10">
      <f>SUM(AR10:AV10)</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2" sId="10" odxf="1" dxf="1">
    <nc r="BC10">
      <f>SUM(AX10:BB10)</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43" sId="10" odxf="1" dxf="1">
    <nc r="AK11">
      <f>SUM(AF11:AJ11)</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4" sId="10" odxf="1" dxf="1">
    <nc r="AQ11">
      <f>SUM(AL11:AP11)</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5" sId="10" odxf="1" dxf="1">
    <nc r="AW11">
      <f>SUM(AR11:AV11)</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6" sId="10" odxf="1" dxf="1">
    <nc r="BC11">
      <f>SUM(AX11:BB11)</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47" sId="10" odxf="1" dxf="1">
    <nc r="AK12">
      <f>SUM(AF12:AJ12)</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8" sId="10" odxf="1" dxf="1">
    <nc r="AQ12">
      <f>SUM(AL12:AP12)</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49" sId="10" odxf="1" dxf="1">
    <nc r="AW12">
      <f>SUM(AR12:AV12)</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50" sId="10" odxf="1" dxf="1">
    <nc r="BC12">
      <f>SUM(AX12:BB12)</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fmt sheetId="10" sqref="AF13" start="0" length="0">
    <dxf>
      <alignment horizontal="center" vertical="center"/>
    </dxf>
  </rfmt>
  <rcc rId="1351" sId="10" odxf="1" dxf="1">
    <nc r="AK13">
      <f>SUM(AF13:AJ13)</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52" sId="10" odxf="1" dxf="1">
    <nc r="AQ13">
      <f>SUM(AL13:AP13)</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53" sId="10" odxf="1" dxf="1">
    <nc r="AW13">
      <f>SUM(AR13:AV13)</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54" sId="10" odxf="1" dxf="1">
    <nc r="BC13">
      <f>SUM(AX13:BB13)</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center"/>
      <border outline="0">
        <right style="thin">
          <color indexed="64"/>
        </right>
      </border>
    </ndxf>
  </rcc>
  <rcc rId="1355" sId="10" odxf="1" dxf="1">
    <nc r="AK14">
      <f>SUM(AF14:AJ14)</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56" sId="10" odxf="1" dxf="1">
    <nc r="AQ14">
      <f>SUM(AL14:AP14)</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57" sId="10" odxf="1" dxf="1">
    <nc r="AW14">
      <f>SUM(AR14:AV14)</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58" sId="10" odxf="1" dxf="1">
    <nc r="BC14">
      <f>SUM(AX14:BB14)</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cc rId="1359" sId="10" odxf="1" dxf="1">
    <nc r="AK15">
      <f>SUM(AF15:AJ15)</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60" sId="10" odxf="1" dxf="1">
    <nc r="AQ15">
      <f>SUM(AL15:AP15)</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61" sId="10" odxf="1" dxf="1">
    <nc r="AW15">
      <f>SUM(AR15:AV15)</f>
    </nc>
    <odxf>
      <fill>
        <patternFill patternType="none">
          <bgColor indexed="65"/>
        </patternFill>
      </fill>
      <alignment horizontal="general" vertical="bottom"/>
    </odxf>
    <ndxf>
      <fill>
        <patternFill patternType="solid">
          <bgColor theme="0" tint="-0.14999847407452621"/>
        </patternFill>
      </fill>
      <alignment horizontal="center" vertical="center"/>
    </ndxf>
  </rcc>
  <rcc rId="1362" sId="10" odxf="1" dxf="1">
    <nc r="BC15">
      <f>SUM(AX15:BB15)</f>
    </nc>
    <odxf>
      <fill>
        <patternFill patternType="none">
          <bgColor indexed="65"/>
        </patternFill>
      </fill>
      <alignment horizontal="general" vertical="bottom"/>
      <border outline="0">
        <right/>
      </border>
    </odxf>
    <ndxf>
      <fill>
        <patternFill patternType="solid">
          <bgColor theme="0" tint="-0.14999847407452621"/>
        </patternFill>
      </fill>
      <alignment horizontal="center" vertical="top"/>
      <border outline="0">
        <right style="thin">
          <color indexed="64"/>
        </right>
      </border>
    </ndxf>
  </rcc>
  <rfmt sheetId="10" sqref="AF16" start="0" length="0">
    <dxf>
      <border outline="0">
        <bottom style="thin">
          <color indexed="64"/>
        </bottom>
      </border>
    </dxf>
  </rfmt>
  <rfmt sheetId="10" sqref="AG16" start="0" length="0">
    <dxf>
      <border outline="0">
        <bottom style="thin">
          <color indexed="64"/>
        </bottom>
      </border>
    </dxf>
  </rfmt>
  <rfmt sheetId="10" sqref="AH16" start="0" length="0">
    <dxf>
      <border outline="0">
        <bottom style="thin">
          <color indexed="64"/>
        </bottom>
      </border>
    </dxf>
  </rfmt>
  <rfmt sheetId="10" sqref="AI16" start="0" length="0">
    <dxf>
      <border outline="0">
        <bottom style="thin">
          <color indexed="64"/>
        </bottom>
      </border>
    </dxf>
  </rfmt>
  <rfmt sheetId="10" sqref="AJ16" start="0" length="0">
    <dxf>
      <border outline="0">
        <bottom style="thin">
          <color indexed="64"/>
        </bottom>
      </border>
    </dxf>
  </rfmt>
  <rcc rId="1363" sId="10" odxf="1" dxf="1">
    <nc r="AK16">
      <f>SUM(AF16:AJ16)</f>
    </nc>
    <odxf>
      <fill>
        <patternFill patternType="none">
          <bgColor indexed="65"/>
        </patternFill>
      </fill>
      <alignment horizontal="general" vertical="bottom"/>
      <border outline="0">
        <bottom/>
      </border>
    </odxf>
    <ndxf>
      <fill>
        <patternFill patternType="solid">
          <bgColor theme="0" tint="-0.14999847407452621"/>
        </patternFill>
      </fill>
      <alignment horizontal="center" vertical="center"/>
      <border outline="0">
        <bottom style="thin">
          <color indexed="64"/>
        </bottom>
      </border>
    </ndxf>
  </rcc>
  <rfmt sheetId="10" sqref="AL16" start="0" length="0">
    <dxf>
      <border outline="0">
        <bottom style="thin">
          <color indexed="64"/>
        </bottom>
      </border>
    </dxf>
  </rfmt>
  <rfmt sheetId="10" sqref="AM16" start="0" length="0">
    <dxf>
      <border outline="0">
        <bottom style="thin">
          <color indexed="64"/>
        </bottom>
      </border>
    </dxf>
  </rfmt>
  <rfmt sheetId="10" sqref="AN16" start="0" length="0">
    <dxf>
      <border outline="0">
        <bottom style="thin">
          <color indexed="64"/>
        </bottom>
      </border>
    </dxf>
  </rfmt>
  <rfmt sheetId="10" sqref="AO16" start="0" length="0">
    <dxf>
      <border outline="0">
        <bottom style="thin">
          <color indexed="64"/>
        </bottom>
      </border>
    </dxf>
  </rfmt>
  <rfmt sheetId="10" sqref="AP16" start="0" length="0">
    <dxf>
      <border outline="0">
        <bottom style="thin">
          <color indexed="64"/>
        </bottom>
      </border>
    </dxf>
  </rfmt>
  <rcc rId="1364" sId="10" odxf="1" dxf="1">
    <nc r="AQ16">
      <f>SUM(AL16:AP16)</f>
    </nc>
    <odxf>
      <fill>
        <patternFill patternType="none">
          <bgColor indexed="65"/>
        </patternFill>
      </fill>
      <alignment horizontal="general" vertical="bottom"/>
      <border outline="0">
        <bottom/>
      </border>
    </odxf>
    <ndxf>
      <fill>
        <patternFill patternType="solid">
          <bgColor theme="0" tint="-0.14999847407452621"/>
        </patternFill>
      </fill>
      <alignment horizontal="center" vertical="center"/>
      <border outline="0">
        <bottom style="thin">
          <color indexed="64"/>
        </bottom>
      </border>
    </ndxf>
  </rcc>
  <rfmt sheetId="10" sqref="AR16" start="0" length="0">
    <dxf>
      <border outline="0">
        <bottom style="thin">
          <color indexed="64"/>
        </bottom>
      </border>
    </dxf>
  </rfmt>
  <rfmt sheetId="10" sqref="AS16" start="0" length="0">
    <dxf>
      <border outline="0">
        <bottom style="thin">
          <color indexed="64"/>
        </bottom>
      </border>
    </dxf>
  </rfmt>
  <rfmt sheetId="10" sqref="AT16" start="0" length="0">
    <dxf>
      <border outline="0">
        <bottom style="thin">
          <color indexed="64"/>
        </bottom>
      </border>
    </dxf>
  </rfmt>
  <rfmt sheetId="10" sqref="AU16" start="0" length="0">
    <dxf>
      <border outline="0">
        <bottom style="thin">
          <color indexed="64"/>
        </bottom>
      </border>
    </dxf>
  </rfmt>
  <rfmt sheetId="10" sqref="AV16" start="0" length="0">
    <dxf>
      <border outline="0">
        <bottom style="thin">
          <color indexed="64"/>
        </bottom>
      </border>
    </dxf>
  </rfmt>
  <rcc rId="1365" sId="10" odxf="1" dxf="1">
    <nc r="AW16">
      <f>SUM(AR16:AV16)</f>
    </nc>
    <odxf>
      <fill>
        <patternFill patternType="none">
          <bgColor indexed="65"/>
        </patternFill>
      </fill>
      <alignment horizontal="general" vertical="bottom"/>
      <border outline="0">
        <bottom/>
      </border>
    </odxf>
    <ndxf>
      <fill>
        <patternFill patternType="solid">
          <bgColor theme="0" tint="-0.14999847407452621"/>
        </patternFill>
      </fill>
      <alignment horizontal="center" vertical="center"/>
      <border outline="0">
        <bottom style="thin">
          <color indexed="64"/>
        </bottom>
      </border>
    </ndxf>
  </rcc>
  <rfmt sheetId="10" sqref="AX16" start="0" length="0">
    <dxf>
      <border outline="0">
        <bottom style="thin">
          <color indexed="64"/>
        </bottom>
      </border>
    </dxf>
  </rfmt>
  <rfmt sheetId="10" sqref="AY16" start="0" length="0">
    <dxf>
      <border outline="0">
        <bottom style="thin">
          <color indexed="64"/>
        </bottom>
      </border>
    </dxf>
  </rfmt>
  <rfmt sheetId="10" sqref="AZ16" start="0" length="0">
    <dxf>
      <border outline="0">
        <bottom style="thin">
          <color indexed="64"/>
        </bottom>
      </border>
    </dxf>
  </rfmt>
  <rfmt sheetId="10" sqref="BA16" start="0" length="0">
    <dxf>
      <border outline="0">
        <bottom style="thin">
          <color indexed="64"/>
        </bottom>
      </border>
    </dxf>
  </rfmt>
  <rfmt sheetId="10" sqref="BB16" start="0" length="0">
    <dxf>
      <border outline="0">
        <bottom style="thin">
          <color indexed="64"/>
        </bottom>
      </border>
    </dxf>
  </rfmt>
  <rcc rId="1366" sId="10" odxf="1" dxf="1">
    <nc r="BC16">
      <f>SUM(AX16:BB16)</f>
    </nc>
    <odxf>
      <fill>
        <patternFill patternType="none">
          <bgColor indexed="65"/>
        </patternFill>
      </fill>
      <alignment horizontal="general" vertical="bottom"/>
      <border outline="0">
        <right/>
        <bottom/>
      </border>
    </odxf>
    <ndxf>
      <fill>
        <patternFill patternType="solid">
          <bgColor theme="0" tint="-0.14999847407452621"/>
        </patternFill>
      </fill>
      <alignment horizontal="center" vertical="top"/>
      <border outline="0">
        <right style="thin">
          <color indexed="64"/>
        </right>
        <bottom style="thin">
          <color indexed="64"/>
        </bottom>
      </border>
    </ndxf>
  </rcc>
  <rcc rId="1367" sId="10" odxf="1" dxf="1">
    <nc r="AF17" t="inlineStr">
      <is>
        <t>Montagem, configuração e levantamento de quantitativo de caixas/processos a serem eliminados (planilhas excel)</t>
      </is>
    </nc>
    <odxf>
      <alignment horizontal="general" vertical="bottom" wrapText="0"/>
    </odxf>
    <ndxf>
      <alignment horizontal="center" vertical="center" wrapText="1"/>
    </ndxf>
  </rcc>
  <rcc rId="1368" sId="10" odxf="1" dxf="1">
    <nc r="AG17" t="inlineStr">
      <is>
        <t>Montagem, configuração e levantamento de quantitativo de caixas/processos a serem eliminados (planilhas excel)</t>
      </is>
    </nc>
    <odxf>
      <alignment horizontal="general" vertical="bottom" wrapText="0"/>
    </odxf>
    <ndxf>
      <alignment horizontal="center" vertical="center" wrapText="1"/>
    </ndxf>
  </rcc>
  <rcc rId="1369" sId="10" odxf="1" dxf="1">
    <nc r="AH17" t="inlineStr">
      <is>
        <t>Montagem, configuração e levantamento de quantitativo de caixas/processos a serem eliminados (planilhas excel)</t>
      </is>
    </nc>
    <odxf>
      <alignment horizontal="general" vertical="bottom" wrapText="0"/>
    </odxf>
    <ndxf>
      <alignment horizontal="center" vertical="center" wrapText="1"/>
    </ndxf>
  </rcc>
  <rcc rId="1370" sId="10" odxf="1" dxf="1">
    <nc r="AI17" t="inlineStr">
      <is>
        <t>Montagem, configuração e levantamento de quantitativo de caixas/processos a serem eliminados (planilhas excel)</t>
      </is>
    </nc>
    <odxf>
      <alignment horizontal="general" vertical="bottom" wrapText="0"/>
    </odxf>
    <ndxf>
      <alignment horizontal="center" vertical="center" wrapText="1"/>
    </ndxf>
  </rcc>
  <rcc rId="1371" sId="10" odxf="1" dxf="1">
    <nc r="AJ17" t="inlineStr">
      <is>
        <t>Montagem, configuração e levantamento de quantitativo de caixas/processos a serem eliminados (planilhas excel)</t>
      </is>
    </nc>
    <odxf>
      <alignment horizontal="general" vertical="bottom" wrapText="0"/>
    </odxf>
    <ndxf>
      <alignment horizontal="center" vertical="center" wrapText="1"/>
    </ndxf>
  </rcc>
  <rfmt sheetId="10" sqref="AK17" start="0" length="0">
    <dxf>
      <alignment horizontal="center" vertical="top"/>
    </dxf>
  </rfmt>
  <rcc rId="1372" sId="10" odxf="1" dxf="1">
    <nc r="AL17" t="inlineStr">
      <is>
        <t>Atualização nos Indicadores de Atividades e arrumada (padronizada) nas planilhas(abas)</t>
      </is>
    </nc>
    <odxf>
      <alignment horizontal="general" vertical="bottom" wrapText="0"/>
    </odxf>
    <ndxf>
      <alignment horizontal="center" vertical="center" wrapText="1"/>
    </ndxf>
  </rcc>
  <rcc rId="1373" sId="10" odxf="1" dxf="1">
    <nc r="AM17" t="inlineStr">
      <is>
        <t>Atualização nos Indicadores de Atividades e arrumada (padronizada) nas planilhas(abas)</t>
      </is>
    </nc>
    <odxf>
      <alignment horizontal="general" vertical="bottom" wrapText="0"/>
    </odxf>
    <ndxf>
      <alignment horizontal="center" vertical="center" wrapText="1"/>
    </ndxf>
  </rcc>
  <rcc rId="1374" sId="10" odxf="1" dxf="1">
    <nc r="AN17" t="inlineStr">
      <is>
        <t>Atualização nos Indicadores de Atividades e arrumada (padronizada) nas planilhas(abas)</t>
      </is>
    </nc>
    <odxf>
      <alignment horizontal="general" vertical="bottom" wrapText="0"/>
    </odxf>
    <ndxf>
      <alignment horizontal="center" vertical="center" wrapText="1"/>
    </ndxf>
  </rcc>
  <rcc rId="1375" sId="10" odxf="1" dxf="1">
    <nc r="AO17" t="inlineStr">
      <is>
        <t>Atualização nos Indicadores de Atividades e arrumada (padronizada) nas planilhas(abas)</t>
      </is>
    </nc>
    <odxf>
      <alignment horizontal="general" vertical="bottom" wrapText="0"/>
    </odxf>
    <ndxf>
      <alignment horizontal="center" vertical="center" wrapText="1"/>
    </ndxf>
  </rcc>
  <rfmt sheetId="10" sqref="AP17" start="0" length="0">
    <dxf>
      <alignment horizontal="center" vertical="center" wrapText="1"/>
    </dxf>
  </rfmt>
  <rcc rId="1376" sId="10" odxf="1" dxf="1">
    <nc r="AK1" t="inlineStr">
      <is>
        <t>TOTAL SEMANA</t>
      </is>
    </nc>
    <ndxf>
      <font>
        <b/>
        <sz val="11"/>
        <color theme="1"/>
        <name val="Aptos Narrow"/>
        <family val="2"/>
        <scheme val="minor"/>
      </font>
      <numFmt numFmtId="21" formatCode="dd/mmm"/>
      <alignment vertical="center" wrapText="1"/>
    </ndxf>
  </rcc>
  <rcc rId="1377" sId="10" odxf="1" dxf="1">
    <nc r="AQ1" t="inlineStr">
      <is>
        <t>TOTAL SEMANA</t>
      </is>
    </nc>
    <ndxf>
      <font>
        <b/>
        <sz val="11"/>
        <color theme="1"/>
        <name val="Aptos Narrow"/>
        <family val="2"/>
        <scheme val="minor"/>
      </font>
      <numFmt numFmtId="21" formatCode="dd/mmm"/>
      <alignment vertical="center" wrapText="1"/>
    </ndxf>
  </rcc>
  <rcc rId="1378" sId="10" odxf="1" dxf="1">
    <nc r="AW1" t="inlineStr">
      <is>
        <t>TOTAL SEMANA</t>
      </is>
    </nc>
    <ndxf>
      <font>
        <b/>
        <sz val="11"/>
        <color theme="1"/>
        <name val="Aptos Narrow"/>
        <family val="2"/>
        <scheme val="minor"/>
      </font>
      <numFmt numFmtId="21" formatCode="dd/mmm"/>
      <alignment vertical="center" wrapText="1"/>
    </ndxf>
  </rcc>
  <rcc rId="1379" sId="10" odxf="1" dxf="1">
    <nc r="BC1" t="inlineStr">
      <is>
        <t>TOTAL SEMANA</t>
      </is>
    </nc>
    <ndxf>
      <font>
        <b/>
        <sz val="11"/>
        <color theme="1"/>
        <name val="Aptos Narrow"/>
        <family val="2"/>
        <scheme val="minor"/>
      </font>
      <numFmt numFmtId="21" formatCode="dd/mmm"/>
      <alignment vertical="center" wrapText="1"/>
    </ndxf>
  </rcc>
  <rdn rId="1380" name="_xlfn.SCAN" function="1" oldFunction="1" hidden="1" oldHidden="1">
    <formula>#NAME?</formula>
  </rdn>
  <rcc rId="1381" sId="3">
    <oc r="R2">
      <f>Marcelo!CP2+Patrícia!CP2+Diego!CP2+Aelton!CP2+Leonam!CP2+Danilo!CP2+Marcos!CP2+Carlos!CP2+Alessandro!Y2</f>
    </oc>
    <nc r="R2">
      <f>Marcelo!CP2+Patrícia!CP2+Diego!CP2+Aelton!CP2+Leonam!CP2+Danilo!CP2+Marcos!CP2+Carlos!CP2+Alessandro!S2</f>
    </nc>
  </rcc>
  <rcc rId="1382" sId="3" odxf="1" dxf="1">
    <oc r="R3">
      <f>Marcelo!CP3+Patrícia!CP3+Diego!CP3+Aelton!CP3+Leonam!CP3+Danilo!CP3+Marcos!CP3+Carlos!CP3</f>
    </oc>
    <nc r="R3">
      <f>Marcelo!CP3+Patrícia!CP3+Diego!CP3+Aelton!CP3+Leonam!CP3+Danilo!CP3+Marcos!CP3+Carlos!CP3+Alessandro!S3</f>
    </nc>
    <odxf>
      <fill>
        <patternFill patternType="none">
          <bgColor indexed="65"/>
        </patternFill>
      </fill>
    </odxf>
    <ndxf>
      <fill>
        <patternFill patternType="solid">
          <bgColor rgb="FFFFFF00"/>
        </patternFill>
      </fill>
    </ndxf>
  </rcc>
  <rcc rId="1383" sId="3">
    <oc r="R4">
      <f>Marcelo!CP4+Patrícia!CP4+Diego!CP4+Aelton!CP4+Leonam!CP4+Danilo!CP4+Marcos!CP4+Carlos!CP4</f>
    </oc>
    <nc r="R4">
      <f>Marcelo!CP4+Patrícia!CP4+Diego!CP4+Aelton!CP4+Leonam!CP4+Danilo!CP4+Marcos!CP4+Carlos!CP4+Alessandro!S4</f>
    </nc>
  </rcc>
  <rcc rId="1384" sId="3" odxf="1" dxf="1">
    <oc r="R5">
      <f>Marcelo!CP5+Patrícia!CP5+Diego!CP5+Aelton!CP5+Leonam!CP5+Danilo!CP5+Marcos!CP5+Carlos!CP5</f>
    </oc>
    <nc r="R5">
      <f>Marcelo!CP5+Patrícia!CP5+Diego!CP5+Aelton!CP5+Leonam!CP5+Danilo!CP5+Marcos!CP5+Carlos!CP5+Alessandro!S5</f>
    </nc>
    <ndxf>
      <fill>
        <patternFill patternType="solid">
          <bgColor rgb="FFFFFF00"/>
        </patternFill>
      </fill>
    </ndxf>
  </rcc>
  <rcc rId="1385" sId="3">
    <oc r="R6">
      <f>Marcelo!CP6+Patrícia!CP6+Diego!CP6+Aelton!CP6+Leonam!CP6+Danilo!CP6+Marcos!CP6+Carlos!CP6</f>
    </oc>
    <nc r="R6">
      <f>Marcelo!CP6+Patrícia!CP6+Diego!CP6+Aelton!CP6+Leonam!CP6+Danilo!CP6+Marcos!CP6+Carlos!CP6+Alessandro!S6</f>
    </nc>
  </rcc>
  <rcc rId="1386" sId="3" odxf="1" dxf="1">
    <oc r="R7">
      <f>Marcelo!CP7+Patrícia!CP7+Diego!CP7+Aelton!CP7+Leonam!CP7+Danilo!CP7+Marcos!CP7+Carlos!CP7</f>
    </oc>
    <nc r="R7">
      <f>Marcelo!CP7+Patrícia!CP7+Diego!CP7+Aelton!CP7+Leonam!CP7+Danilo!CP7+Marcos!CP7+Carlos!CP7+Alessandro!S7</f>
    </nc>
    <ndxf>
      <fill>
        <patternFill patternType="solid">
          <bgColor rgb="FFFFFF00"/>
        </patternFill>
      </fill>
    </ndxf>
  </rcc>
  <rcc rId="1387" sId="3">
    <oc r="R8">
      <f>Marcelo!CP8+Patrícia!CP8+Diego!CP8+Aelton!CP8+Leonam!CP8+Danilo!CP8+Marcos!CP8+Carlos!CP8</f>
    </oc>
    <nc r="R8">
      <f>Marcelo!CP8+Patrícia!CP8+Diego!CP8+Aelton!CP8+Leonam!CP8+Danilo!CP8+Marcos!CP8+Carlos!CP8+Alessandro!S8</f>
    </nc>
  </rcc>
  <rcc rId="1388" sId="3" odxf="1" dxf="1">
    <oc r="R9">
      <f>Marcelo!CP9+Patrícia!CP9+Diego!CP9+Aelton!CP9+Leonam!CP9+Danilo!CP9+Marcos!CP9+Carlos!CP9</f>
    </oc>
    <nc r="R9">
      <f>Marcelo!CP9+Patrícia!CP9+Diego!CP9+Aelton!CP9+Leonam!CP9+Danilo!CP9+Marcos!CP9+Carlos!CP9+Alessandro!S9</f>
    </nc>
    <odxf>
      <fill>
        <patternFill patternType="none">
          <bgColor indexed="65"/>
        </patternFill>
      </fill>
    </odxf>
    <ndxf>
      <fill>
        <patternFill patternType="solid">
          <bgColor rgb="FFFFFF00"/>
        </patternFill>
      </fill>
    </ndxf>
  </rcc>
  <rcc rId="1389" sId="3">
    <oc r="R10">
      <f>Marcelo!CP10+Patrícia!CP10+Diego!CP10+Aelton!CP10+Leonam!CP10+Danilo!CP10+Marcos!CP10+Carlos!CP10</f>
    </oc>
    <nc r="R10">
      <f>Marcelo!CP10+Patrícia!CP10+Diego!CP10+Aelton!CP10+Leonam!CP10+Danilo!CP10+Marcos!CP10+Carlos!CP10+Alessandro!S10</f>
    </nc>
  </rcc>
  <rcc rId="1390" sId="3" odxf="1" dxf="1">
    <oc r="R11">
      <f>Marcelo!CP11+Patrícia!CP11+Diego!CP11+Aelton!CP11+Leonam!CP11+Danilo!CP11+Marcos!CP11+Carlos!CP11</f>
    </oc>
    <nc r="R11">
      <f>Marcelo!CP11+Patrícia!CP11+Diego!CP11+Aelton!CP11+Leonam!CP11+Danilo!CP11+Marcos!CP11+Carlos!CP11+Alessandro!S11</f>
    </nc>
    <odxf>
      <fill>
        <patternFill patternType="none">
          <bgColor indexed="65"/>
        </patternFill>
      </fill>
    </odxf>
    <ndxf>
      <fill>
        <patternFill patternType="solid">
          <bgColor rgb="FFFFFF00"/>
        </patternFill>
      </fill>
    </ndxf>
  </rcc>
  <rcc rId="1391" sId="3">
    <oc r="R12">
      <f>Marcelo!CP12+Patrícia!CP12+Diego!CP12+Aelton!CP12+Leonam!CP12+Danilo!CP12+Marcos!CP12+Carlos!CP12</f>
    </oc>
    <nc r="R12">
      <f>Marcelo!CP12+Patrícia!CP12+Diego!CP12+Aelton!CP12+Leonam!CP12+Danilo!CP12+Marcos!CP12+Carlos!CP12+Alessandro!S12</f>
    </nc>
  </rcc>
  <rcc rId="1392" sId="3" odxf="1" dxf="1">
    <oc r="R13">
      <f>Marcelo!CP13+Patrícia!CP13+Diego!CP13+Aelton!CP13+Leonam!CP13+Danilo!CP13+Marcos!CP13+Carlos!CP13</f>
    </oc>
    <nc r="R13">
      <f>Marcelo!CP13+Patrícia!CP13+Diego!CP13+Aelton!CP13+Leonam!CP13+Danilo!CP13+Marcos!CP13+Carlos!CP13+Alessandro!S13</f>
    </nc>
    <odxf>
      <fill>
        <patternFill patternType="none">
          <bgColor indexed="65"/>
        </patternFill>
      </fill>
    </odxf>
    <ndxf>
      <fill>
        <patternFill patternType="solid">
          <bgColor rgb="FFFFFF00"/>
        </patternFill>
      </fill>
    </ndxf>
  </rcc>
  <rcc rId="1393" sId="3">
    <oc r="R14">
      <f>Marcelo!CP14+Patrícia!CP14+Diego!CP14+Aelton!CP14+Leonam!CP14+Danilo!CP14+Marcos!CP14+Carlos!CP14</f>
    </oc>
    <nc r="R14">
      <f>Marcelo!CP14+Patrícia!CP14+Diego!CP14+Aelton!CP14+Leonam!CP14+Danilo!CP14+Marcos!CP14+Carlos!CP14+Alessandro!S14</f>
    </nc>
  </rcc>
  <rcc rId="1394" sId="3" odxf="1" dxf="1">
    <oc r="R15">
      <f>Marcelo!CP15+Patrícia!CP15+Diego!CP15+Aelton!CP15+Leonam!CP15+Danilo!CP15+Marcos!CP15+Carlos!CP15</f>
    </oc>
    <nc r="R15">
      <f>Marcelo!CP15+Patrícia!CP15+Diego!CP15+Aelton!CP15+Leonam!CP15+Danilo!CP15+Marcos!CP15+Carlos!CP15+Alessandro!S15</f>
    </nc>
    <odxf>
      <fill>
        <patternFill patternType="none">
          <bgColor indexed="65"/>
        </patternFill>
      </fill>
    </odxf>
    <ndxf>
      <fill>
        <patternFill patternType="solid">
          <bgColor rgb="FFFFFF00"/>
        </patternFill>
      </fill>
    </ndxf>
  </rcc>
  <rcc rId="1395" sId="3">
    <oc r="R16">
      <f>Marcelo!CP16+Patrícia!CP16+Diego!CP16+Aelton!CP16+Leonam!CP16+Danilo!CP16+Marcos!CP16+Carlos!CP16</f>
    </oc>
    <nc r="R16">
      <f>Marcelo!CP16+Patrícia!CP16+Diego!CP16+Aelton!CP16+Leonam!CP16+Danilo!CP16+Marcos!CP16+Carlos!CP16+Alessandro!S16</f>
    </nc>
  </rcc>
  <rcc rId="1396" sId="3">
    <oc r="S2">
      <f>Marcelo!CV2+Patrícia!CV2+Diego!CV2+Aelton!CV2+Leonam!CV2+Danilo!CV2+Marcos!CV2+Carlos!CV2+Alessandro!AE2</f>
    </oc>
    <nc r="S2">
      <f>Marcelo!CV2+Patrícia!CV2+Diego!CV2+Aelton!CV2+Leonam!CV2+Danilo!CV2+Marcos!CV2+Carlos!CV2+Alessandro!Y2</f>
    </nc>
  </rcc>
  <rcc rId="1397" sId="3" odxf="1" dxf="1">
    <oc r="S3">
      <f>Marcelo!CV3+Patrícia!CV3+Diego!CV3+Aelton!CV3+Leonam!CV3+Danilo!CV3+Marcos!CV3+Carlos!CV3+Alessandro!AE3</f>
    </oc>
    <nc r="S3">
      <f>Marcelo!CV3+Patrícia!CV3+Diego!CV3+Aelton!CV3+Leonam!CV3+Danilo!CV3+Marcos!CV3+Carlos!CV3+Alessandro!Y3</f>
    </nc>
    <odxf>
      <fill>
        <patternFill patternType="none">
          <bgColor indexed="65"/>
        </patternFill>
      </fill>
    </odxf>
    <ndxf>
      <fill>
        <patternFill patternType="solid">
          <bgColor rgb="FFFFFF00"/>
        </patternFill>
      </fill>
    </ndxf>
  </rcc>
  <rcc rId="1398" sId="3">
    <oc r="S4">
      <f>Marcelo!CV4+Patrícia!CV4+Diego!CV4+Aelton!CV4+Leonam!CV4+Danilo!CV4+Marcos!CV4+Carlos!CV4+Alessandro!AE4</f>
    </oc>
    <nc r="S4">
      <f>Marcelo!CV4+Patrícia!CV4+Diego!CV4+Aelton!CV4+Leonam!CV4+Danilo!CV4+Marcos!CV4+Carlos!CV4+Alessandro!Y4</f>
    </nc>
  </rcc>
  <rcc rId="1399" sId="3" odxf="1" dxf="1">
    <oc r="S5">
      <f>Marcelo!CV5+Patrícia!CV5+Diego!CV5+Aelton!CV5+Leonam!CV5+Danilo!CV5+Marcos!CV5+Carlos!CV5+Alessandro!AE5</f>
    </oc>
    <nc r="S5">
      <f>Marcelo!CV5+Patrícia!CV5+Diego!CV5+Aelton!CV5+Leonam!CV5+Danilo!CV5+Marcos!CV5+Carlos!CV5+Alessandro!Y5</f>
    </nc>
    <odxf>
      <fill>
        <patternFill patternType="none">
          <bgColor indexed="65"/>
        </patternFill>
      </fill>
    </odxf>
    <ndxf>
      <fill>
        <patternFill patternType="solid">
          <bgColor rgb="FFFFFF00"/>
        </patternFill>
      </fill>
    </ndxf>
  </rcc>
  <rcc rId="1400" sId="3">
    <oc r="S6">
      <f>Marcelo!CV6+Patrícia!CV6+Diego!CV6+Aelton!CV6+Leonam!CV6+Danilo!CV6+Marcos!CV6+Carlos!CV6+Alessandro!AE6</f>
    </oc>
    <nc r="S6">
      <f>Marcelo!CV6+Patrícia!CV6+Diego!CV6+Aelton!CV6+Leonam!CV6+Danilo!CV6+Marcos!CV6+Carlos!CV6+Alessandro!Y6</f>
    </nc>
  </rcc>
  <rcc rId="1401" sId="3" odxf="1" dxf="1">
    <oc r="S7">
      <f>Marcelo!CV7+Patrícia!CV7+Diego!CV7+Aelton!CV7+Leonam!CV7+Danilo!CV7+Marcos!CV7+Carlos!CV7+Alessandro!AE7</f>
    </oc>
    <nc r="S7">
      <f>Marcelo!CV7+Patrícia!CV7+Diego!CV7+Aelton!CV7+Leonam!CV7+Danilo!CV7+Marcos!CV7+Carlos!CV7+Alessandro!Y7</f>
    </nc>
    <odxf>
      <fill>
        <patternFill patternType="none">
          <bgColor indexed="65"/>
        </patternFill>
      </fill>
    </odxf>
    <ndxf>
      <fill>
        <patternFill patternType="solid">
          <bgColor rgb="FFFFFF00"/>
        </patternFill>
      </fill>
    </ndxf>
  </rcc>
  <rcc rId="1402" sId="3">
    <oc r="S8">
      <f>Marcelo!CV8+Patrícia!CV8+Diego!CV8+Aelton!CV8+Leonam!CV8+Danilo!CV8+Marcos!CV8+Carlos!CV8+Alessandro!AE8</f>
    </oc>
    <nc r="S8">
      <f>Marcelo!CV8+Patrícia!CV8+Diego!CV8+Aelton!CV8+Leonam!CV8+Danilo!CV8+Marcos!CV8+Carlos!CV8+Alessandro!Y8</f>
    </nc>
  </rcc>
  <rcc rId="1403" sId="3" odxf="1" dxf="1">
    <oc r="S9">
      <f>Marcelo!CV9+Patrícia!CV9+Diego!CV9+Aelton!CV9+Leonam!CV9+Danilo!CV9+Marcos!CV9+Carlos!CV9+Alessandro!AE9</f>
    </oc>
    <nc r="S9">
      <f>Marcelo!CV9+Patrícia!CV9+Diego!CV9+Aelton!CV9+Leonam!CV9+Danilo!CV9+Marcos!CV9+Carlos!CV9+Alessandro!Y9</f>
    </nc>
    <odxf>
      <fill>
        <patternFill patternType="none">
          <bgColor indexed="65"/>
        </patternFill>
      </fill>
    </odxf>
    <ndxf>
      <fill>
        <patternFill patternType="solid">
          <bgColor rgb="FFFFFF00"/>
        </patternFill>
      </fill>
    </ndxf>
  </rcc>
  <rcc rId="1404" sId="3">
    <oc r="S10">
      <f>Marcelo!CV10+Patrícia!CV10+Diego!CV10+Aelton!CV10+Leonam!CV10+Danilo!CV10+Marcos!CV10+Carlos!CV10+Alessandro!AE10</f>
    </oc>
    <nc r="S10">
      <f>Marcelo!CV10+Patrícia!CV10+Diego!CV10+Aelton!CV10+Leonam!CV10+Danilo!CV10+Marcos!CV10+Carlos!CV10+Alessandro!Y10</f>
    </nc>
  </rcc>
  <rcc rId="1405" sId="3" odxf="1" dxf="1">
    <oc r="S11">
      <f>Marcelo!CV11+Patrícia!CV11+Diego!CV11+Aelton!CV11+Leonam!CV11+Danilo!CV11+Marcos!CV11+Carlos!CV11+Alessandro!AE11</f>
    </oc>
    <nc r="S11">
      <f>Marcelo!CV11+Patrícia!CV11+Diego!CV11+Aelton!CV11+Leonam!CV11+Danilo!CV11+Marcos!CV11+Carlos!CV11+Alessandro!Y11</f>
    </nc>
    <odxf>
      <fill>
        <patternFill patternType="none">
          <bgColor indexed="65"/>
        </patternFill>
      </fill>
    </odxf>
    <ndxf>
      <fill>
        <patternFill patternType="solid">
          <bgColor rgb="FFFFFF00"/>
        </patternFill>
      </fill>
    </ndxf>
  </rcc>
  <rcc rId="1406" sId="3">
    <oc r="S12">
      <f>Marcelo!CV12+Patrícia!CV12+Diego!CV12+Aelton!CV12+Leonam!CV12+Danilo!CV12+Marcos!CV12+Carlos!CV12+Alessandro!AE12</f>
    </oc>
    <nc r="S12">
      <f>Marcelo!CV12+Patrícia!CV12+Diego!CV12+Aelton!CV12+Leonam!CV12+Danilo!CV12+Marcos!CV12+Carlos!CV12+Alessandro!Y12</f>
    </nc>
  </rcc>
  <rcc rId="1407" sId="3" odxf="1" dxf="1">
    <oc r="S13">
      <f>Marcelo!CV13+Patrícia!CV13+Diego!CV13+Aelton!CV13+Leonam!CV13+Danilo!CV13+Marcos!CV13+Carlos!CV13+Alessandro!AE13</f>
    </oc>
    <nc r="S13">
      <f>Marcelo!CV13+Patrícia!CV13+Diego!CV13+Aelton!CV13+Leonam!CV13+Danilo!CV13+Marcos!CV13+Carlos!CV13+Alessandro!Y13</f>
    </nc>
    <odxf>
      <fill>
        <patternFill patternType="none">
          <bgColor indexed="65"/>
        </patternFill>
      </fill>
    </odxf>
    <ndxf>
      <fill>
        <patternFill patternType="solid">
          <bgColor rgb="FFFFFF00"/>
        </patternFill>
      </fill>
    </ndxf>
  </rcc>
  <rcc rId="1408" sId="3">
    <oc r="S14">
      <f>Marcelo!CV14+Patrícia!CV14+Diego!CV14+Aelton!CV14+Leonam!CV14+Danilo!CV14+Marcos!CV14+Carlos!CV14+Alessandro!AE14</f>
    </oc>
    <nc r="S14">
      <f>Marcelo!CV14+Patrícia!CV14+Diego!CV14+Aelton!CV14+Leonam!CV14+Danilo!CV14+Marcos!CV14+Carlos!CV14+Alessandro!Y14</f>
    </nc>
  </rcc>
  <rcc rId="1409" sId="3" odxf="1" dxf="1">
    <oc r="S15">
      <f>Marcelo!CV15+Patrícia!CV15+Diego!CV15+Aelton!CV15+Leonam!CV15+Danilo!CV15+Marcos!CV15+Carlos!CV15+Alessandro!AE15</f>
    </oc>
    <nc r="S15">
      <f>Marcelo!CV15+Patrícia!CV15+Diego!CV15+Aelton!CV15+Leonam!CV15+Danilo!CV15+Marcos!CV15+Carlos!CV15+Alessandro!Y15</f>
    </nc>
    <odxf>
      <fill>
        <patternFill patternType="none">
          <bgColor indexed="65"/>
        </patternFill>
      </fill>
    </odxf>
    <ndxf>
      <fill>
        <patternFill patternType="solid">
          <bgColor rgb="FFFFFF00"/>
        </patternFill>
      </fill>
    </ndxf>
  </rcc>
  <rcc rId="1410" sId="3">
    <oc r="S16">
      <f>Marcelo!CV16+Patrícia!CV16+Diego!CV16+Aelton!CV16+Leonam!CV16+Danilo!CV16+Marcos!CV16+Carlos!CV16+Alessandro!AE16</f>
    </oc>
    <nc r="S16">
      <f>Marcelo!CV16+Patrícia!CV16+Diego!CV16+Aelton!CV16+Leonam!CV16+Danilo!CV16+Marcos!CV16+Carlos!CV16+Alessandro!Y16</f>
    </nc>
  </rcc>
  <rcc rId="1411" sId="3">
    <oc r="T2">
      <f>Marcelo!DB2+Patrícia!DB2+Diego!DB2+Aelton!DB2+Leonam!DB2+Danilo!DB2+Marcos!DB2+Carlos!DB2</f>
    </oc>
    <nc r="T2">
      <f>Marcelo!DB2+Patrícia!DB2+Diego!DB2+Aelton!DB2+Leonam!DB2+Danilo!DB2+Marcos!DB2+Carlos!DB2+Alessandro!AE2</f>
    </nc>
  </rcc>
  <rcc rId="1412" sId="3" odxf="1" dxf="1">
    <oc r="T3">
      <f>Marcelo!DB3+Patrícia!DB3+Diego!DB3+Aelton!DB3+Leonam!DB3+Danilo!DB3+Marcos!DB3+Carlos!DB3</f>
    </oc>
    <nc r="T3">
      <f>Marcelo!DB3+Patrícia!DB3+Diego!DB3+Aelton!DB3+Leonam!DB3+Danilo!DB3+Marcos!DB3+Carlos!DB3+Alessandro!AE3</f>
    </nc>
    <odxf>
      <fill>
        <patternFill patternType="none">
          <bgColor indexed="65"/>
        </patternFill>
      </fill>
    </odxf>
    <ndxf>
      <fill>
        <patternFill patternType="solid">
          <bgColor rgb="FFFFFF00"/>
        </patternFill>
      </fill>
    </ndxf>
  </rcc>
  <rcc rId="1413" sId="3">
    <oc r="T4">
      <f>Marcelo!DB4+Patrícia!DB4+Diego!DB4+Aelton!DB4+Leonam!DB4+Danilo!DB4+Marcos!DB4+Carlos!DB4</f>
    </oc>
    <nc r="T4">
      <f>Marcelo!DB4+Patrícia!DB4+Diego!DB4+Aelton!DB4+Leonam!DB4+Danilo!DB4+Marcos!DB4+Carlos!DB4+Alessandro!AE4</f>
    </nc>
  </rcc>
  <rcc rId="1414" sId="3" odxf="1" dxf="1">
    <oc r="T5">
      <f>Marcelo!DB5+Patrícia!DB5+Diego!DB5+Aelton!DB5+Leonam!DB5+Danilo!DB5+Marcos!DB5+Carlos!DB5</f>
    </oc>
    <nc r="T5">
      <f>Marcelo!DB5+Patrícia!DB5+Diego!DB5+Aelton!DB5+Leonam!DB5+Danilo!DB5+Marcos!DB5+Carlos!DB5+Alessandro!AE5</f>
    </nc>
    <odxf>
      <fill>
        <patternFill patternType="none">
          <bgColor indexed="65"/>
        </patternFill>
      </fill>
    </odxf>
    <ndxf>
      <fill>
        <patternFill patternType="solid">
          <bgColor rgb="FFFFFF00"/>
        </patternFill>
      </fill>
    </ndxf>
  </rcc>
  <rcc rId="1415" sId="3">
    <oc r="T6">
      <f>Marcelo!DB6+Patrícia!DB6+Diego!DB6+Aelton!DB6+Leonam!DB6+Danilo!DB6+Marcos!DB6+Carlos!DB6</f>
    </oc>
    <nc r="T6">
      <f>Marcelo!DB6+Patrícia!DB6+Diego!DB6+Aelton!DB6+Leonam!DB6+Danilo!DB6+Marcos!DB6+Carlos!DB6+Alessandro!AE6</f>
    </nc>
  </rcc>
  <rcc rId="1416" sId="3" odxf="1" dxf="1">
    <oc r="T7">
      <f>Marcelo!DB7+Patrícia!DB7+Diego!DB7+Aelton!DB7+Leonam!DB7+Danilo!DB7+Marcos!DB7+Carlos!DB7</f>
    </oc>
    <nc r="T7">
      <f>Marcelo!DB7+Patrícia!DB7+Diego!DB7+Aelton!DB7+Leonam!DB7+Danilo!DB7+Marcos!DB7+Carlos!DB7+Alessandro!AE7</f>
    </nc>
    <odxf>
      <fill>
        <patternFill patternType="none">
          <bgColor indexed="65"/>
        </patternFill>
      </fill>
    </odxf>
    <ndxf>
      <fill>
        <patternFill patternType="solid">
          <bgColor rgb="FFFFFF00"/>
        </patternFill>
      </fill>
    </ndxf>
  </rcc>
  <rcc rId="1417" sId="3">
    <oc r="T8">
      <f>Marcelo!DB8+Patrícia!DB8+Diego!DB8+Aelton!DB8+Leonam!DB8+Danilo!DB8+Marcos!DB8+Carlos!DB8</f>
    </oc>
    <nc r="T8">
      <f>Marcelo!DB8+Patrícia!DB8+Diego!DB8+Aelton!DB8+Leonam!DB8+Danilo!DB8+Marcos!DB8+Carlos!DB8+Alessandro!AE8</f>
    </nc>
  </rcc>
  <rcc rId="1418" sId="3" odxf="1" dxf="1">
    <oc r="T9">
      <f>Marcelo!DB9+Patrícia!DB9+Diego!DB9+Aelton!DB9+Leonam!DB9+Danilo!DB9+Marcos!DB9+Carlos!DB9</f>
    </oc>
    <nc r="T9">
      <f>Marcelo!DB9+Patrícia!DB9+Diego!DB9+Aelton!DB9+Leonam!DB9+Danilo!DB9+Marcos!DB9+Carlos!DB9+Alessandro!AE9</f>
    </nc>
    <odxf>
      <fill>
        <patternFill patternType="none">
          <bgColor indexed="65"/>
        </patternFill>
      </fill>
    </odxf>
    <ndxf>
      <fill>
        <patternFill patternType="solid">
          <bgColor rgb="FFFFFF00"/>
        </patternFill>
      </fill>
    </ndxf>
  </rcc>
  <rcc rId="1419" sId="3">
    <oc r="T10">
      <f>Marcelo!DB10+Patrícia!DB10+Diego!DB10+Aelton!DB10+Leonam!DB10+Danilo!DB10+Marcos!DB10+Carlos!DB10</f>
    </oc>
    <nc r="T10">
      <f>Marcelo!DB10+Patrícia!DB10+Diego!DB10+Aelton!DB10+Leonam!DB10+Danilo!DB10+Marcos!DB10+Carlos!DB10+Alessandro!AE10</f>
    </nc>
  </rcc>
  <rcc rId="1420" sId="3" odxf="1" dxf="1">
    <oc r="T11">
      <f>Marcelo!DB11+Patrícia!DB11+Diego!DB11+Aelton!DB11+Leonam!DB11+Danilo!DB11+Marcos!DB11+Carlos!DB11</f>
    </oc>
    <nc r="T11">
      <f>Marcelo!DB11+Patrícia!DB11+Diego!DB11+Aelton!DB11+Leonam!DB11+Danilo!DB11+Marcos!DB11+Carlos!DB11+Alessandro!AE11</f>
    </nc>
    <odxf>
      <fill>
        <patternFill patternType="none">
          <bgColor indexed="65"/>
        </patternFill>
      </fill>
    </odxf>
    <ndxf>
      <fill>
        <patternFill patternType="solid">
          <bgColor rgb="FFFFFF00"/>
        </patternFill>
      </fill>
    </ndxf>
  </rcc>
  <rcc rId="1421" sId="3">
    <oc r="T12">
      <f>Marcelo!DB12+Patrícia!DB12+Diego!DB12+Aelton!DB12+Leonam!DB12+Danilo!DB12+Marcos!DB12+Carlos!DB12</f>
    </oc>
    <nc r="T12">
      <f>Marcelo!DB12+Patrícia!DB12+Diego!DB12+Aelton!DB12+Leonam!DB12+Danilo!DB12+Marcos!DB12+Carlos!DB12+Alessandro!AE12</f>
    </nc>
  </rcc>
  <rcc rId="1422" sId="3" odxf="1" dxf="1">
    <oc r="T13">
      <f>Marcelo!DB13+Patrícia!DB13+Diego!DB13+Aelton!DB13+Leonam!DB13+Danilo!DB13+Marcos!DB13+Carlos!DB13</f>
    </oc>
    <nc r="T13">
      <f>Marcelo!DB13+Patrícia!DB13+Diego!DB13+Aelton!DB13+Leonam!DB13+Danilo!DB13+Marcos!DB13+Carlos!DB13+Alessandro!AE13</f>
    </nc>
    <odxf>
      <fill>
        <patternFill patternType="none">
          <bgColor indexed="65"/>
        </patternFill>
      </fill>
    </odxf>
    <ndxf>
      <fill>
        <patternFill patternType="solid">
          <bgColor rgb="FFFFFF00"/>
        </patternFill>
      </fill>
    </ndxf>
  </rcc>
  <rcc rId="1423" sId="3">
    <oc r="T14">
      <f>Marcelo!DB14+Patrícia!DB14+Diego!DB14+Aelton!DB14+Leonam!DB14+Danilo!DB14+Marcos!DB14+Carlos!DB14</f>
    </oc>
    <nc r="T14">
      <f>Marcelo!DB14+Patrícia!DB14+Diego!DB14+Aelton!DB14+Leonam!DB14+Danilo!DB14+Marcos!DB14+Carlos!DB14+Alessandro!AE14</f>
    </nc>
  </rcc>
  <rcc rId="1424" sId="3" odxf="1" dxf="1">
    <oc r="T15">
      <f>Marcelo!DB15+Patrícia!DB15+Diego!DB15+Aelton!DB15+Leonam!DB15+Danilo!DB15+Marcos!DB15+Carlos!DB15</f>
    </oc>
    <nc r="T15">
      <f>Marcelo!DB15+Patrícia!DB15+Diego!DB15+Aelton!DB15+Leonam!DB15+Danilo!DB15+Marcos!DB15+Carlos!DB15+Alessandro!AE15</f>
    </nc>
    <odxf>
      <fill>
        <patternFill patternType="none">
          <bgColor indexed="65"/>
        </patternFill>
      </fill>
    </odxf>
    <ndxf>
      <fill>
        <patternFill patternType="solid">
          <bgColor rgb="FFFFFF00"/>
        </patternFill>
      </fill>
    </ndxf>
  </rcc>
  <rcc rId="1425" sId="3">
    <oc r="T16">
      <f>Marcelo!DB16+Patrícia!DB16+Diego!DB16+Aelton!DB16+Leonam!DB16+Danilo!DB16+Marcos!DB16+Carlos!DB16</f>
    </oc>
    <nc r="T16">
      <f>Marcelo!DB16+Patrícia!DB16+Diego!DB16+Aelton!DB16+Leonam!DB16+Danilo!DB16+Marcos!DB16+Carlos!DB16+Alessandro!AE16</f>
    </nc>
  </rcc>
  <rcc rId="1426" sId="3">
    <oc r="U2">
      <f>Marcelo!DH2+Patrícia!DH2+Diego!DH2+Aelton!DH2+Leonam!DH2+Danilo!DH2+Marcos!DH2+Carlos!DH2</f>
    </oc>
    <nc r="U2">
      <f>Marcelo!DH2+Patrícia!DH2+Diego!DH2+Aelton!DH2+Leonam!DH2+Danilo!DH2+Marcos!DH2+Carlos!DH2+Alessandro!AK2</f>
    </nc>
  </rcc>
  <rcc rId="1427" sId="3" odxf="1" dxf="1">
    <oc r="U3">
      <f>Marcelo!DH3+Patrícia!DH3+Diego!DH3+Aelton!DH3+Leonam!DH3+Danilo!DH3+Marcos!DH3+Carlos!DH3</f>
    </oc>
    <nc r="U3">
      <f>Marcelo!DH3+Patrícia!DH3+Diego!DH3+Aelton!DH3+Leonam!DH3+Danilo!DH3+Marcos!DH3+Carlos!DH3+Alessandro!AK3</f>
    </nc>
    <odxf>
      <fill>
        <patternFill patternType="none">
          <bgColor indexed="65"/>
        </patternFill>
      </fill>
    </odxf>
    <ndxf>
      <fill>
        <patternFill patternType="solid">
          <bgColor rgb="FFFFFF00"/>
        </patternFill>
      </fill>
    </ndxf>
  </rcc>
  <rcc rId="1428" sId="3">
    <oc r="U4">
      <f>Marcelo!DH4+Patrícia!DH4+Diego!DH4+Aelton!DH4+Leonam!DH4+Danilo!DH4+Marcos!DH4+Carlos!DH4</f>
    </oc>
    <nc r="U4">
      <f>Marcelo!DH4+Patrícia!DH4+Diego!DH4+Aelton!DH4+Leonam!DH4+Danilo!DH4+Marcos!DH4+Carlos!DH4+Alessandro!AK4</f>
    </nc>
  </rcc>
  <rcc rId="1429" sId="3" odxf="1" dxf="1">
    <oc r="U5">
      <f>Marcelo!DH5+Patrícia!DH5+Diego!DH5+Aelton!DH5+Leonam!DH5+Danilo!DH5+Marcos!DH5+Carlos!DH5</f>
    </oc>
    <nc r="U5">
      <f>Marcelo!DH5+Patrícia!DH5+Diego!DH5+Aelton!DH5+Leonam!DH5+Danilo!DH5+Marcos!DH5+Carlos!DH5+Alessandro!AK5</f>
    </nc>
    <odxf>
      <fill>
        <patternFill patternType="none">
          <bgColor indexed="65"/>
        </patternFill>
      </fill>
    </odxf>
    <ndxf>
      <fill>
        <patternFill patternType="solid">
          <bgColor rgb="FFFFFF00"/>
        </patternFill>
      </fill>
    </ndxf>
  </rcc>
  <rcc rId="1430" sId="3">
    <oc r="U6">
      <f>Marcelo!DH6+Patrícia!DH6+Diego!DH6+Aelton!DH6+Leonam!DH6+Danilo!DH6+Marcos!DH6+Carlos!DH6</f>
    </oc>
    <nc r="U6">
      <f>Marcelo!DH6+Patrícia!DH6+Diego!DH6+Aelton!DH6+Leonam!DH6+Danilo!DH6+Marcos!DH6+Carlos!DH6+Alessandro!AK6</f>
    </nc>
  </rcc>
  <rcc rId="1431" sId="3" odxf="1" dxf="1">
    <oc r="U7">
      <f>Marcelo!DH7+Patrícia!DH7+Diego!DH7+Aelton!DH7+Leonam!DH7+Danilo!DH7+Marcos!DH7+Carlos!DH7</f>
    </oc>
    <nc r="U7">
      <f>Marcelo!DH7+Patrícia!DH7+Diego!DH7+Aelton!DH7+Leonam!DH7+Danilo!DH7+Marcos!DH7+Carlos!DH7+Alessandro!AK7</f>
    </nc>
    <odxf>
      <fill>
        <patternFill patternType="none">
          <bgColor indexed="65"/>
        </patternFill>
      </fill>
    </odxf>
    <ndxf>
      <fill>
        <patternFill patternType="solid">
          <bgColor rgb="FFFFFF00"/>
        </patternFill>
      </fill>
    </ndxf>
  </rcc>
  <rcc rId="1432" sId="3">
    <oc r="U8">
      <f>Marcelo!DH8+Patrícia!DH8+Diego!DH8+Aelton!DH8+Leonam!DH8+Danilo!DH8+Marcos!DH8+Carlos!DH8</f>
    </oc>
    <nc r="U8">
      <f>Marcelo!DH8+Patrícia!DH8+Diego!DH8+Aelton!DH8+Leonam!DH8+Danilo!DH8+Marcos!DH8+Carlos!DH8+Alessandro!AK8</f>
    </nc>
  </rcc>
  <rcc rId="1433" sId="3" odxf="1" dxf="1">
    <oc r="U9">
      <f>Marcelo!DH9+Patrícia!DH9+Diego!DH9+Aelton!DH9+Leonam!DH9+Danilo!DH9+Marcos!DH9+Carlos!DH9</f>
    </oc>
    <nc r="U9">
      <f>Marcelo!DH9+Patrícia!DH9+Diego!DH9+Aelton!DH9+Leonam!DH9+Danilo!DH9+Marcos!DH9+Carlos!DH9+Alessandro!AK9</f>
    </nc>
    <odxf>
      <fill>
        <patternFill patternType="none">
          <bgColor indexed="65"/>
        </patternFill>
      </fill>
    </odxf>
    <ndxf>
      <fill>
        <patternFill patternType="solid">
          <bgColor rgb="FFFFFF00"/>
        </patternFill>
      </fill>
    </ndxf>
  </rcc>
  <rcc rId="1434" sId="3">
    <oc r="U10">
      <f>Marcelo!DH10+Patrícia!DH10+Diego!DH10+Aelton!DH10+Leonam!DH10+Danilo!DH10+Marcos!DH10+Carlos!DH10</f>
    </oc>
    <nc r="U10">
      <f>Marcelo!DH10+Patrícia!DH10+Diego!DH10+Aelton!DH10+Leonam!DH10+Danilo!DH10+Marcos!DH10+Carlos!DH10+Alessandro!AK10</f>
    </nc>
  </rcc>
  <rcc rId="1435" sId="3" odxf="1" dxf="1">
    <oc r="U11">
      <f>Marcelo!DH11+Patrícia!DH11+Diego!DH11+Aelton!DH11+Leonam!DH11+Danilo!DH11+Marcos!DH11+Carlos!DH11</f>
    </oc>
    <nc r="U11">
      <f>Marcelo!DH11+Patrícia!DH11+Diego!DH11+Aelton!DH11+Leonam!DH11+Danilo!DH11+Marcos!DH11+Carlos!DH11+Alessandro!AK11</f>
    </nc>
    <odxf>
      <fill>
        <patternFill patternType="none">
          <bgColor indexed="65"/>
        </patternFill>
      </fill>
    </odxf>
    <ndxf>
      <fill>
        <patternFill patternType="solid">
          <bgColor rgb="FFFFFF00"/>
        </patternFill>
      </fill>
    </ndxf>
  </rcc>
  <rcc rId="1436" sId="3">
    <oc r="U12">
      <f>Marcelo!DH12+Patrícia!DH12+Diego!DH12+Aelton!DH12+Leonam!DH12+Danilo!DH12+Marcos!DH12+Carlos!DH12</f>
    </oc>
    <nc r="U12">
      <f>Marcelo!DH12+Patrícia!DH12+Diego!DH12+Aelton!DH12+Leonam!DH12+Danilo!DH12+Marcos!DH12+Carlos!DH12+Alessandro!AK12</f>
    </nc>
  </rcc>
  <rcc rId="1437" sId="3" odxf="1" dxf="1">
    <oc r="U13">
      <f>Marcelo!DH13+Patrícia!DH13+Diego!DH13+Aelton!DH13+Leonam!DH13+Danilo!DH13+Marcos!DH13+Carlos!DH13</f>
    </oc>
    <nc r="U13">
      <f>Marcelo!DH13+Patrícia!DH13+Diego!DH13+Aelton!DH13+Leonam!DH13+Danilo!DH13+Marcos!DH13+Carlos!DH13+Alessandro!AK13</f>
    </nc>
    <odxf>
      <fill>
        <patternFill patternType="none">
          <bgColor indexed="65"/>
        </patternFill>
      </fill>
    </odxf>
    <ndxf>
      <fill>
        <patternFill patternType="solid">
          <bgColor rgb="FFFFFF00"/>
        </patternFill>
      </fill>
    </ndxf>
  </rcc>
  <rcc rId="1438" sId="3">
    <oc r="U14">
      <f>Marcelo!DH14+Patrícia!DH14+Diego!DH14+Aelton!DH14+Leonam!DH14+Danilo!DH14+Marcos!DH14+Carlos!DH14</f>
    </oc>
    <nc r="U14">
      <f>Marcelo!DH14+Patrícia!DH14+Diego!DH14+Aelton!DH14+Leonam!DH14+Danilo!DH14+Marcos!DH14+Carlos!DH14+Alessandro!AK14</f>
    </nc>
  </rcc>
  <rcc rId="1439" sId="3" odxf="1" dxf="1">
    <oc r="U15">
      <f>Marcelo!DH15+Patrícia!DH15+Diego!DH15+Aelton!DH15+Leonam!DH15+Danilo!DH15+Marcos!DH15+Carlos!DH15</f>
    </oc>
    <nc r="U15">
      <f>Marcelo!DH15+Patrícia!DH15+Diego!DH15+Aelton!DH15+Leonam!DH15+Danilo!DH15+Marcos!DH15+Carlos!DH15+Alessandro!AK15</f>
    </nc>
    <odxf>
      <fill>
        <patternFill patternType="none">
          <bgColor indexed="65"/>
        </patternFill>
      </fill>
    </odxf>
    <ndxf>
      <fill>
        <patternFill patternType="solid">
          <bgColor rgb="FFFFFF00"/>
        </patternFill>
      </fill>
    </ndxf>
  </rcc>
  <rcc rId="1440" sId="3">
    <oc r="U16">
      <f>Marcelo!DH16+Patrícia!DH16+Diego!DH16+Aelton!DH16+Leonam!DH16+Danilo!DH16+Marcos!DH16+Carlos!DH16</f>
    </oc>
    <nc r="U16">
      <f>Marcelo!DH16+Patrícia!DH16+Diego!DH16+Aelton!DH16+Leonam!DH16+Danilo!DH16+Marcos!DH16+Carlos!DH16+Alessandro!AK16</f>
    </nc>
  </rc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1" sId="3">
    <oc r="V2">
      <f>Marcelo!DN2+Patrícia!DN2+Diego!DN2+Aelton!DN2+Leonam!DN2+Danilo!DN2+Marcos!DN2+Carlos!DN2</f>
    </oc>
    <nc r="V2">
      <f>Marcelo!DN2+Patrícia!DN2+Diego!DN2+Aelton!DN2+Leonam!DN2+Danilo!DN2+Marcos!DN2+Carlos!DN2+Alessandro!AQ2</f>
    </nc>
  </rcc>
  <rcc rId="1442" sId="3" odxf="1" dxf="1">
    <oc r="V3">
      <f>Marcelo!DN3+Patrícia!DN3+Diego!DN3+Aelton!DN3+Leonam!DN3+Danilo!DN3+Marcos!DN3+Carlos!DN3</f>
    </oc>
    <nc r="V3">
      <f>Marcelo!DN3+Patrícia!DN3+Diego!DN3+Aelton!DN3+Leonam!DN3+Danilo!DN3+Marcos!DN3+Carlos!DN3+Alessandro!AQ3</f>
    </nc>
    <odxf>
      <fill>
        <patternFill patternType="none">
          <bgColor indexed="65"/>
        </patternFill>
      </fill>
    </odxf>
    <ndxf>
      <fill>
        <patternFill patternType="solid">
          <bgColor rgb="FFFFFF00"/>
        </patternFill>
      </fill>
    </ndxf>
  </rcc>
  <rcc rId="1443" sId="3">
    <oc r="V4">
      <f>Marcelo!DN4+Patrícia!DN4+Diego!DN4+Aelton!DN4+Leonam!DN4+Danilo!DN4+Marcos!DN4+Carlos!DN4</f>
    </oc>
    <nc r="V4">
      <f>Marcelo!DN4+Patrícia!DN4+Diego!DN4+Aelton!DN4+Leonam!DN4+Danilo!DN4+Marcos!DN4+Carlos!DN4+Alessandro!AQ4</f>
    </nc>
  </rcc>
  <rcc rId="1444" sId="3" odxf="1" dxf="1">
    <oc r="V5">
      <f>Marcelo!DN5+Patrícia!DN5+Diego!DN5+Aelton!DN5+Leonam!DN5+Danilo!DN5+Marcos!DN5+Carlos!DN5</f>
    </oc>
    <nc r="V5">
      <f>Marcelo!DN5+Patrícia!DN5+Diego!DN5+Aelton!DN5+Leonam!DN5+Danilo!DN5+Marcos!DN5+Carlos!DN5+Alessandro!AQ5</f>
    </nc>
    <odxf>
      <fill>
        <patternFill patternType="none">
          <bgColor indexed="65"/>
        </patternFill>
      </fill>
    </odxf>
    <ndxf>
      <fill>
        <patternFill patternType="solid">
          <bgColor rgb="FFFFFF00"/>
        </patternFill>
      </fill>
    </ndxf>
  </rcc>
  <rcc rId="1445" sId="3">
    <oc r="V6">
      <f>Marcelo!DN6+Patrícia!DN6+Diego!DN6+Aelton!DN6+Leonam!DN6+Danilo!DN6+Marcos!DN6+Carlos!DN6</f>
    </oc>
    <nc r="V6">
      <f>Marcelo!DN6+Patrícia!DN6+Diego!DN6+Aelton!DN6+Leonam!DN6+Danilo!DN6+Marcos!DN6+Carlos!DN6+Alessandro!AQ6</f>
    </nc>
  </rcc>
  <rcc rId="1446" sId="3" odxf="1" dxf="1">
    <oc r="V7">
      <f>Marcelo!DN7+Patrícia!DN7+Diego!DN7+Aelton!DN7+Leonam!DN7+Danilo!DN7+Marcos!DN7+Carlos!DN7</f>
    </oc>
    <nc r="V7">
      <f>Marcelo!DN7+Patrícia!DN7+Diego!DN7+Aelton!DN7+Leonam!DN7+Danilo!DN7+Marcos!DN7+Carlos!DN7+Alessandro!AQ7</f>
    </nc>
    <odxf>
      <fill>
        <patternFill patternType="none">
          <bgColor indexed="65"/>
        </patternFill>
      </fill>
    </odxf>
    <ndxf>
      <fill>
        <patternFill patternType="solid">
          <bgColor rgb="FFFFFF00"/>
        </patternFill>
      </fill>
    </ndxf>
  </rcc>
  <rcc rId="1447" sId="3">
    <oc r="V8">
      <f>Marcelo!DN8+Patrícia!DN8+Diego!DN8+Aelton!DN8+Leonam!DN8+Danilo!DN8+Marcos!DN8+Carlos!DN8</f>
    </oc>
    <nc r="V8">
      <f>Marcelo!DN8+Patrícia!DN8+Diego!DN8+Aelton!DN8+Leonam!DN8+Danilo!DN8+Marcos!DN8+Carlos!DN8+Alessandro!AQ8</f>
    </nc>
  </rcc>
  <rcc rId="1448" sId="3" odxf="1" dxf="1">
    <oc r="V9">
      <f>Marcelo!DN9+Patrícia!DN9+Diego!DN9+Aelton!DN9+Leonam!DN9+Danilo!DN9+Marcos!DN9+Carlos!DN9</f>
    </oc>
    <nc r="V9">
      <f>Marcelo!DN9+Patrícia!DN9+Diego!DN9+Aelton!DN9+Leonam!DN9+Danilo!DN9+Marcos!DN9+Carlos!DN9+Alessandro!AQ9</f>
    </nc>
    <odxf>
      <fill>
        <patternFill patternType="none">
          <bgColor indexed="65"/>
        </patternFill>
      </fill>
    </odxf>
    <ndxf>
      <fill>
        <patternFill patternType="solid">
          <bgColor rgb="FFFFFF00"/>
        </patternFill>
      </fill>
    </ndxf>
  </rcc>
  <rcc rId="1449" sId="3">
    <oc r="V10">
      <f>Marcelo!DN10+Patrícia!DN10+Diego!DN10+Aelton!DN10+Leonam!DN10+Danilo!DN10+Marcos!DN10+Carlos!DN10</f>
    </oc>
    <nc r="V10">
      <f>Marcelo!DN10+Patrícia!DN10+Diego!DN10+Aelton!DN10+Leonam!DN10+Danilo!DN10+Marcos!DN10+Carlos!DN10+Alessandro!AQ10</f>
    </nc>
  </rcc>
  <rcc rId="1450" sId="3" odxf="1" dxf="1">
    <oc r="V11">
      <f>Marcelo!DN11+Patrícia!DN11+Diego!DN11+Aelton!DN11+Leonam!DN11+Danilo!DN11+Marcos!DN11+Carlos!DN11</f>
    </oc>
    <nc r="V11">
      <f>Marcelo!DN11+Patrícia!DN11+Diego!DN11+Aelton!DN11+Leonam!DN11+Danilo!DN11+Marcos!DN11+Carlos!DN11+Alessandro!AQ11</f>
    </nc>
    <odxf>
      <fill>
        <patternFill patternType="none">
          <bgColor indexed="65"/>
        </patternFill>
      </fill>
    </odxf>
    <ndxf>
      <fill>
        <patternFill patternType="solid">
          <bgColor rgb="FFFFFF00"/>
        </patternFill>
      </fill>
    </ndxf>
  </rcc>
  <rcc rId="1451" sId="3">
    <oc r="V12">
      <f>Marcelo!DN12+Patrícia!DN12+Diego!DN12+Aelton!DN12+Leonam!DN12+Danilo!DN12+Marcos!DN12+Carlos!DN12</f>
    </oc>
    <nc r="V12">
      <f>Marcelo!DN12+Patrícia!DN12+Diego!DN12+Aelton!DN12+Leonam!DN12+Danilo!DN12+Marcos!DN12+Carlos!DN12+Alessandro!AQ12</f>
    </nc>
  </rcc>
  <rcc rId="1452" sId="3" odxf="1" dxf="1">
    <oc r="V13">
      <f>Marcelo!DN13+Patrícia!DN13+Diego!DN13+Aelton!DN13+Leonam!DN13+Danilo!DN13+Marcos!DN13+Carlos!DN13</f>
    </oc>
    <nc r="V13">
      <f>Marcelo!DN13+Patrícia!DN13+Diego!DN13+Aelton!DN13+Leonam!DN13+Danilo!DN13+Marcos!DN13+Carlos!DN13+Alessandro!AQ13</f>
    </nc>
    <odxf>
      <fill>
        <patternFill patternType="none">
          <bgColor indexed="65"/>
        </patternFill>
      </fill>
    </odxf>
    <ndxf>
      <fill>
        <patternFill patternType="solid">
          <bgColor rgb="FFFFFF00"/>
        </patternFill>
      </fill>
    </ndxf>
  </rcc>
  <rcc rId="1453" sId="3">
    <oc r="V14">
      <f>Marcelo!DN14+Patrícia!DN14+Diego!DN14+Aelton!DN14+Leonam!DN14+Danilo!DN14+Marcos!DN14+Carlos!DN14</f>
    </oc>
    <nc r="V14">
      <f>Marcelo!DN14+Patrícia!DN14+Diego!DN14+Aelton!DN14+Leonam!DN14+Danilo!DN14+Marcos!DN14+Carlos!DN14+Alessandro!AQ14</f>
    </nc>
  </rcc>
  <rcc rId="1454" sId="3" odxf="1" dxf="1">
    <oc r="V15">
      <f>Marcelo!DN15+Patrícia!DN15+Diego!DN15+Aelton!DN15+Leonam!DN15+Danilo!DN15+Marcos!DN15+Carlos!DN15</f>
    </oc>
    <nc r="V15">
      <f>Marcelo!DN15+Patrícia!DN15+Diego!DN15+Aelton!DN15+Leonam!DN15+Danilo!DN15+Marcos!DN15+Carlos!DN15+Alessandro!AQ15</f>
    </nc>
    <odxf>
      <fill>
        <patternFill patternType="none">
          <bgColor indexed="65"/>
        </patternFill>
      </fill>
    </odxf>
    <ndxf>
      <fill>
        <patternFill patternType="solid">
          <bgColor rgb="FFFFFF00"/>
        </patternFill>
      </fill>
    </ndxf>
  </rcc>
  <rcc rId="1455" sId="3">
    <oc r="V16">
      <f>Marcelo!DN16+Patrícia!DN16+Diego!DN16+Aelton!DN16+Leonam!DN16+Danilo!DN16+Marcos!DN16+Carlos!DN16</f>
    </oc>
    <nc r="V16">
      <f>Marcelo!DN16+Patrícia!DN16+Diego!DN16+Aelton!DN16+Leonam!DN16+Danilo!DN16+Marcos!DN16+Carlos!DN16+Alessandro!AQ16</f>
    </nc>
  </rc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6" sId="3">
    <oc r="W2">
      <f>Marcelo!DT2+Patrícia!DT2+Diego!DT2+Aelton!DT2+Leonam!DT2+Danilo!DT2+Marcos!DT2+Carlos!DT2</f>
    </oc>
    <nc r="W2">
      <f>Marcelo!DT2+Patrícia!DT2+Diego!DT2+Aelton!DT2+Leonam!DT2+Danilo!DT2+Marcos!DT2+Carlos!DT2+Alessandro!AW2</f>
    </nc>
  </rcc>
  <rcc rId="1457" sId="3" odxf="1" dxf="1">
    <oc r="W3">
      <f>Marcelo!DT3+Patrícia!DT3+Diego!DT3+Aelton!DT3+Leonam!DT3+Danilo!DT3+Marcos!DT3+Carlos!DT3</f>
    </oc>
    <nc r="W3">
      <f>Marcelo!DT3+Patrícia!DT3+Diego!DT3+Aelton!DT3+Leonam!DT3+Danilo!DT3+Marcos!DT3+Carlos!DT3+Alessandro!AW3</f>
    </nc>
    <odxf>
      <fill>
        <patternFill patternType="none">
          <bgColor indexed="65"/>
        </patternFill>
      </fill>
    </odxf>
    <ndxf>
      <fill>
        <patternFill patternType="solid">
          <bgColor rgb="FFFFFF00"/>
        </patternFill>
      </fill>
    </ndxf>
  </rcc>
  <rcc rId="1458" sId="3">
    <oc r="W4">
      <f>Marcelo!DT4+Patrícia!DT4+Diego!DT4+Aelton!DT4+Leonam!DT4+Danilo!DT4+Marcos!DT4+Carlos!DT4</f>
    </oc>
    <nc r="W4">
      <f>Marcelo!DT4+Patrícia!DT4+Diego!DT4+Aelton!DT4+Leonam!DT4+Danilo!DT4+Marcos!DT4+Carlos!DT4+Alessandro!AW4</f>
    </nc>
  </rcc>
  <rcc rId="1459" sId="3" odxf="1" dxf="1">
    <oc r="W5">
      <f>Marcelo!DT5+Patrícia!DT5+Diego!DT5+Aelton!DT5+Leonam!DT5+Danilo!DT5+Marcos!DT5+Carlos!DT5</f>
    </oc>
    <nc r="W5">
      <f>Marcelo!DT5+Patrícia!DT5+Diego!DT5+Aelton!DT5+Leonam!DT5+Danilo!DT5+Marcos!DT5+Carlos!DT5+Alessandro!AW5</f>
    </nc>
    <odxf>
      <fill>
        <patternFill patternType="none">
          <bgColor indexed="65"/>
        </patternFill>
      </fill>
    </odxf>
    <ndxf>
      <fill>
        <patternFill patternType="solid">
          <bgColor rgb="FFFFFF00"/>
        </patternFill>
      </fill>
    </ndxf>
  </rcc>
  <rcc rId="1460" sId="3">
    <oc r="W6">
      <f>Marcelo!DT6+Patrícia!DT6+Diego!DT6+Aelton!DT6+Leonam!DT6+Danilo!DT6+Marcos!DT6+Carlos!DT6</f>
    </oc>
    <nc r="W6">
      <f>Marcelo!DT6+Patrícia!DT6+Diego!DT6+Aelton!DT6+Leonam!DT6+Danilo!DT6+Marcos!DT6+Carlos!DT6+Alessandro!AW6</f>
    </nc>
  </rcc>
  <rcc rId="1461" sId="3" odxf="1" dxf="1">
    <oc r="W7">
      <f>Marcelo!DT7+Patrícia!DT7+Diego!DT7+Aelton!DT7+Leonam!DT7+Danilo!DT7+Marcos!DT7+Carlos!DT7</f>
    </oc>
    <nc r="W7">
      <f>Marcelo!DT7+Patrícia!DT7+Diego!DT7+Aelton!DT7+Leonam!DT7+Danilo!DT7+Marcos!DT7+Carlos!DT7+Alessandro!AW7</f>
    </nc>
    <odxf>
      <fill>
        <patternFill patternType="none">
          <bgColor indexed="65"/>
        </patternFill>
      </fill>
    </odxf>
    <ndxf>
      <fill>
        <patternFill patternType="solid">
          <bgColor rgb="FFFFFF00"/>
        </patternFill>
      </fill>
    </ndxf>
  </rcc>
  <rcc rId="1462" sId="3">
    <oc r="W8">
      <f>Marcelo!DT8+Patrícia!DT8+Diego!DT8+Aelton!DT8+Leonam!DT8+Danilo!DT8+Marcos!DT8+Carlos!DT8</f>
    </oc>
    <nc r="W8">
      <f>Marcelo!DT8+Patrícia!DT8+Diego!DT8+Aelton!DT8+Leonam!DT8+Danilo!DT8+Marcos!DT8+Carlos!DT8+Alessandro!AW8</f>
    </nc>
  </rcc>
  <rcc rId="1463" sId="3" odxf="1" dxf="1">
    <oc r="W9">
      <f>Marcelo!DT9+Patrícia!DT9+Diego!DT9+Aelton!DT9+Leonam!DT9+Danilo!DT9+Marcos!DT9+Carlos!DT9</f>
    </oc>
    <nc r="W9">
      <f>Marcelo!DT9+Patrícia!DT9+Diego!DT9+Aelton!DT9+Leonam!DT9+Danilo!DT9+Marcos!DT9+Carlos!DT9+Alessandro!AW9</f>
    </nc>
    <odxf>
      <fill>
        <patternFill patternType="none">
          <bgColor indexed="65"/>
        </patternFill>
      </fill>
    </odxf>
    <ndxf>
      <fill>
        <patternFill patternType="solid">
          <bgColor rgb="FFFFFF00"/>
        </patternFill>
      </fill>
    </ndxf>
  </rcc>
  <rcc rId="1464" sId="3">
    <oc r="W10">
      <f>Marcelo!DT10+Patrícia!DT10+Diego!DT10+Aelton!DT10+Leonam!DT10+Danilo!DT10+Marcos!DT10+Carlos!DT10</f>
    </oc>
    <nc r="W10">
      <f>Marcelo!DT10+Patrícia!DT10+Diego!DT10+Aelton!DT10+Leonam!DT10+Danilo!DT10+Marcos!DT10+Carlos!DT10+Alessandro!AW10</f>
    </nc>
  </rcc>
  <rcc rId="1465" sId="3" odxf="1" dxf="1">
    <oc r="W11">
      <f>Marcelo!DT11+Patrícia!DT11+Diego!DT11+Aelton!DT11+Leonam!DT11+Danilo!DT11+Marcos!DT11+Carlos!DT11</f>
    </oc>
    <nc r="W11">
      <f>Marcelo!DT11+Patrícia!DT11+Diego!DT11+Aelton!DT11+Leonam!DT11+Danilo!DT11+Marcos!DT11+Carlos!DT11+Alessandro!AW11</f>
    </nc>
    <odxf>
      <fill>
        <patternFill patternType="none">
          <bgColor indexed="65"/>
        </patternFill>
      </fill>
    </odxf>
    <ndxf>
      <fill>
        <patternFill patternType="solid">
          <bgColor rgb="FFFFFF00"/>
        </patternFill>
      </fill>
    </ndxf>
  </rcc>
  <rcc rId="1466" sId="3">
    <oc r="W12">
      <f>Marcelo!DT12+Patrícia!DT12+Diego!DT12+Aelton!DT12+Leonam!DT12+Danilo!DT12+Marcos!DT12+Carlos!DT12</f>
    </oc>
    <nc r="W12">
      <f>Marcelo!DT12+Patrícia!DT12+Diego!DT12+Aelton!DT12+Leonam!DT12+Danilo!DT12+Marcos!DT12+Carlos!DT12+Alessandro!AW12</f>
    </nc>
  </rcc>
  <rcc rId="1467" sId="3" odxf="1" dxf="1">
    <oc r="W13">
      <f>Marcelo!DT13+Patrícia!DT13+Diego!DT13+Aelton!DT13+Leonam!DT13+Danilo!DT13+Marcos!DT13+Carlos!DT13</f>
    </oc>
    <nc r="W13">
      <f>Marcelo!DT13+Patrícia!DT13+Diego!DT13+Aelton!DT13+Leonam!DT13+Danilo!DT13+Marcos!DT13+Carlos!DT13+Alessandro!AW13</f>
    </nc>
    <odxf>
      <fill>
        <patternFill patternType="none">
          <bgColor indexed="65"/>
        </patternFill>
      </fill>
    </odxf>
    <ndxf>
      <fill>
        <patternFill patternType="solid">
          <bgColor rgb="FFFFFF00"/>
        </patternFill>
      </fill>
    </ndxf>
  </rcc>
  <rcc rId="1468" sId="3">
    <oc r="W14">
      <f>Marcelo!DT14+Patrícia!DT14+Diego!DT14+Aelton!DT14+Leonam!DT14+Danilo!DT14+Marcos!DT14+Carlos!DT14</f>
    </oc>
    <nc r="W14">
      <f>Marcelo!DT14+Patrícia!DT14+Diego!DT14+Aelton!DT14+Leonam!DT14+Danilo!DT14+Marcos!DT14+Carlos!DT14+Alessandro!AW14</f>
    </nc>
  </rcc>
  <rcc rId="1469" sId="3" odxf="1" dxf="1">
    <oc r="W15">
      <f>Marcelo!DT15+Patrícia!DT15+Diego!DT15+Aelton!DT15+Leonam!DT15+Danilo!DT15+Marcos!DT15+Carlos!DT15</f>
    </oc>
    <nc r="W15">
      <f>Marcelo!DT15+Patrícia!DT15+Diego!DT15+Aelton!DT15+Leonam!DT15+Danilo!DT15+Marcos!DT15+Carlos!DT15+Alessandro!AW15</f>
    </nc>
    <odxf>
      <fill>
        <patternFill patternType="none">
          <bgColor indexed="65"/>
        </patternFill>
      </fill>
    </odxf>
    <ndxf>
      <fill>
        <patternFill patternType="solid">
          <bgColor rgb="FFFFFF00"/>
        </patternFill>
      </fill>
    </ndxf>
  </rcc>
  <rcc rId="1470" sId="3">
    <oc r="W16">
      <f>Marcelo!DT16+Patrícia!DT16+Diego!DT16+Aelton!DT16+Leonam!DT16+Danilo!DT16+Marcos!DT16+Carlos!DT16</f>
    </oc>
    <nc r="W16">
      <f>Marcelo!DT16+Patrícia!DT16+Diego!DT16+Aelton!DT16+Leonam!DT16+Danilo!DT16+Marcos!DT16+Carlos!DT16+Alessandro!AW16</f>
    </nc>
  </rcc>
  <rcc rId="1471" sId="3">
    <oc r="X2">
      <f>Marcelo!DZ2+Patrícia!DZ2+Diego!DZ2+Aelton!DZ2+Leonam!DZ2+Danilo!DZ2+Marcos!DZ2+Carlos!DZ2</f>
    </oc>
    <nc r="X2">
      <f>Marcelo!DZ2+Patrícia!DZ2+Diego!DZ2+Aelton!DZ2+Leonam!DZ2+Danilo!DZ2+Marcos!DZ2+Carlos!DZ2+Alessandro!BC2</f>
    </nc>
  </rcc>
  <rcc rId="1472" sId="3" odxf="1" dxf="1">
    <oc r="X3">
      <f>Marcelo!DZ3+Patrícia!DZ3+Diego!DZ3+Aelton!DZ3+Leonam!DZ3+Danilo!DZ3+Marcos!DZ3+Carlos!DZ3</f>
    </oc>
    <nc r="X3">
      <f>Marcelo!DZ3+Patrícia!DZ3+Diego!DZ3+Aelton!DZ3+Leonam!DZ3+Danilo!DZ3+Marcos!DZ3+Carlos!DZ3+Alessandro!BC3</f>
    </nc>
    <odxf>
      <fill>
        <patternFill patternType="none">
          <bgColor indexed="65"/>
        </patternFill>
      </fill>
    </odxf>
    <ndxf>
      <fill>
        <patternFill patternType="solid">
          <bgColor rgb="FFFFFF00"/>
        </patternFill>
      </fill>
    </ndxf>
  </rcc>
  <rcc rId="1473" sId="3">
    <oc r="X4">
      <f>Marcelo!DZ4+Patrícia!DZ4+Diego!DZ4+Aelton!DZ4+Leonam!DZ4+Danilo!DZ4+Marcos!DZ4+Carlos!DZ4</f>
    </oc>
    <nc r="X4">
      <f>Marcelo!DZ4+Patrícia!DZ4+Diego!DZ4+Aelton!DZ4+Leonam!DZ4+Danilo!DZ4+Marcos!DZ4+Carlos!DZ4+Alessandro!BC4</f>
    </nc>
  </rcc>
  <rcc rId="1474" sId="3" odxf="1" dxf="1">
    <oc r="X5">
      <f>Marcelo!DZ5+Patrícia!DZ5+Diego!DZ5+Aelton!DZ5+Leonam!DZ5+Danilo!DZ5+Marcos!DZ5+Carlos!DZ5</f>
    </oc>
    <nc r="X5">
      <f>Marcelo!DZ5+Patrícia!DZ5+Diego!DZ5+Aelton!DZ5+Leonam!DZ5+Danilo!DZ5+Marcos!DZ5+Carlos!DZ5+Alessandro!BC5</f>
    </nc>
    <odxf>
      <fill>
        <patternFill patternType="none">
          <bgColor indexed="65"/>
        </patternFill>
      </fill>
    </odxf>
    <ndxf>
      <fill>
        <patternFill patternType="solid">
          <bgColor rgb="FFFFFF00"/>
        </patternFill>
      </fill>
    </ndxf>
  </rcc>
  <rcc rId="1475" sId="3">
    <oc r="X6">
      <f>Marcelo!DZ6+Patrícia!DZ6+Diego!DZ6+Aelton!DZ6+Leonam!DZ6+Danilo!DZ6+Marcos!DZ6+Carlos!DZ6</f>
    </oc>
    <nc r="X6">
      <f>Marcelo!DZ6+Patrícia!DZ6+Diego!DZ6+Aelton!DZ6+Leonam!DZ6+Danilo!DZ6+Marcos!DZ6+Carlos!DZ6+Alessandro!BC6</f>
    </nc>
  </rcc>
  <rcc rId="1476" sId="3" odxf="1" dxf="1">
    <oc r="X7">
      <f>Marcelo!DZ7+Patrícia!DZ7+Diego!DZ7+Aelton!DZ7+Leonam!DZ7+Danilo!DZ7+Marcos!DZ7+Carlos!DZ7</f>
    </oc>
    <nc r="X7">
      <f>Marcelo!DZ7+Patrícia!DZ7+Diego!DZ7+Aelton!DZ7+Leonam!DZ7+Danilo!DZ7+Marcos!DZ7+Carlos!DZ7+Alessandro!BC7</f>
    </nc>
    <odxf>
      <fill>
        <patternFill patternType="none">
          <bgColor indexed="65"/>
        </patternFill>
      </fill>
    </odxf>
    <ndxf>
      <fill>
        <patternFill patternType="solid">
          <bgColor rgb="FFFFFF00"/>
        </patternFill>
      </fill>
    </ndxf>
  </rcc>
  <rcc rId="1477" sId="3">
    <oc r="X8">
      <f>Marcelo!DZ8+Patrícia!DZ8+Diego!DZ8+Aelton!DZ8+Leonam!DZ8+Danilo!DZ8+Marcos!DZ8+Carlos!DZ8</f>
    </oc>
    <nc r="X8">
      <f>Marcelo!DZ8+Patrícia!DZ8+Diego!DZ8+Aelton!DZ8+Leonam!DZ8+Danilo!DZ8+Marcos!DZ8+Carlos!DZ8+Alessandro!BC8</f>
    </nc>
  </rcc>
  <rcc rId="1478" sId="3" odxf="1" dxf="1">
    <oc r="X9">
      <f>Marcelo!DZ9+Patrícia!DZ9+Diego!DZ9+Aelton!DZ9+Leonam!DZ9+Danilo!DZ9+Marcos!DZ9+Carlos!DZ9</f>
    </oc>
    <nc r="X9">
      <f>Marcelo!DZ9+Patrícia!DZ9+Diego!DZ9+Aelton!DZ9+Leonam!DZ9+Danilo!DZ9+Marcos!DZ9+Carlos!DZ9+Alessandro!BC9</f>
    </nc>
    <odxf>
      <fill>
        <patternFill patternType="none">
          <bgColor indexed="65"/>
        </patternFill>
      </fill>
    </odxf>
    <ndxf>
      <fill>
        <patternFill patternType="solid">
          <bgColor rgb="FFFFFF00"/>
        </patternFill>
      </fill>
    </ndxf>
  </rcc>
  <rcc rId="1479" sId="3">
    <oc r="X10">
      <f>Marcelo!DZ10+Patrícia!DZ10+Diego!DZ10+Aelton!DZ10+Leonam!DZ10+Danilo!DZ10+Marcos!DZ10+Carlos!DZ10</f>
    </oc>
    <nc r="X10">
      <f>Marcelo!DZ10+Patrícia!DZ10+Diego!DZ10+Aelton!DZ10+Leonam!DZ10+Danilo!DZ10+Marcos!DZ10+Carlos!DZ10+Alessandro!BC10</f>
    </nc>
  </rcc>
  <rcc rId="1480" sId="3" odxf="1" dxf="1">
    <oc r="X11">
      <f>Marcelo!DZ11+Patrícia!DZ11+Diego!DZ11+Aelton!DZ11+Leonam!DZ11+Danilo!DZ11+Marcos!DZ11+Carlos!DZ11</f>
    </oc>
    <nc r="X11">
      <f>Marcelo!DZ11+Patrícia!DZ11+Diego!DZ11+Aelton!DZ11+Leonam!DZ11+Danilo!DZ11+Marcos!DZ11+Carlos!DZ11+Alessandro!BC11</f>
    </nc>
    <odxf>
      <fill>
        <patternFill patternType="none">
          <bgColor indexed="65"/>
        </patternFill>
      </fill>
    </odxf>
    <ndxf>
      <fill>
        <patternFill patternType="solid">
          <bgColor rgb="FFFFFF00"/>
        </patternFill>
      </fill>
    </ndxf>
  </rcc>
  <rcc rId="1481" sId="3">
    <oc r="X12">
      <f>Marcelo!DZ12+Patrícia!DZ12+Diego!DZ12+Aelton!DZ12+Leonam!DZ12+Danilo!DZ12+Marcos!DZ12+Carlos!DZ12</f>
    </oc>
    <nc r="X12">
      <f>Marcelo!DZ12+Patrícia!DZ12+Diego!DZ12+Aelton!DZ12+Leonam!DZ12+Danilo!DZ12+Marcos!DZ12+Carlos!DZ12+Alessandro!BC12</f>
    </nc>
  </rcc>
  <rcc rId="1482" sId="3" odxf="1" dxf="1">
    <oc r="X13">
      <f>Marcelo!DZ13+Patrícia!DZ13+Diego!DZ13+Aelton!DZ13+Leonam!DZ13+Danilo!DZ13+Marcos!DZ13+Carlos!DZ13</f>
    </oc>
    <nc r="X13">
      <f>Marcelo!DZ13+Patrícia!DZ13+Diego!DZ13+Aelton!DZ13+Leonam!DZ13+Danilo!DZ13+Marcos!DZ13+Carlos!DZ13+Alessandro!BC13</f>
    </nc>
    <odxf>
      <fill>
        <patternFill patternType="none">
          <bgColor indexed="65"/>
        </patternFill>
      </fill>
    </odxf>
    <ndxf>
      <fill>
        <patternFill patternType="solid">
          <bgColor rgb="FFFFFF00"/>
        </patternFill>
      </fill>
    </ndxf>
  </rcc>
  <rcc rId="1483" sId="3">
    <oc r="X14">
      <f>Marcelo!DZ14+Patrícia!DZ14+Diego!DZ14+Aelton!DZ14+Leonam!DZ14+Danilo!DZ14+Marcos!DZ14+Carlos!DZ14</f>
    </oc>
    <nc r="X14">
      <f>Marcelo!DZ14+Patrícia!DZ14+Diego!DZ14+Aelton!DZ14+Leonam!DZ14+Danilo!DZ14+Marcos!DZ14+Carlos!DZ14+Alessandro!BC14</f>
    </nc>
  </rcc>
  <rcc rId="1484" sId="3" odxf="1" dxf="1">
    <oc r="X15">
      <f>Marcelo!DZ15+Patrícia!DZ15+Diego!DZ15+Aelton!DZ15+Leonam!DZ15+Danilo!DZ15+Marcos!DZ15+Carlos!DZ15</f>
    </oc>
    <nc r="X15">
      <f>Marcelo!DZ15+Patrícia!DZ15+Diego!DZ15+Aelton!DZ15+Leonam!DZ15+Danilo!DZ15+Marcos!DZ15+Carlos!DZ15+Alessandro!BC15</f>
    </nc>
    <odxf>
      <fill>
        <patternFill patternType="none">
          <bgColor indexed="65"/>
        </patternFill>
      </fill>
    </odxf>
    <ndxf>
      <fill>
        <patternFill patternType="solid">
          <bgColor rgb="FFFFFF00"/>
        </patternFill>
      </fill>
    </ndxf>
  </rcc>
  <rcc rId="1485" sId="3">
    <oc r="X16">
      <f>Marcelo!DZ16+Patrícia!DZ16+Diego!DZ16+Aelton!DZ16+Leonam!DZ16+Danilo!DZ16+Marcos!DZ16+Carlos!DZ16</f>
    </oc>
    <nc r="X16">
      <f>Marcelo!DZ16+Patrícia!DZ16+Diego!DZ16+Aelton!DZ16+Leonam!DZ16+Danilo!DZ16+Marcos!DZ16+Carlos!DZ16+Alessandro!BC16</f>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Q3:X3">
    <dxf>
      <fill>
        <patternFill>
          <bgColor theme="0"/>
        </patternFill>
      </fill>
    </dxf>
  </rfmt>
  <rfmt sheetId="3" sqref="Q5:X5">
    <dxf>
      <fill>
        <patternFill>
          <bgColor theme="0"/>
        </patternFill>
      </fill>
    </dxf>
  </rfmt>
  <rfmt sheetId="3" sqref="R7:X7">
    <dxf>
      <fill>
        <patternFill>
          <bgColor theme="0"/>
        </patternFill>
      </fill>
    </dxf>
  </rfmt>
  <rfmt sheetId="3" sqref="R9:X9">
    <dxf>
      <fill>
        <patternFill>
          <bgColor theme="0"/>
        </patternFill>
      </fill>
    </dxf>
  </rfmt>
  <rfmt sheetId="3" sqref="R11:X11">
    <dxf>
      <fill>
        <patternFill>
          <bgColor theme="0"/>
        </patternFill>
      </fill>
    </dxf>
  </rfmt>
  <rfmt sheetId="3" sqref="R13:X13">
    <dxf>
      <fill>
        <patternFill>
          <bgColor theme="0"/>
        </patternFill>
      </fill>
    </dxf>
  </rfmt>
  <rfmt sheetId="3" sqref="R15:X15">
    <dxf>
      <fill>
        <patternFill>
          <bgColor theme="0"/>
        </patternFill>
      </fill>
    </dxf>
  </rfmt>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8A482E0-C8B6-4AA1-9E04-15FA7C9CD5E3}" action="delete"/>
  <rcv guid="{18A482E0-C8B6-4AA1-9E04-15FA7C9CD5E3}" action="add"/>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A2" start="0" length="0">
    <dxf>
      <font>
        <color auto="1"/>
        <name val="Calibri"/>
        <scheme val="none"/>
      </font>
    </dxf>
  </rfmt>
  <rrc rId="1486" sId="3" ref="B1:B1048576" action="insertCol"/>
  <rrc rId="1487" sId="3" ref="B1:B1048576" action="deleteCol">
    <rfmt sheetId="3" xfDxf="1" sqref="B1:B1048576" start="0" length="0"/>
    <rfmt sheetId="3" sqref="B1" start="0" length="0">
      <dxf>
        <font>
          <b/>
          <sz val="11"/>
          <color theme="1"/>
          <name val="Aptos Narrow"/>
          <family val="2"/>
          <scheme val="minor"/>
        </font>
        <alignment horizontal="center" vertical="center"/>
      </dxf>
    </rfmt>
    <rfmt sheetId="3" sqref="B2" start="0" length="0">
      <dxf>
        <font>
          <b/>
          <sz val="11"/>
          <color auto="1"/>
          <name val="Calibri"/>
          <family val="2"/>
          <scheme val="none"/>
        </font>
        <fill>
          <patternFill patternType="solid">
            <fgColor rgb="FFEDEDED"/>
            <bgColor rgb="FFFFFF00"/>
          </patternFill>
        </fill>
        <alignment horizontal="right" vertical="center" wrapText="1"/>
      </dxf>
    </rfmt>
    <rfmt sheetId="3" sqref="B3" start="0" length="0">
      <dxf>
        <font>
          <b/>
          <sz val="11"/>
          <color auto="1"/>
          <name val="Calibri"/>
          <family val="2"/>
          <scheme val="none"/>
        </font>
        <fill>
          <patternFill patternType="solid">
            <fgColor rgb="FFEDEDED"/>
            <bgColor rgb="FFF2F2F2"/>
          </patternFill>
        </fill>
        <alignment horizontal="right" vertical="center" wrapText="1"/>
      </dxf>
    </rfmt>
    <rfmt sheetId="3" sqref="B4" start="0" length="0">
      <dxf>
        <font>
          <b/>
          <sz val="11"/>
          <color auto="1"/>
          <name val="Calibri"/>
          <family val="2"/>
          <scheme val="none"/>
        </font>
        <fill>
          <patternFill patternType="solid">
            <fgColor rgb="FFDDDDDD"/>
            <bgColor rgb="FFFFFF00"/>
          </patternFill>
        </fill>
        <alignment horizontal="right" vertical="center" wrapText="1"/>
      </dxf>
    </rfmt>
    <rfmt sheetId="3" sqref="B5" start="0" length="0">
      <dxf>
        <font>
          <b/>
          <sz val="11"/>
          <color auto="1"/>
          <name val="Calibri"/>
          <family val="2"/>
          <scheme val="none"/>
        </font>
        <fill>
          <patternFill patternType="solid">
            <fgColor rgb="FFDDDDDD"/>
            <bgColor rgb="FFF2F2F2"/>
          </patternFill>
        </fill>
        <alignment horizontal="right" vertical="center" wrapText="1"/>
      </dxf>
    </rfmt>
    <rfmt sheetId="3" sqref="B6" start="0" length="0">
      <dxf>
        <font>
          <b/>
          <sz val="11"/>
          <color auto="1"/>
          <name val="Calibri"/>
          <family val="2"/>
          <scheme val="none"/>
        </font>
        <fill>
          <patternFill patternType="solid">
            <fgColor rgb="FFDDDDDD"/>
            <bgColor rgb="FFFFFF00"/>
          </patternFill>
        </fill>
        <alignment horizontal="right" vertical="center" wrapText="1"/>
      </dxf>
    </rfmt>
    <rfmt sheetId="3" sqref="B7" start="0" length="0">
      <dxf>
        <font>
          <b/>
          <sz val="11"/>
          <color auto="1"/>
          <name val="Calibri"/>
          <family val="2"/>
          <scheme val="none"/>
        </font>
        <fill>
          <patternFill patternType="solid">
            <fgColor rgb="FFDDDDDD"/>
            <bgColor rgb="FFF2F2F2"/>
          </patternFill>
        </fill>
        <alignment horizontal="right" vertical="center" wrapText="1"/>
      </dxf>
    </rfmt>
    <rfmt sheetId="3" sqref="B8" start="0" length="0">
      <dxf>
        <font>
          <b/>
          <sz val="11"/>
          <color auto="1"/>
          <name val="Calibri"/>
          <family val="2"/>
          <scheme val="none"/>
        </font>
        <fill>
          <patternFill patternType="solid">
            <fgColor rgb="FFDDDDDD"/>
            <bgColor rgb="FFFFFF00"/>
          </patternFill>
        </fill>
        <alignment horizontal="right" vertical="center" wrapText="1"/>
      </dxf>
    </rfmt>
    <rfmt sheetId="3" sqref="B9" start="0" length="0">
      <dxf>
        <font>
          <b/>
          <sz val="11"/>
          <color auto="1"/>
          <name val="Calibri"/>
          <family val="2"/>
          <scheme val="none"/>
        </font>
        <fill>
          <patternFill patternType="solid">
            <fgColor rgb="FFDDDDDD"/>
            <bgColor rgb="FFF2F2F2"/>
          </patternFill>
        </fill>
        <alignment horizontal="right" vertical="center" wrapText="1"/>
      </dxf>
    </rfmt>
    <rfmt sheetId="3" sqref="B10" start="0" length="0">
      <dxf>
        <font>
          <b/>
          <sz val="11"/>
          <color auto="1"/>
          <name val="Calibri"/>
          <family val="2"/>
          <scheme val="none"/>
        </font>
        <fill>
          <patternFill patternType="solid">
            <fgColor rgb="FFDDDDDD"/>
            <bgColor rgb="FFFFFF00"/>
          </patternFill>
        </fill>
        <alignment horizontal="right" vertical="center" wrapText="1"/>
      </dxf>
    </rfmt>
    <rfmt sheetId="3" sqref="B11" start="0" length="0">
      <dxf>
        <font>
          <b/>
          <sz val="11"/>
          <color auto="1"/>
          <name val="Calibri"/>
          <family val="2"/>
          <scheme val="none"/>
        </font>
        <fill>
          <patternFill patternType="solid">
            <fgColor rgb="FFDDDDDD"/>
            <bgColor rgb="FFF2F2F2"/>
          </patternFill>
        </fill>
        <alignment horizontal="right" vertical="center" wrapText="1"/>
      </dxf>
    </rfmt>
    <rfmt sheetId="3" sqref="B12" start="0" length="0">
      <dxf>
        <font>
          <b/>
          <sz val="11"/>
          <color auto="1"/>
          <name val="Calibri"/>
          <family val="2"/>
          <scheme val="none"/>
        </font>
        <fill>
          <patternFill patternType="solid">
            <fgColor rgb="FFDDDDDD"/>
            <bgColor rgb="FFFFFF00"/>
          </patternFill>
        </fill>
        <alignment horizontal="right" vertical="center" wrapText="1"/>
      </dxf>
    </rfmt>
    <rfmt sheetId="3" sqref="B13" start="0" length="0">
      <dxf>
        <font>
          <b/>
          <sz val="11"/>
          <color auto="1"/>
          <name val="Calibri"/>
          <family val="2"/>
          <scheme val="none"/>
        </font>
        <fill>
          <patternFill patternType="solid">
            <fgColor rgb="FFDDDDDD"/>
            <bgColor rgb="FFF2F2F2"/>
          </patternFill>
        </fill>
        <alignment horizontal="right" vertical="center" wrapText="1"/>
      </dxf>
    </rfmt>
    <rfmt sheetId="3" sqref="B14" start="0" length="0">
      <dxf>
        <font>
          <b/>
          <sz val="11"/>
          <color auto="1"/>
          <name val="Calibri"/>
          <family val="2"/>
          <scheme val="none"/>
        </font>
        <fill>
          <patternFill patternType="solid">
            <fgColor rgb="FFDDDDDD"/>
            <bgColor rgb="FFFFFF00"/>
          </patternFill>
        </fill>
        <alignment horizontal="right" vertical="center" wrapText="1"/>
      </dxf>
    </rfmt>
    <rfmt sheetId="3" sqref="B15" start="0" length="0">
      <dxf>
        <font>
          <b/>
          <sz val="11"/>
          <color auto="1"/>
          <name val="Calibri"/>
          <family val="2"/>
          <scheme val="none"/>
        </font>
        <fill>
          <patternFill patternType="solid">
            <fgColor rgb="FFEDEDED"/>
            <bgColor rgb="FFF2F2F2"/>
          </patternFill>
        </fill>
        <alignment horizontal="right" vertical="center" wrapText="1"/>
      </dxf>
    </rfmt>
    <rfmt sheetId="3" sqref="B16" start="0" length="0">
      <dxf>
        <font>
          <b/>
          <sz val="11"/>
          <color auto="1"/>
          <name val="Calibri"/>
          <family val="2"/>
          <scheme val="none"/>
        </font>
        <fill>
          <patternFill patternType="solid">
            <fgColor rgb="FFEDEDED"/>
            <bgColor rgb="FFFFFF00"/>
          </patternFill>
        </fill>
        <alignment horizontal="right" vertical="center" wrapText="1"/>
      </dxf>
    </rfmt>
    <rfmt sheetId="3" sqref="B17" start="0" length="0">
      <dxf>
        <alignment horizontal="center" vertical="center"/>
      </dxf>
    </rfmt>
    <rfmt sheetId="3" sqref="B18" start="0" length="0">
      <dxf>
        <alignment horizontal="center" vertical="center"/>
      </dxf>
    </rfmt>
    <rfmt sheetId="3" sqref="B20" start="0" length="0">
      <dxf>
        <font>
          <b/>
          <sz val="11"/>
          <color theme="1"/>
          <name val="Aptos Narrow"/>
          <family val="2"/>
          <scheme val="minor"/>
        </font>
      </dxf>
    </rfmt>
    <rfmt sheetId="3" sqref="B22" start="0" length="0">
      <dxf>
        <alignment vertical="top" wrapText="1"/>
      </dxf>
    </rfmt>
    <rfmt sheetId="3" sqref="B23" start="0" length="0">
      <dxf>
        <alignment vertical="top" wrapText="1"/>
      </dxf>
    </rfmt>
  </rrc>
  <rcc rId="1488" sId="3">
    <nc r="B1" t="inlineStr">
      <is>
        <t>fonte</t>
      </is>
    </nc>
  </rcc>
  <rcc rId="1489" sId="3">
    <oc r="B2" t="inlineStr">
      <is>
        <t>1*</t>
      </is>
    </oc>
    <nc r="B2" t="inlineStr">
      <is>
        <t>SEI</t>
      </is>
    </nc>
  </rcc>
  <rcc rId="1490" sId="3">
    <oc r="B4" t="inlineStr">
      <is>
        <t>3*</t>
      </is>
    </oc>
    <nc r="B4" t="inlineStr">
      <is>
        <t>SEI</t>
      </is>
    </nc>
  </rcc>
  <rcc rId="1491" sId="3">
    <oc r="B5" t="inlineStr">
      <is>
        <t>4*</t>
      </is>
    </oc>
    <nc r="B5" t="inlineStr">
      <is>
        <t>SEI</t>
      </is>
    </nc>
  </rcc>
  <rcc rId="1492" sId="3">
    <oc r="B6">
      <v>5</v>
    </oc>
    <nc r="B6" t="inlineStr">
      <is>
        <t>CONTAGEM INDIVIDUAL</t>
      </is>
    </nc>
  </rcc>
  <rcc rId="1493" sId="3">
    <oc r="B7">
      <v>6</v>
    </oc>
    <nc r="B7" t="inlineStr">
      <is>
        <t>PLANILHA</t>
      </is>
    </nc>
  </rcc>
  <rcc rId="1494" sId="3">
    <oc r="B8">
      <v>7</v>
    </oc>
    <nc r="B8" t="inlineStr">
      <is>
        <t>CONTAGEM INDIVIDUAL</t>
      </is>
    </nc>
  </rcc>
  <rcc rId="1495" sId="3">
    <oc r="A9" t="inlineStr">
      <is>
        <t>Caixas listadas para eliminação</t>
      </is>
    </oc>
    <nc r="A9" t="inlineStr">
      <is>
        <t xml:space="preserve">Caixas listadas para eliminação </t>
      </is>
    </nc>
  </rcc>
  <rcc rId="1496" sId="3">
    <oc r="B9">
      <v>8</v>
    </oc>
    <nc r="B9" t="inlineStr">
      <is>
        <t>PLANILHA</t>
      </is>
    </nc>
  </rcc>
  <rcc rId="1497" sId="3">
    <oc r="B10">
      <v>9</v>
    </oc>
    <nc r="B10" t="inlineStr">
      <is>
        <t>PLANILHA</t>
      </is>
    </nc>
  </rcc>
  <rcc rId="1498" sId="3">
    <oc r="B11">
      <v>10</v>
    </oc>
    <nc r="B11" t="inlineStr">
      <is>
        <t>PLANILHA</t>
      </is>
    </nc>
  </rcc>
  <rcc rId="1499" sId="3">
    <oc r="B12">
      <v>11</v>
    </oc>
    <nc r="B12" t="inlineStr">
      <is>
        <t>PLANILHA</t>
      </is>
    </nc>
  </rcc>
  <rcc rId="1500" sId="3">
    <oc r="B13" t="inlineStr">
      <is>
        <t>12*</t>
      </is>
    </oc>
    <nc r="B13" t="inlineStr">
      <is>
        <t>SEI</t>
      </is>
    </nc>
  </rcc>
  <rcc rId="1501" sId="3">
    <oc r="B14">
      <v>13</v>
    </oc>
    <nc r="B14" t="inlineStr">
      <is>
        <t>SEI, E-MAIL, TELEFONE</t>
      </is>
    </nc>
  </rcc>
  <rcc rId="1502" sId="3">
    <oc r="B16">
      <v>15</v>
    </oc>
    <nc r="B16" t="inlineStr">
      <is>
        <t>CONTAGEM INDIVIDUAL (o que é? simples conferência em atividades diversas</t>
      </is>
    </nc>
  </rcc>
  <rcc rId="1503" sId="3">
    <oc r="B15">
      <v>14</v>
    </oc>
    <nc r="B15" t="inlineStr">
      <is>
        <t>CONTAGEM INDIVIDUAL (o que é? Deslocamento de caixas visando reorganização temporária ou permanente)</t>
      </is>
    </nc>
  </rcc>
  <rcc rId="1504" sId="3">
    <oc r="A20" t="inlineStr">
      <is>
        <t>Legenda:</t>
      </is>
    </oc>
    <nc r="A20"/>
  </rcc>
  <rcc rId="1505" sId="3">
    <oc r="A21" t="inlineStr">
      <is>
        <r>
          <rPr>
            <b/>
            <sz val="11"/>
            <color theme="1"/>
            <rFont val="Aptos Narrow"/>
            <family val="2"/>
          </rPr>
          <t>*</t>
        </r>
        <r>
          <rPr>
            <sz val="11"/>
            <color theme="1"/>
            <rFont val="Aptos Narrow"/>
            <family val="2"/>
          </rPr>
          <t xml:space="preserve"> 1, 3, 4, 12: Calculado com dados do SEI</t>
        </r>
      </is>
    </oc>
    <nc r="A21"/>
  </rcc>
  <rcc rId="1506" sId="3">
    <oc r="A22" t="inlineStr">
      <is>
        <t>14 -  Caixas remanejada: mudança de estante de forma temporária ou permanente</t>
      </is>
    </oc>
    <nc r="A22"/>
  </rcc>
  <rcc rId="1507" sId="3">
    <oc r="A23" t="inlineStr">
      <is>
        <t>15 -  Caixas conferidas: simples conferência em atividades diversas</t>
      </is>
    </oc>
    <nc r="A23"/>
  </rcc>
  <rfmt sheetId="3" sqref="B3" start="0" length="0">
    <dxf>
      <fill>
        <patternFill>
          <fgColor rgb="FFDDDDDD"/>
        </patternFill>
      </fill>
    </dxf>
  </rfmt>
  <rcc rId="1508" sId="3">
    <oc r="B3">
      <v>2</v>
    </oc>
    <nc r="B3" t="inlineStr">
      <is>
        <t>CONTAGEM INDIVIDUAL (o que é? Caixas abertas para verificação de conteúdo em contexto de pesquisa para desarquivamento)</t>
      </is>
    </nc>
  </rcc>
  <rcv guid="{18A482E0-C8B6-4AA1-9E04-15FA7C9CD5E3}" action="delete"/>
  <rcv guid="{18A482E0-C8B6-4AA1-9E04-15FA7C9CD5E3}" action="add"/>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B2" start="0" length="0">
    <dxf>
      <font>
        <b val="0"/>
        <sz val="11"/>
        <color theme="1"/>
        <name val="Aptos Narrow"/>
        <family val="2"/>
        <scheme val="minor"/>
      </font>
      <fill>
        <patternFill>
          <fgColor indexed="64"/>
        </patternFill>
      </fill>
      <alignment wrapText="0"/>
      <border outline="0">
        <left style="thin">
          <color rgb="FF000000"/>
        </left>
        <right style="thin">
          <color rgb="FF000000"/>
        </right>
        <top style="thin">
          <color rgb="FF000000"/>
        </top>
        <bottom style="thin">
          <color rgb="FF000000"/>
        </bottom>
      </border>
    </dxf>
  </rfmt>
  <rfmt sheetId="3" sqref="B1" start="0" length="2147483647">
    <dxf>
      <font>
        <sz val="12"/>
      </font>
    </dxf>
  </rfmt>
  <rfmt sheetId="3" sqref="B1" start="0" length="2147483647">
    <dxf>
      <font>
        <sz val="14"/>
      </font>
    </dxf>
  </rfmt>
  <rfmt sheetId="3" sqref="B1" start="0" length="2147483647">
    <dxf>
      <font>
        <sz val="16"/>
      </font>
    </dxf>
  </rfmt>
  <rcc rId="1509" sId="3">
    <oc r="B3" t="inlineStr">
      <is>
        <t>CONTAGEM INDIVIDUAL (o que é? Caixas abertas para verificação de conteúdo em contexto de pesquisa para desarquivamento)</t>
      </is>
    </oc>
    <nc r="B3" t="inlineStr">
      <is>
        <t>CONTAGEM INDIVIDUAL (das caixas abertas para verificação de conteúdo em contexto de pesquisa para desarquivamento)</t>
      </is>
    </nc>
  </rcc>
  <rcc rId="1510" sId="3">
    <oc r="B15" t="inlineStr">
      <is>
        <t>CONTAGEM INDIVIDUAL (o que é? Deslocamento de caixas visando reorganização temporária ou permanente)</t>
      </is>
    </oc>
    <nc r="B15" t="inlineStr">
      <is>
        <t>CONTAGEM INDIVIDUAL (de caixas deslocadas visando reorganização temporária ou permanente)</t>
      </is>
    </nc>
  </rcc>
  <rcc rId="1511" sId="3">
    <oc r="B16" t="inlineStr">
      <is>
        <t>CONTAGEM INDIVIDUAL (o que é? simples conferência em atividades diversas</t>
      </is>
    </oc>
    <nc r="B16" t="inlineStr">
      <is>
        <t>CONTAGEM INDIVIDUAL (de caixas para simples conferência de quantitativo ou do conteúdo do espelho em atividades diversas)</t>
      </is>
    </nc>
  </rcc>
  <rcc rId="1512" sId="3">
    <oc r="B6" t="inlineStr">
      <is>
        <t>CONTAGEM INDIVIDUAL</t>
      </is>
    </oc>
    <nc r="B6" t="inlineStr">
      <is>
        <t>CONTAGEM INDIVIDUAL (das caixas  "puxadas" nas estantes como uma pré-seleção para classificação)</t>
      </is>
    </nc>
  </rcc>
  <rcc rId="1513" sId="3">
    <oc r="B8" t="inlineStr">
      <is>
        <t>CONTAGEM INDIVIDUAL</t>
      </is>
    </oc>
    <nc r="B8" t="inlineStr">
      <is>
        <t>CONTAGEM INDIVIDUAL (das caixas "puxadas" nas estantes como uma pré-seleção para eliminação)</t>
      </is>
    </nc>
  </rcc>
  <rfmt sheetId="3" sqref="A1:A16" start="0" length="0">
    <dxf>
      <border>
        <left style="thin">
          <color rgb="FF000000"/>
        </left>
      </border>
    </dxf>
  </rfmt>
  <rfmt sheetId="3" sqref="A1:X1" start="0" length="0">
    <dxf>
      <border>
        <top style="thin">
          <color rgb="FF000000"/>
        </top>
      </border>
    </dxf>
  </rfmt>
  <rfmt sheetId="3" sqref="A16:X16" start="0" length="0">
    <dxf>
      <border>
        <bottom style="thin">
          <color rgb="FF000000"/>
        </bottom>
      </border>
    </dxf>
  </rfmt>
  <rfmt sheetId="3" sqref="A1:X16">
    <dxf>
      <border>
        <left style="thin">
          <color rgb="FF000000"/>
        </left>
        <right style="thin">
          <color rgb="FF000000"/>
        </right>
        <top style="thin">
          <color rgb="FF000000"/>
        </top>
        <bottom style="thin">
          <color rgb="FF000000"/>
        </bottom>
        <vertical style="thin">
          <color rgb="FF000000"/>
        </vertical>
        <horizontal style="thin">
          <color rgb="FF000000"/>
        </horizontal>
      </border>
    </dxf>
  </rfmt>
  <rcv guid="{18A482E0-C8B6-4AA1-9E04-15FA7C9CD5E3}" action="delete"/>
  <rcv guid="{18A482E0-C8B6-4AA1-9E04-15FA7C9CD5E3}" action="add"/>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4" sId="3">
    <oc r="B16" t="inlineStr">
      <is>
        <t>CONTAGEM INDIVIDUAL (de caixas para simples conferência de quantitativo ou do conteúdo do espelho em atividades diversas)</t>
      </is>
    </oc>
    <nc r="B16" t="inlineStr">
      <is>
        <t>CONTAGEM INDIVIDUAL (de caixas de simples conferência de quantitativo ou do conteúdo do espelho em atividades diversas)</t>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B1">
    <dxf>
      <fill>
        <patternFill patternType="solid">
          <bgColor theme="0"/>
        </patternFill>
      </fill>
    </dxf>
  </rfmt>
  <rfmt sheetId="3" sqref="B1">
    <dxf>
      <fill>
        <patternFill>
          <bgColor theme="2" tint="-9.9978637043366805E-2"/>
        </patternFill>
      </fill>
    </dxf>
  </rfmt>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B2" start="0" length="2147483647">
    <dxf>
      <font>
        <name val="Calibri"/>
        <scheme val="none"/>
      </font>
    </dxf>
  </rfmt>
  <rfmt sheetId="3" sqref="B2" start="0" length="2147483647">
    <dxf>
      <font>
        <b/>
      </font>
    </dxf>
  </rfmt>
  <rcc rId="1515" sId="3">
    <oc r="B1" t="inlineStr">
      <is>
        <t>fonte</t>
      </is>
    </oc>
    <nc r="B1" t="inlineStr">
      <is>
        <t>Fonte</t>
      </is>
    </nc>
  </rcc>
  <rcc rId="1516" sId="10">
    <nc r="AP17" t="inlineStr">
      <is>
        <t>Revisão de Planilhas Indicadores e de Eliminação</t>
      </is>
    </nc>
  </rcc>
  <rcv guid="{3D987F8E-A6EA-454D-9537-6BFC5053CB00}" action="delete"/>
  <rcv guid="{3D987F8E-A6EA-454D-9537-6BFC5053CB00}" action="add"/>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7" sId="4">
    <nc r="DO15">
      <v>50</v>
    </nc>
  </rcc>
  <rcv guid="{20CB6D8F-C24D-4D4B-A424-AF380F620455}" action="delete"/>
  <rcv guid="{20CB6D8F-C24D-4D4B-A424-AF380F620455}" action="add"/>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8" sId="8">
    <nc r="DQ17" t="inlineStr">
      <is>
        <t>Triagem de 58 caixas para eliminação da sala 4.47</t>
      </is>
    </nc>
  </rcc>
  <rfmt sheetId="8" sqref="DQ17">
    <dxf>
      <alignment wrapText="1"/>
    </dxf>
  </rfmt>
  <rcc rId="1519" sId="8">
    <nc r="DQ15">
      <v>58</v>
    </nc>
  </rcc>
  <rcv guid="{E3841903-5B68-44FD-8F09-58E03D1025C5}" action="delete"/>
  <rcv guid="{E3841903-5B68-44FD-8F09-58E03D1025C5}" action="add"/>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0" sId="3">
    <oc r="U13">
      <f>Marcelo!DH13+Patrícia!DH13+Diego!DH13+Aelton!DH13+Leonam!DH13+Danilo!DH13+Marcos!DH13+Carlos!DH13+Alessandro!AK13</f>
    </oc>
    <nc r="U13">
      <v>3</v>
    </nc>
  </rcc>
  <rcc rId="1521" sId="3">
    <oc r="S13">
      <f>Marcelo!CV13+Patrícia!CV13+Diego!CV13+Aelton!CV13+Leonam!CV13+Danilo!CV13+Marcos!CV13+Carlos!CV13+Alessandro!Y13</f>
    </oc>
    <nc r="S13">
      <v>4</v>
    </nc>
  </rcc>
  <rcc rId="1522" sId="3">
    <oc r="P13">
      <f>Marcelo!CD13+Patrícia!CD13+Diego!CD13+Aelton!CD13+Leonam!CD13+Danilo!CD13+Marcos!CD13+Carlos!CD13+Alessandro!G13</f>
    </oc>
    <nc r="P13">
      <v>10</v>
    </nc>
  </rcc>
  <rcc rId="1523" sId="3">
    <oc r="Q13">
      <f>Marcelo!CJ13+Patrícia!CJ13+Diego!CJ13+Aelton!CJ13+Leonam!CJ13+Danilo!CJ13+Marcos!CJ13+Carlos!CJ13++Alessandro!M13</f>
    </oc>
    <nc r="Q13">
      <v>2</v>
    </nc>
  </rcc>
  <rcc rId="1524" sId="3">
    <oc r="O13">
      <f>Marcelo!BX13+Patrícia!BX13+Diego!BX13+Aelton!BX13+Leonam!BX13+Danilo!BX13+Marcos!BX13+Carlos!BX13</f>
    </oc>
    <nc r="O13">
      <v>7</v>
    </nc>
  </rcc>
  <rcc rId="1525" sId="3">
    <nc r="N13">
      <v>57</v>
    </nc>
  </rcc>
  <rcc rId="1526" sId="3">
    <nc r="M13">
      <v>3</v>
    </nc>
  </rcc>
  <rcc rId="1527" sId="3">
    <oc r="L13">
      <v>0</v>
    </oc>
    <nc r="L13">
      <v>44</v>
    </nc>
  </rcc>
  <rcc rId="1528" sId="3">
    <oc r="B16" t="inlineStr">
      <is>
        <t>CONTAGEM INDIVIDUAL (de caixas de simples conferência de quantitativo ou do conteúdo do espelho em atividades diversas)</t>
      </is>
    </oc>
    <nc r="B16" t="inlineStr">
      <is>
        <t>CONTAGEM INDIVIDUAL (de caixas para simples conferência de quantitativo ou do conteúdo do espelho em atividades diversas)</t>
      </is>
    </nc>
  </rcc>
  <rcc rId="1529" sId="3" xfDxf="1" dxf="1">
    <nc r="M17" t="inlineStr">
      <is>
        <t>Movimentação de 784 caixas do INSS para devolução ao MPS da sala 3.71 para a sala 4.47 (em palete)</t>
      </is>
    </nc>
    <ndxf>
      <font>
        <color rgb="FF242424"/>
      </font>
    </ndxf>
  </rcc>
  <rfmt sheetId="3" sqref="M17">
    <dxf>
      <alignment wrapText="1"/>
    </dxf>
  </rfmt>
  <rcc rId="1530" sId="3" odxf="1" dxf="1">
    <nc r="U17" t="inlineStr">
      <is>
        <t>Apoio no carregamento e acompanhamento do descarregamento das 784 caixas devolvidas ao Ministério da Previdência Social (MPS).</t>
      </is>
    </nc>
    <ndxf>
      <font>
        <sz val="11"/>
        <color rgb="FF242424"/>
        <name val="Aptos Narrow"/>
        <family val="2"/>
        <scheme val="minor"/>
      </font>
      <alignment vertical="top" wrapText="1"/>
    </ndxf>
  </rcc>
  <rfmt sheetId="3" sqref="M17">
    <dxf>
      <alignment vertical="center"/>
    </dxf>
  </rfmt>
  <rfmt sheetId="3" sqref="U17">
    <dxf>
      <alignment vertical="center"/>
    </dxf>
  </rfmt>
  <rfmt sheetId="3" sqref="I17" start="0" length="0">
    <dxf>
      <font>
        <sz val="11"/>
        <color rgb="FF242424"/>
        <name val="Aptos Narrow"/>
        <family val="2"/>
        <scheme val="minor"/>
      </font>
      <alignment wrapText="1"/>
    </dxf>
  </rfmt>
  <rfmt sheetId="3" sqref="E17" start="0" length="0">
    <dxf>
      <font>
        <sz val="11"/>
        <color rgb="FF242424"/>
        <name val="Aptos Narrow"/>
        <family val="2"/>
        <scheme val="minor"/>
      </font>
      <alignment wrapText="1"/>
    </dxf>
  </rfmt>
  <rfmt sheetId="3" sqref="F17" start="0" length="0">
    <dxf>
      <font>
        <sz val="11"/>
        <color rgb="FF242424"/>
        <name val="Aptos Narrow"/>
        <family val="2"/>
        <scheme val="minor"/>
      </font>
      <alignment wrapText="1"/>
    </dxf>
  </rfmt>
  <rcc rId="1531" sId="3" odxf="1" dxf="1">
    <nc r="G17" t="inlineStr">
      <is>
        <t>Pesquisa "solicitacão de retirada de veiculo do patio da Agenda da Previdencia Social de Vitoria da Conquista - BA.</t>
      </is>
    </nc>
    <ndxf>
      <font>
        <sz val="11"/>
        <color rgb="FF242424"/>
        <name val="Aptos Narrow"/>
        <family val="2"/>
        <scheme val="minor"/>
      </font>
      <alignment wrapText="1"/>
    </ndxf>
  </rcc>
  <rfmt sheetId="3" sqref="H17" start="0" length="0">
    <dxf>
      <font>
        <sz val="11"/>
        <color rgb="FF242424"/>
        <name val="Aptos Narrow"/>
        <family val="2"/>
        <scheme val="minor"/>
      </font>
      <alignment wrapText="1"/>
    </dxf>
  </rfmt>
  <rfmt sheetId="3" sqref="J17" start="0" length="0">
    <dxf>
      <font>
        <sz val="11"/>
        <color rgb="FF242424"/>
        <name val="Aptos Narrow"/>
        <family val="2"/>
        <scheme val="minor"/>
      </font>
      <alignment wrapText="1"/>
    </dxf>
  </rfmt>
  <rfmt sheetId="3" sqref="K17" start="0" length="0">
    <dxf>
      <font>
        <sz val="11"/>
        <color rgb="FF242424"/>
        <name val="Aptos Narrow"/>
        <family val="2"/>
        <scheme val="minor"/>
      </font>
      <alignment wrapText="1"/>
    </dxf>
  </rfmt>
  <rfmt sheetId="3" sqref="L17" start="0" length="0">
    <dxf>
      <font>
        <sz val="11"/>
        <color rgb="FF242424"/>
        <name val="Aptos Narrow"/>
        <family val="2"/>
        <scheme val="minor"/>
      </font>
      <alignment vertical="center" wrapText="1"/>
    </dxf>
  </rfmt>
  <rfmt sheetId="3" sqref="N17" start="0" length="0">
    <dxf>
      <font>
        <sz val="11"/>
        <color rgb="FF242424"/>
        <name val="Aptos Narrow"/>
        <family val="2"/>
        <scheme val="minor"/>
      </font>
      <alignment vertical="center" wrapText="1"/>
    </dxf>
  </rfmt>
  <rfmt sheetId="3" sqref="O17" start="0" length="0">
    <dxf>
      <font>
        <sz val="11"/>
        <color rgb="FF242424"/>
        <name val="Aptos Narrow"/>
        <family val="2"/>
        <scheme val="minor"/>
      </font>
      <alignment vertical="center" wrapText="1"/>
    </dxf>
  </rfmt>
  <rfmt sheetId="3" sqref="P17" start="0" length="0">
    <dxf>
      <font>
        <sz val="11"/>
        <color rgb="FF242424"/>
        <name val="Aptos Narrow"/>
        <family val="2"/>
        <scheme val="minor"/>
      </font>
      <alignment vertical="center" wrapText="1"/>
    </dxf>
  </rfmt>
  <rcc rId="1532" sId="3">
    <nc r="H17" t="inlineStr">
      <is>
        <t>Pesquisa "solicitacão de retirada de veiculo do patio da Agenda da Previdencia Social de Vitoria da Conquista - BA.</t>
      </is>
    </nc>
  </rcc>
  <rfmt sheetId="3" sqref="F17" start="0" length="0">
    <dxf>
      <font>
        <sz val="11"/>
        <color theme="1"/>
        <name val="Aptos Narrow"/>
        <family val="2"/>
        <scheme val="minor"/>
      </font>
      <alignment vertical="bottom" wrapText="0"/>
    </dxf>
  </rfmt>
  <rfmt sheetId="3" xfDxf="1" sqref="F17" start="0" length="0">
    <dxf>
      <font>
        <color rgb="FF000000"/>
        <name val="Calibri"/>
        <scheme val="none"/>
      </font>
    </dxf>
  </rfmt>
  <rcc rId="1533" sId="3" odxf="1" dxf="1">
    <nc r="F17" t="inlineStr">
      <is>
        <t>Retirada de 3.000 caixas do MESP da Sala G-07 (Bloco A</t>
      </is>
    </nc>
    <ndxf>
      <font>
        <color rgb="FF242424"/>
        <name val="Calibri"/>
        <scheme val="none"/>
      </font>
      <alignment vertical="center" wrapText="1"/>
    </ndxf>
  </rcc>
  <rfmt sheetId="4" sqref="DE18" start="0" length="0">
    <dxf>
      <alignment wrapText="1"/>
    </dxf>
  </rfmt>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20CB6D8F-C24D-4D4B-A424-AF380F620455}" action="delete"/>
  <rcv guid="{20CB6D8F-C24D-4D4B-A424-AF380F620455}" action="add"/>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E3841903-5B68-44FD-8F09-58E03D1025C5}" action="delete"/>
  <rcv guid="{E3841903-5B68-44FD-8F09-58E03D1025C5}" action="add"/>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4" sId="8">
    <nc r="DQ10">
      <v>58</v>
    </nc>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5" sId="8">
    <oc r="DQ10">
      <v>58</v>
    </oc>
    <nc r="DQ10"/>
  </rcc>
  <rcc rId="1536" sId="8" odxf="1" dxf="1">
    <nc r="DQ18" t="inlineStr">
      <is>
        <t>Triagem de 58 caixas para eliminação da sala 4.47</t>
      </is>
    </nc>
    <odxf>
      <alignment wrapText="0"/>
    </odxf>
    <ndxf>
      <alignment wrapText="1"/>
    </ndxf>
  </rcc>
  <rcc rId="1537" sId="8">
    <oc r="DQ17" t="inlineStr">
      <is>
        <t>Triagem de 58 caixas para eliminação da sala 4.47</t>
      </is>
    </oc>
    <nc r="DQ17"/>
  </rcc>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8A482E0-C8B6-4AA1-9E04-15FA7C9CD5E3}" action="delete"/>
  <rcv guid="{18A482E0-C8B6-4AA1-9E04-15FA7C9CD5E3}"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8" sId="5">
    <nc r="DP8">
      <v>4</v>
    </nc>
  </rcc>
  <rcc rId="1539" sId="5">
    <nc r="DQ8">
      <v>4</v>
    </nc>
  </rcc>
  <rcc rId="1540" sId="5">
    <nc r="DO11">
      <v>3</v>
    </nc>
  </rcc>
  <rcc rId="1541" sId="5">
    <nc r="DP16">
      <v>1439</v>
    </nc>
  </rcc>
  <rcc rId="1542" sId="5">
    <nc r="DQ16">
      <v>1439</v>
    </nc>
  </rcc>
  <rcc rId="1543" sId="5" odxf="1" dxf="1">
    <nc r="DO17" t="inlineStr">
      <is>
        <t>Reunião à tarde no DNIT com a chefe Patrícia e 
confraternização (volta do Marcelo de férias).</t>
      </is>
    </nc>
    <odxf>
      <alignment wrapText="0"/>
    </odxf>
    <ndxf>
      <alignment wrapText="1"/>
    </ndxf>
  </rcc>
  <rcv guid="{86039CF8-B158-4D70-9A6F-A10C29CBD68A}" action="delete"/>
  <rcv guid="{86039CF8-B158-4D70-9A6F-A10C29CBD68A}"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86039CF8-B158-4D70-9A6F-A10C29CBD68A}" action="delete"/>
  <rcv guid="{86039CF8-B158-4D70-9A6F-A10C29CBD68A}" action="add"/>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4" sId="5">
    <oc r="DP18" t="inlineStr">
      <is>
        <t>Inventário Caixas
ARCEN</t>
      </is>
    </oc>
    <nc r="DP18" t="inlineStr">
      <is>
        <t>Busca por caixas GUIA DE REMESSA para eliminação - Bloco A - G15.</t>
      </is>
    </nc>
  </rcc>
  <rcc rId="1545" sId="5">
    <oc r="DQ18" t="inlineStr">
      <is>
        <t xml:space="preserve"> Inventário Caixas
ARCEN</t>
      </is>
    </oc>
    <nc r="DQ18" t="inlineStr">
      <is>
        <t>Busca por caixas GUIA DE REMESSA para eliminação - Bloco A - G15.</t>
      </is>
    </nc>
  </rcc>
  <rcv guid="{86039CF8-B158-4D70-9A6F-A10C29CBD68A}" action="delete"/>
  <rcv guid="{86039CF8-B158-4D70-9A6F-A10C29CBD68A}"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6" sId="10" odxf="1" dxf="1">
    <nc r="AR17" t="inlineStr">
      <is>
        <t>Reunião à tarde no DNIT com a chefe Patrícia e 
confraternização (volta do Marcelo de férias).</t>
      </is>
    </nc>
    <odxf>
      <alignment horizontal="general" vertical="bottom" wrapText="0" readingOrder="0"/>
    </odxf>
    <ndxf>
      <alignment horizontal="center" vertical="center" wrapText="1" readingOrder="0"/>
    </ndxf>
  </rcc>
  <rcc rId="1547" sId="10">
    <nc r="AS15">
      <v>1439</v>
    </nc>
  </rcc>
  <rcc rId="1548" sId="10">
    <nc r="AT15">
      <v>1439</v>
    </nc>
  </rcc>
  <rcc rId="1549" sId="10">
    <nc r="AS8">
      <v>5</v>
    </nc>
  </rcc>
  <rcc rId="1550" sId="10">
    <nc r="AT8">
      <v>4</v>
    </nc>
  </rcc>
  <rcv guid="{3D987F8E-A6EA-454D-9537-6BFC5053CB00}" action="delete"/>
  <rcv guid="{3D987F8E-A6EA-454D-9537-6BFC5053CB00}" action="add"/>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86039CF8-B158-4D70-9A6F-A10C29CBD68A}" action="delete"/>
  <rcv guid="{86039CF8-B158-4D70-9A6F-A10C29CBD68A}"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1" sId="5">
    <nc r="DO12">
      <v>29</v>
    </nc>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2" sId="7">
    <nc r="DP2">
      <v>1</v>
    </nc>
  </rcc>
  <rcc rId="1553" sId="7">
    <nc r="DP3">
      <v>10</v>
    </nc>
  </rcc>
  <rcc rId="1554" sId="7">
    <nc r="DP13">
      <v>1</v>
    </nc>
  </rcc>
  <rcc rId="1555" sId="7" odxf="1" dxf="1">
    <nc r="DM18" t="inlineStr">
      <is>
        <t xml:space="preserve">fazendo a separação das caixas q foram p/ eliminação e q irão voltar pro lugar </t>
      </is>
    </nc>
    <odxf>
      <alignment wrapText="0"/>
      <border outline="0">
        <left/>
        <right/>
        <top/>
        <bottom/>
      </border>
    </odxf>
    <ndxf>
      <alignment wrapText="1"/>
      <border outline="0">
        <left style="thin">
          <color auto="1"/>
        </left>
        <right style="thin">
          <color auto="1"/>
        </right>
        <top style="thin">
          <color auto="1"/>
        </top>
        <bottom style="thin">
          <color auto="1"/>
        </bottom>
      </border>
    </ndxf>
  </rcc>
  <rcc rId="1556" sId="7">
    <oc r="DM17" t="inlineStr">
      <is>
        <t xml:space="preserve">fazendo a separação das caixas q foram p/ eliminação e q irão voltar pro lugar </t>
      </is>
    </oc>
    <nc r="DM17"/>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8A482E0-C8B6-4AA1-9E04-15FA7C9CD5E3}" action="delete"/>
  <rcv guid="{18A482E0-C8B6-4AA1-9E04-15FA7C9CD5E3}" action="add"/>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7" sId="7">
    <nc r="DL15">
      <v>33</v>
    </nc>
  </rcc>
  <rcc rId="1558" sId="7">
    <nc r="DM15">
      <v>34</v>
    </nc>
  </rcc>
  <rcc rId="1559" sId="8">
    <nc r="DL15">
      <v>33</v>
    </nc>
  </rcc>
  <rcc rId="1560" sId="8">
    <nc r="DM15">
      <v>34</v>
    </nc>
  </rcc>
  <rcc rId="1561" sId="6">
    <nc r="DM16">
      <v>34</v>
    </nc>
  </rcc>
  <rcc rId="1562" sId="6">
    <nc r="DL16">
      <v>33</v>
    </nc>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E3841903-5B68-44FD-8F09-58E03D1025C5}" action="delete"/>
  <rcv guid="{E3841903-5B68-44FD-8F09-58E03D1025C5}"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3" sId="7">
    <oc r="DP13">
      <v>1</v>
    </oc>
    <nc r="DP13">
      <v>2</v>
    </nc>
  </rcc>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4" sId="7">
    <nc r="DQ15">
      <v>104</v>
    </nc>
  </rcc>
  <rcc rId="1565" sId="6">
    <nc r="DP15">
      <v>64</v>
    </nc>
  </rcc>
  <rcc rId="1566" sId="6">
    <nc r="DQ15">
      <v>102</v>
    </nc>
  </rcc>
  <rcc rId="1567" sId="4">
    <nc r="DQ15">
      <v>102</v>
    </nc>
  </rcc>
  <rcc rId="1568" sId="4">
    <nc r="DP15">
      <v>64</v>
    </nc>
  </rcc>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9" sId="7">
    <nc r="DR13">
      <v>2</v>
    </nc>
  </rcc>
  <rcc rId="1570" sId="7">
    <nc r="DQ5">
      <v>1</v>
    </nc>
  </rcc>
  <rcc rId="1571" sId="7">
    <nc r="DQ4">
      <v>2</v>
    </nc>
  </rcc>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2" sId="7">
    <oc r="DQ4">
      <v>2</v>
    </oc>
    <nc r="DQ4"/>
  </rcc>
  <rcc rId="1573" sId="7">
    <nc r="DP4">
      <v>2</v>
    </nc>
  </rcc>
  <rcc rId="1574" sId="7">
    <nc r="DP5">
      <v>1</v>
    </nc>
  </rcc>
  <rcc rId="1575" sId="7">
    <oc r="DQ5">
      <v>1</v>
    </oc>
    <nc r="DQ5"/>
  </rcc>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6" sId="7">
    <nc r="DP15">
      <v>64</v>
    </nc>
  </rcc>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7" sId="8">
    <oc r="DP15">
      <v>68</v>
    </oc>
    <nc r="DP15">
      <v>64</v>
    </nc>
  </rcc>
  <rcc rId="1578" sId="8">
    <oc r="DQ15">
      <v>58</v>
    </oc>
    <nc r="DQ15">
      <v>102</v>
    </nc>
  </rcc>
  <rcv guid="{E3841903-5B68-44FD-8F09-58E03D1025C5}" action="delete"/>
  <rcv guid="{E3841903-5B68-44FD-8F09-58E03D1025C5}" action="add"/>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9" sId="4">
    <nc r="DR15">
      <v>10</v>
    </nc>
  </rcc>
  <rcc rId="1580" sId="4">
    <nc r="DR8">
      <v>5</v>
    </nc>
  </rcc>
  <rcc rId="1581" sId="7">
    <nc r="DR8">
      <v>5</v>
    </nc>
  </rcc>
  <rcc rId="1582" sId="7">
    <nc r="DR15">
      <v>10</v>
    </nc>
  </rcc>
  <rcc rId="1583" sId="8">
    <nc r="DR8">
      <v>5</v>
    </nc>
  </rcc>
  <rcc rId="1584" sId="8">
    <nc r="DR15">
      <v>10</v>
    </nc>
  </rcc>
  <rcc rId="1585" sId="6">
    <nc r="DR15">
      <v>10</v>
    </nc>
  </rcc>
  <rcc rId="1586" sId="6">
    <nc r="DR8">
      <v>5</v>
    </nc>
  </rcc>
  <rcv guid="{20CB6D8F-C24D-4D4B-A424-AF380F620455}" action="delete"/>
  <rcv guid="{20CB6D8F-C24D-4D4B-A424-AF380F620455}" action="add"/>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20CB6D8F-C24D-4D4B-A424-AF380F620455}" action="delete"/>
  <rcv guid="{20CB6D8F-C24D-4D4B-A424-AF380F620455}" action="add"/>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7" sId="4" odxf="1" dxf="1">
    <nc r="DG18" t="inlineStr">
      <is>
        <t>Café da manha da cda</t>
      </is>
    </nc>
    <odxf>
      <alignment wrapText="0"/>
    </odxf>
    <ndxf>
      <alignment wrapText="1"/>
    </ndxf>
  </rcc>
  <rcc rId="1588" sId="4">
    <oc r="DG17" t="inlineStr">
      <is>
        <t>Café da manha da cda</t>
      </is>
    </oc>
    <nc r="DG17"/>
  </rcc>
  <rcc rId="1589" sId="4">
    <nc r="DE18" t="inlineStr">
      <is>
        <t>Pela parte da tarde na sala G07 mais o leandro olhando os arquivos</t>
      </is>
    </nc>
  </rcc>
  <rcc rId="1590" sId="4">
    <oc r="DE17" t="inlineStr">
      <is>
        <t>Pela parte da tarde na sala G07 mais o leandro olhando os arquivos</t>
      </is>
    </oc>
    <nc r="DE17"/>
  </rcc>
  <rcc rId="1591" sId="4" odxf="1" dxf="1">
    <nc r="CY18" t="inlineStr">
      <is>
        <t xml:space="preserve">PROCURANDO CAIXAS PARA ELIMINAÇÃO </t>
      </is>
    </nc>
    <odxf>
      <alignment wrapText="0"/>
    </odxf>
    <ndxf>
      <alignment wrapText="1"/>
    </ndxf>
  </rcc>
  <rcc rId="1592" sId="4">
    <oc r="CY17" t="inlineStr">
      <is>
        <t xml:space="preserve">PROCURANDO CAIXAS PARA ELIMINAÇÃO </t>
      </is>
    </oc>
    <nc r="CY17"/>
  </rcc>
  <rcc rId="1593" sId="4" odxf="1" dxf="1">
    <nc r="CX18" t="inlineStr">
      <is>
        <t xml:space="preserve">PROCURANDO CAIXAS PARA ELIMINAÇÃO </t>
      </is>
    </nc>
    <odxf>
      <alignment wrapText="0"/>
    </odxf>
    <ndxf>
      <alignment wrapText="1"/>
    </ndxf>
  </rcc>
  <rcc rId="1594" sId="4">
    <oc r="CX17" t="inlineStr">
      <is>
        <t xml:space="preserve">PROCURANDO CAIXAS PARA ELIMINAÇÃO </t>
      </is>
    </oc>
    <nc r="CX17"/>
  </rcc>
  <rcv guid="{20CB6D8F-C24D-4D4B-A424-AF380F620455}" action="delete"/>
  <rcv guid="{20CB6D8F-C24D-4D4B-A424-AF380F620455}" action="add"/>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5" sId="3" odxf="1" dxf="1">
    <nc r="U18" t="inlineStr">
      <is>
        <t>Apoio no carregamento e acompanhamento do descarregamento das 784 caixas devolvidas ao Ministério da Previdência Social (MPS).</t>
      </is>
    </nc>
    <odxf>
      <font>
        <sz val="11"/>
        <color theme="1"/>
        <name val="Aptos Narrow"/>
        <family val="2"/>
        <scheme val="minor"/>
      </font>
      <alignment vertical="bottom" wrapText="0"/>
    </odxf>
    <ndxf>
      <font>
        <sz val="11"/>
        <color rgb="FF242424"/>
        <name val="Aptos Narrow"/>
        <family val="2"/>
        <scheme val="minor"/>
      </font>
      <alignment vertical="center" wrapText="1"/>
    </ndxf>
  </rcc>
  <rcc rId="1596" sId="3">
    <oc r="U17" t="inlineStr">
      <is>
        <t>Apoio no carregamento e acompanhamento do descarregamento das 784 caixas devolvidas ao Ministério da Previdência Social (MPS).</t>
      </is>
    </oc>
    <nc r="U17"/>
  </rcc>
  <rcc rId="1597" sId="3" odxf="1" dxf="1">
    <nc r="M18" t="inlineStr">
      <is>
        <t>Movimentação de 784 caixas do INSS para devolução ao MPS da sala 3.71 para a sala 4.47 (em palete)</t>
      </is>
    </nc>
    <odxf>
      <font>
        <sz val="11"/>
        <color theme="1"/>
        <name val="Aptos Narrow"/>
        <family val="2"/>
        <scheme val="minor"/>
      </font>
      <alignment vertical="bottom" wrapText="0"/>
    </odxf>
    <ndxf>
      <font>
        <sz val="11"/>
        <color rgb="FF242424"/>
        <name val="Aptos Narrow"/>
        <family val="2"/>
        <scheme val="minor"/>
      </font>
      <alignment vertical="center" wrapText="1"/>
    </ndxf>
  </rcc>
  <rcc rId="1598" sId="3">
    <oc r="M17" t="inlineStr">
      <is>
        <t>Movimentação de 784 caixas do INSS para devolução ao MPS da sala 3.71 para a sala 4.47 (em palete)</t>
      </is>
    </oc>
    <nc r="M17"/>
  </rcc>
  <rcv guid="{18A482E0-C8B6-4AA1-9E04-15FA7C9CD5E3}" action="delete"/>
  <rcv guid="{18A482E0-C8B6-4AA1-9E04-15FA7C9CD5E3}" action="add"/>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E3841903-5B68-44FD-8F09-58E03D1025C5}" action="delete"/>
  <rcv guid="{E3841903-5B68-44FD-8F09-58E03D1025C5}"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9" sId="5">
    <nc r="DR11">
      <v>5</v>
    </nc>
  </rcc>
  <rcc rId="1600" sId="5">
    <nc r="DR12">
      <v>69</v>
    </nc>
  </rcc>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1" sId="4">
    <nc r="DS15">
      <v>10</v>
    </nc>
  </rcc>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2" sId="8">
    <nc r="DS15">
      <v>10</v>
    </nc>
  </rcc>
  <rcv guid="{E3841903-5B68-44FD-8F09-58E03D1025C5}" action="delete"/>
  <rcv guid="{E3841903-5B68-44FD-8F09-58E03D1025C5}" action="add"/>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3" sId="10">
    <nc r="AU11">
      <v>6</v>
    </nc>
  </rcc>
  <rcc rId="1604" sId="10">
    <nc r="AU12">
      <v>90</v>
    </nc>
  </rcc>
  <rcc rId="1605" sId="10">
    <nc r="AV11">
      <v>3</v>
    </nc>
  </rcc>
  <rcc rId="1606" sId="10">
    <nc r="AV12">
      <v>46</v>
    </nc>
  </rcc>
  <rcv guid="{3D987F8E-A6EA-454D-9537-6BFC5053CB00}" action="delete"/>
  <rcv guid="{3D987F8E-A6EA-454D-9537-6BFC5053CB00}" action="add"/>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0" sqref="AU11:AV12">
    <dxf>
      <alignment horizontal="right" readingOrder="0"/>
    </dxf>
  </rfmt>
  <rfmt sheetId="10" sqref="AU11:AV12">
    <dxf>
      <alignment horizontal="center" readingOrder="0"/>
    </dxf>
  </rfmt>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7" sId="5">
    <nc r="DS11">
      <v>5</v>
    </nc>
  </rcc>
  <rcc rId="1608" sId="5">
    <nc r="DS12">
      <v>82</v>
    </nc>
  </rcc>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DU16:DY16" start="0" length="0">
    <dxf>
      <border>
        <bottom/>
      </border>
    </dxf>
  </rfmt>
  <rcv guid="{86039CF8-B158-4D70-9A6F-A10C29CBD68A}" action="delete"/>
  <rcv guid="{86039CF8-B158-4D70-9A6F-A10C29CBD68A}" action="add"/>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9" sId="3">
    <oc r="V2">
      <f>Marcelo!DN2+Patrícia!DN2+Diego!DN2+Aelton!DN2+Leonam!DN2+Danilo!DN2+Marcos!DN2+Carlos!DN2+Alessandro!AQ2</f>
    </oc>
    <nc r="V2">
      <v>2</v>
    </nc>
  </rcc>
  <rcc rId="1610" sId="3">
    <oc r="U2">
      <f>Marcelo!DH2+Patrícia!DH2+Diego!DH2+Aelton!DH2+Leonam!DH2+Danilo!DH2+Marcos!DH2+Carlos!DH2+Alessandro!AK2</f>
    </oc>
    <nc r="U2">
      <v>2</v>
    </nc>
  </rcc>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1" sId="7">
    <nc r="DS15">
      <v>10</v>
    </nc>
  </rcc>
  <rcv guid="{B3CDE377-BA5D-4E06-91D9-3A48E1959BA5}" action="delete"/>
  <rcv guid="{B3CDE377-BA5D-4E06-91D9-3A48E1959BA5}" action="add"/>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2" sId="5">
    <nc r="DU15">
      <v>100</v>
    </nc>
  </rcc>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3" sId="8">
    <nc r="DU15">
      <v>100</v>
    </nc>
  </rcc>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8A482E0-C8B6-4AA1-9E04-15FA7C9CD5E3}" action="delete"/>
  <rcv guid="{18A482E0-C8B6-4AA1-9E04-15FA7C9CD5E3}" action="add"/>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4" sId="7">
    <nc r="DU2">
      <v>1</v>
    </nc>
  </rcc>
  <rcc rId="1615" sId="7">
    <nc r="DU13">
      <v>1</v>
    </nc>
  </rcc>
  <rcc rId="1616" sId="7">
    <nc r="DU14">
      <v>1</v>
    </nc>
  </rcc>
  <rcc rId="1617" sId="7">
    <nc r="DU4">
      <v>5</v>
    </nc>
  </rcc>
  <rcc rId="1618" sId="7">
    <nc r="DU3">
      <v>1</v>
    </nc>
  </rcc>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9" sId="4">
    <nc r="DU15">
      <v>100</v>
    </nc>
  </rcc>
  <rcc rId="1620" sId="4">
    <nc r="DV15">
      <v>140</v>
    </nc>
  </rcc>
  <rcv guid="{20CB6D8F-C24D-4D4B-A424-AF380F620455}" action="delete"/>
  <rcv guid="{20CB6D8F-C24D-4D4B-A424-AF380F620455}" action="add"/>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1" sId="4">
    <nc r="DU13">
      <v>1</v>
    </nc>
  </rcc>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2" sId="8">
    <nc r="DV15">
      <v>140</v>
    </nc>
  </rcc>
  <rcv guid="{E3841903-5B68-44FD-8F09-58E03D1025C5}" action="delete"/>
  <rcv guid="{E3841903-5B68-44FD-8F09-58E03D1025C5}" action="add"/>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3" sId="5">
    <nc r="DV15">
      <v>140</v>
    </nc>
  </rcc>
  <rfmt sheetId="5" sqref="DU16" start="0" length="0">
    <dxf/>
  </rfmt>
  <rfmt sheetId="5" sqref="DV16" start="0" length="0">
    <dxf/>
  </rfmt>
  <rcc rId="1624" sId="5" odxf="1" dxf="1">
    <nc r="DU18" t="inlineStr">
      <is>
        <t>Remanejamento de caixas para a eliminação, nova conferência junto com a chefe Patrícia.
Aelton: 100 caixas remanejadas.</t>
      </is>
    </nc>
    <odxf>
      <alignment wrapText="0"/>
      <border outline="0">
        <left/>
        <right/>
        <top/>
        <bottom/>
      </border>
    </odxf>
    <ndxf>
      <alignment wrapText="1"/>
      <border outline="0">
        <left style="thin">
          <color auto="1"/>
        </left>
        <right style="thin">
          <color auto="1"/>
        </right>
        <top style="thin">
          <color auto="1"/>
        </top>
        <bottom style="thin">
          <color auto="1"/>
        </bottom>
      </border>
    </ndxf>
  </rcc>
  <rcc rId="1625" sId="5" odxf="1" dxf="1">
    <nc r="DV18" t="inlineStr">
      <is>
        <t>Remanejamento de caixas para a eliminação, nova conferência junto com a chefe Patrícia.
Aelton: 140 caixas remanejadas.</t>
      </is>
    </nc>
    <odxf>
      <alignment wrapText="0"/>
      <border outline="0">
        <left/>
        <right/>
        <top/>
        <bottom/>
      </border>
    </odxf>
    <ndxf>
      <alignment wrapText="1"/>
      <border outline="0">
        <left style="thin">
          <color auto="1"/>
        </left>
        <right style="thin">
          <color auto="1"/>
        </right>
        <top style="thin">
          <color auto="1"/>
        </top>
        <bottom style="thin">
          <color auto="1"/>
        </bottom>
      </border>
    </ndxf>
  </rcc>
  <rcv guid="{86039CF8-B158-4D70-9A6F-A10C29CBD68A}" action="delete"/>
  <rcv guid="{86039CF8-B158-4D70-9A6F-A10C29CBD68A}" action="add"/>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6" sId="8">
    <nc r="DW11">
      <v>5</v>
    </nc>
  </rcc>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7" sId="5">
    <nc r="DW9">
      <v>6</v>
    </nc>
  </rcc>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8" sId="5">
    <nc r="DW18" t="inlineStr">
      <is>
        <t>Pela manhã confraternização (aniversário do Diego).</t>
      </is>
    </nc>
  </rcc>
  <rcv guid="{86039CF8-B158-4D70-9A6F-A10C29CBD68A}" action="delete"/>
  <rcv guid="{86039CF8-B158-4D70-9A6F-A10C29CBD68A}" action="add"/>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9" sId="5" odxf="1" dxf="1">
    <oc r="DW18" t="inlineStr">
      <is>
        <t>Pela manhã confraternização (aniversário do Diego).</t>
      </is>
    </oc>
    <nc r="DW18" t="inlineStr">
      <is>
        <t>Pela manhã confraternizaçã
o (aniversário do Diego).</t>
      </is>
    </nc>
    <odxf>
      <alignment wrapText="0"/>
    </odxf>
    <ndxf>
      <alignment wrapText="1"/>
    </ndxf>
  </rcc>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86039CF8-B158-4D70-9A6F-A10C29CBD68A}" action="delete"/>
  <rcv guid="{86039CF8-B158-4D70-9A6F-A10C29CBD68A}" action="add"/>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0" sId="5">
    <oc r="DW18" t="inlineStr">
      <is>
        <t>Pela manhã confraternizaçã
o (aniversário do Diego).</t>
      </is>
    </oc>
    <nc r="DW18" t="inlineStr">
      <is>
        <t>Pela manhã confraternização (aniversário do Diego).</t>
      </is>
    </nc>
  </rcc>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1" sId="4">
    <nc r="DW15">
      <v>24</v>
    </nc>
  </rcc>
  <rcc rId="1632" sId="4">
    <nc r="DW8">
      <v>6</v>
    </nc>
  </rcc>
</revisions>
</file>

<file path=xl/revisions/revisionLog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3" sId="4">
    <oc r="DW15">
      <v>24</v>
    </oc>
    <nc r="DW15">
      <v>6</v>
    </nc>
  </rcc>
  <rfmt sheetId="4" sqref="DV17">
    <dxf>
      <alignment wrapText="1"/>
    </dxf>
  </rfmt>
  <rcc rId="1634" sId="4" odxf="1" dxf="1">
    <nc r="DW17" t="inlineStr">
      <is>
        <t xml:space="preserve">ANIVESARIO PELA PARTE DA MANHA </t>
      </is>
    </nc>
    <odxf>
      <alignment wrapText="0"/>
    </odxf>
    <ndxf>
      <alignment wrapText="1"/>
    </ndxf>
  </rcc>
  <rcv guid="{20CB6D8F-C24D-4D4B-A424-AF380F620455}" action="delete"/>
  <rcv guid="{20CB6D8F-C24D-4D4B-A424-AF380F620455}" action="add"/>
</revisions>
</file>

<file path=xl/revisions/revisionLog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8" sqref="DX17" start="0" length="0">
    <dxf>
      <alignment wrapText="1"/>
    </dxf>
  </rfmt>
  <rcc rId="1635" sId="8">
    <nc r="DW8">
      <v>6</v>
    </nc>
  </rcc>
  <rcc rId="1636" sId="8">
    <oc r="DW11">
      <v>5</v>
    </oc>
    <nc r="DW11"/>
  </rcc>
  <rcc rId="1637" sId="8">
    <nc r="DW15">
      <v>6</v>
    </nc>
  </rcc>
  <rcc rId="1638" sId="8" odxf="1" dxf="1">
    <nc r="DW17" t="inlineStr">
      <is>
        <t xml:space="preserve">ANIVESARIO PELA PARTE DA MANHA </t>
      </is>
    </nc>
    <odxf>
      <alignment wrapText="0"/>
    </odxf>
    <ndxf>
      <alignment wrapText="1"/>
    </ndxf>
  </rcc>
  <rcv guid="{E3841903-5B68-44FD-8F09-58E03D1025C5}" action="delete"/>
  <rcv guid="{E3841903-5B68-44FD-8F09-58E03D1025C5}" action="add"/>
</revisions>
</file>

<file path=xl/revisions/revisionLog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9" sId="5">
    <nc r="DX9">
      <v>4</v>
    </nc>
  </rcc>
  <rcv guid="{86039CF8-B158-4D70-9A6F-A10C29CBD68A}" action="delete"/>
  <rcv guid="{86039CF8-B158-4D70-9A6F-A10C29CBD68A}" action="add"/>
</revisions>
</file>

<file path=xl/revisions/revisionLog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E3841903-5B68-44FD-8F09-58E03D1025C5}" action="delete"/>
  <rcv guid="{E3841903-5B68-44FD-8F09-58E03D1025C5}" action="add"/>
</revisions>
</file>

<file path=xl/revisions/revisionLog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0" sId="6">
    <nc r="DS17" t="inlineStr">
      <is>
        <t xml:space="preserve">LICENÇA </t>
      </is>
    </nc>
  </rcc>
  <rcc rId="1641" sId="6" odxf="1" dxf="1">
    <nc r="DU17" t="inlineStr">
      <is>
        <t xml:space="preserve">LICENÇA </t>
      </is>
    </nc>
    <odxf>
      <border outline="0">
        <left/>
        <right/>
        <top/>
        <bottom/>
      </border>
    </odxf>
    <ndxf>
      <border outline="0">
        <left style="thin">
          <color auto="1"/>
        </left>
        <right style="thin">
          <color auto="1"/>
        </right>
        <top style="thin">
          <color auto="1"/>
        </top>
        <bottom style="thin">
          <color auto="1"/>
        </bottom>
      </border>
    </ndxf>
  </rcc>
  <rcc rId="1642" sId="6" odxf="1" dxf="1">
    <nc r="DV17" t="inlineStr">
      <is>
        <t xml:space="preserve">LICENÇA </t>
      </is>
    </nc>
    <odxf>
      <border outline="0">
        <left/>
        <right/>
        <top/>
        <bottom/>
      </border>
    </odxf>
    <ndxf>
      <border outline="0">
        <left style="thin">
          <color auto="1"/>
        </left>
        <right style="thin">
          <color auto="1"/>
        </right>
        <top style="thin">
          <color auto="1"/>
        </top>
        <bottom style="thin">
          <color auto="1"/>
        </bottom>
      </border>
    </ndxf>
  </rcc>
  <rcc rId="1643" sId="6">
    <nc r="DW17" t="inlineStr">
      <is>
        <t xml:space="preserve">ANIVERSARIO NO PERIODO DA MANHA </t>
      </is>
    </nc>
  </rcc>
  <rfmt sheetId="6" sqref="DW17">
    <dxf>
      <alignment wrapText="1"/>
    </dxf>
  </rfmt>
  <rcc rId="1644" sId="6">
    <nc r="DW8">
      <v>6</v>
    </nc>
  </rcc>
  <rcc rId="1645" sId="6">
    <nc r="DW15">
      <v>6</v>
    </nc>
  </rcc>
  <rcc rId="1646" sId="6">
    <nc r="DX15">
      <v>4</v>
    </nc>
  </rcc>
  <rcc rId="1647" sId="6">
    <nc r="DX8">
      <v>4</v>
    </nc>
  </rcc>
  <rfmt sheetId="6" sqref="DW17" start="0" length="0">
    <dxf>
      <border>
        <left style="thin">
          <color theme="0"/>
        </left>
      </border>
    </dxf>
  </rfmt>
  <rfmt sheetId="6" sqref="DW17:DY17" start="0" length="0">
    <dxf>
      <border>
        <top style="thin">
          <color theme="0"/>
        </top>
      </border>
    </dxf>
  </rfmt>
  <rfmt sheetId="6" sqref="DY17" start="0" length="0">
    <dxf>
      <border>
        <right style="thin">
          <color theme="0"/>
        </right>
      </border>
    </dxf>
  </rfmt>
  <rfmt sheetId="6" sqref="DW17:DY17" start="0" length="0">
    <dxf>
      <border>
        <bottom style="thin">
          <color theme="0"/>
        </bottom>
      </border>
    </dxf>
  </rfmt>
  <rfmt sheetId="6" sqref="DW17:DY17">
    <dxf>
      <border>
        <left style="thin">
          <color theme="0"/>
        </left>
        <right style="thin">
          <color theme="0"/>
        </right>
        <top style="thin">
          <color theme="0"/>
        </top>
        <bottom style="thin">
          <color theme="0"/>
        </bottom>
        <vertical style="thin">
          <color theme="0"/>
        </vertical>
        <horizontal style="thin">
          <color theme="0"/>
        </horizontal>
      </border>
    </dxf>
  </rfmt>
  <rfmt sheetId="6" sqref="DW17:DY17">
    <dxf>
      <border>
        <top style="thin">
          <color theme="0"/>
        </top>
        <bottom style="thin">
          <color theme="0"/>
        </bottom>
        <horizontal style="thin">
          <color theme="0"/>
        </horizontal>
      </border>
    </dxf>
  </rfmt>
  <rfmt sheetId="6" sqref="DV17" start="0" length="0">
    <dxf>
      <border>
        <left style="thin">
          <color theme="0"/>
        </left>
      </border>
    </dxf>
  </rfmt>
  <rfmt sheetId="6" sqref="DV17:DY17" start="0" length="0">
    <dxf>
      <border>
        <top style="thin">
          <color theme="0"/>
        </top>
      </border>
    </dxf>
  </rfmt>
  <rfmt sheetId="6" sqref="DV17:DY17" start="0" length="0">
    <dxf>
      <border>
        <bottom style="thin">
          <color theme="0"/>
        </bottom>
      </border>
    </dxf>
  </rfmt>
  <rfmt sheetId="6" sqref="DV17:DY17">
    <dxf>
      <border>
        <left style="thin">
          <color theme="0"/>
        </left>
        <right style="thin">
          <color theme="0"/>
        </right>
        <top style="thin">
          <color theme="0"/>
        </top>
        <bottom style="thin">
          <color theme="0"/>
        </bottom>
        <vertical style="thin">
          <color theme="0"/>
        </vertical>
        <horizontal style="thin">
          <color theme="0"/>
        </horizontal>
      </border>
    </dxf>
  </rfmt>
  <rfmt sheetId="6" sqref="DU17:DU18" start="0" length="0">
    <dxf>
      <border>
        <left style="thin">
          <color theme="0"/>
        </left>
      </border>
    </dxf>
  </rfmt>
  <rfmt sheetId="6" sqref="DU17:DZ17" start="0" length="0">
    <dxf>
      <border>
        <top style="thin">
          <color theme="0"/>
        </top>
      </border>
    </dxf>
  </rfmt>
  <rfmt sheetId="6" sqref="DZ17:DZ18" start="0" length="0">
    <dxf>
      <border>
        <right style="thin">
          <color theme="0"/>
        </right>
      </border>
    </dxf>
  </rfmt>
  <rfmt sheetId="6" sqref="DU18:DZ18" start="0" length="0">
    <dxf>
      <border>
        <bottom style="thin">
          <color theme="0"/>
        </bottom>
      </border>
    </dxf>
  </rfmt>
  <rfmt sheetId="6" sqref="DU17:DZ18">
    <dxf>
      <border>
        <left style="thin">
          <color theme="0"/>
        </left>
        <right style="thin">
          <color theme="0"/>
        </right>
        <top style="thin">
          <color theme="0"/>
        </top>
        <bottom style="thin">
          <color theme="0"/>
        </bottom>
        <vertical style="thin">
          <color theme="0"/>
        </vertical>
        <horizontal style="thin">
          <color theme="0"/>
        </horizontal>
      </border>
    </dxf>
  </rfmt>
  <rfmt sheetId="6" sqref="DU17:DU18" start="0" length="0">
    <dxf>
      <border>
        <left style="thin">
          <color theme="1"/>
        </left>
      </border>
    </dxf>
  </rfmt>
  <rfmt sheetId="6" sqref="DU17:DZ17" start="0" length="0">
    <dxf>
      <border>
        <top style="thin">
          <color theme="1"/>
        </top>
      </border>
    </dxf>
  </rfmt>
  <rfmt sheetId="6" sqref="DZ17:DZ18" start="0" length="0">
    <dxf>
      <border>
        <right style="thin">
          <color theme="1"/>
        </right>
      </border>
    </dxf>
  </rfmt>
  <rfmt sheetId="6" sqref="DU18:DZ18" start="0" length="0">
    <dxf>
      <border>
        <bottom style="thin">
          <color theme="1"/>
        </bottom>
      </border>
    </dxf>
  </rfmt>
  <rfmt sheetId="6" sqref="DU17:DZ18">
    <dxf>
      <border>
        <left style="thin">
          <color theme="1"/>
        </left>
        <right style="thin">
          <color theme="1"/>
        </right>
        <top style="thin">
          <color theme="1"/>
        </top>
        <bottom style="thin">
          <color theme="1"/>
        </bottom>
        <vertical style="thin">
          <color theme="1"/>
        </vertical>
        <horizontal style="thin">
          <color theme="1"/>
        </horizontal>
      </border>
    </dxf>
  </rfmt>
  <rfmt sheetId="6" sqref="DU2:DU16" start="0" length="0">
    <dxf>
      <border>
        <left style="thin">
          <color theme="1"/>
        </left>
      </border>
    </dxf>
  </rfmt>
  <rfmt sheetId="6" sqref="DU2:DY2" start="0" length="0">
    <dxf>
      <border>
        <top style="thin">
          <color theme="1"/>
        </top>
      </border>
    </dxf>
  </rfmt>
  <rfmt sheetId="6" sqref="DY2:DY16" start="0" length="0">
    <dxf>
      <border>
        <right style="thin">
          <color theme="1"/>
        </right>
      </border>
    </dxf>
  </rfmt>
  <rfmt sheetId="6" sqref="DU2:DY16">
    <dxf>
      <border>
        <left style="thin">
          <color theme="1"/>
        </left>
        <right style="thin">
          <color theme="1"/>
        </right>
        <top style="thin">
          <color theme="1"/>
        </top>
        <bottom style="thin">
          <color theme="1"/>
        </bottom>
        <vertical style="thin">
          <color theme="1"/>
        </vertical>
        <horizontal style="thin">
          <color theme="1"/>
        </horizontal>
      </border>
    </dxf>
  </rfmt>
  <rcc rId="1648" sId="6" odxf="1" dxf="1" numFmtId="21">
    <nc r="EA1">
      <v>45809</v>
    </nc>
    <odxf>
      <numFmt numFmtId="0" formatCode="General"/>
    </odxf>
    <ndxf>
      <numFmt numFmtId="21" formatCode="dd/mmm"/>
    </ndxf>
  </rcc>
  <rcc rId="1649" sId="6" odxf="1" dxf="1" numFmtId="21">
    <nc r="EB1">
      <v>45810</v>
    </nc>
    <odxf>
      <numFmt numFmtId="0" formatCode="General"/>
    </odxf>
    <ndxf>
      <numFmt numFmtId="21" formatCode="dd/mmm"/>
    </ndxf>
  </rcc>
  <rcc rId="1650" sId="6" odxf="1" dxf="1" numFmtId="21">
    <nc r="EC1">
      <v>45811</v>
    </nc>
    <odxf>
      <numFmt numFmtId="0" formatCode="General"/>
    </odxf>
    <ndxf>
      <numFmt numFmtId="21" formatCode="dd/mmm"/>
    </ndxf>
  </rcc>
  <rcc rId="1651" sId="6" odxf="1" dxf="1" numFmtId="21">
    <nc r="ED1">
      <v>45812</v>
    </nc>
    <odxf>
      <numFmt numFmtId="0" formatCode="General"/>
    </odxf>
    <ndxf>
      <numFmt numFmtId="21" formatCode="dd/mmm"/>
    </ndxf>
  </rcc>
  <rcc rId="1652" sId="6" odxf="1" dxf="1" numFmtId="21">
    <nc r="EE1">
      <v>45813</v>
    </nc>
    <odxf>
      <numFmt numFmtId="0" formatCode="General"/>
    </odxf>
    <ndxf>
      <numFmt numFmtId="21" formatCode="dd/mmm"/>
    </ndxf>
  </rcc>
  <rfmt sheetId="6" sqref="EA2:EA18" start="0" length="0">
    <dxf>
      <border>
        <left style="thin">
          <color theme="1"/>
        </left>
      </border>
    </dxf>
  </rfmt>
  <rfmt sheetId="6" sqref="EA2:EE2" start="0" length="0">
    <dxf>
      <border>
        <top style="thin">
          <color theme="1"/>
        </top>
      </border>
    </dxf>
  </rfmt>
  <rfmt sheetId="6" sqref="EE2:EE18" start="0" length="0">
    <dxf>
      <border>
        <right style="thin">
          <color theme="1"/>
        </right>
      </border>
    </dxf>
  </rfmt>
  <rfmt sheetId="6" sqref="EA18:EE18" start="0" length="0">
    <dxf>
      <border>
        <bottom style="thin">
          <color theme="1"/>
        </bottom>
      </border>
    </dxf>
  </rfmt>
  <rfmt sheetId="6" sqref="EA2:EE18">
    <dxf>
      <border>
        <left style="thin">
          <color theme="1"/>
        </left>
        <right style="thin">
          <color theme="1"/>
        </right>
        <top style="thin">
          <color theme="1"/>
        </top>
        <bottom style="thin">
          <color theme="1"/>
        </bottom>
        <vertical style="thin">
          <color theme="1"/>
        </vertical>
        <horizontal style="thin">
          <color theme="1"/>
        </horizontal>
      </border>
    </dxf>
  </rfmt>
  <rcv guid="{9B623083-AA7B-440B-95EA-C33E1AB3D963}" action="delete"/>
  <rcv guid="{9B623083-AA7B-440B-95EA-C33E1AB3D963}" action="add"/>
</revisions>
</file>

<file path=xl/revisions/revisionLog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3" sId="10">
    <nc r="AR11">
      <v>5</v>
    </nc>
  </rcc>
  <rcc rId="1654" sId="10">
    <nc r="AR12">
      <v>73</v>
    </nc>
  </rcc>
  <rcc rId="1655" sId="10">
    <nc r="AS11">
      <v>1</v>
    </nc>
  </rcc>
  <rcc rId="1656" sId="10">
    <nc r="AS12">
      <v>16</v>
    </nc>
  </rcc>
  <rcc rId="1657" sId="10">
    <nc r="AX11">
      <v>4</v>
    </nc>
  </rcc>
  <rcc rId="1658" sId="10">
    <nc r="AX12">
      <v>55</v>
    </nc>
  </rcc>
  <rcc rId="1659" sId="10">
    <nc r="AY11">
      <v>4</v>
    </nc>
  </rcc>
  <rcc rId="1660" sId="10">
    <nc r="AY12">
      <v>78</v>
    </nc>
  </rcc>
  <rcc rId="1661" sId="10">
    <nc r="AZ11">
      <v>2</v>
    </nc>
  </rcc>
  <rcc rId="1662" sId="10">
    <nc r="AZ12">
      <v>47</v>
    </nc>
  </rcc>
  <rcc rId="1663" sId="10">
    <nc r="BA11">
      <v>5</v>
    </nc>
  </rcc>
  <rcc rId="1664" sId="10">
    <nc r="BB11">
      <v>3</v>
    </nc>
  </rcc>
  <rcc rId="1665" sId="10">
    <nc r="BB12">
      <v>105</v>
    </nc>
  </rcc>
  <rcc rId="1666" sId="10">
    <nc r="BA12">
      <v>97</v>
    </nc>
  </rcc>
</revisions>
</file>

<file path=xl/revisions/revisionLog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Y1" start="0" length="0">
    <dxf>
      <font>
        <b/>
        <sz val="9"/>
        <color rgb="FF000000"/>
        <name val="Calibri"/>
        <family val="2"/>
        <scheme val="none"/>
      </font>
      <alignment horizontal="center" vertical="center" wrapText="1"/>
      <border outline="0">
        <left style="thin">
          <color rgb="FF000000"/>
        </left>
        <right style="thin">
          <color rgb="FF000000"/>
        </right>
        <top style="thin">
          <color rgb="FF000000"/>
        </top>
        <bottom style="thin">
          <color rgb="FF000000"/>
        </bottom>
      </border>
    </dxf>
  </rfmt>
  <rfmt sheetId="3" sqref="Y1" start="0" length="0">
    <dxf>
      <font>
        <b val="0"/>
        <sz val="11"/>
        <color theme="1"/>
        <name val="Aptos Narrow"/>
        <family val="2"/>
        <scheme val="minor"/>
      </font>
      <alignment horizontal="general" vertical="bottom" wrapText="0"/>
      <border outline="0">
        <left/>
        <right/>
        <top/>
        <bottom/>
      </border>
    </dxf>
  </rfmt>
  <rcv guid="{18A482E0-C8B6-4AA1-9E04-15FA7C9CD5E3}" action="delete"/>
  <rcv guid="{18A482E0-C8B6-4AA1-9E04-15FA7C9CD5E3}" action="add"/>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7" sId="8" xfDxf="1" dxf="1">
    <nc r="DX8">
      <v>4</v>
    </nc>
    <ndxf>
      <alignment horizontal="center" vertical="center"/>
    </ndxf>
  </rcc>
  <rfmt sheetId="8" xfDxf="1" sqref="DX9" start="0" length="0">
    <dxf>
      <alignment horizontal="center" vertical="center"/>
    </dxf>
  </rfmt>
  <rfmt sheetId="8" xfDxf="1" sqref="DX10" start="0" length="0">
    <dxf>
      <alignment horizontal="center" vertical="center"/>
    </dxf>
  </rfmt>
  <rfmt sheetId="8" xfDxf="1" sqref="DX11" start="0" length="0">
    <dxf>
      <alignment horizontal="center" vertical="center"/>
    </dxf>
  </rfmt>
  <rfmt sheetId="8" xfDxf="1" sqref="DX12" start="0" length="0">
    <dxf>
      <alignment horizontal="center" vertical="center"/>
    </dxf>
  </rfmt>
  <rfmt sheetId="8" xfDxf="1" sqref="DX13" start="0" length="0">
    <dxf>
      <alignment horizontal="center" vertical="center"/>
    </dxf>
  </rfmt>
  <rfmt sheetId="8" xfDxf="1" sqref="DX14" start="0" length="0">
    <dxf>
      <alignment horizontal="center" vertical="center"/>
    </dxf>
  </rfmt>
  <rcc rId="1668" sId="8" xfDxf="1" dxf="1">
    <nc r="DX15">
      <v>4</v>
    </nc>
    <ndxf>
      <alignment horizontal="center" vertical="center"/>
    </ndxf>
  </rcc>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9" sId="4">
    <nc r="DX8">
      <v>7</v>
    </nc>
  </rcc>
  <rcc rId="1670" sId="4">
    <nc r="DX15">
      <v>15</v>
    </nc>
  </rcc>
  <rcc rId="1671" sId="4">
    <nc r="DX17" t="inlineStr">
      <is>
        <t xml:space="preserve">PROCURANDO CAIXAS PARA ELIMINAÇÃO </t>
      </is>
    </nc>
  </rcc>
  <rfmt sheetId="4" sqref="DX17">
    <dxf>
      <alignment wrapText="1"/>
    </dxf>
  </rfmt>
  <rcv guid="{20CB6D8F-C24D-4D4B-A424-AF380F620455}" action="delete"/>
  <rcv guid="{20CB6D8F-C24D-4D4B-A424-AF380F620455}" action="add"/>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2" sId="5">
    <nc r="DY9">
      <v>1</v>
    </nc>
  </rcc>
  <rcc rId="1673" sId="5" odxf="1" dxf="1">
    <nc r="DY18" t="inlineStr">
      <is>
        <t>Listando filmes da LBA -DNIT, Sl. 4.47</t>
      </is>
    </nc>
    <odxf>
      <alignment wrapText="0"/>
      <border outline="0">
        <left/>
        <right/>
        <top/>
        <bottom/>
      </border>
    </odxf>
    <ndxf>
      <alignment wrapText="1"/>
      <border outline="0">
        <left style="thin">
          <color auto="1"/>
        </left>
        <right style="thin">
          <color auto="1"/>
        </right>
        <top style="thin">
          <color auto="1"/>
        </top>
        <bottom style="thin">
          <color auto="1"/>
        </bottom>
      </border>
    </ndxf>
  </rcc>
  <rcv guid="{86039CF8-B158-4D70-9A6F-A10C29CBD68A}" action="delete"/>
  <rcv guid="{86039CF8-B158-4D70-9A6F-A10C29CBD68A}" action="add"/>
</revisions>
</file>

<file path=xl/revisions/revisionLog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4" sId="8">
    <oc r="DX8">
      <v>4</v>
    </oc>
    <nc r="DX8">
      <v>7</v>
    </nc>
  </rcc>
  <rcc rId="1675" sId="8">
    <oc r="DX15">
      <v>4</v>
    </oc>
    <nc r="DX15">
      <v>15</v>
    </nc>
  </rcc>
  <rcc rId="1676" sId="8">
    <nc r="DX17" t="inlineStr">
      <is>
        <t xml:space="preserve">PROCURANDO CAIXAS PARA ELIMINAÇÃO </t>
      </is>
    </nc>
  </rcc>
  <rcc rId="1677" sId="8">
    <nc r="DY8">
      <v>18</v>
    </nc>
  </rcc>
  <rcc rId="1678" sId="8">
    <nc r="DY15">
      <v>16</v>
    </nc>
  </rcc>
  <rcc rId="1679" sId="4">
    <nc r="DY8">
      <v>18</v>
    </nc>
  </rcc>
  <rcc rId="1680" sId="4">
    <nc r="DY15">
      <v>16</v>
    </nc>
  </rcc>
  <rcv guid="{E3841903-5B68-44FD-8F09-58E03D1025C5}" action="delete"/>
  <rcv guid="{E3841903-5B68-44FD-8F09-58E03D1025C5}" action="add"/>
</revisions>
</file>

<file path=xl/revisions/revisionLog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681" sheetId="5" source="DY18" destination="DY17" sourceSheetId="5">
    <rfmt sheetId="5" sqref="DY17" start="0" length="0">
      <dxf>
        <alignment horizontal="center" vertical="center"/>
      </dxf>
    </rfmt>
  </rm>
  <rcv guid="{86039CF8-B158-4D70-9A6F-A10C29CBD68A}" action="delete"/>
  <rcv guid="{86039CF8-B158-4D70-9A6F-A10C29CBD68A}" action="add"/>
</revisions>
</file>

<file path=xl/revisions/revisionLog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2" sId="5">
    <oc r="DY17" t="inlineStr">
      <is>
        <t>Listando filmes da LBA -DNIT, Sl. 4.47</t>
      </is>
    </oc>
    <nc r="DY17" t="inlineStr">
      <is>
        <t>Listando filmes da LBA -DNIT, Sl. 4.47.</t>
      </is>
    </nc>
  </rcc>
</revisions>
</file>

<file path=xl/revisions/revisionLog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7" sqref="DV18" start="0" length="0">
    <dxf>
      <alignment wrapText="1"/>
    </dxf>
  </rfmt>
  <rcc rId="1683" sId="7" odxf="1" dxf="1">
    <nc r="DW18" t="inlineStr">
      <is>
        <t>Pela manhã confraternização (aniversário do Diego).</t>
      </is>
    </nc>
    <odxf>
      <alignment wrapText="0"/>
    </odxf>
    <ndxf>
      <alignment wrapText="1"/>
    </ndxf>
  </rcc>
  <rcc rId="1684" sId="7">
    <nc r="DU11">
      <v>3</v>
    </nc>
  </rcc>
  <rcc rId="1685" sId="7">
    <nc r="DU7">
      <v>20</v>
    </nc>
  </rcc>
  <rcc rId="1686" sId="7">
    <nc r="DU12">
      <v>69</v>
    </nc>
  </rcc>
  <rcc rId="1687" sId="7">
    <nc r="DV11">
      <v>5</v>
    </nc>
  </rcc>
  <rcc rId="1688" sId="7">
    <nc r="DV12">
      <v>93</v>
    </nc>
  </rcc>
  <rcc rId="1689" sId="7">
    <nc r="DV7">
      <v>19</v>
    </nc>
  </rcc>
  <rcc rId="1690" sId="7">
    <nc r="DW12">
      <v>59</v>
    </nc>
  </rcc>
  <rcc rId="1691" sId="7">
    <nc r="DW11">
      <v>3</v>
    </nc>
  </rcc>
  <rcc rId="1692" sId="7">
    <nc r="DW7">
      <v>45</v>
    </nc>
  </rcc>
</revisions>
</file>

<file path=xl/revisions/revisionLog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3" sId="7">
    <nc r="DY7">
      <v>5</v>
    </nc>
  </rcc>
  <rcc rId="1694" sId="7">
    <oc r="DW7">
      <v>45</v>
    </oc>
    <nc r="DW7">
      <v>19</v>
    </nc>
  </rcc>
  <rcc rId="1695" sId="7">
    <nc r="DX11">
      <v>3</v>
    </nc>
  </rcc>
  <rcc rId="1696" sId="7">
    <oc r="DU11">
      <v>3</v>
    </oc>
    <nc r="DU11">
      <v>2</v>
    </nc>
  </rcc>
  <rcc rId="1697" sId="7">
    <oc r="DU7">
      <v>20</v>
    </oc>
    <nc r="DU7">
      <v>19</v>
    </nc>
  </rcc>
  <rcc rId="1698" sId="7">
    <oc r="DU12">
      <v>69</v>
    </oc>
    <nc r="DU12">
      <v>55</v>
    </nc>
  </rcc>
  <rcc rId="1699" sId="7">
    <oc r="DV12">
      <v>93</v>
    </oc>
    <nc r="DV12">
      <v>91</v>
    </nc>
  </rcc>
  <rcc rId="1700" sId="7">
    <oc r="DV7">
      <v>19</v>
    </oc>
    <nc r="DV7">
      <v>18</v>
    </nc>
  </rcc>
  <rcc rId="1701" sId="7">
    <oc r="DW11">
      <v>3</v>
    </oc>
    <nc r="DW11">
      <v>2</v>
    </nc>
  </rcc>
  <rcc rId="1702" sId="7">
    <oc r="DW12">
      <v>59</v>
    </oc>
    <nc r="DW12">
      <v>34</v>
    </nc>
  </rcc>
  <rcc rId="1703" sId="7">
    <nc r="DX12">
      <v>83</v>
    </nc>
  </rcc>
  <rcc rId="1704" sId="7">
    <nc r="DX7">
      <v>27</v>
    </nc>
  </rcc>
  <rcc rId="1705" sId="7">
    <nc r="DY11">
      <v>2</v>
    </nc>
  </rcc>
  <rcc rId="1706" sId="7">
    <nc r="DY12">
      <v>43</v>
    </nc>
  </rcc>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E3841903-5B68-44FD-8F09-58E03D1025C5}" action="delete"/>
  <rcv guid="{E3841903-5B68-44FD-8F09-58E03D1025C5}" action="add"/>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7" sId="6">
    <oc r="DX8">
      <v>4</v>
    </oc>
    <nc r="DX8">
      <v>7</v>
    </nc>
  </rcc>
  <rcc rId="1708" sId="6">
    <oc r="DX15">
      <v>4</v>
    </oc>
    <nc r="DX15">
      <v>15</v>
    </nc>
  </rcc>
  <rcc rId="1709" sId="6">
    <nc r="DY8">
      <v>18</v>
    </nc>
  </rcc>
  <rcc rId="1710" sId="6">
    <nc r="DY15">
      <v>16</v>
    </nc>
  </rcc>
  <rcc rId="1711" sId="6" odxf="1" dxf="1">
    <nc r="DX17" t="inlineStr">
      <is>
        <t xml:space="preserve">PROCURANDO CAIXAS PARA ELIMINAÇÃO </t>
      </is>
    </nc>
    <odxf>
      <alignment wrapText="0"/>
      <border outline="0">
        <left style="thin">
          <color theme="1"/>
        </left>
        <right style="thin">
          <color theme="1"/>
        </right>
        <top style="thin">
          <color theme="1"/>
        </top>
        <bottom style="thin">
          <color theme="1"/>
        </bottom>
      </border>
    </odxf>
    <ndxf>
      <alignment wrapText="1"/>
      <border outline="0">
        <left/>
        <right/>
        <top/>
        <bottom/>
      </border>
    </ndxf>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8">
  <userInfo guid="{7DB354D4-82E5-4017-A6D1-536315A575B8}" name="Marcos Neves de Almeida" id="-830250171" dateTime="2025-05-19T08:25:46"/>
  <userInfo guid="{9E93C665-6037-4D6C-8C6D-B7BC10989B33}" name="Aelton de Jesus Nunes" id="-687477974" dateTime="2025-05-19T09:48:29"/>
  <userInfo guid="{6D2E746C-BEED-4031-8078-84A0EF3CB52D}" name="Danilo Rafael Basilio da Silva" id="-1332238956" dateTime="2025-05-19T09:55:41"/>
  <userInfo guid="{04F97D91-A3DC-4158-BC92-8DA78D2883C5}" name="Aelton de Jesus Nunes" id="-687486368" dateTime="2025-05-22T09:12:28"/>
  <userInfo guid="{79BA26E2-5FEC-461A-96F5-A6922A8114B5}" name="Danilo Rafael Basilio da Silva" id="-1332263399" dateTime="2025-05-26T11:28:35"/>
  <userInfo guid="{4CEF9744-D0AA-494D-9442-17647D9C06F7}" name="Aelton de Jesus Nunes" id="-687524387" dateTime="2025-05-29T16:08:32"/>
  <userInfo guid="{1C489811-5774-422C-A19C-CD84A5BB633A}" name="Diego Santos de Abreu" id="-678726635" dateTime="2025-06-02T08:46:17"/>
  <userInfo guid="{655D3FBE-756B-4053-9349-D54DD852E93D}" name="Marcos Neves de Almeida" id="-830263004" dateTime="2025-06-03T08:50:20"/>
</user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9"/>
  <sheetViews>
    <sheetView workbookViewId="0">
      <selection activeCell="BA18" sqref="BA18"/>
    </sheetView>
  </sheetViews>
  <sheetFormatPr defaultColWidth="9.140625" defaultRowHeight="15" x14ac:dyDescent="0.25"/>
  <cols>
    <col min="1" max="1" width="77.42578125" style="1" bestFit="1" customWidth="1"/>
    <col min="2" max="2" width="3" style="1" bestFit="1" customWidth="1"/>
    <col min="3" max="44" width="20.140625" style="1" customWidth="1"/>
    <col min="45" max="45" width="24.85546875" style="1" customWidth="1"/>
    <col min="46" max="46" width="16.28515625" style="1" customWidth="1"/>
    <col min="47" max="48" width="18.85546875" style="1" customWidth="1"/>
    <col min="49" max="49" width="33.85546875" style="1" customWidth="1"/>
    <col min="50" max="50" width="28.28515625" style="1" customWidth="1"/>
    <col min="51" max="52" width="9.140625" style="1"/>
    <col min="53" max="53" width="21" style="1" customWidth="1"/>
    <col min="54" max="54" width="14.28515625" style="1" bestFit="1" customWidth="1"/>
    <col min="55" max="57" width="9.140625" style="1"/>
    <col min="58" max="58" width="14.28515625" style="1" bestFit="1" customWidth="1"/>
    <col min="59" max="63" width="9.140625" style="1"/>
    <col min="64" max="64" width="14.28515625" style="1" bestFit="1" customWidth="1"/>
    <col min="65" max="65" width="20.85546875" style="1" customWidth="1"/>
    <col min="66" max="69" width="9.140625" style="1"/>
    <col min="70" max="70" width="14.28515625" style="1" bestFit="1" customWidth="1"/>
    <col min="71" max="75" width="9.140625" style="1"/>
    <col min="76" max="76" width="14.28515625" style="1" bestFit="1" customWidth="1"/>
    <col min="77" max="16384" width="9.140625" style="1"/>
  </cols>
  <sheetData>
    <row r="1" spans="1:82"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2">
        <v>45675</v>
      </c>
      <c r="S1" s="2">
        <v>45677</v>
      </c>
      <c r="T1" s="2">
        <v>45678</v>
      </c>
      <c r="U1" s="2">
        <v>45679</v>
      </c>
      <c r="V1" s="2">
        <v>45680</v>
      </c>
      <c r="W1" s="2">
        <v>45681</v>
      </c>
      <c r="X1" s="20" t="s">
        <v>56</v>
      </c>
      <c r="Y1" s="2">
        <v>45684</v>
      </c>
      <c r="Z1" s="2">
        <v>45685</v>
      </c>
      <c r="AA1" s="2">
        <v>45686</v>
      </c>
      <c r="AB1" s="2">
        <v>45687</v>
      </c>
      <c r="AC1" s="2">
        <v>45688</v>
      </c>
      <c r="AD1" s="20" t="s">
        <v>56</v>
      </c>
      <c r="AE1" s="2">
        <v>45691</v>
      </c>
      <c r="AF1" s="2">
        <v>45692</v>
      </c>
      <c r="AG1" s="2">
        <v>45693</v>
      </c>
      <c r="AH1" s="2">
        <v>45694</v>
      </c>
      <c r="AI1" s="2">
        <v>45695</v>
      </c>
      <c r="AJ1" s="20" t="s">
        <v>56</v>
      </c>
      <c r="AK1" s="2">
        <v>45698</v>
      </c>
      <c r="AL1" s="2">
        <v>45699</v>
      </c>
      <c r="AM1" s="2">
        <v>45700</v>
      </c>
      <c r="AN1" s="2">
        <v>45701</v>
      </c>
      <c r="AO1" s="2">
        <v>45702</v>
      </c>
      <c r="AP1" s="20" t="s">
        <v>56</v>
      </c>
      <c r="AQ1" s="2">
        <v>45705</v>
      </c>
      <c r="AR1" s="2">
        <v>45706</v>
      </c>
      <c r="AS1" s="2">
        <v>45707</v>
      </c>
      <c r="AT1" s="2">
        <v>45708</v>
      </c>
      <c r="AU1" s="2">
        <v>45709</v>
      </c>
      <c r="AV1" s="20" t="s">
        <v>56</v>
      </c>
      <c r="AW1" s="2">
        <v>45712</v>
      </c>
      <c r="AX1" s="2">
        <v>45713</v>
      </c>
      <c r="AY1" s="2">
        <v>45714</v>
      </c>
      <c r="AZ1" s="2">
        <v>45715</v>
      </c>
      <c r="BA1" s="2">
        <v>45716</v>
      </c>
      <c r="BB1" s="20" t="s">
        <v>56</v>
      </c>
      <c r="BC1" s="2">
        <v>45721</v>
      </c>
      <c r="BD1" s="2">
        <v>45722</v>
      </c>
      <c r="BE1" s="2">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row>
    <row r="2" spans="1:82" x14ac:dyDescent="0.25">
      <c r="A2" s="3" t="s">
        <v>113</v>
      </c>
      <c r="B2" s="8">
        <v>1</v>
      </c>
      <c r="E2" s="21"/>
      <c r="K2" s="21"/>
      <c r="Q2" s="21"/>
      <c r="X2" s="21"/>
      <c r="AD2" s="21"/>
      <c r="AJ2" s="21"/>
      <c r="AP2" s="21"/>
      <c r="AV2" s="21"/>
      <c r="BB2" s="21"/>
      <c r="BF2" s="21"/>
      <c r="BG2" s="11"/>
      <c r="BH2" s="15"/>
      <c r="BI2" s="18"/>
      <c r="BJ2" s="18"/>
      <c r="BK2" s="18"/>
      <c r="BL2" s="21"/>
      <c r="BR2" s="21"/>
      <c r="BX2" s="21"/>
      <c r="CD2" s="21"/>
    </row>
    <row r="3" spans="1:82" x14ac:dyDescent="0.25">
      <c r="A3" s="3" t="s">
        <v>0</v>
      </c>
      <c r="B3" s="8">
        <v>2</v>
      </c>
      <c r="E3" s="21"/>
      <c r="K3" s="21"/>
      <c r="Q3" s="21"/>
      <c r="X3" s="21"/>
      <c r="AD3" s="21"/>
      <c r="AJ3" s="21"/>
      <c r="AP3" s="21"/>
      <c r="AV3" s="21"/>
      <c r="BB3" s="21"/>
      <c r="BF3" s="21"/>
      <c r="BG3" s="11"/>
      <c r="BH3" s="16"/>
      <c r="BI3" s="11"/>
      <c r="BJ3" s="11"/>
      <c r="BK3" s="11"/>
      <c r="BL3" s="21"/>
      <c r="BR3" s="21"/>
      <c r="BX3" s="21"/>
      <c r="CD3" s="21"/>
    </row>
    <row r="4" spans="1:82" x14ac:dyDescent="0.25">
      <c r="A4" s="4" t="s">
        <v>100</v>
      </c>
      <c r="B4" s="8">
        <v>3</v>
      </c>
      <c r="E4" s="21"/>
      <c r="K4" s="21"/>
      <c r="Q4" s="21"/>
      <c r="X4" s="21"/>
      <c r="AD4" s="21"/>
      <c r="AJ4" s="21"/>
      <c r="AP4" s="21"/>
      <c r="AV4" s="21"/>
      <c r="BB4" s="21"/>
      <c r="BF4" s="21"/>
      <c r="BG4" s="11"/>
      <c r="BH4" s="16"/>
      <c r="BI4" s="11"/>
      <c r="BJ4" s="11"/>
      <c r="BK4" s="11"/>
      <c r="BL4" s="21"/>
      <c r="BR4" s="21"/>
      <c r="BX4" s="21"/>
      <c r="CD4" s="21"/>
    </row>
    <row r="5" spans="1:82" x14ac:dyDescent="0.25">
      <c r="A5" s="4" t="s">
        <v>99</v>
      </c>
      <c r="B5" s="9">
        <v>4</v>
      </c>
      <c r="E5" s="21"/>
      <c r="K5" s="21"/>
      <c r="Q5" s="21"/>
      <c r="X5" s="21"/>
      <c r="AD5" s="21"/>
      <c r="AJ5" s="21"/>
      <c r="AP5" s="21"/>
      <c r="AU5" s="1">
        <v>1</v>
      </c>
      <c r="AV5" s="21"/>
      <c r="BB5" s="21"/>
      <c r="BF5" s="21"/>
      <c r="BG5" s="11"/>
      <c r="BH5" s="16"/>
      <c r="BI5" s="11"/>
      <c r="BJ5" s="11"/>
      <c r="BK5" s="11"/>
      <c r="BL5" s="21"/>
      <c r="BR5" s="21"/>
      <c r="BX5" s="21"/>
      <c r="CD5" s="21"/>
    </row>
    <row r="6" spans="1:82" x14ac:dyDescent="0.25">
      <c r="A6" s="4" t="s">
        <v>1</v>
      </c>
      <c r="B6" s="9">
        <v>5</v>
      </c>
      <c r="E6" s="21"/>
      <c r="K6" s="21"/>
      <c r="Q6" s="21"/>
      <c r="X6" s="21"/>
      <c r="AD6" s="21"/>
      <c r="AJ6" s="21"/>
      <c r="AP6" s="21"/>
      <c r="AV6" s="21"/>
      <c r="BB6" s="21"/>
      <c r="BF6" s="21"/>
      <c r="BG6" s="11"/>
      <c r="BH6" s="16"/>
      <c r="BI6" s="11"/>
      <c r="BJ6" s="11"/>
      <c r="BK6" s="11"/>
      <c r="BL6" s="21"/>
      <c r="BR6" s="21"/>
      <c r="BX6" s="21"/>
      <c r="CD6" s="21"/>
    </row>
    <row r="7" spans="1:82" x14ac:dyDescent="0.25">
      <c r="A7" s="4" t="s">
        <v>2</v>
      </c>
      <c r="B7" s="9">
        <v>6</v>
      </c>
      <c r="E7" s="21"/>
      <c r="K7" s="21"/>
      <c r="Q7" s="21"/>
      <c r="X7" s="21"/>
      <c r="AD7" s="21"/>
      <c r="AJ7" s="21"/>
      <c r="AP7" s="21"/>
      <c r="AV7" s="21"/>
      <c r="BB7" s="21"/>
      <c r="BF7" s="21"/>
      <c r="BG7" s="11"/>
      <c r="BH7" s="16"/>
      <c r="BI7" s="11"/>
      <c r="BJ7" s="11"/>
      <c r="BK7" s="11"/>
      <c r="BL7" s="21"/>
      <c r="BR7" s="21"/>
      <c r="BX7" s="21"/>
      <c r="CD7" s="21"/>
    </row>
    <row r="8" spans="1:82" x14ac:dyDescent="0.25">
      <c r="A8" s="4" t="s">
        <v>3</v>
      </c>
      <c r="B8" s="9">
        <v>7</v>
      </c>
      <c r="E8" s="21"/>
      <c r="K8" s="21"/>
      <c r="Q8" s="21"/>
      <c r="X8" s="21"/>
      <c r="AD8" s="21"/>
      <c r="AJ8" s="21"/>
      <c r="AP8" s="21"/>
      <c r="AV8" s="21"/>
      <c r="BB8" s="21"/>
      <c r="BF8" s="21"/>
      <c r="BG8" s="11"/>
      <c r="BH8" s="16"/>
      <c r="BI8" s="11"/>
      <c r="BJ8" s="11"/>
      <c r="BK8" s="11"/>
      <c r="BL8" s="21"/>
      <c r="BR8" s="21"/>
      <c r="BX8" s="21">
        <f>SUM(BS8:BW8)</f>
        <v>0</v>
      </c>
      <c r="CD8" s="21">
        <f>SUM(BY8:CC8)</f>
        <v>0</v>
      </c>
    </row>
    <row r="9" spans="1:82" x14ac:dyDescent="0.25">
      <c r="A9" s="4" t="s">
        <v>21</v>
      </c>
      <c r="B9" s="9">
        <v>8</v>
      </c>
      <c r="E9" s="21"/>
      <c r="K9" s="21"/>
      <c r="Q9" s="21"/>
      <c r="X9" s="21"/>
      <c r="AD9" s="21"/>
      <c r="AJ9" s="21"/>
      <c r="AP9" s="21"/>
      <c r="AV9" s="21"/>
      <c r="BB9" s="21"/>
      <c r="BF9" s="21"/>
      <c r="BG9" s="11"/>
      <c r="BH9" s="16"/>
      <c r="BI9" s="11"/>
      <c r="BJ9" s="11"/>
      <c r="BK9" s="11"/>
      <c r="BL9" s="21"/>
      <c r="BR9" s="21">
        <f>SUM(BM9:BQ9)</f>
        <v>0</v>
      </c>
      <c r="BX9" s="21">
        <f>SUM(BS9:BW9)</f>
        <v>0</v>
      </c>
      <c r="CD9" s="21">
        <f>SUM(BY9:CC9)</f>
        <v>0</v>
      </c>
    </row>
    <row r="10" spans="1:82" x14ac:dyDescent="0.25">
      <c r="A10" s="3" t="s">
        <v>13</v>
      </c>
      <c r="B10" s="8">
        <v>9</v>
      </c>
      <c r="E10" s="21"/>
      <c r="K10" s="21"/>
      <c r="Q10" s="21"/>
      <c r="X10" s="21"/>
      <c r="AD10" s="21"/>
      <c r="AJ10" s="21"/>
      <c r="AP10" s="21"/>
      <c r="AV10" s="21"/>
      <c r="BB10" s="21"/>
      <c r="BF10" s="21"/>
      <c r="BG10" s="11"/>
      <c r="BH10" s="16"/>
      <c r="BI10" s="11"/>
      <c r="BJ10" s="11"/>
      <c r="BK10" s="11"/>
      <c r="BL10" s="21"/>
      <c r="BR10" s="21">
        <f>SUM(BM10:BQ10)</f>
        <v>0</v>
      </c>
      <c r="BX10" s="21">
        <f>SUM(BS10:BW10)</f>
        <v>0</v>
      </c>
      <c r="CD10" s="21">
        <f>SUM(BY10:CC10)</f>
        <v>0</v>
      </c>
    </row>
    <row r="11" spans="1:82" x14ac:dyDescent="0.25">
      <c r="A11" s="4" t="s">
        <v>4</v>
      </c>
      <c r="B11" s="9">
        <v>10</v>
      </c>
      <c r="E11" s="21"/>
      <c r="K11" s="21"/>
      <c r="Q11" s="21"/>
      <c r="X11" s="21"/>
      <c r="AD11" s="21"/>
      <c r="AJ11" s="21"/>
      <c r="AP11" s="21"/>
      <c r="AV11" s="21"/>
      <c r="BB11" s="21"/>
      <c r="BF11" s="21"/>
      <c r="BG11" s="11"/>
      <c r="BH11" s="16"/>
      <c r="BI11" s="11"/>
      <c r="BJ11" s="11"/>
      <c r="BK11" s="11"/>
      <c r="BL11" s="21"/>
      <c r="BR11" s="21">
        <f>SUM(BM11:BQ11)</f>
        <v>0</v>
      </c>
      <c r="BX11" s="21">
        <f>SUM(BS11:BW11)</f>
        <v>0</v>
      </c>
      <c r="CD11" s="21">
        <f>SUM(BY11:CC11)</f>
        <v>0</v>
      </c>
    </row>
    <row r="12" spans="1:82" x14ac:dyDescent="0.25">
      <c r="A12" s="4" t="s">
        <v>5</v>
      </c>
      <c r="B12" s="9">
        <v>11</v>
      </c>
      <c r="E12" s="21"/>
      <c r="K12" s="21"/>
      <c r="Q12" s="21"/>
      <c r="X12" s="21"/>
      <c r="AD12" s="21"/>
      <c r="AJ12" s="21"/>
      <c r="AP12" s="21"/>
      <c r="AV12" s="21"/>
      <c r="BB12" s="21"/>
      <c r="BF12" s="21"/>
      <c r="BG12" s="11"/>
      <c r="BH12" s="16"/>
      <c r="BI12" s="11"/>
      <c r="BJ12" s="11"/>
      <c r="BK12" s="11"/>
      <c r="BL12" s="21"/>
      <c r="BR12" s="21"/>
      <c r="BX12" s="21"/>
      <c r="CD12" s="21"/>
    </row>
    <row r="13" spans="1:82" x14ac:dyDescent="0.25">
      <c r="A13" s="3" t="s">
        <v>8</v>
      </c>
      <c r="B13" s="8">
        <v>12</v>
      </c>
      <c r="D13" s="1">
        <v>1</v>
      </c>
      <c r="E13" s="21">
        <f>SUM(C13:D13)</f>
        <v>1</v>
      </c>
      <c r="F13" s="1">
        <v>3</v>
      </c>
      <c r="G13" s="1">
        <v>1</v>
      </c>
      <c r="K13" s="21"/>
      <c r="O13" s="1">
        <v>1</v>
      </c>
      <c r="Q13" s="21"/>
      <c r="T13" s="1">
        <v>1</v>
      </c>
      <c r="X13" s="21"/>
      <c r="Z13" s="1">
        <v>2</v>
      </c>
      <c r="AB13" s="1">
        <v>4</v>
      </c>
      <c r="AC13" s="1">
        <v>1</v>
      </c>
      <c r="AD13" s="21"/>
      <c r="AE13" s="1">
        <v>1</v>
      </c>
      <c r="AH13" s="1">
        <v>2</v>
      </c>
      <c r="AI13" s="1">
        <v>1</v>
      </c>
      <c r="AJ13" s="21"/>
      <c r="AK13" s="1">
        <v>1</v>
      </c>
      <c r="AN13" s="1">
        <v>1</v>
      </c>
      <c r="AP13" s="21"/>
      <c r="AQ13" s="1">
        <v>7</v>
      </c>
      <c r="AR13" s="1">
        <v>1</v>
      </c>
      <c r="AS13" s="1">
        <v>1</v>
      </c>
      <c r="AV13" s="21"/>
      <c r="AW13" s="1">
        <v>4</v>
      </c>
      <c r="AY13" s="1">
        <v>1</v>
      </c>
      <c r="BB13" s="21"/>
      <c r="BF13" s="21"/>
      <c r="BG13" s="11"/>
      <c r="BH13" s="16"/>
      <c r="BI13" s="11"/>
      <c r="BJ13" s="11"/>
      <c r="BK13" s="11"/>
      <c r="BL13" s="21"/>
      <c r="BR13" s="21"/>
      <c r="BX13" s="21"/>
      <c r="CD13" s="21"/>
    </row>
    <row r="14" spans="1:82" x14ac:dyDescent="0.25">
      <c r="A14" s="4" t="s">
        <v>6</v>
      </c>
      <c r="B14" s="9">
        <v>13</v>
      </c>
      <c r="E14" s="21">
        <f>SUM(C14:D14)</f>
        <v>0</v>
      </c>
      <c r="K14" s="21"/>
      <c r="Q14" s="21"/>
      <c r="X14" s="21"/>
      <c r="AD14" s="21"/>
      <c r="AJ14" s="21"/>
      <c r="AK14" s="1">
        <v>1</v>
      </c>
      <c r="AP14" s="21"/>
      <c r="AT14" s="1">
        <v>1</v>
      </c>
      <c r="AV14" s="21"/>
      <c r="BB14" s="21"/>
      <c r="BF14" s="21"/>
      <c r="BG14" s="11"/>
      <c r="BH14" s="16"/>
      <c r="BI14" s="11"/>
      <c r="BJ14" s="11"/>
      <c r="BK14" s="11"/>
      <c r="BL14" s="21"/>
      <c r="BR14" s="21"/>
      <c r="BX14" s="21"/>
      <c r="CD14" s="21"/>
    </row>
    <row r="15" spans="1:82" x14ac:dyDescent="0.25">
      <c r="A15" s="3" t="s">
        <v>7</v>
      </c>
      <c r="B15" s="9">
        <v>14</v>
      </c>
      <c r="E15" s="21"/>
      <c r="K15" s="21"/>
      <c r="Q15" s="21"/>
      <c r="X15" s="21"/>
      <c r="AD15" s="21"/>
      <c r="AJ15" s="21"/>
      <c r="AP15" s="21"/>
      <c r="AV15" s="21"/>
      <c r="BB15" s="21"/>
      <c r="BF15" s="21"/>
      <c r="BG15" s="11"/>
      <c r="BH15" s="16"/>
      <c r="BI15" s="11"/>
      <c r="BJ15" s="11"/>
      <c r="BK15" s="11"/>
      <c r="BL15" s="21"/>
      <c r="BR15" s="21"/>
      <c r="BX15" s="21"/>
      <c r="CD15" s="21"/>
    </row>
    <row r="16" spans="1:82" x14ac:dyDescent="0.25">
      <c r="A16" s="5" t="s">
        <v>37</v>
      </c>
      <c r="B16" s="9">
        <v>15</v>
      </c>
      <c r="E16" s="21"/>
      <c r="K16" s="21"/>
      <c r="Q16" s="21"/>
      <c r="X16" s="21"/>
      <c r="AD16" s="21"/>
      <c r="AJ16" s="21"/>
      <c r="AP16" s="21"/>
      <c r="AV16" s="21"/>
      <c r="BB16" s="21"/>
      <c r="BF16" s="21"/>
      <c r="BG16" s="11"/>
      <c r="BH16" s="16"/>
      <c r="BI16" s="11"/>
      <c r="BJ16" s="11"/>
      <c r="BK16" s="11"/>
      <c r="BL16" s="21"/>
      <c r="BR16" s="21"/>
      <c r="BX16" s="21"/>
      <c r="CD16" s="21"/>
    </row>
    <row r="17" spans="1:69" x14ac:dyDescent="0.25">
      <c r="A17" s="1" t="s">
        <v>11</v>
      </c>
    </row>
    <row r="18" spans="1:69" ht="90" x14ac:dyDescent="0.25">
      <c r="A18" s="1" t="s">
        <v>10</v>
      </c>
      <c r="C18" s="7"/>
      <c r="D18" s="7"/>
      <c r="E18" s="7"/>
      <c r="F18" s="7"/>
      <c r="G18" s="7"/>
      <c r="H18" s="7"/>
      <c r="I18" s="7"/>
      <c r="J18" s="7"/>
      <c r="K18" s="7"/>
      <c r="L18" s="7"/>
      <c r="M18" s="7"/>
      <c r="N18" s="7"/>
      <c r="O18" s="7"/>
      <c r="P18" s="7"/>
      <c r="Q18" s="7"/>
      <c r="R18" s="7"/>
      <c r="S18" s="7"/>
      <c r="T18" s="7"/>
      <c r="U18" s="7"/>
      <c r="V18" s="7" t="s">
        <v>91</v>
      </c>
      <c r="W18" s="7"/>
      <c r="X18" s="7"/>
      <c r="Y18" s="7"/>
      <c r="Z18" s="7"/>
      <c r="AA18" s="7"/>
      <c r="AB18" s="7"/>
      <c r="AC18" s="7"/>
      <c r="AD18" s="7"/>
      <c r="AE18" s="7"/>
      <c r="AF18" s="7"/>
      <c r="AG18" s="7"/>
      <c r="AH18" s="7"/>
      <c r="AI18" s="7"/>
      <c r="AJ18" s="7"/>
      <c r="AK18" s="7"/>
      <c r="AL18" s="7"/>
      <c r="AM18" s="7"/>
      <c r="AN18" s="7"/>
      <c r="AO18" s="7"/>
      <c r="AP18" s="7"/>
      <c r="AQ18" s="7"/>
      <c r="AR18" s="7"/>
      <c r="AS18" s="7" t="s">
        <v>27</v>
      </c>
      <c r="AT18" s="7" t="s">
        <v>16</v>
      </c>
      <c r="AU18" s="7"/>
      <c r="AV18" s="7"/>
      <c r="AW18" s="7" t="s">
        <v>28</v>
      </c>
      <c r="AX18" s="7" t="s">
        <v>29</v>
      </c>
      <c r="AY18" s="7"/>
      <c r="AZ18" s="7"/>
      <c r="BA18" s="7" t="s">
        <v>38</v>
      </c>
      <c r="BB18" s="7"/>
      <c r="BC18" s="7"/>
      <c r="BD18" s="7"/>
      <c r="BE18" s="7"/>
      <c r="BM18" s="7" t="s">
        <v>131</v>
      </c>
      <c r="BN18" s="7"/>
      <c r="BO18" s="7"/>
      <c r="BP18" s="7"/>
      <c r="BQ18" s="7"/>
    </row>
    <row r="19" spans="1:69"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BC19" s="7"/>
    </row>
  </sheetData>
  <customSheetViews>
    <customSheetView guid="{3D987F8E-A6EA-454D-9537-6BFC5053CB00}">
      <selection activeCell="BA18" sqref="BA18"/>
      <pageMargins left="0.511811024" right="0.511811024" top="0.78740157499999996" bottom="0.78740157499999996" header="0.31496062000000002" footer="0.31496062000000002"/>
    </customSheetView>
    <customSheetView guid="{B3CDE377-BA5D-4E06-91D9-3A48E1959BA5}">
      <selection activeCell="E1" sqref="E1:E1048576"/>
      <pageMargins left="0.511811024" right="0.511811024" top="0.78740157499999996" bottom="0.78740157499999996" header="0.31496062000000002" footer="0.31496062000000002"/>
    </customSheetView>
    <customSheetView guid="{C69767F5-CD39-44C1-AD4B-CE19DC8285A6}" topLeftCell="A12">
      <selection activeCell="A9" sqref="A9"/>
      <pageMargins left="0.511811024" right="0.511811024" top="0.78740157499999996" bottom="0.78740157499999996" header="0.31496062000000002" footer="0.31496062000000002"/>
    </customSheetView>
    <customSheetView guid="{552DFCCD-1786-4D75-8B10-27DD730384DD}">
      <selection activeCell="C13" sqref="C13"/>
      <pageMargins left="0.511811024" right="0.511811024" top="0.78740157499999996" bottom="0.78740157499999996" header="0.31496062000000002" footer="0.31496062000000002"/>
    </customSheetView>
    <customSheetView guid="{9B623083-AA7B-440B-95EA-C33E1AB3D963}" topLeftCell="AX1">
      <selection activeCell="BA18" sqref="BA18"/>
      <pageMargins left="0.511811024" right="0.511811024" top="0.78740157499999996" bottom="0.78740157499999996" header="0.31496062000000002" footer="0.31496062000000002"/>
    </customSheetView>
    <customSheetView guid="{18A482E0-C8B6-4AA1-9E04-15FA7C9CD5E3}">
      <pane xSplit="1" topLeftCell="BS1" activePane="topRight" state="frozen"/>
      <selection pane="topRight" activeCell="CF1" sqref="CF1"/>
      <pageMargins left="0.511811024" right="0.511811024" top="0.78740157499999996" bottom="0.78740157499999996" header="0.31496062000000002" footer="0.31496062000000002"/>
    </customSheetView>
    <customSheetView guid="{20CB6D8F-C24D-4D4B-A424-AF380F620455}" showPageBreaks="1" topLeftCell="A12">
      <selection activeCell="A9" sqref="A9"/>
      <pageMargins left="0.511811024" right="0.511811024" top="0.78740157499999996" bottom="0.78740157499999996" header="0.31496062000000002" footer="0.31496062000000002"/>
      <pageSetup paperSize="9" orientation="portrait" r:id="rId1"/>
    </customSheetView>
    <customSheetView guid="{86039CF8-B158-4D70-9A6F-A10C29CBD68A}">
      <selection activeCell="S1" sqref="S1:S1048576"/>
      <pageMargins left="0.511811024" right="0.511811024" top="0.78740157499999996" bottom="0.78740157499999996" header="0.31496062000000002" footer="0.31496062000000002"/>
    </customSheetView>
    <customSheetView guid="{E3841903-5B68-44FD-8F09-58E03D1025C5}">
      <selection activeCell="A9" sqref="A9:XFD9"/>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9"/>
  <sheetViews>
    <sheetView workbookViewId="0">
      <selection activeCell="A14" sqref="A14"/>
    </sheetView>
  </sheetViews>
  <sheetFormatPr defaultColWidth="9.140625" defaultRowHeight="15" x14ac:dyDescent="0.25"/>
  <cols>
    <col min="1" max="1" width="77.42578125" style="1" bestFit="1" customWidth="1"/>
    <col min="2" max="2" width="3" style="1" bestFit="1" customWidth="1"/>
    <col min="3" max="39" width="20.140625" style="1" customWidth="1"/>
    <col min="40" max="40" width="16.28515625" style="1" customWidth="1"/>
    <col min="41" max="41" width="18.85546875" style="1" customWidth="1"/>
    <col min="42" max="53" width="9.140625" style="1"/>
    <col min="54" max="54" width="14.28515625" style="1" bestFit="1" customWidth="1"/>
    <col min="55" max="57" width="9.140625" style="1"/>
    <col min="58" max="58" width="14.28515625" style="1" bestFit="1" customWidth="1"/>
    <col min="59" max="63" width="9.140625" style="1"/>
    <col min="64" max="64" width="14.28515625" style="1" bestFit="1" customWidth="1"/>
    <col min="65" max="69" width="9.140625" style="1"/>
    <col min="70" max="70" width="14.28515625" style="1" bestFit="1" customWidth="1"/>
    <col min="71" max="75" width="9.140625" style="1"/>
    <col min="76" max="76" width="14.28515625" style="1" bestFit="1" customWidth="1"/>
    <col min="77" max="16384" width="9.140625" style="1"/>
  </cols>
  <sheetData>
    <row r="1" spans="1:82"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2">
        <v>45675</v>
      </c>
      <c r="S1" s="2">
        <v>45677</v>
      </c>
      <c r="T1" s="2">
        <v>45678</v>
      </c>
      <c r="U1" s="2">
        <v>45679</v>
      </c>
      <c r="V1" s="2">
        <v>45680</v>
      </c>
      <c r="W1" s="2">
        <v>45681</v>
      </c>
      <c r="X1" s="20" t="s">
        <v>56</v>
      </c>
      <c r="Y1" s="2">
        <v>45684</v>
      </c>
      <c r="Z1" s="2">
        <v>45685</v>
      </c>
      <c r="AA1" s="2">
        <v>45686</v>
      </c>
      <c r="AB1" s="2">
        <v>45687</v>
      </c>
      <c r="AC1" s="2">
        <v>45688</v>
      </c>
      <c r="AD1" s="20" t="s">
        <v>56</v>
      </c>
      <c r="AE1" s="2">
        <v>45691</v>
      </c>
      <c r="AF1" s="2">
        <v>45692</v>
      </c>
      <c r="AG1" s="2">
        <v>45693</v>
      </c>
      <c r="AH1" s="2">
        <v>45694</v>
      </c>
      <c r="AI1" s="2">
        <v>45695</v>
      </c>
      <c r="AJ1" s="20" t="s">
        <v>56</v>
      </c>
      <c r="AK1" s="2">
        <v>45698</v>
      </c>
      <c r="AL1" s="2">
        <v>45699</v>
      </c>
      <c r="AM1" s="2">
        <v>45700</v>
      </c>
      <c r="AN1" s="2">
        <v>45701</v>
      </c>
      <c r="AO1" s="2">
        <v>45702</v>
      </c>
      <c r="AP1" s="20" t="s">
        <v>56</v>
      </c>
      <c r="AQ1" s="2">
        <v>45705</v>
      </c>
      <c r="AR1" s="2">
        <v>45706</v>
      </c>
      <c r="AS1" s="2">
        <v>45707</v>
      </c>
      <c r="AT1" s="2">
        <v>45708</v>
      </c>
      <c r="AU1" s="2">
        <v>45709</v>
      </c>
      <c r="AV1" s="20" t="s">
        <v>56</v>
      </c>
      <c r="AW1" s="2">
        <v>45712</v>
      </c>
      <c r="AX1" s="2">
        <v>45713</v>
      </c>
      <c r="AY1" s="2">
        <v>45714</v>
      </c>
      <c r="AZ1" s="2">
        <v>45715</v>
      </c>
      <c r="BA1" s="2">
        <v>45716</v>
      </c>
      <c r="BB1" s="20" t="s">
        <v>56</v>
      </c>
      <c r="BC1" s="2">
        <v>45721</v>
      </c>
      <c r="BD1" s="2">
        <v>45722</v>
      </c>
      <c r="BE1" s="2">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row>
    <row r="2" spans="1:82" ht="20.25" customHeight="1" x14ac:dyDescent="0.25">
      <c r="A2" s="3" t="s">
        <v>113</v>
      </c>
      <c r="B2" s="8">
        <v>1</v>
      </c>
      <c r="E2" s="21"/>
      <c r="K2" s="21"/>
      <c r="Q2" s="21"/>
      <c r="X2" s="21"/>
      <c r="AD2" s="21"/>
      <c r="AJ2" s="21"/>
      <c r="AP2" s="21"/>
      <c r="AV2" s="21"/>
      <c r="BB2" s="21"/>
      <c r="BF2" s="21"/>
      <c r="BG2" s="11"/>
      <c r="BH2" s="15"/>
      <c r="BI2" s="18"/>
      <c r="BJ2" s="18"/>
      <c r="BK2" s="18"/>
      <c r="BL2" s="21"/>
      <c r="BR2" s="21"/>
      <c r="BX2" s="21"/>
      <c r="CD2" s="21"/>
    </row>
    <row r="3" spans="1:82" ht="20.25" customHeight="1" x14ac:dyDescent="0.25">
      <c r="A3" s="3" t="s">
        <v>0</v>
      </c>
      <c r="B3" s="8">
        <v>2</v>
      </c>
      <c r="E3" s="21"/>
      <c r="K3" s="21"/>
      <c r="Q3" s="21"/>
      <c r="X3" s="21"/>
      <c r="AD3" s="21"/>
      <c r="AJ3" s="21"/>
      <c r="AP3" s="21"/>
      <c r="AV3" s="21"/>
      <c r="BB3" s="21"/>
      <c r="BF3" s="21"/>
      <c r="BG3" s="11"/>
      <c r="BH3" s="16"/>
      <c r="BI3" s="11"/>
      <c r="BJ3" s="11"/>
      <c r="BK3" s="11"/>
      <c r="BL3" s="21"/>
      <c r="BR3" s="21"/>
      <c r="BX3" s="21"/>
      <c r="CD3" s="21"/>
    </row>
    <row r="4" spans="1:82" ht="20.25" customHeight="1" x14ac:dyDescent="0.25">
      <c r="A4" s="4" t="s">
        <v>100</v>
      </c>
      <c r="B4" s="8">
        <v>3</v>
      </c>
      <c r="E4" s="21"/>
      <c r="K4" s="21"/>
      <c r="Q4" s="21"/>
      <c r="X4" s="21"/>
      <c r="AD4" s="21"/>
      <c r="AJ4" s="21"/>
      <c r="AP4" s="21"/>
      <c r="AV4" s="21"/>
      <c r="BB4" s="21"/>
      <c r="BF4" s="21"/>
      <c r="BG4" s="11"/>
      <c r="BH4" s="16"/>
      <c r="BI4" s="11"/>
      <c r="BJ4" s="11"/>
      <c r="BK4" s="11"/>
      <c r="BL4" s="21"/>
      <c r="BR4" s="21"/>
      <c r="BX4" s="21"/>
      <c r="CD4" s="21"/>
    </row>
    <row r="5" spans="1:82" ht="20.25" customHeight="1" x14ac:dyDescent="0.25">
      <c r="A5" s="4" t="s">
        <v>99</v>
      </c>
      <c r="B5" s="9">
        <v>4</v>
      </c>
      <c r="E5" s="21"/>
      <c r="K5" s="21"/>
      <c r="Q5" s="21"/>
      <c r="X5" s="21"/>
      <c r="AD5" s="21"/>
      <c r="AJ5" s="21"/>
      <c r="AP5" s="21"/>
      <c r="AV5" s="21"/>
      <c r="BB5" s="21"/>
      <c r="BF5" s="21"/>
      <c r="BG5" s="11"/>
      <c r="BH5" s="16"/>
      <c r="BI5" s="11"/>
      <c r="BJ5" s="11"/>
      <c r="BK5" s="11"/>
      <c r="BL5" s="21"/>
      <c r="BR5" s="21"/>
      <c r="BX5" s="21"/>
      <c r="CD5" s="21"/>
    </row>
    <row r="6" spans="1:82" ht="20.25" customHeight="1" x14ac:dyDescent="0.25">
      <c r="A6" s="4" t="s">
        <v>1</v>
      </c>
      <c r="B6" s="9">
        <v>5</v>
      </c>
      <c r="E6" s="21"/>
      <c r="K6" s="21"/>
      <c r="Q6" s="21"/>
      <c r="X6" s="21"/>
      <c r="AD6" s="21"/>
      <c r="AJ6" s="21"/>
      <c r="AP6" s="21"/>
      <c r="AV6" s="21"/>
      <c r="BB6" s="21"/>
      <c r="BF6" s="21"/>
      <c r="BG6" s="11"/>
      <c r="BH6" s="16"/>
      <c r="BI6" s="11"/>
      <c r="BJ6" s="11"/>
      <c r="BK6" s="11"/>
      <c r="BL6" s="21"/>
      <c r="BR6" s="21"/>
      <c r="BX6" s="21"/>
      <c r="CD6" s="21"/>
    </row>
    <row r="7" spans="1:82" ht="20.25" customHeight="1" x14ac:dyDescent="0.25">
      <c r="A7" s="4" t="s">
        <v>2</v>
      </c>
      <c r="B7" s="9">
        <v>6</v>
      </c>
      <c r="E7" s="21"/>
      <c r="K7" s="21"/>
      <c r="Q7" s="21"/>
      <c r="X7" s="21"/>
      <c r="AD7" s="21"/>
      <c r="AJ7" s="21"/>
      <c r="AP7" s="21"/>
      <c r="AV7" s="21"/>
      <c r="BB7" s="21"/>
      <c r="BF7" s="21"/>
      <c r="BG7" s="11"/>
      <c r="BH7" s="16"/>
      <c r="BI7" s="11"/>
      <c r="BJ7" s="11"/>
      <c r="BK7" s="11"/>
      <c r="BL7" s="21"/>
      <c r="BR7" s="21"/>
      <c r="BX7" s="21"/>
      <c r="CD7" s="21"/>
    </row>
    <row r="8" spans="1:82" ht="20.25" customHeight="1" x14ac:dyDescent="0.25">
      <c r="A8" s="4" t="s">
        <v>3</v>
      </c>
      <c r="B8" s="9">
        <v>7</v>
      </c>
      <c r="E8" s="21"/>
      <c r="K8" s="21"/>
      <c r="Q8" s="21"/>
      <c r="X8" s="21"/>
      <c r="AD8" s="21"/>
      <c r="AJ8" s="21"/>
      <c r="AP8" s="21"/>
      <c r="AV8" s="21"/>
      <c r="BB8" s="21"/>
      <c r="BF8" s="21"/>
      <c r="BG8" s="11"/>
      <c r="BH8" s="16"/>
      <c r="BI8" s="11"/>
      <c r="BJ8" s="11"/>
      <c r="BK8" s="11"/>
      <c r="BL8" s="21"/>
      <c r="BR8" s="21"/>
      <c r="BX8" s="21">
        <f>SUM(BS8:BW8)</f>
        <v>0</v>
      </c>
      <c r="CD8" s="21">
        <f>SUM(BY8:CC8)</f>
        <v>0</v>
      </c>
    </row>
    <row r="9" spans="1:82" ht="20.25" customHeight="1" x14ac:dyDescent="0.25">
      <c r="A9" s="4" t="s">
        <v>21</v>
      </c>
      <c r="B9" s="9">
        <v>8</v>
      </c>
      <c r="E9" s="21"/>
      <c r="K9" s="21"/>
      <c r="Q9" s="21"/>
      <c r="X9" s="21"/>
      <c r="AD9" s="21"/>
      <c r="AJ9" s="21"/>
      <c r="AP9" s="21"/>
      <c r="AV9" s="21"/>
      <c r="BB9" s="21"/>
      <c r="BF9" s="21"/>
      <c r="BG9" s="11"/>
      <c r="BH9" s="16"/>
      <c r="BI9" s="11"/>
      <c r="BJ9" s="11"/>
      <c r="BK9" s="11"/>
      <c r="BL9" s="21"/>
      <c r="BR9" s="21">
        <f>SUM(BM9:BQ9)</f>
        <v>0</v>
      </c>
      <c r="BX9" s="21">
        <f>SUM(BS9:BW9)</f>
        <v>0</v>
      </c>
      <c r="CD9" s="21">
        <f>SUM(BY9:CC9)</f>
        <v>0</v>
      </c>
    </row>
    <row r="10" spans="1:82" ht="20.25" customHeight="1" x14ac:dyDescent="0.25">
      <c r="A10" s="3" t="s">
        <v>13</v>
      </c>
      <c r="B10" s="8">
        <v>9</v>
      </c>
      <c r="E10" s="21"/>
      <c r="K10" s="21"/>
      <c r="Q10" s="21"/>
      <c r="X10" s="21"/>
      <c r="AD10" s="21"/>
      <c r="AJ10" s="21"/>
      <c r="AP10" s="21"/>
      <c r="AV10" s="21"/>
      <c r="BB10" s="21"/>
      <c r="BF10" s="21"/>
      <c r="BG10" s="11"/>
      <c r="BH10" s="16"/>
      <c r="BI10" s="11"/>
      <c r="BJ10" s="11"/>
      <c r="BK10" s="11"/>
      <c r="BL10" s="21"/>
      <c r="BR10" s="21">
        <f>SUM(BM10:BQ10)</f>
        <v>0</v>
      </c>
      <c r="BX10" s="21">
        <f>SUM(BS10:BW10)</f>
        <v>0</v>
      </c>
      <c r="CD10" s="21">
        <f>SUM(BY10:CC10)</f>
        <v>0</v>
      </c>
    </row>
    <row r="11" spans="1:82" ht="20.25" customHeight="1" x14ac:dyDescent="0.25">
      <c r="A11" s="4" t="s">
        <v>4</v>
      </c>
      <c r="B11" s="9">
        <v>10</v>
      </c>
      <c r="E11" s="21"/>
      <c r="K11" s="21"/>
      <c r="Q11" s="21"/>
      <c r="X11" s="21"/>
      <c r="AD11" s="21"/>
      <c r="AJ11" s="21"/>
      <c r="AP11" s="21"/>
      <c r="AV11" s="21"/>
      <c r="BB11" s="21"/>
      <c r="BF11" s="21">
        <f>SUM(BC11:BE11)</f>
        <v>0</v>
      </c>
      <c r="BG11" s="11"/>
      <c r="BH11" s="16"/>
      <c r="BI11" s="11"/>
      <c r="BJ11" s="11"/>
      <c r="BK11" s="11"/>
      <c r="BL11" s="21"/>
      <c r="BR11" s="21">
        <f>SUM(BM11:BQ11)</f>
        <v>0</v>
      </c>
      <c r="BX11" s="21">
        <f>SUM(BS11:BW11)</f>
        <v>0</v>
      </c>
      <c r="CD11" s="21">
        <f>SUM(BY11:CC11)</f>
        <v>0</v>
      </c>
    </row>
    <row r="12" spans="1:82" ht="20.25" customHeight="1" x14ac:dyDescent="0.25">
      <c r="A12" s="4" t="s">
        <v>5</v>
      </c>
      <c r="B12" s="9">
        <v>11</v>
      </c>
      <c r="E12" s="21"/>
      <c r="K12" s="21"/>
      <c r="Q12" s="21"/>
      <c r="X12" s="21"/>
      <c r="AD12" s="21"/>
      <c r="AJ12" s="21"/>
      <c r="AP12" s="21"/>
      <c r="AV12" s="21"/>
      <c r="BB12" s="21"/>
      <c r="BF12" s="21">
        <f>SUM(BC12:BE12)</f>
        <v>0</v>
      </c>
      <c r="BG12" s="11"/>
      <c r="BH12" s="16"/>
      <c r="BI12" s="11"/>
      <c r="BJ12" s="11"/>
      <c r="BK12" s="11"/>
      <c r="BL12" s="21"/>
      <c r="BR12" s="21"/>
      <c r="BX12" s="21"/>
      <c r="CD12" s="21"/>
    </row>
    <row r="13" spans="1:82" ht="20.25" customHeight="1" x14ac:dyDescent="0.25">
      <c r="A13" s="3" t="s">
        <v>8</v>
      </c>
      <c r="B13" s="8">
        <v>12</v>
      </c>
      <c r="E13" s="21"/>
      <c r="K13" s="21"/>
      <c r="Q13" s="21"/>
      <c r="X13" s="21"/>
      <c r="AD13" s="21"/>
      <c r="AJ13" s="21"/>
      <c r="AP13" s="21"/>
      <c r="AV13" s="21"/>
      <c r="BB13" s="21"/>
      <c r="BF13" s="21"/>
      <c r="BG13" s="11"/>
      <c r="BH13" s="16"/>
      <c r="BI13" s="11"/>
      <c r="BJ13" s="11"/>
      <c r="BK13" s="11"/>
      <c r="BL13" s="21"/>
      <c r="BR13" s="21"/>
      <c r="BX13" s="21"/>
      <c r="CD13" s="21"/>
    </row>
    <row r="14" spans="1:82" ht="20.25" customHeight="1" x14ac:dyDescent="0.25">
      <c r="A14" s="4" t="s">
        <v>6</v>
      </c>
      <c r="B14" s="9">
        <v>13</v>
      </c>
      <c r="E14" s="21"/>
      <c r="K14" s="21"/>
      <c r="Q14" s="21"/>
      <c r="X14" s="21"/>
      <c r="AC14" s="1">
        <v>1</v>
      </c>
      <c r="AD14" s="21">
        <f>SUM(Y14:AC14)</f>
        <v>1</v>
      </c>
      <c r="AH14" s="1">
        <v>1</v>
      </c>
      <c r="AJ14" s="21"/>
      <c r="AP14" s="21"/>
      <c r="AT14" s="1">
        <v>1</v>
      </c>
      <c r="AV14" s="21"/>
      <c r="BB14" s="21"/>
      <c r="BF14" s="21"/>
      <c r="BG14" s="11"/>
      <c r="BH14" s="16"/>
      <c r="BI14" s="11"/>
      <c r="BJ14" s="11"/>
      <c r="BK14" s="11"/>
      <c r="BL14" s="21"/>
      <c r="BR14" s="21"/>
      <c r="BX14" s="21"/>
      <c r="CD14" s="21"/>
    </row>
    <row r="15" spans="1:82" ht="20.25" customHeight="1" x14ac:dyDescent="0.25">
      <c r="A15" s="3" t="s">
        <v>7</v>
      </c>
      <c r="B15" s="9">
        <v>14</v>
      </c>
      <c r="E15" s="21"/>
      <c r="K15" s="21"/>
      <c r="Q15" s="21"/>
      <c r="X15" s="21"/>
      <c r="AD15" s="21"/>
      <c r="AJ15" s="21"/>
      <c r="AP15" s="21"/>
      <c r="AV15" s="21"/>
      <c r="BB15" s="21"/>
      <c r="BF15" s="21">
        <f>SUM(BC15:BE15)</f>
        <v>0</v>
      </c>
      <c r="BG15" s="11"/>
      <c r="BH15" s="16"/>
      <c r="BI15" s="11"/>
      <c r="BJ15" s="11"/>
      <c r="BK15" s="11"/>
      <c r="BL15" s="21"/>
      <c r="BR15" s="21"/>
      <c r="BX15" s="21"/>
      <c r="CD15" s="21"/>
    </row>
    <row r="16" spans="1:82" ht="20.25" customHeight="1" x14ac:dyDescent="0.25">
      <c r="A16" s="5" t="s">
        <v>37</v>
      </c>
      <c r="B16" s="9">
        <v>15</v>
      </c>
      <c r="E16" s="21"/>
      <c r="K16" s="21"/>
      <c r="Q16" s="21"/>
      <c r="X16" s="21"/>
      <c r="AD16" s="21"/>
      <c r="AJ16" s="21"/>
      <c r="AP16" s="21"/>
      <c r="AV16" s="21"/>
      <c r="BB16" s="21"/>
      <c r="BF16" s="21"/>
      <c r="BG16" s="11"/>
      <c r="BH16" s="16"/>
      <c r="BI16" s="11"/>
      <c r="BJ16" s="11"/>
      <c r="BK16" s="11"/>
      <c r="BL16" s="21"/>
      <c r="BR16" s="21"/>
      <c r="BX16" s="21"/>
      <c r="CD16" s="21"/>
    </row>
    <row r="17" spans="1:57" ht="20.25" customHeight="1" x14ac:dyDescent="0.25">
      <c r="A17" s="1" t="s">
        <v>11</v>
      </c>
    </row>
    <row r="18" spans="1:57" ht="120" x14ac:dyDescent="0.25">
      <c r="A18" s="1" t="s">
        <v>10</v>
      </c>
      <c r="C18" s="7"/>
      <c r="D18" s="7"/>
      <c r="E18" s="7"/>
      <c r="F18" s="7"/>
      <c r="G18" s="7"/>
      <c r="H18" s="7"/>
      <c r="I18" s="7"/>
      <c r="J18" s="7"/>
      <c r="K18" s="7"/>
      <c r="L18" s="7"/>
      <c r="M18" s="7"/>
      <c r="N18" s="7"/>
      <c r="O18" s="7"/>
      <c r="P18" s="7"/>
      <c r="Q18" s="7"/>
      <c r="R18" s="7"/>
      <c r="S18" s="7"/>
      <c r="T18" s="7"/>
      <c r="U18" s="7"/>
      <c r="V18" s="7"/>
      <c r="W18" s="7"/>
      <c r="X18" s="7"/>
      <c r="Y18" s="7"/>
      <c r="Z18" s="7"/>
      <c r="AA18" s="7"/>
      <c r="AB18" s="7"/>
      <c r="AC18" s="7" t="s">
        <v>86</v>
      </c>
      <c r="AD18" s="7"/>
      <c r="AE18" s="7"/>
      <c r="AF18" s="7"/>
      <c r="AG18" s="7"/>
      <c r="AH18" s="7" t="s">
        <v>87</v>
      </c>
      <c r="AI18" s="7"/>
      <c r="AJ18" s="7"/>
      <c r="AK18" s="7"/>
      <c r="AL18" s="7"/>
      <c r="AM18" s="7"/>
      <c r="AN18" s="7"/>
      <c r="AO18" s="7"/>
      <c r="AP18" s="7"/>
      <c r="AQ18" s="7"/>
      <c r="AR18" s="7"/>
      <c r="AS18" s="7" t="s">
        <v>27</v>
      </c>
      <c r="AT18" s="7" t="s">
        <v>16</v>
      </c>
      <c r="AU18" s="7"/>
      <c r="AV18" s="7"/>
      <c r="AW18" s="7"/>
      <c r="AX18" s="7"/>
      <c r="AY18" s="7"/>
      <c r="AZ18" s="7"/>
      <c r="BA18" s="7"/>
      <c r="BB18" s="7"/>
      <c r="BC18" s="7"/>
      <c r="BD18" s="7"/>
      <c r="BE18" s="7"/>
    </row>
    <row r="19" spans="1:57"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BC19" s="7"/>
    </row>
  </sheetData>
  <customSheetViews>
    <customSheetView guid="{3D987F8E-A6EA-454D-9537-6BFC5053CB00}">
      <selection activeCell="A14" sqref="A14"/>
      <pageMargins left="0.511811024" right="0.511811024" top="0.78740157499999996" bottom="0.78740157499999996" header="0.31496062000000002" footer="0.31496062000000002"/>
    </customSheetView>
    <customSheetView guid="{B3CDE377-BA5D-4E06-91D9-3A48E1959BA5}">
      <selection activeCell="A16" sqref="A16:XFD16"/>
      <pageMargins left="0.511811024" right="0.511811024" top="0.78740157499999996" bottom="0.78740157499999996" header="0.31496062000000002" footer="0.31496062000000002"/>
    </customSheetView>
    <customSheetView guid="{C69767F5-CD39-44C1-AD4B-CE19DC8285A6}">
      <selection activeCell="A14" sqref="A14"/>
      <pageMargins left="0.511811024" right="0.511811024" top="0.78740157499999996" bottom="0.78740157499999996" header="0.31496062000000002" footer="0.31496062000000002"/>
    </customSheetView>
    <customSheetView guid="{552DFCCD-1786-4D75-8B10-27DD730384DD}">
      <selection activeCell="D12" sqref="D12"/>
      <pageMargins left="0.511811024" right="0.511811024" top="0.78740157499999996" bottom="0.78740157499999996" header="0.31496062000000002" footer="0.31496062000000002"/>
    </customSheetView>
    <customSheetView guid="{9B623083-AA7B-440B-95EA-C33E1AB3D963}">
      <selection activeCell="A14" sqref="A14"/>
      <pageMargins left="0.511811024" right="0.511811024" top="0.78740157499999996" bottom="0.78740157499999996" header="0.31496062000000002" footer="0.31496062000000002"/>
    </customSheetView>
    <customSheetView guid="{18A482E0-C8B6-4AA1-9E04-15FA7C9CD5E3}">
      <pane xSplit="1" topLeftCell="BT1" activePane="topRight" state="frozen"/>
      <selection pane="topRight" activeCell="CE1" sqref="CE1"/>
      <pageMargins left="0.511811024" right="0.511811024" top="0.78740157499999996" bottom="0.78740157499999996" header="0.31496062000000002" footer="0.31496062000000002"/>
    </customSheetView>
    <customSheetView guid="{20CB6D8F-C24D-4D4B-A424-AF380F620455}" showPageBreaks="1">
      <selection activeCell="A14" sqref="A14"/>
      <pageMargins left="0.511811024" right="0.511811024" top="0.78740157499999996" bottom="0.78740157499999996" header="0.31496062000000002" footer="0.31496062000000002"/>
      <pageSetup paperSize="9" orientation="portrait" r:id="rId1"/>
    </customSheetView>
    <customSheetView guid="{86039CF8-B158-4D70-9A6F-A10C29CBD68A}">
      <selection activeCell="E1" sqref="E1:E1048576"/>
      <pageMargins left="0.511811024" right="0.511811024" top="0.78740157499999996" bottom="0.78740157499999996" header="0.31496062000000002" footer="0.31496062000000002"/>
    </customSheetView>
    <customSheetView guid="{E3841903-5B68-44FD-8F09-58E03D1025C5}">
      <selection activeCell="A9" sqref="A9:XFD9"/>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3"/>
  <sheetViews>
    <sheetView topLeftCell="A7" workbookViewId="0">
      <selection activeCell="A15" sqref="A15"/>
    </sheetView>
  </sheetViews>
  <sheetFormatPr defaultRowHeight="15" x14ac:dyDescent="0.25"/>
  <cols>
    <col min="1" max="1" width="87.5703125" customWidth="1"/>
    <col min="2" max="2" width="59.5703125" style="19" customWidth="1"/>
    <col min="3" max="14" width="9.5703125" customWidth="1"/>
  </cols>
  <sheetData>
    <row r="1" spans="1:24" ht="36" x14ac:dyDescent="0.25">
      <c r="A1" s="62" t="s">
        <v>9</v>
      </c>
      <c r="B1" s="71" t="s">
        <v>309</v>
      </c>
      <c r="C1" s="25" t="s">
        <v>114</v>
      </c>
      <c r="D1" s="25" t="s">
        <v>115</v>
      </c>
      <c r="E1" s="26" t="s">
        <v>116</v>
      </c>
      <c r="F1" s="26" t="s">
        <v>117</v>
      </c>
      <c r="G1" s="26" t="s">
        <v>118</v>
      </c>
      <c r="H1" s="26" t="s">
        <v>119</v>
      </c>
      <c r="I1" s="26" t="s">
        <v>120</v>
      </c>
      <c r="J1" s="26" t="s">
        <v>121</v>
      </c>
      <c r="K1" s="26" t="s">
        <v>122</v>
      </c>
      <c r="L1" s="26" t="s">
        <v>123</v>
      </c>
      <c r="M1" s="26" t="s">
        <v>124</v>
      </c>
      <c r="N1" s="26" t="s">
        <v>125</v>
      </c>
      <c r="O1" s="25" t="s">
        <v>154</v>
      </c>
      <c r="P1" s="25" t="s">
        <v>279</v>
      </c>
      <c r="Q1" s="25" t="s">
        <v>280</v>
      </c>
      <c r="R1" s="25" t="s">
        <v>288</v>
      </c>
      <c r="S1" s="25" t="s">
        <v>291</v>
      </c>
      <c r="T1" s="25" t="s">
        <v>281</v>
      </c>
      <c r="U1" s="25" t="s">
        <v>284</v>
      </c>
      <c r="V1" s="25" t="s">
        <v>285</v>
      </c>
      <c r="W1" s="25" t="s">
        <v>286</v>
      </c>
      <c r="X1" s="25" t="s">
        <v>287</v>
      </c>
    </row>
    <row r="2" spans="1:24" x14ac:dyDescent="0.25">
      <c r="A2" s="63" t="s">
        <v>113</v>
      </c>
      <c r="B2" s="73" t="s">
        <v>296</v>
      </c>
      <c r="C2" s="53"/>
      <c r="D2" s="53">
        <v>2</v>
      </c>
      <c r="E2" s="53">
        <v>1</v>
      </c>
      <c r="F2" s="53"/>
      <c r="G2" s="53"/>
      <c r="H2" s="53">
        <v>2</v>
      </c>
      <c r="I2" s="53">
        <v>1</v>
      </c>
      <c r="J2" s="53">
        <v>1</v>
      </c>
      <c r="K2" s="53"/>
      <c r="L2" s="54"/>
      <c r="M2" s="53"/>
      <c r="N2" s="53"/>
      <c r="O2" s="53">
        <f>Marcelo!BX2+Patrícia!BX2+Diego!BX2+Aelton!BX2+Leonam!BX2+Danilo!BX2+Marcos!BX2+Carlos!BX2</f>
        <v>0</v>
      </c>
      <c r="P2" s="53">
        <f>Marcelo!CD2+Patrícia!CD2+Diego!CD2+Aelton!CD2+Leonam!CD2+Danilo!CD2+Marcos!CD2+Carlos!CD2+Alessandro!G2</f>
        <v>0</v>
      </c>
      <c r="Q2" s="53">
        <f>Marcelo!CJ2+Patrícia!CJ2+Diego!CJ2+Aelton!CJ2+Leonam!CJ2+Danilo!CJ2+Marcos!CJ2+Carlos!CJ2+Alessandro!M2</f>
        <v>0</v>
      </c>
      <c r="R2" s="53">
        <f>Marcelo!CP2+Patrícia!CP2+Diego!CP2+Aelton!CP2+Leonam!CP2+Danilo!CP2+Marcos!CP2+Carlos!CP2+Alessandro!S2</f>
        <v>3</v>
      </c>
      <c r="S2" s="53">
        <f>Marcelo!CV2+Patrícia!CV2+Diego!CV2+Aelton!CV2+Leonam!CV2+Danilo!CV2+Marcos!CV2+Carlos!CV2+Alessandro!Y2</f>
        <v>0</v>
      </c>
      <c r="T2" s="53">
        <f>Marcelo!DB2+Patrícia!DB2+Diego!DB2+Aelton!DB2+Leonam!DB2+Danilo!DB2+Marcos!DB2+Carlos!DB2+Alessandro!AE2</f>
        <v>1</v>
      </c>
      <c r="U2" s="53">
        <v>2</v>
      </c>
      <c r="V2" s="53">
        <v>2</v>
      </c>
      <c r="W2" s="53">
        <f>Marcelo!DT2+Patrícia!DT2+Diego!DT2+Aelton!DT2+Leonam!DT2+Danilo!DT2+Marcos!DT2+Carlos!DT2+Alessandro!AW2</f>
        <v>1</v>
      </c>
      <c r="X2" s="53">
        <f>Marcelo!DZ2+Patrícia!DZ2+Diego!DZ2+Aelton!DZ2+Leonam!DZ2+Danilo!DZ2+Marcos!DZ2+Carlos!DZ2+Alessandro!BC2</f>
        <v>1</v>
      </c>
    </row>
    <row r="3" spans="1:24" ht="30" x14ac:dyDescent="0.25">
      <c r="A3" s="64" t="s">
        <v>0</v>
      </c>
      <c r="B3" s="65" t="s">
        <v>300</v>
      </c>
      <c r="C3" s="55">
        <f>Diego!E3+Aelton!E3+Leonam!E3+Danilo!E3+Marcos!E3</f>
        <v>0</v>
      </c>
      <c r="D3" s="55">
        <f>Diego!K3+Aelton!K3+Leonam!K3+Danilo!K3+Marcos!F3</f>
        <v>0</v>
      </c>
      <c r="E3" s="55">
        <f>Diego!Q3+Aelton!Q3+Leonam!Q3+Danilo!Q3+Marcos!Q3</f>
        <v>0</v>
      </c>
      <c r="F3" s="55">
        <f>Diego!X3+Aelton!X3+Leonam!X3+Danilo!X3+Marcos!X3</f>
        <v>0</v>
      </c>
      <c r="G3" s="55">
        <f>Diego!AD3+Aelton!AD3+Leonam!AD3+Danilo!AD3+Marcos!AD3</f>
        <v>0</v>
      </c>
      <c r="H3" s="55">
        <f>Diego!AJ3+Aelton!AJ3+Leonam!AJ3+Danilo!AJ3+Marcos!AJ3+Carlos!AJ3</f>
        <v>3</v>
      </c>
      <c r="I3" s="55">
        <f>Diego!AP3+Aelton!AP3+Leonam!AP3+Danilo!AP3+Marcos!AP3+Carlos!AP3</f>
        <v>4</v>
      </c>
      <c r="J3" s="55">
        <f>Diego!AV3+Aelton!AV3+Leonam!AV3+Danilo!AV3+Marcos!AV3+Carlos!AV3</f>
        <v>0</v>
      </c>
      <c r="K3" s="55">
        <f>Diego!BB3+Aelton!BB3+Leonam!BB3+Danilo!BB3+Marcos!BB3+Carlos!BB3</f>
        <v>0</v>
      </c>
      <c r="L3" s="55">
        <f>Diego!BF3+Aelton!BF3+Leonam!BF3+Danilo!BF3+Marcos!BF3+Carlos!BF3</f>
        <v>0</v>
      </c>
      <c r="M3" s="55"/>
      <c r="N3" s="55">
        <f>Marcelo!BR3+Patrícia!RM3+Diego!BR3+Aelton!BR3+Leonam!BR3+Danilo!BR3+Marcos!BR3+Carlos!BR3</f>
        <v>0</v>
      </c>
      <c r="O3" s="55">
        <f>Marcelo!BX3+Patrícia!BX3+Diego!BX3+Aelton!BX3+Leonam!BX3+Danilo!BX3+Marcos!BX3+Carlos!BX3</f>
        <v>0</v>
      </c>
      <c r="P3" s="55">
        <f>Marcelo!CD3+Patrícia!CD3+Diego!CD3+Aelton!CD3+Leonam!CD3+Danilo!CD3+Marcos!CD3+Carlos!CD3+Alessandro!G3</f>
        <v>37</v>
      </c>
      <c r="Q3" s="61">
        <f>Marcelo!CJ3+Patrícia!CJ3+Diego!CJ3+Aelton!CJ3+Leonam!CJ3+Danilo!CJ3+Marcos!CJ3+Carlos!CJ3++Alessandro!M3</f>
        <v>258</v>
      </c>
      <c r="R3" s="61">
        <f>Marcelo!CP3+Patrícia!CP3+Diego!CP3+Aelton!CP3+Leonam!CP3+Danilo!CP3+Marcos!CP3+Carlos!CP3+Alessandro!S3</f>
        <v>0</v>
      </c>
      <c r="S3" s="61">
        <f>Marcelo!CV3+Patrícia!CV3+Diego!CV3+Aelton!CV3+Leonam!CV3+Danilo!CV3+Marcos!CV3+Carlos!CV3+Alessandro!Y3</f>
        <v>0</v>
      </c>
      <c r="T3" s="61">
        <f>Marcelo!DB3+Patrícia!DB3+Diego!DB3+Aelton!DB3+Leonam!DB3+Danilo!DB3+Marcos!DB3+Carlos!DB3+Alessandro!AE3</f>
        <v>0</v>
      </c>
      <c r="U3" s="61">
        <f>Marcelo!DH3+Patrícia!DH3+Diego!DH3+Aelton!DH3+Leonam!DH3+Danilo!DH3+Marcos!DH3+Carlos!DH3+Alessandro!AK3</f>
        <v>0</v>
      </c>
      <c r="V3" s="61">
        <f>Marcelo!DN3+Patrícia!DN3+Diego!DN3+Aelton!DN3+Leonam!DN3+Danilo!DN3+Marcos!DN3+Carlos!DN3+Alessandro!AQ3</f>
        <v>2</v>
      </c>
      <c r="W3" s="61">
        <f>Marcelo!DT3+Patrícia!DT3+Diego!DT3+Aelton!DT3+Leonam!DT3+Danilo!DT3+Marcos!DT3+Carlos!DT3+Alessandro!AW3</f>
        <v>10</v>
      </c>
      <c r="X3" s="61">
        <f>Marcelo!DZ3+Patrícia!DZ3+Diego!DZ3+Aelton!DZ3+Leonam!DZ3+Danilo!DZ3+Marcos!DZ3+Carlos!DZ3+Alessandro!BC3</f>
        <v>1</v>
      </c>
    </row>
    <row r="4" spans="1:24" x14ac:dyDescent="0.25">
      <c r="A4" s="66" t="s">
        <v>100</v>
      </c>
      <c r="B4" s="67" t="s">
        <v>296</v>
      </c>
      <c r="C4" s="53"/>
      <c r="D4" s="53">
        <v>1</v>
      </c>
      <c r="E4" s="53"/>
      <c r="F4" s="53"/>
      <c r="G4" s="53"/>
      <c r="H4" s="53"/>
      <c r="I4" s="53">
        <v>1</v>
      </c>
      <c r="J4" s="53">
        <v>1</v>
      </c>
      <c r="K4" s="53"/>
      <c r="L4" s="53"/>
      <c r="M4" s="53"/>
      <c r="N4" s="53"/>
      <c r="O4" s="53">
        <f>Marcelo!BX4+Patrícia!BX4+Diego!BX4+Aelton!BX4+Leonam!BX4+Danilo!BX4+Marcos!BX4+Carlos!BX4</f>
        <v>0</v>
      </c>
      <c r="P4" s="53">
        <f>Marcelo!CD4+Patrícia!CD4+Diego!CD4+Aelton!CD4+Leonam!CD4+Danilo!CD4+Marcos!CD4+Carlos!CD4+Alessandro!G4</f>
        <v>0</v>
      </c>
      <c r="Q4" s="53">
        <f>Marcelo!CJ4+Patrícia!CJ4+Diego!CJ4+Aelton!CJ4+Leonam!CJ4+Danilo!CJ4+Marcos!CJ4+Carlos!CJ4++Alessandro!M4</f>
        <v>0</v>
      </c>
      <c r="R4" s="53">
        <f>Marcelo!CP4+Patrícia!CP4+Diego!CP4+Aelton!CP4+Leonam!CP4+Danilo!CP4+Marcos!CP4+Carlos!CP4+Alessandro!S4</f>
        <v>0</v>
      </c>
      <c r="S4" s="53">
        <f>Marcelo!CV4+Patrícia!CV4+Diego!CV4+Aelton!CV4+Leonam!CV4+Danilo!CV4+Marcos!CV4+Carlos!CV4+Alessandro!Y4</f>
        <v>0</v>
      </c>
      <c r="T4" s="53">
        <f>Marcelo!DB4+Patrícia!DB4+Diego!DB4+Aelton!DB4+Leonam!DB4+Danilo!DB4+Marcos!DB4+Carlos!DB4+Alessandro!AE4</f>
        <v>4</v>
      </c>
      <c r="U4" s="53">
        <f>Marcelo!DH4+Patrícia!DH4+Diego!DH4+Aelton!DH4+Leonam!DH4+Danilo!DH4+Marcos!DH4+Carlos!DH4+Alessandro!AK4</f>
        <v>4</v>
      </c>
      <c r="V4" s="53">
        <f>Marcelo!DN4+Patrícia!DN4+Diego!DN4+Aelton!DN4+Leonam!DN4+Danilo!DN4+Marcos!DN4+Carlos!DN4+Alessandro!AQ4</f>
        <v>0</v>
      </c>
      <c r="W4" s="53">
        <f>Marcelo!DT4+Patrícia!DT4+Diego!DT4+Aelton!DT4+Leonam!DT4+Danilo!DT4+Marcos!DT4+Carlos!DT4+Alessandro!AW4</f>
        <v>2</v>
      </c>
      <c r="X4" s="53">
        <f>Marcelo!DZ4+Patrícia!DZ4+Diego!DZ4+Aelton!DZ4+Leonam!DZ4+Danilo!DZ4+Marcos!DZ4+Carlos!DZ4+Alessandro!BC4</f>
        <v>5</v>
      </c>
    </row>
    <row r="5" spans="1:24" x14ac:dyDescent="0.25">
      <c r="A5" s="68" t="s">
        <v>99</v>
      </c>
      <c r="B5" s="65" t="s">
        <v>296</v>
      </c>
      <c r="C5" s="55"/>
      <c r="D5" s="55">
        <v>1</v>
      </c>
      <c r="E5" s="55">
        <v>1</v>
      </c>
      <c r="F5" s="55"/>
      <c r="G5" s="55"/>
      <c r="H5" s="55"/>
      <c r="I5" s="55">
        <v>1</v>
      </c>
      <c r="J5" s="55"/>
      <c r="K5" s="55"/>
      <c r="L5" s="55"/>
      <c r="M5" s="55"/>
      <c r="N5" s="55"/>
      <c r="O5" s="55">
        <f>Marcelo!BX5+Patrícia!BX5+Diego!BX5+Aelton!BX5+Leonam!BX5+Danilo!BX5+Marcos!BX5+Carlos!BX5</f>
        <v>0</v>
      </c>
      <c r="P5" s="55">
        <f>Marcelo!CD5+Patrícia!CD5+Diego!CD5+Aelton!CD5+Leonam!CD5+Danilo!CD5+Marcos!CD5+Carlos!CD5+Alessandro!G5</f>
        <v>0</v>
      </c>
      <c r="Q5" s="61">
        <f>Marcelo!CJ5+Patrícia!CJ5+Diego!CJ5+Aelton!CJ5+Leonam!CJ5+Danilo!CJ5+Marcos!CJ5+Carlos!CJ5++Alessandro!M5</f>
        <v>0</v>
      </c>
      <c r="R5" s="61">
        <f>Marcelo!CP5+Patrícia!CP5+Diego!CP5+Aelton!CP5+Leonam!CP5+Danilo!CP5+Marcos!CP5+Carlos!CP5+Alessandro!S5</f>
        <v>0</v>
      </c>
      <c r="S5" s="61">
        <f>Marcelo!CV5+Patrícia!CV5+Diego!CV5+Aelton!CV5+Leonam!CV5+Danilo!CV5+Marcos!CV5+Carlos!CV5+Alessandro!Y5</f>
        <v>0</v>
      </c>
      <c r="T5" s="61">
        <f>Marcelo!DB5+Patrícia!DB5+Diego!DB5+Aelton!DB5+Leonam!DB5+Danilo!DB5+Marcos!DB5+Carlos!DB5+Alessandro!AE5</f>
        <v>0</v>
      </c>
      <c r="U5" s="61">
        <f>Marcelo!DH5+Patrícia!DH5+Diego!DH5+Aelton!DH5+Leonam!DH5+Danilo!DH5+Marcos!DH5+Carlos!DH5+Alessandro!AK5</f>
        <v>1</v>
      </c>
      <c r="V5" s="61">
        <f>Marcelo!DN5+Patrícia!DN5+Diego!DN5+Aelton!DN5+Leonam!DN5+Danilo!DN5+Marcos!DN5+Carlos!DN5+Alessandro!AQ5</f>
        <v>0</v>
      </c>
      <c r="W5" s="61">
        <f>Marcelo!DT5+Patrícia!DT5+Diego!DT5+Aelton!DT5+Leonam!DT5+Danilo!DT5+Marcos!DT5+Carlos!DT5+Alessandro!AW5</f>
        <v>1</v>
      </c>
      <c r="X5" s="61">
        <f>Marcelo!DZ5+Patrícia!DZ5+Diego!DZ5+Aelton!DZ5+Leonam!DZ5+Danilo!DZ5+Marcos!DZ5+Carlos!DZ5+Alessandro!BC5</f>
        <v>0</v>
      </c>
    </row>
    <row r="6" spans="1:24" ht="30" x14ac:dyDescent="0.25">
      <c r="A6" s="66" t="s">
        <v>1</v>
      </c>
      <c r="B6" s="69" t="s">
        <v>303</v>
      </c>
      <c r="C6" s="53">
        <f>Diego!E6+Aelton!E6+Leonam!E6+Danilo!E6+Marcos!E6</f>
        <v>0</v>
      </c>
      <c r="D6" s="53">
        <f>Diego!K6+Aelton!K6+Leonam!K6+Danilo!K6+Marcos!F6</f>
        <v>0</v>
      </c>
      <c r="E6" s="53">
        <f>Diego!Q6+Aelton!Q6+Leonam!Q6+Danilo!Q6+Marcos!Q6</f>
        <v>0</v>
      </c>
      <c r="F6" s="53">
        <f>Diego!X6+Aelton!X6+Leonam!X6+Danilo!X6+Marcos!X6</f>
        <v>0</v>
      </c>
      <c r="G6" s="53">
        <f>Diego!AD6+Aelton!AD6+Leonam!AD6+Danilo!AD6+Marcos!AD6</f>
        <v>0</v>
      </c>
      <c r="H6" s="53">
        <f>Diego!AJ6+Aelton!AJ6+Leonam!AJ6+Danilo!AJ6+Marcos!AJ6+Carlos!AJ6</f>
        <v>25</v>
      </c>
      <c r="I6" s="53">
        <f>Diego!AP6+Aelton!AP6+Leonam!AP6+Danilo!AP6+Marcos!AP6+Carlos!AP6</f>
        <v>0</v>
      </c>
      <c r="J6" s="53">
        <f>Diego!AV6+Aelton!AV6+Leonam!AV6+Danilo!AV6+Marcos!AV6+Carlos!AV6</f>
        <v>0</v>
      </c>
      <c r="K6" s="53">
        <f>Diego!BB6+Aelton!BB6+Leonam!BB6+Danilo!BB6+Marcos!BB6+Carlos!BB6</f>
        <v>0</v>
      </c>
      <c r="L6" s="53">
        <f>Diego!BF6+Aelton!BF6+Leonam!BF6+Danilo!BF6+Marcos!BF6+Carlos!BF6</f>
        <v>0</v>
      </c>
      <c r="M6" s="53">
        <f>Diego!BL6+Aelton!BL6+Leonam!BL6+Danilo!BL6+Marcos!BL6+Carlos!BL6</f>
        <v>0</v>
      </c>
      <c r="N6" s="53">
        <f>Marcelo!BR6+Patrícia!RM6+Diego!BR6+Aelton!BR6+Leonam!BR6+Danilo!BR6+Marcos!BR6+Carlos!BR6</f>
        <v>0</v>
      </c>
      <c r="O6" s="53">
        <f>Marcelo!BX6+Patrícia!BX6+Diego!BX6+Aelton!BX6+Leonam!BX6+Danilo!BX6+Marcos!BX6+Carlos!BX6</f>
        <v>50</v>
      </c>
      <c r="P6" s="53">
        <f>Marcelo!CD6+Patrícia!CD6+Diego!CD6+Aelton!CD6+Leonam!CD6+Danilo!CD6+Marcos!CD6+Carlos!CD6+Alessandro!G6</f>
        <v>0</v>
      </c>
      <c r="Q6" s="53">
        <f>Marcelo!CJ6+Patrícia!CJ6+Diego!CJ6+Aelton!CJ6+Leonam!CJ6+Danilo!CJ6+Marcos!CJ6+Carlos!CJ6++Alessandro!M6</f>
        <v>14</v>
      </c>
      <c r="R6" s="53">
        <f>Marcelo!CP6+Patrícia!CP6+Diego!CP6+Aelton!CP6+Leonam!CP6+Danilo!CP6+Marcos!CP6+Carlos!CP6+Alessandro!S6</f>
        <v>0</v>
      </c>
      <c r="S6" s="53">
        <f>Marcelo!CV6+Patrícia!CV6+Diego!CV6+Aelton!CV6+Leonam!CV6+Danilo!CV6+Marcos!CV6+Carlos!CV6+Alessandro!Y6</f>
        <v>0</v>
      </c>
      <c r="T6" s="53">
        <f>Marcelo!DB6+Patrícia!DB6+Diego!DB6+Aelton!DB6+Leonam!DB6+Danilo!DB6+Marcos!DB6+Carlos!DB6+Alessandro!AE6</f>
        <v>0</v>
      </c>
      <c r="U6" s="53">
        <f>Marcelo!DH6+Patrícia!DH6+Diego!DH6+Aelton!DH6+Leonam!DH6+Danilo!DH6+Marcos!DH6+Carlos!DH6+Alessandro!AK6</f>
        <v>0</v>
      </c>
      <c r="V6" s="53">
        <f>Marcelo!DN6+Patrícia!DN6+Diego!DN6+Aelton!DN6+Leonam!DN6+Danilo!DN6+Marcos!DN6+Carlos!DN6+Alessandro!AQ6</f>
        <v>0</v>
      </c>
      <c r="W6" s="53">
        <f>Marcelo!DT6+Patrícia!DT6+Diego!DT6+Aelton!DT6+Leonam!DT6+Danilo!DT6+Marcos!DT6+Carlos!DT6+Alessandro!AW6</f>
        <v>0</v>
      </c>
      <c r="X6" s="53">
        <f>Marcelo!DZ6+Patrícia!DZ6+Diego!DZ6+Aelton!DZ6+Leonam!DZ6+Danilo!DZ6+Marcos!DZ6+Carlos!DZ6+Alessandro!BC6</f>
        <v>0</v>
      </c>
    </row>
    <row r="7" spans="1:24" x14ac:dyDescent="0.25">
      <c r="A7" s="68" t="s">
        <v>2</v>
      </c>
      <c r="B7" s="65" t="s">
        <v>297</v>
      </c>
      <c r="C7" s="55">
        <f>Diego!E7+Aelton!E7+Leonam!E7+Danilo!E7+Marcos!E7</f>
        <v>0</v>
      </c>
      <c r="D7" s="55">
        <f>Diego!K7+Aelton!K7+Leonam!K7+Danilo!K7+Marcos!F7</f>
        <v>0</v>
      </c>
      <c r="E7" s="55">
        <f>Diego!Q7+Aelton!Q7+Leonam!Q7+Danilo!Q7+Marcos!Q7</f>
        <v>0</v>
      </c>
      <c r="F7" s="55">
        <f>Diego!X7+Aelton!X7+Leonam!X7+Danilo!X7+Marcos!X7</f>
        <v>0</v>
      </c>
      <c r="G7" s="55">
        <f>Diego!AD7+Aelton!AD7+Leonam!AD7+Danilo!AD7+Marcos!AD7</f>
        <v>0</v>
      </c>
      <c r="H7" s="55">
        <f>Diego!AJ7+Aelton!AJ7+Leonam!AJ7+Danilo!AJ7+Marcos!AJ7+Carlos!AJ7</f>
        <v>0</v>
      </c>
      <c r="I7" s="55">
        <f>Diego!AP7+Aelton!AP7+Leonam!AP7+Danilo!AP7+Marcos!AP7+Carlos!AP7</f>
        <v>0</v>
      </c>
      <c r="J7" s="55">
        <f>Diego!AV7+Aelton!AV7+Leonam!AV7+Danilo!AV7+Marcos!AV7+Carlos!AV7</f>
        <v>0</v>
      </c>
      <c r="K7" s="55">
        <f>Diego!BB7+Aelton!BB7+Leonam!BB7+Danilo!BB7+Marcos!BB7+Carlos!BB7</f>
        <v>0</v>
      </c>
      <c r="L7" s="55">
        <f>Diego!BF7+Aelton!BF7+Leonam!BF7+Danilo!BF7+Marcos!BF7+Carlos!BF7</f>
        <v>0</v>
      </c>
      <c r="M7" s="55">
        <f>Diego!BL7+Aelton!BL7+Leonam!BL7+Danilo!BL7+Marcos!BL7+Carlos!BL7</f>
        <v>0</v>
      </c>
      <c r="N7" s="55">
        <f>Marcelo!BR7+Patrícia!RM7+Diego!BR7+Aelton!BR7+Leonam!BR7+Danilo!BR7+Marcos!BR7+Carlos!BR7</f>
        <v>0</v>
      </c>
      <c r="O7" s="55">
        <f>Marcelo!BX7+Patrícia!BX7+Diego!BX7+Aelton!BX7+Leonam!BX7+Danilo!BX7+Marcos!BX7+Carlos!BX7</f>
        <v>405</v>
      </c>
      <c r="P7" s="55">
        <f>Marcelo!CD7+Patrícia!CD7+Diego!CD7+Aelton!CD7+Leonam!CD7+Danilo!CD7+Marcos!CD7+Carlos!CD7+Alessandro!G7</f>
        <v>86</v>
      </c>
      <c r="Q7" s="55">
        <f>Marcelo!CJ7+Patrícia!CJ7+Diego!CJ7+Aelton!CJ7+Leonam!CJ7+Danilo!CJ7+Marcos!CJ7+Carlos!CJ7++Alessandro!M7</f>
        <v>23</v>
      </c>
      <c r="R7" s="61">
        <f>Marcelo!CP7+Patrícia!CP7+Diego!CP7+Aelton!CP7+Leonam!CP7+Danilo!CP7+Marcos!CP7+Carlos!CP7+Alessandro!S7</f>
        <v>13</v>
      </c>
      <c r="S7" s="61">
        <f>Marcelo!CV7+Patrícia!CV7+Diego!CV7+Aelton!CV7+Leonam!CV7+Danilo!CV7+Marcos!CV7+Carlos!CV7+Alessandro!Y7</f>
        <v>0</v>
      </c>
      <c r="T7" s="61">
        <f>Marcelo!DB7+Patrícia!DB7+Diego!DB7+Aelton!DB7+Leonam!DB7+Danilo!DB7+Marcos!DB7+Carlos!DB7+Alessandro!AE7</f>
        <v>0</v>
      </c>
      <c r="U7" s="61">
        <f>Marcelo!DH7+Patrícia!DH7+Diego!DH7+Aelton!DH7+Leonam!DH7+Danilo!DH7+Marcos!DH7+Carlos!DH7+Alessandro!AK7</f>
        <v>0</v>
      </c>
      <c r="V7" s="61">
        <f>Marcelo!DN7+Patrícia!DN7+Diego!DN7+Aelton!DN7+Leonam!DN7+Danilo!DN7+Marcos!DN7+Carlos!DN7+Alessandro!AQ7</f>
        <v>0</v>
      </c>
      <c r="W7" s="61">
        <f>Marcelo!DT7+Patrícia!DT7+Diego!DT7+Aelton!DT7+Leonam!DT7+Danilo!DT7+Marcos!DT7+Carlos!DT7+Alessandro!AW7</f>
        <v>0</v>
      </c>
      <c r="X7" s="61">
        <f>Marcelo!DZ7+Patrícia!DZ7+Diego!DZ7+Aelton!DZ7+Leonam!DZ7+Danilo!DZ7+Marcos!DZ7+Carlos!DZ7+Alessandro!BC7</f>
        <v>88</v>
      </c>
    </row>
    <row r="8" spans="1:24" ht="30" x14ac:dyDescent="0.25">
      <c r="A8" s="66" t="s">
        <v>3</v>
      </c>
      <c r="B8" s="69" t="s">
        <v>304</v>
      </c>
      <c r="C8" s="53">
        <f>Diego!E8+Aelton!E8+Leonam!E8+Danilo!E8+Marcos!E8</f>
        <v>0</v>
      </c>
      <c r="D8" s="53">
        <f>Diego!K8+Aelton!K8+Leonam!K8+Danilo!K8+Marcos!F8</f>
        <v>0</v>
      </c>
      <c r="E8" s="53">
        <f>Diego!Q8+Aelton!Q8+Leonam!Q8+Danilo!Q8+Marcos!Q8</f>
        <v>0</v>
      </c>
      <c r="F8" s="53">
        <f>Diego!X8+Aelton!X8+Leonam!X8+Danilo!X8+Marcos!X8</f>
        <v>75</v>
      </c>
      <c r="G8" s="53">
        <f>Diego!AD8+Aelton!AD8+Leonam!AD8+Danilo!AD8+Marcos!AD8</f>
        <v>37</v>
      </c>
      <c r="H8" s="53">
        <f>Diego!AJ8+Aelton!AJ8+Leonam!AJ8+Danilo!AJ8+Marcos!AJ8+Carlos!AJ8</f>
        <v>22</v>
      </c>
      <c r="I8" s="53">
        <f>Diego!AP8+Aelton!AP8+Leonam!AP8+Danilo!AP8+Marcos!AP8+Carlos!AP8</f>
        <v>0</v>
      </c>
      <c r="J8" s="53">
        <f>Diego!AV8+Aelton!AV8+Leonam!AV8+Danilo!AV8+Marcos!AV8+Carlos!AV8</f>
        <v>119</v>
      </c>
      <c r="K8" s="53">
        <f>Diego!BB8+Aelton!BB8+Leonam!BB8+Danilo!BB8+Marcos!BB8+Carlos!BB8</f>
        <v>91</v>
      </c>
      <c r="L8" s="53">
        <f>Diego!BF8+Aelton!BF8+Leonam!BF8+Danilo!BF8+Marcos!BF8+Carlos!BF8</f>
        <v>60</v>
      </c>
      <c r="M8" s="53">
        <f>Diego!BL8+Aelton!BL8+Leonam!BL8+Danilo!BL8+Marcos!BL8+Carlos!BL8</f>
        <v>79</v>
      </c>
      <c r="N8" s="53">
        <f>Marcelo!BR8+Patrícia!RM8+Diego!BR8+Aelton!BR8+Leonam!BR8+Danilo!BR8+Marcos!BR8+Carlos!BR8</f>
        <v>219</v>
      </c>
      <c r="O8" s="53">
        <f>Marcelo!BX8+Patrícia!BX8+Diego!BX8+Aelton!BX8+Leonam!BX8+Danilo!BX8+Marcos!BX8+Carlos!BX8</f>
        <v>459</v>
      </c>
      <c r="P8" s="53">
        <f>Marcelo!CD8+Patrícia!CD8+Diego!CD8+Aelton!CD8+Leonam!CD8+Danilo!CD8+Marcos!CD8+Carlos!CD8+Alessandro!G8</f>
        <v>226</v>
      </c>
      <c r="Q8" s="53">
        <f>Marcelo!CJ8+Patrícia!CJ8+Diego!CJ8+Aelton!CJ8+Leonam!CJ8+Danilo!CJ8+Marcos!CJ8+Carlos!CJ8++Alessandro!M8</f>
        <v>24</v>
      </c>
      <c r="R8" s="53">
        <f>Marcelo!CP8+Patrícia!CP8+Diego!CP8+Aelton!CP8+Leonam!CP8+Danilo!CP8+Marcos!CP8+Carlos!CP8+Alessandro!S8</f>
        <v>35</v>
      </c>
      <c r="S8" s="53">
        <f>Marcelo!CV8+Patrícia!CV8+Diego!CV8+Aelton!CV8+Leonam!CV8+Danilo!CV8+Marcos!CV8+Carlos!CV8+Alessandro!Y8</f>
        <v>54</v>
      </c>
      <c r="T8" s="53">
        <f>Marcelo!DB8+Patrícia!DB8+Diego!DB8+Aelton!DB8+Leonam!DB8+Danilo!DB8+Marcos!DB8+Carlos!DB8+Alessandro!AE8</f>
        <v>16</v>
      </c>
      <c r="U8" s="53">
        <f>Marcelo!DH8+Patrícia!DH8+Diego!DH8+Aelton!DH8+Leonam!DH8+Danilo!DH8+Marcos!DH8+Carlos!DH8+Alessandro!AK8</f>
        <v>0</v>
      </c>
      <c r="V8" s="53">
        <f>Marcelo!DN8+Patrícia!DN8+Diego!DN8+Aelton!DN8+Leonam!DN8+Danilo!DN8+Marcos!DN8+Carlos!DN8+Alessandro!AQ8</f>
        <v>0</v>
      </c>
      <c r="W8" s="53">
        <f>Marcelo!DT8+Patrícia!DT8+Diego!DT8+Aelton!DT8+Leonam!DT8+Danilo!DT8+Marcos!DT8+Carlos!DT8+Alessandro!AW8</f>
        <v>37</v>
      </c>
      <c r="X8" s="53">
        <f>Marcelo!DZ8+Patrícia!DZ8+Diego!DZ8+Aelton!DZ8+Leonam!DZ8+Danilo!DZ8+Marcos!DZ8+Carlos!DZ8+Alessandro!BC8</f>
        <v>93</v>
      </c>
    </row>
    <row r="9" spans="1:24" x14ac:dyDescent="0.25">
      <c r="A9" s="68" t="s">
        <v>298</v>
      </c>
      <c r="B9" s="65" t="s">
        <v>297</v>
      </c>
      <c r="C9" s="55">
        <f>Diego!E9+Aelton!E9+Leonam!E9+Danilo!E9+Marcos!E9</f>
        <v>0</v>
      </c>
      <c r="D9" s="55">
        <f>Diego!K9+Aelton!K9+Leonam!K9+Danilo!K9+Marcos!F9</f>
        <v>0</v>
      </c>
      <c r="E9" s="55">
        <f>Diego!Q9+Aelton!Q9+Leonam!Q9+Danilo!Q9+Marcos!Q9</f>
        <v>0</v>
      </c>
      <c r="F9" s="55">
        <f>Diego!X9+Aelton!X9+Leonam!X9+Danilo!X9+Marcos!X9</f>
        <v>55</v>
      </c>
      <c r="G9" s="55">
        <f>Diego!AD9+Aelton!AD9+Leonam!AD9+Danilo!AD9+Marcos!AD9</f>
        <v>30</v>
      </c>
      <c r="H9" s="55">
        <f>Diego!AJ9+Aelton!AJ9+Leonam!AJ9+Danilo!AJ9+Marcos!AJ9+Carlos!AJ9</f>
        <v>22</v>
      </c>
      <c r="I9" s="55">
        <f>Diego!AP9+Aelton!AP9+Leonam!AP9+Danilo!AP9+Marcos!AP9+Carlos!AP9</f>
        <v>0</v>
      </c>
      <c r="J9" s="55">
        <f>Diego!AV9+Aelton!AV9+Leonam!AV9+Danilo!AV9+Marcos!AV9+Carlos!AV9</f>
        <v>27</v>
      </c>
      <c r="K9" s="55">
        <f>Diego!BB9+Aelton!BB9+Leonam!BB9+Danilo!BB9+Marcos!BB9+Carlos!BB9</f>
        <v>73</v>
      </c>
      <c r="L9" s="55">
        <f>Diego!BF9+Aelton!BF9+Leonam!BF9+Danilo!BF9+Marcos!BF9+Carlos!BF9</f>
        <v>78</v>
      </c>
      <c r="M9" s="55">
        <f>Diego!BL9+Aelton!BL9+Leonam!BL9+Danilo!BL9+Marcos!BL9+Carlos!BL9</f>
        <v>88</v>
      </c>
      <c r="N9" s="55">
        <f>Marcelo!BR9+Patrícia!RM9+Diego!BR9+Aelton!BR9+Leonam!BR9+Danilo!BR9+Marcos!BR9+Carlos!BR9</f>
        <v>120</v>
      </c>
      <c r="O9" s="55">
        <f>Marcelo!BX9+Patrícia!BX9+Diego!BX9+Aelton!BX9+Leonam!BX9+Danilo!BX9+Marcos!BX9+Carlos!BX9</f>
        <v>100</v>
      </c>
      <c r="P9" s="55">
        <f>Marcelo!CD9+Patrícia!CD9+Diego!CD9+Aelton!CD9+Leonam!CD9+Danilo!CD9+Marcos!CD9+Carlos!CD9+Alessandro!G9</f>
        <v>149</v>
      </c>
      <c r="Q9" s="55">
        <f>Marcelo!CJ9+Patrícia!CJ9+Diego!CJ9+Aelton!CJ9+Leonam!CJ9+Danilo!CJ9+Marcos!CJ9+Carlos!CJ9++Alessandro!M9</f>
        <v>79</v>
      </c>
      <c r="R9" s="61">
        <f>Marcelo!CP9+Patrícia!CP9+Diego!CP9+Aelton!CP9+Leonam!CP9+Danilo!CP9+Marcos!CP9+Carlos!CP9+Alessandro!S9</f>
        <v>44</v>
      </c>
      <c r="S9" s="61">
        <f>Marcelo!CV9+Patrícia!CV9+Diego!CV9+Aelton!CV9+Leonam!CV9+Danilo!CV9+Marcos!CV9+Carlos!CV9+Alessandro!Y9</f>
        <v>12</v>
      </c>
      <c r="T9" s="61">
        <f>Marcelo!DB9+Patrícia!DB9+Diego!DB9+Aelton!DB9+Leonam!DB9+Danilo!DB9+Marcos!DB9+Carlos!DB9+Alessandro!AE9</f>
        <v>55</v>
      </c>
      <c r="U9" s="61">
        <f>Marcelo!DH9+Patrícia!DH9+Diego!DH9+Aelton!DH9+Leonam!DH9+Danilo!DH9+Marcos!DH9+Carlos!DH9+Alessandro!AK9</f>
        <v>32</v>
      </c>
      <c r="V9" s="61">
        <f>Marcelo!DN9+Patrícia!DN9+Diego!DN9+Aelton!DN9+Leonam!DN9+Danilo!DN9+Marcos!DN9+Carlos!DN9+Alessandro!AQ9</f>
        <v>5</v>
      </c>
      <c r="W9" s="61">
        <f>Marcelo!DT9+Patrícia!DT9+Diego!DT9+Aelton!DT9+Leonam!DT9+Danilo!DT9+Marcos!DT9+Carlos!DT9+Alessandro!AW9</f>
        <v>0</v>
      </c>
      <c r="X9" s="61">
        <f>Marcelo!DZ9+Patrícia!DZ9+Diego!DZ9+Aelton!DZ9+Leonam!DZ9+Danilo!DZ9+Marcos!DZ9+Carlos!DZ9+Alessandro!BC9</f>
        <v>11</v>
      </c>
    </row>
    <row r="10" spans="1:24" x14ac:dyDescent="0.25">
      <c r="A10" s="66" t="s">
        <v>13</v>
      </c>
      <c r="B10" s="67" t="s">
        <v>297</v>
      </c>
      <c r="C10" s="53">
        <f>Diego!E10+Aelton!E10+Leonam!E10+Danilo!E10+Marcos!E10</f>
        <v>0</v>
      </c>
      <c r="D10" s="53">
        <f>Diego!K10+Aelton!K10+Leonam!K10+Danilo!K10+Marcos!F10</f>
        <v>0</v>
      </c>
      <c r="E10" s="53">
        <f>Diego!Q10+Aelton!Q10+Leonam!Q10+Danilo!Q10+Marcos!Q10</f>
        <v>0</v>
      </c>
      <c r="F10" s="53">
        <f>Diego!X10+Aelton!X10+Leonam!X10+Danilo!X10+Marcos!X10</f>
        <v>0</v>
      </c>
      <c r="G10" s="53">
        <f>Diego!AD10+Aelton!AD10+Leonam!AD10+Danilo!AD10+Marcos!AD10</f>
        <v>0</v>
      </c>
      <c r="H10" s="53">
        <f>Diego!AJ10+Aelton!AJ10+Leonam!AJ10+Danilo!AJ10+Marcos!AJ10+Carlos!AJ10</f>
        <v>0</v>
      </c>
      <c r="I10" s="53">
        <f>Diego!AP10+Aelton!AP10+Leonam!AP10+Danilo!AP10+Marcos!AP10+Carlos!AP10</f>
        <v>0</v>
      </c>
      <c r="J10" s="53">
        <f>Diego!AV10+Aelton!AV10+Leonam!AV10+Danilo!AV10+Marcos!AV10+Carlos!AV10</f>
        <v>41</v>
      </c>
      <c r="K10" s="53">
        <f>Diego!BB10+Aelton!BB10+Leonam!BB10+Danilo!BB10+Marcos!BB10+Carlos!BB10</f>
        <v>73</v>
      </c>
      <c r="L10" s="53">
        <f>Diego!BF10+Aelton!BF10+Leonam!BF10+Danilo!BF10+Marcos!BF10+Carlos!BF10</f>
        <v>78</v>
      </c>
      <c r="M10" s="53">
        <f>Diego!BL10+Aelton!BL10+Leonam!BL10+Danilo!BL10+Marcos!BL10+Carlos!BL10</f>
        <v>94</v>
      </c>
      <c r="N10" s="53">
        <f>Marcelo!BR10+Patrícia!RM10+Diego!BR10+Aelton!BR10+Leonam!BR10+Danilo!BR10+Marcos!BR10+Carlos!BR10</f>
        <v>165</v>
      </c>
      <c r="O10" s="53">
        <f>Marcelo!BX10+Patrícia!BX10+Diego!BX10+Aelton!BX10+Leonam!BX10+Danilo!BX10+Marcos!BX10+Carlos!BX10</f>
        <v>146</v>
      </c>
      <c r="P10" s="53">
        <f>Marcelo!CD10+Patrícia!CD10+Diego!CD10+Aelton!CD10+Leonam!CD10+Danilo!CD10+Marcos!CD10+Carlos!CD10+Alessandro!G10</f>
        <v>174</v>
      </c>
      <c r="Q10" s="53">
        <f>Marcelo!CJ10+Patrícia!CJ10+Diego!CJ10+Aelton!CJ10+Leonam!CJ10+Danilo!CJ10+Marcos!CJ10+Carlos!CJ10++Alessandro!M10</f>
        <v>139</v>
      </c>
      <c r="R10" s="53">
        <f>Marcelo!CP10+Patrícia!CP10+Diego!CP10+Aelton!CP10+Leonam!CP10+Danilo!CP10+Marcos!CP10+Carlos!CP10+Alessandro!S10</f>
        <v>61</v>
      </c>
      <c r="S10" s="53">
        <f>Marcelo!CV10+Patrícia!CV10+Diego!CV10+Aelton!CV10+Leonam!CV10+Danilo!CV10+Marcos!CV10+Carlos!CV10+Alessandro!Y10</f>
        <v>26</v>
      </c>
      <c r="T10" s="53">
        <f>Marcelo!DB10+Patrícia!DB10+Diego!DB10+Aelton!DB10+Leonam!DB10+Danilo!DB10+Marcos!DB10+Carlos!DB10+Alessandro!AE10</f>
        <v>45</v>
      </c>
      <c r="U10" s="53">
        <f>Marcelo!DH10+Patrícia!DH10+Diego!DH10+Aelton!DH10+Leonam!DH10+Danilo!DH10+Marcos!DH10+Carlos!DH10+Alessandro!AK10</f>
        <v>32</v>
      </c>
      <c r="V10" s="53">
        <f>Marcelo!DN10+Patrícia!DN10+Diego!DN10+Aelton!DN10+Leonam!DN10+Danilo!DN10+Marcos!DN10+Carlos!DN10+Alessandro!AQ10</f>
        <v>523</v>
      </c>
      <c r="W10" s="53">
        <f>Marcelo!DT10+Patrícia!DT10+Diego!DT10+Aelton!DT10+Leonam!DT10+Danilo!DT10+Marcos!DT10+Carlos!DT10+Alessandro!AW10</f>
        <v>0</v>
      </c>
      <c r="X10" s="53">
        <f>Marcelo!DZ10+Patrícia!DZ10+Diego!DZ10+Aelton!DZ10+Leonam!DZ10+Danilo!DZ10+Marcos!DZ10+Carlos!DZ10+Alessandro!BC10</f>
        <v>0</v>
      </c>
    </row>
    <row r="11" spans="1:24" x14ac:dyDescent="0.25">
      <c r="A11" s="68" t="s">
        <v>4</v>
      </c>
      <c r="B11" s="70" t="s">
        <v>297</v>
      </c>
      <c r="C11" s="55">
        <f>Diego!E11+Aelton!E11+Leonam!E11+Danilo!E11+Marcos!E11</f>
        <v>0</v>
      </c>
      <c r="D11" s="55">
        <f>Diego!K11+Aelton!K11+Leonam!K11+Danilo!K11+Marcos!F11</f>
        <v>0</v>
      </c>
      <c r="E11" s="55">
        <f>Diego!Q11+Aelton!Q11+Leonam!Q11+Danilo!Q11+Marcos!Q11</f>
        <v>0</v>
      </c>
      <c r="F11" s="55">
        <f>Diego!X11+Aelton!X11+Leonam!X11+Danilo!X11+Marcos!X11</f>
        <v>70</v>
      </c>
      <c r="G11" s="55">
        <f>Diego!AD11+Aelton!AD11+Leonam!AD11+Danilo!AD11+Marcos!AD11</f>
        <v>9</v>
      </c>
      <c r="H11" s="55">
        <f>Diego!AJ11+Aelton!AJ11+Leonam!AJ11+Danilo!AJ11+Marcos!AJ11+Carlos!AJ11</f>
        <v>21</v>
      </c>
      <c r="I11" s="55">
        <f>Diego!AP11+Aelton!AP11+Leonam!AP11+Danilo!AP11+Marcos!AP11+Carlos!AP11</f>
        <v>60</v>
      </c>
      <c r="J11" s="55">
        <f>Diego!AV11+Aelton!AV11+Leonam!AV11+Danilo!AV11+Marcos!AV11+Carlos!AV11</f>
        <v>30</v>
      </c>
      <c r="K11" s="55">
        <f>Diego!BB11+Aelton!BB11+Leonam!BB11+Danilo!BB11+Marcos!BB11+Carlos!BB11</f>
        <v>40</v>
      </c>
      <c r="L11" s="55">
        <f>Diego!BF11+Aelton!BF11+Leonam!BF11+Danilo!BF11+Marcos!BF11+Carlos!BF11</f>
        <v>16</v>
      </c>
      <c r="M11" s="55">
        <f>Diego!BL11+Aelton!BL11+Leonam!BL11+Danilo!BL11+Marcos!BL11+Carlos!BL11</f>
        <v>12</v>
      </c>
      <c r="N11" s="55">
        <f>Marcelo!BR11+Patrícia!RM11+Diego!BR11+Aelton!BR11+Leonam!BR11+Danilo!BR11+Marcos!BR11+Carlos!BR11</f>
        <v>0</v>
      </c>
      <c r="O11" s="55">
        <f>Marcelo!BX11+Patrícia!BX11+Diego!BX11+Aelton!BX11+Leonam!BX11+Danilo!BX11+Marcos!BX11+Carlos!BX11</f>
        <v>40</v>
      </c>
      <c r="P11" s="55">
        <f>Marcelo!CD11+Patrícia!CD11+Diego!CD11+Aelton!CD11+Leonam!CD11+Danilo!CD11+Marcos!CD11+Carlos!CD11+Alessandro!G11</f>
        <v>71</v>
      </c>
      <c r="Q11" s="55">
        <f>Marcelo!CJ11+Patrícia!CJ11+Diego!CJ11+Aelton!CJ11+Leonam!CJ11+Danilo!CJ11+Marcos!CJ11+Carlos!CJ11++Alessandro!M11</f>
        <v>0</v>
      </c>
      <c r="R11" s="61">
        <f>Marcelo!CP11+Patrícia!CP11+Diego!CP11+Aelton!CP11+Leonam!CP11+Danilo!CP11+Marcos!CP11+Carlos!CP11+Alessandro!S11</f>
        <v>23</v>
      </c>
      <c r="S11" s="61">
        <f>Marcelo!CV11+Patrícia!CV11+Diego!CV11+Aelton!CV11+Leonam!CV11+Danilo!CV11+Marcos!CV11+Carlos!CV11+Alessandro!Y11</f>
        <v>51</v>
      </c>
      <c r="T11" s="61">
        <f>Marcelo!DB11+Patrícia!DB11+Diego!DB11+Aelton!DB11+Leonam!DB11+Danilo!DB11+Marcos!DB11+Carlos!DB11+Alessandro!AE11</f>
        <v>31</v>
      </c>
      <c r="U11" s="61">
        <f>Marcelo!DH11+Patrícia!DH11+Diego!DH11+Aelton!DH11+Leonam!DH11+Danilo!DH11+Marcos!DH11+Carlos!DH11+Alessandro!AK11</f>
        <v>32</v>
      </c>
      <c r="V11" s="61">
        <f>Marcelo!DN11+Patrícia!DN11+Diego!DN11+Aelton!DN11+Leonam!DN11+Danilo!DN11+Marcos!DN11+Carlos!DN11+Alessandro!AQ11</f>
        <v>52</v>
      </c>
      <c r="W11" s="61">
        <f>Marcelo!DT11+Patrícia!DT11+Diego!DT11+Aelton!DT11+Leonam!DT11+Danilo!DT11+Marcos!DT11+Carlos!DT11+Alessandro!AW11</f>
        <v>28</v>
      </c>
      <c r="X11" s="61">
        <f>Marcelo!DZ11+Patrícia!DZ11+Diego!DZ11+Aelton!DZ11+Leonam!DZ11+Danilo!DZ11+Marcos!DZ11+Carlos!DZ11+Alessandro!BC11</f>
        <v>32</v>
      </c>
    </row>
    <row r="12" spans="1:24" x14ac:dyDescent="0.25">
      <c r="A12" s="66" t="s">
        <v>5</v>
      </c>
      <c r="B12" s="69" t="s">
        <v>297</v>
      </c>
      <c r="C12" s="53">
        <f>Diego!E12+Aelton!E12+Leonam!E12+Danilo!E12+Marcos!E12</f>
        <v>0</v>
      </c>
      <c r="D12" s="53">
        <f>Diego!K12+Aelton!K12+Leonam!K12+Danilo!K12+Marcos!F12</f>
        <v>0</v>
      </c>
      <c r="E12" s="53">
        <f>Diego!Q12+Aelton!Q12+Leonam!Q12+Danilo!Q12+Marcos!Q12</f>
        <v>0</v>
      </c>
      <c r="F12" s="53">
        <f>Diego!X12+Aelton!X12+Leonam!X12+Danilo!X12+Marcos!X12</f>
        <v>1118</v>
      </c>
      <c r="G12" s="53">
        <f>Diego!AD12+Aelton!AD12+Leonam!AD12+Danilo!AD12+Marcos!AD12</f>
        <v>122</v>
      </c>
      <c r="H12" s="53">
        <f>Diego!AJ12+Aelton!AJ12+Leonam!AJ12+Danilo!AJ12+Marcos!AJ12+Carlos!AJ12</f>
        <v>476</v>
      </c>
      <c r="I12" s="53">
        <f>Diego!AP12+Aelton!AP12+Leonam!AP12+Danilo!AP12+Marcos!AP12+Carlos!AP12</f>
        <v>1108</v>
      </c>
      <c r="J12" s="53">
        <f>Diego!AV12+Aelton!AV12+Leonam!AV12+Danilo!AV12+Marcos!AV12+Carlos!AV12</f>
        <v>579</v>
      </c>
      <c r="K12" s="53">
        <f>Diego!BB12+Aelton!BB12+Leonam!BB12+Danilo!BB12+Marcos!BB12+Carlos!BB12</f>
        <v>624</v>
      </c>
      <c r="L12" s="53">
        <f>Diego!BF12+Aelton!BF12+Leonam!BF12+Danilo!BF12+Marcos!BF12+Carlos!BF12</f>
        <v>193</v>
      </c>
      <c r="M12" s="53">
        <f>Diego!BL12+Aelton!BL12+Leonam!BL12+Danilo!BL12+Marcos!BL12+Carlos!BL12</f>
        <v>199</v>
      </c>
      <c r="N12" s="53">
        <f>Marcelo!BR12+Patrícia!RM12+Diego!BR12+Aelton!BR12+Leonam!BR12+Danilo!BR12+Marcos!BR12+Carlos!BR12</f>
        <v>0</v>
      </c>
      <c r="O12" s="53">
        <f>Marcelo!BX12+Patrícia!BX12+Diego!BX12+Aelton!BX12+Leonam!BX12+Danilo!BX12+Marcos!BX12+Carlos!BX12</f>
        <v>0</v>
      </c>
      <c r="P12" s="53">
        <f>Marcelo!CD12+Patrícia!CD12+Diego!CD12+Aelton!CD12+Leonam!CD12+Danilo!CD12+Marcos!CD12+Carlos!CD12+Alessandro!G12</f>
        <v>273</v>
      </c>
      <c r="Q12" s="53">
        <f>Marcelo!CJ12+Patrícia!CJ12+Diego!CJ12+Aelton!CJ12+Leonam!CJ12+Danilo!CJ12+Marcos!CJ12+Carlos!CJ12++Alessandro!M12</f>
        <v>0</v>
      </c>
      <c r="R12" s="53">
        <f>Marcelo!CP12+Patrícia!CP12+Diego!CP12+Aelton!CP12+Leonam!CP12+Danilo!CP12+Marcos!CP12+Carlos!CP12+Alessandro!S12</f>
        <v>117</v>
      </c>
      <c r="S12" s="53">
        <f>Marcelo!CV12+Patrícia!CV12+Diego!CV12+Aelton!CV12+Leonam!CV12+Danilo!CV12+Marcos!CV12+Carlos!CV12+Alessandro!Y12</f>
        <v>365</v>
      </c>
      <c r="T12" s="53">
        <f>Marcelo!DB12+Patrícia!DB12+Diego!DB12+Aelton!DB12+Leonam!DB12+Danilo!DB12+Marcos!DB12+Carlos!DB12+Alessandro!AE12</f>
        <v>250</v>
      </c>
      <c r="U12" s="53">
        <f>Marcelo!DH12+Patrícia!DH12+Diego!DH12+Aelton!DH12+Leonam!DH12+Danilo!DH12+Marcos!DH12+Carlos!DH12+Alessandro!AK12</f>
        <v>407</v>
      </c>
      <c r="V12" s="53">
        <f>Marcelo!DN12+Patrícia!DN12+Diego!DN12+Aelton!DN12+Leonam!DN12+Danilo!DN12+Marcos!DN12+Carlos!DN12+Alessandro!AQ12</f>
        <v>627</v>
      </c>
      <c r="W12" s="53">
        <f>Marcelo!DT12+Patrícia!DT12+Diego!DT12+Aelton!DT12+Leonam!DT12+Danilo!DT12+Marcos!DT12+Carlos!DT12+Alessandro!AW12</f>
        <v>405</v>
      </c>
      <c r="X12" s="53">
        <f>Marcelo!DZ12+Patrícia!DZ12+Diego!DZ12+Aelton!DZ12+Leonam!DZ12+Danilo!DZ12+Marcos!DZ12+Carlos!DZ12+Alessandro!BC12</f>
        <v>688</v>
      </c>
    </row>
    <row r="13" spans="1:24" x14ac:dyDescent="0.25">
      <c r="A13" s="68" t="s">
        <v>8</v>
      </c>
      <c r="B13" s="65" t="s">
        <v>296</v>
      </c>
      <c r="C13" s="55">
        <v>1</v>
      </c>
      <c r="D13" s="55">
        <v>4</v>
      </c>
      <c r="E13" s="55">
        <v>1</v>
      </c>
      <c r="F13" s="55">
        <v>1</v>
      </c>
      <c r="G13" s="55">
        <v>7</v>
      </c>
      <c r="H13" s="55">
        <v>4</v>
      </c>
      <c r="I13" s="55">
        <v>2</v>
      </c>
      <c r="J13" s="55">
        <v>9</v>
      </c>
      <c r="K13" s="55">
        <v>4</v>
      </c>
      <c r="L13" s="55">
        <v>44</v>
      </c>
      <c r="M13" s="55">
        <v>3</v>
      </c>
      <c r="N13" s="55">
        <v>57</v>
      </c>
      <c r="O13" s="55">
        <v>7</v>
      </c>
      <c r="P13" s="55">
        <v>10</v>
      </c>
      <c r="Q13" s="55">
        <v>2</v>
      </c>
      <c r="R13" s="61">
        <f>Marcelo!CP13+Patrícia!CP13+Diego!CP13+Aelton!CP13+Leonam!CP13+Danilo!CP13+Marcos!CP13+Carlos!CP13+Alessandro!S13</f>
        <v>10</v>
      </c>
      <c r="S13" s="61">
        <v>4</v>
      </c>
      <c r="T13" s="61">
        <f>Marcelo!DB13+Patrícia!DB13+Diego!DB13+Aelton!DB13+Leonam!DB13+Danilo!DB13+Marcos!DB13+Carlos!DB13+Alessandro!AE13</f>
        <v>1</v>
      </c>
      <c r="U13" s="61">
        <v>3</v>
      </c>
      <c r="V13" s="61">
        <f>Marcelo!DN13+Patrícia!DN13+Diego!DN13+Aelton!DN13+Leonam!DN13+Danilo!DN13+Marcos!DN13+Carlos!DN13+Alessandro!AQ13</f>
        <v>2</v>
      </c>
      <c r="W13" s="61">
        <f>Marcelo!DT13+Patrícia!DT13+Diego!DT13+Aelton!DT13+Leonam!DT13+Danilo!DT13+Marcos!DT13+Carlos!DT13+Alessandro!AW13</f>
        <v>4</v>
      </c>
      <c r="X13" s="61">
        <f>Marcelo!DZ13+Patrícia!DZ13+Diego!DZ13+Aelton!DZ13+Leonam!DZ13+Danilo!DZ13+Marcos!DZ13+Carlos!DZ13+Alessandro!BC13</f>
        <v>2</v>
      </c>
    </row>
    <row r="14" spans="1:24" x14ac:dyDescent="0.25">
      <c r="A14" s="66" t="s">
        <v>6</v>
      </c>
      <c r="B14" s="69" t="s">
        <v>299</v>
      </c>
      <c r="C14" s="53">
        <f>Marcelo!E14+Patrícia!E14+Diego!E14+Aelton!E14+Leonam!E14+Danilo!E14+Marcos!E14</f>
        <v>0</v>
      </c>
      <c r="D14" s="53">
        <f>Marcelo!K14+Patrícia!K14+Diego!K14+Aelton!K14+Leonam!K14+Danilo!K14+Marcos!K14</f>
        <v>0</v>
      </c>
      <c r="E14" s="53">
        <f>Marcelo!Q14+Patrícia!Q14+Diego!Q14+Aelton!Q14+Leonam!Q14+Danilo!Q14+Marcos!Q14</f>
        <v>0</v>
      </c>
      <c r="F14" s="53">
        <f>Marcelo!X14+Patrícia!X14+Diego!X14+Aelton!X14+Leonam!X14+Danilo!X14+Marcos!X14</f>
        <v>0</v>
      </c>
      <c r="G14" s="53">
        <f>Marcelo!AD14+Patrícia!AD14+Diego!AD14+Aelton!AD14+Leonam!AD14+Danilo!AD14+Marcos!AD14</f>
        <v>1</v>
      </c>
      <c r="H14" s="53">
        <f>Marcelo!AJ14+Patrícia!AJ14+Diego!AJ14+Aelton!AJ14+Leonam!AJ14+Danilo!AJ14+Marcos!AJ14</f>
        <v>0</v>
      </c>
      <c r="I14" s="53">
        <f>Marcelo!AP14+Patrícia!AP14+Diego!AP14+Aelton!AP14+Leonam!AP14+Danilo!AP14+Marcos!AP14</f>
        <v>0</v>
      </c>
      <c r="J14" s="53">
        <f>Marcelo!AV14+Patrícia!AV14+Diego!AV14+Aelton!AV14+Leonam!AV14+Danilo!AV14+Marcos!AV14</f>
        <v>0</v>
      </c>
      <c r="K14" s="53">
        <f>Marcelo!BB14+Patrícia!B14+Diego!BB14+Aelton!BB14+Leonam!BB14+Danilo!BB14+Marcos!BB14</f>
        <v>13</v>
      </c>
      <c r="L14" s="53">
        <f>Marcelo!BF14+Patrícia!BF14+Diego!BF14+Aelton!BF14+Leonam!BF14+Danilo!BF14+Marcos!BF14</f>
        <v>0</v>
      </c>
      <c r="M14" s="53">
        <f>Marcelo!BL14+Patrícia!BL14+Diego!BL14+Aelton!BL14+Leonam!BL14+Danilo!BL14+Marcos!BL14+Carlos!BL14</f>
        <v>0</v>
      </c>
      <c r="N14" s="53">
        <f>Marcelo!BR14+Patrícia!RM14+Diego!BR14+Aelton!BR14+Leonam!BR14+Danilo!BR14+Marcos!BR14+Carlos!BR14</f>
        <v>0</v>
      </c>
      <c r="O14" s="53">
        <f>Marcelo!BX14+Patrícia!BX14+Diego!BX14+Aelton!BX14+Leonam!BX14+Danilo!BX14+Marcos!BX14+Carlos!BX14</f>
        <v>0</v>
      </c>
      <c r="P14" s="53">
        <f>Marcelo!CD14+Patrícia!CD14+Diego!CD14+Aelton!CD14+Leonam!CD14+Danilo!CD14+Marcos!CD14+Carlos!CD14+Alessandro!G14</f>
        <v>0</v>
      </c>
      <c r="Q14" s="53">
        <f>Marcelo!CJ14+Patrícia!CJ14+Diego!CJ14+Aelton!CJ14+Leonam!CJ14+Danilo!CJ14+Marcos!CJ14+Carlos!CJ14++Alessandro!M14</f>
        <v>0</v>
      </c>
      <c r="R14" s="53">
        <f>Marcelo!CP14+Patrícia!CP14+Diego!CP14+Aelton!CP14+Leonam!CP14+Danilo!CP14+Marcos!CP14+Carlos!CP14+Alessandro!S14</f>
        <v>0</v>
      </c>
      <c r="S14" s="53">
        <f>Marcelo!CV14+Patrícia!CV14+Diego!CV14+Aelton!CV14+Leonam!CV14+Danilo!CV14+Marcos!CV14+Carlos!CV14+Alessandro!Y14</f>
        <v>1</v>
      </c>
      <c r="T14" s="53">
        <f>Marcelo!DB14+Patrícia!DB14+Diego!DB14+Aelton!DB14+Leonam!DB14+Danilo!DB14+Marcos!DB14+Carlos!DB14+Alessandro!AE14</f>
        <v>0</v>
      </c>
      <c r="U14" s="53">
        <f>Marcelo!DH14+Patrícia!DH14+Diego!DH14+Aelton!DH14+Leonam!DH14+Danilo!DH14+Marcos!DH14+Carlos!DH14+Alessandro!AK14</f>
        <v>3</v>
      </c>
      <c r="V14" s="53">
        <f>Marcelo!DN14+Patrícia!DN14+Diego!DN14+Aelton!DN14+Leonam!DN14+Danilo!DN14+Marcos!DN14+Carlos!DN14+Alessandro!AQ14</f>
        <v>0</v>
      </c>
      <c r="W14" s="53">
        <f>Marcelo!DT14+Patrícia!DT14+Diego!DT14+Aelton!DT14+Leonam!DT14+Danilo!DT14+Marcos!DT14+Carlos!DT14+Alessandro!AW14</f>
        <v>0</v>
      </c>
      <c r="X14" s="53">
        <f>Marcelo!DZ14+Patrícia!DZ14+Diego!DZ14+Aelton!DZ14+Leonam!DZ14+Danilo!DZ14+Marcos!DZ14+Carlos!DZ14+Alessandro!BC14</f>
        <v>1</v>
      </c>
    </row>
    <row r="15" spans="1:24" ht="30" x14ac:dyDescent="0.25">
      <c r="A15" s="64" t="s">
        <v>175</v>
      </c>
      <c r="B15" s="65" t="s">
        <v>301</v>
      </c>
      <c r="C15" s="55">
        <f>Diego!E15+Aelton!E15+Leonam!E15+Danilo!E15+Marcos!E15</f>
        <v>0</v>
      </c>
      <c r="D15" s="55">
        <f>Diego!K15+Aelton!K15+Leonam!K15+Danilo!K15+Marcos!F15</f>
        <v>161</v>
      </c>
      <c r="E15" s="55">
        <f>Diego!Q15+Aelton!Q15+Leonam!Q15+Danilo!Q15+Marcos!Q15</f>
        <v>0</v>
      </c>
      <c r="F15" s="55">
        <f>Diego!X15+Aelton!X15+Leonam!X15+Danilo!X15+Marcos!X15</f>
        <v>1028</v>
      </c>
      <c r="G15" s="55">
        <f>Diego!AD15+Aelton!AD15+Leonam!AD15+Danilo!AD15+Marcos!AD15</f>
        <v>1243</v>
      </c>
      <c r="H15" s="55">
        <f>Diego!AJ15+Aelton!AJ15+Leonam!AJ15+Danilo!AJ15+Marcos!AJ15+Carlos!AJ15</f>
        <v>496</v>
      </c>
      <c r="I15" s="55">
        <f>Diego!AP15+Aelton!AP15+Leonam!AP15+Danilo!AP15+Marcos!AP15+Carlos!AP15</f>
        <v>0</v>
      </c>
      <c r="J15" s="55">
        <f>Diego!AV15+Aelton!AV15+Leonam!AV15+Danilo!AV15+Marcos!AV15+Carlos!AV15</f>
        <v>0</v>
      </c>
      <c r="K15" s="55">
        <f>Diego!BB15+Aelton!BB15+Leonam!BB15+Danilo!BB15+Marcos!BB15+Carlos!BB15</f>
        <v>49</v>
      </c>
      <c r="L15" s="55">
        <f>Diego!BF15+Aelton!BF15+Leonam!BF15+Danilo!BF15+Marcos!BF15+Carlos!BF15</f>
        <v>32</v>
      </c>
      <c r="M15" s="55">
        <f>Diego!BL15+Aelton!BL15+Leonam!BL15+Danilo!BL15+Marcos!BL15+Carlos!BL15</f>
        <v>784</v>
      </c>
      <c r="N15" s="55">
        <f>Marcelo!BR15+Patrícia!RM15+Diego!BR15+Aelton!BR15+Leonam!BR15+Danilo!BR15+Marcos!BR15+Carlos!BR15</f>
        <v>0</v>
      </c>
      <c r="O15" s="55">
        <f>Marcelo!BX15+Patrícia!BX15+Diego!BX15+Aelton!BX15+Leonam!BX15+Danilo!BX15+Marcos!BX15+Carlos!BX15</f>
        <v>0</v>
      </c>
      <c r="P15" s="55">
        <f>Marcelo!CD15+Patrícia!CD15+Diego!CD15+Aelton!CD15+Leonam!CD15+Danilo!CD15+Marcos!CD15+Carlos!CD15+Alessandro!G15</f>
        <v>0</v>
      </c>
      <c r="Q15" s="55">
        <f>Marcelo!CJ15+Patrícia!CJ15+Diego!CJ15+Aelton!CJ15+Leonam!CJ15+Danilo!CJ15+Marcos!CJ15+Carlos!CJ15++Alessandro!M15</f>
        <v>0</v>
      </c>
      <c r="R15" s="61">
        <f>Marcelo!CP15+Patrícia!CP15+Diego!CP15+Aelton!CP15+Leonam!CP15+Danilo!CP15+Marcos!CP15+Carlos!CP15+Alessandro!S15</f>
        <v>0</v>
      </c>
      <c r="S15" s="61">
        <f>Marcelo!CV15+Patrícia!CV15+Diego!CV15+Aelton!CV15+Leonam!CV15+Danilo!CV15+Marcos!CV15+Carlos!CV15+Alessandro!Y15</f>
        <v>0</v>
      </c>
      <c r="T15" s="61">
        <f>Marcelo!DB15+Patrícia!DB15+Diego!DB15+Aelton!DB15+Leonam!DB15+Danilo!DB15+Marcos!DB15+Carlos!DB15+Alessandro!AE15</f>
        <v>0</v>
      </c>
      <c r="U15" s="61">
        <f>Marcelo!DH15+Patrícia!DH15+Diego!DH15+Aelton!DH15+Leonam!DH15+Danilo!DH15+Marcos!DH15+Carlos!DH15+Alessandro!AK15</f>
        <v>784</v>
      </c>
      <c r="V15" s="61">
        <f>Marcelo!DN15+Patrícia!DN15+Diego!DN15+Aelton!DN15+Leonam!DN15+Danilo!DN15+Marcos!DN15+Carlos!DN15+Alessandro!AQ15</f>
        <v>315</v>
      </c>
      <c r="W15" s="61">
        <f>Marcelo!DT15+Patrícia!DT15+Diego!DT15+Aelton!DT15+Leonam!DT15+Danilo!DT15+Marcos!DT15+Carlos!DT15+Alessandro!AW15</f>
        <v>3814</v>
      </c>
      <c r="X15" s="61">
        <f>Marcelo!DZ15+Patrícia!DZ15+Diego!DZ15+Aelton!DZ15+Leonam!DZ15+Danilo!DZ15+Marcos!DZ15+Carlos!DZ15+Alessandro!BC15</f>
        <v>831</v>
      </c>
    </row>
    <row r="16" spans="1:24" ht="30" x14ac:dyDescent="0.25">
      <c r="A16" s="63" t="s">
        <v>37</v>
      </c>
      <c r="B16" s="69" t="s">
        <v>302</v>
      </c>
      <c r="C16" s="53">
        <f>Diego!E16+Aelton!E16+Leonam!E16+Danilo!E16+Marcos!E16</f>
        <v>0</v>
      </c>
      <c r="D16" s="53">
        <f>Diego!K16+Aelton!K16+Leonam!K16+Danilo!K16+Marcos!F16</f>
        <v>0</v>
      </c>
      <c r="E16" s="53">
        <f>Diego!Q16+Aelton!Q16+Leonam!Q16+Danilo!Q16+Marcos!Q16</f>
        <v>0</v>
      </c>
      <c r="F16" s="53">
        <f>Diego!X16+Aelton!X16+Leonam!X16+Danilo!X16+Marcos!X16</f>
        <v>0</v>
      </c>
      <c r="G16" s="53">
        <f>Diego!AD16+Aelton!AD16+Leonam!AD16+Danilo!AD16+Marcos!AD16</f>
        <v>0</v>
      </c>
      <c r="H16" s="53">
        <f>Diego!AJ16+Aelton!AJ16+Leonam!AJ16+Danilo!AJ16+Marcos!AJ16+Carlos!AJ16</f>
        <v>0</v>
      </c>
      <c r="I16" s="53">
        <f>Diego!AP16+Aelton!AP16+Leonam!AP16+Danilo!AP16+Marcos!AP16+Carlos!AP16</f>
        <v>0</v>
      </c>
      <c r="J16" s="53">
        <f>Diego!AV16+Aelton!AV16+Leonam!AV16+Danilo!AV16+Marcos!AV16+Carlos!AV16</f>
        <v>0</v>
      </c>
      <c r="K16" s="53">
        <f>Diego!BB16+Aelton!BB16+Leonam!BB16+Danilo!BB16+Marcos!BB16+Carlos!BB16</f>
        <v>520</v>
      </c>
      <c r="L16" s="53">
        <f>Diego!BF16+Aelton!BF16+Leonam!BF16+Danilo!BF16+Marcos!BF16+Carlos!BF16</f>
        <v>0</v>
      </c>
      <c r="M16" s="53">
        <f>Diego!BL16+Aelton!BL16+Leonam!BL16+Danilo!BL16+Marcos!BL16+Carlos!BL16</f>
        <v>1</v>
      </c>
      <c r="N16" s="53">
        <f>Marcelo!BR16+Patrícia!RM16+Diego!BR16+Aelton!BR16+Leonam!BR16+Danilo!BR16+Marcos!BR16+Carlos!BR16</f>
        <v>1184</v>
      </c>
      <c r="O16" s="53">
        <f>Marcelo!BX16+Patrícia!BX16+Diego!BX16+Aelton!BX16+Leonam!BX16+Danilo!BX16+Marcos!BX16+Carlos!BX16</f>
        <v>0</v>
      </c>
      <c r="P16" s="53">
        <f>Marcelo!CD16+Patrícia!CD16+Diego!CD16+Aelton!CD16+Leonam!CD16+Danilo!CD16+Marcos!CD16+Carlos!CD16+Alessandro!G16</f>
        <v>0</v>
      </c>
      <c r="Q16" s="53">
        <f>Marcelo!CJ16+Patrícia!CJ16+Diego!CJ16+Aelton!CJ16+Leonam!CJ16+Danilo!CJ16+Marcos!CJ16+Carlos!CJ16++Alessandro!M16</f>
        <v>0</v>
      </c>
      <c r="R16" s="53">
        <f>Marcelo!CP16+Patrícia!CP16+Diego!CP16+Aelton!CP16+Leonam!CP16+Danilo!CP16+Marcos!CP16+Carlos!CP16+Alessandro!S16</f>
        <v>0</v>
      </c>
      <c r="S16" s="53">
        <f>Marcelo!CV16+Patrícia!CV16+Diego!CV16+Aelton!CV16+Leonam!CV16+Danilo!CV16+Marcos!CV16+Carlos!CV16+Alessandro!Y16</f>
        <v>7</v>
      </c>
      <c r="T16" s="53">
        <f>Marcelo!DB16+Patrícia!DB16+Diego!DB16+Aelton!DB16+Leonam!DB16+Danilo!DB16+Marcos!DB16+Carlos!DB16+Alessandro!AE16</f>
        <v>0</v>
      </c>
      <c r="U16" s="53">
        <f>Marcelo!DH16+Patrícia!DH16+Diego!DH16+Aelton!DH16+Leonam!DH16+Danilo!DH16+Marcos!DH16+Carlos!DH16+Alessandro!AK16</f>
        <v>0</v>
      </c>
      <c r="V16" s="53">
        <f>Marcelo!DN16+Patrícia!DN16+Diego!DN16+Aelton!DN16+Leonam!DN16+Danilo!DN16+Marcos!DN16+Carlos!DN16+Alessandro!AQ16</f>
        <v>67</v>
      </c>
      <c r="W16" s="53">
        <f>Marcelo!DT16+Patrícia!DT16+Diego!DT16+Aelton!DT16+Leonam!DT16+Danilo!DT16+Marcos!DT16+Carlos!DT16+Alessandro!AW16</f>
        <v>0</v>
      </c>
      <c r="X16" s="53">
        <f>Marcelo!DZ16+Patrícia!DZ16+Diego!DZ16+Aelton!DZ16+Leonam!DZ16+Danilo!DZ16+Marcos!DZ16+Carlos!DZ16+Alessandro!BC16</f>
        <v>0</v>
      </c>
    </row>
    <row r="17" spans="1:21" ht="26.25" customHeight="1" x14ac:dyDescent="0.25">
      <c r="A17" s="1" t="s">
        <v>11</v>
      </c>
      <c r="B17" s="1"/>
      <c r="C17" s="23"/>
      <c r="D17" s="23"/>
      <c r="E17" s="72"/>
      <c r="F17" s="72" t="s">
        <v>308</v>
      </c>
      <c r="G17" s="72" t="s">
        <v>307</v>
      </c>
      <c r="H17" s="72" t="s">
        <v>307</v>
      </c>
      <c r="I17" s="72"/>
      <c r="J17" s="72"/>
      <c r="K17" s="72"/>
      <c r="L17" s="72"/>
      <c r="M17" s="72"/>
      <c r="N17" s="72"/>
      <c r="O17" s="72"/>
      <c r="P17" s="72"/>
      <c r="U17" s="72"/>
    </row>
    <row r="18" spans="1:21" ht="270" x14ac:dyDescent="0.25">
      <c r="A18" s="1" t="s">
        <v>10</v>
      </c>
      <c r="B18" s="1"/>
      <c r="M18" s="72" t="s">
        <v>306</v>
      </c>
      <c r="U18" s="72" t="s">
        <v>305</v>
      </c>
    </row>
    <row r="20" spans="1:21" x14ac:dyDescent="0.25">
      <c r="A20" s="27"/>
    </row>
    <row r="22" spans="1:21" x14ac:dyDescent="0.25">
      <c r="A22" s="30"/>
    </row>
    <row r="23" spans="1:21" x14ac:dyDescent="0.25">
      <c r="A23" s="31"/>
    </row>
  </sheetData>
  <customSheetViews>
    <customSheetView guid="{3D987F8E-A6EA-454D-9537-6BFC5053CB00}" topLeftCell="A7">
      <selection activeCell="A15" sqref="A15"/>
      <pageMargins left="0.511811024" right="0.511811024" top="0.78740157499999996" bottom="0.78740157499999996" header="0.31496062000000002" footer="0.31496062000000002"/>
      <pageSetup paperSize="9" orientation="portrait" r:id="rId1"/>
    </customSheetView>
    <customSheetView guid="{B3CDE377-BA5D-4E06-91D9-3A48E1959BA5}">
      <selection activeCell="C1" sqref="C1:C1048576"/>
      <pageMargins left="0.511811024" right="0.511811024" top="0.78740157499999996" bottom="0.78740157499999996" header="0.31496062000000002" footer="0.31496062000000002"/>
    </customSheetView>
    <customSheetView guid="{9B623083-AA7B-440B-95EA-C33E1AB3D963}">
      <selection activeCell="E3" sqref="E3"/>
      <pageMargins left="0.511811024" right="0.511811024" top="0.78740157499999996" bottom="0.78740157499999996" header="0.31496062000000002" footer="0.31496062000000002"/>
    </customSheetView>
    <customSheetView guid="{18A482E0-C8B6-4AA1-9E04-15FA7C9CD5E3}">
      <pane xSplit="1" topLeftCell="U1" activePane="topRight" state="frozen"/>
      <selection pane="topRight" activeCell="Z8" sqref="Z8"/>
      <pageMargins left="0.511811024" right="0.511811024" top="0.78740157499999996" bottom="0.78740157499999996" header="0.31496062000000002" footer="0.31496062000000002"/>
      <pageSetup paperSize="9" orientation="portrait" r:id="rId2"/>
    </customSheetView>
    <customSheetView guid="{20CB6D8F-C24D-4D4B-A424-AF380F620455}" scale="70">
      <selection activeCell="B8" sqref="B8"/>
      <pageMargins left="0.511811024" right="0.511811024" top="0.78740157499999996" bottom="0.78740157499999996" header="0.31496062000000002" footer="0.31496062000000002"/>
    </customSheetView>
    <customSheetView guid="{86039CF8-B158-4D70-9A6F-A10C29CBD68A}">
      <selection activeCell="E3" sqref="E3"/>
      <pageMargins left="0.511811024" right="0.511811024" top="0.78740157499999996" bottom="0.78740157499999996" header="0.31496062000000002" footer="0.31496062000000002"/>
    </customSheetView>
    <customSheetView guid="{E3841903-5B68-44FD-8F09-58E03D1025C5}">
      <selection activeCell="C1" sqref="C1:C1048576"/>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9"/>
  <sheetViews>
    <sheetView topLeftCell="BV1" zoomScaleNormal="80" workbookViewId="0">
      <selection activeCell="CI17" sqref="CI17"/>
    </sheetView>
  </sheetViews>
  <sheetFormatPr defaultColWidth="9.140625" defaultRowHeight="15" x14ac:dyDescent="0.25"/>
  <cols>
    <col min="1" max="1" width="77.42578125" style="1" bestFit="1" customWidth="1"/>
    <col min="2" max="2" width="3" style="1" bestFit="1" customWidth="1"/>
    <col min="3" max="42" width="20.140625" style="1" customWidth="1"/>
    <col min="43" max="43" width="15.28515625" style="1" customWidth="1"/>
    <col min="44" max="44" width="20.28515625" style="1" customWidth="1"/>
    <col min="45" max="45" width="29.85546875" style="1" customWidth="1"/>
    <col min="46" max="46" width="25" style="1" customWidth="1"/>
    <col min="47" max="48" width="18.85546875" style="1" customWidth="1"/>
    <col min="49" max="52" width="9.140625" style="1"/>
    <col min="53" max="53" width="29.140625" style="1" customWidth="1"/>
    <col min="54" max="54" width="14.28515625" style="1" bestFit="1" customWidth="1"/>
    <col min="55" max="56" width="9.140625" style="1"/>
    <col min="57" max="57" width="23.7109375" style="1" customWidth="1"/>
    <col min="58" max="58" width="15.42578125" style="1" customWidth="1"/>
    <col min="59" max="59" width="27.140625" style="1" customWidth="1"/>
    <col min="60" max="60" width="14.140625" style="1" customWidth="1"/>
    <col min="61" max="61" width="19.140625" style="1" customWidth="1"/>
    <col min="62" max="62" width="18.85546875" style="1" customWidth="1"/>
    <col min="63" max="63" width="17.85546875" style="1" customWidth="1"/>
    <col min="64" max="64" width="18" style="1" customWidth="1"/>
    <col min="65" max="65" width="18.5703125" style="1" customWidth="1"/>
    <col min="66" max="66" width="7.28515625" style="1" bestFit="1" customWidth="1"/>
    <col min="67" max="67" width="26.5703125" style="1" customWidth="1"/>
    <col min="68" max="68" width="25" style="1" customWidth="1"/>
    <col min="69" max="69" width="25.7109375" style="1" customWidth="1"/>
    <col min="70" max="70" width="14.28515625" style="1" bestFit="1" customWidth="1"/>
    <col min="71" max="71" width="23" style="1" customWidth="1"/>
    <col min="72" max="72" width="15.7109375" style="1" customWidth="1"/>
    <col min="73" max="75" width="9.140625" style="1"/>
    <col min="76" max="76" width="14.28515625" style="1" bestFit="1" customWidth="1"/>
    <col min="77" max="80" width="9.140625" style="1"/>
    <col min="81" max="81" width="15.7109375" style="1" customWidth="1"/>
    <col min="82" max="82" width="16.85546875" style="1" customWidth="1"/>
    <col min="83" max="83" width="21.5703125" style="1" customWidth="1"/>
    <col min="84" max="84" width="17" style="1" customWidth="1"/>
    <col min="85" max="85" width="14.42578125" style="1" customWidth="1"/>
    <col min="86" max="86" width="20.7109375" style="1" customWidth="1"/>
    <col min="87" max="88" width="20.28515625" style="1" customWidth="1"/>
    <col min="89" max="89" width="17.28515625" style="1" customWidth="1"/>
    <col min="90" max="90" width="13.5703125" style="1" bestFit="1" customWidth="1"/>
    <col min="91" max="92" width="9.140625" style="1"/>
    <col min="93" max="93" width="11" style="1" customWidth="1"/>
    <col min="94" max="94" width="14.28515625" style="1" bestFit="1" customWidth="1"/>
    <col min="95" max="98" width="9.140625" style="1"/>
    <col min="99" max="99" width="9.7109375" style="1" customWidth="1"/>
    <col min="100" max="100" width="14.7109375" style="1" customWidth="1"/>
    <col min="101" max="103" width="9.140625" style="1"/>
    <col min="104" max="104" width="9" style="1" bestFit="1" customWidth="1"/>
    <col min="105" max="105" width="19.85546875" style="1" bestFit="1" customWidth="1"/>
    <col min="106" max="106" width="17.28515625" style="1" customWidth="1"/>
    <col min="107" max="110" width="9.140625" style="1" customWidth="1"/>
    <col min="111" max="111" width="10.5703125" style="1" customWidth="1"/>
    <col min="112" max="112" width="15.5703125" style="1" customWidth="1"/>
    <col min="113" max="117" width="9.140625" style="1"/>
    <col min="118" max="118" width="14.28515625" style="1" bestFit="1" customWidth="1"/>
    <col min="119" max="123" width="9.140625" style="1"/>
    <col min="124" max="124" width="14.28515625" style="1" bestFit="1" customWidth="1"/>
    <col min="125" max="125" width="9.140625" style="1"/>
    <col min="126" max="126" width="13.5703125" style="1" customWidth="1"/>
    <col min="127" max="127" width="14.5703125" style="1" customWidth="1"/>
    <col min="128" max="128" width="28.85546875" style="1" customWidth="1"/>
    <col min="129" max="129" width="9.140625" style="1"/>
    <col min="130" max="130" width="14.28515625" style="1" bestFit="1" customWidth="1"/>
    <col min="131" max="16384" width="9.140625" style="1"/>
  </cols>
  <sheetData>
    <row r="1" spans="1:130"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2">
        <v>45675</v>
      </c>
      <c r="S1" s="2">
        <v>45677</v>
      </c>
      <c r="T1" s="2">
        <v>45678</v>
      </c>
      <c r="U1" s="2">
        <v>45679</v>
      </c>
      <c r="V1" s="2">
        <v>45680</v>
      </c>
      <c r="W1" s="2">
        <v>45681</v>
      </c>
      <c r="X1" s="20" t="s">
        <v>56</v>
      </c>
      <c r="Y1" s="2">
        <v>45684</v>
      </c>
      <c r="Z1" s="2">
        <v>45685</v>
      </c>
      <c r="AA1" s="2">
        <v>45686</v>
      </c>
      <c r="AB1" s="2">
        <v>45687</v>
      </c>
      <c r="AC1" s="2">
        <v>45688</v>
      </c>
      <c r="AD1" s="20" t="s">
        <v>56</v>
      </c>
      <c r="AE1" s="2">
        <v>45691</v>
      </c>
      <c r="AF1" s="2">
        <v>45692</v>
      </c>
      <c r="AG1" s="2">
        <v>45693</v>
      </c>
      <c r="AH1" s="2">
        <v>45694</v>
      </c>
      <c r="AI1" s="2">
        <v>45695</v>
      </c>
      <c r="AJ1" s="20" t="s">
        <v>56</v>
      </c>
      <c r="AK1" s="2">
        <v>45698</v>
      </c>
      <c r="AL1" s="2">
        <v>45699</v>
      </c>
      <c r="AM1" s="2">
        <v>45700</v>
      </c>
      <c r="AN1" s="2">
        <v>45701</v>
      </c>
      <c r="AO1" s="2">
        <v>45702</v>
      </c>
      <c r="AP1" s="20" t="s">
        <v>56</v>
      </c>
      <c r="AQ1" s="2">
        <v>45705</v>
      </c>
      <c r="AR1" s="2">
        <v>45706</v>
      </c>
      <c r="AS1" s="2">
        <v>45707</v>
      </c>
      <c r="AT1" s="2">
        <v>45708</v>
      </c>
      <c r="AU1" s="2">
        <v>45709</v>
      </c>
      <c r="AV1" s="20" t="s">
        <v>56</v>
      </c>
      <c r="AW1" s="2">
        <v>45712</v>
      </c>
      <c r="AX1" s="2">
        <v>45713</v>
      </c>
      <c r="AY1" s="2">
        <v>45714</v>
      </c>
      <c r="AZ1" s="2">
        <v>45715</v>
      </c>
      <c r="BA1" s="2">
        <v>45716</v>
      </c>
      <c r="BB1" s="20" t="s">
        <v>56</v>
      </c>
      <c r="BC1" s="2">
        <v>45721</v>
      </c>
      <c r="BD1" s="2">
        <v>45722</v>
      </c>
      <c r="BE1" s="2">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c r="CE1" s="2">
        <v>45754</v>
      </c>
      <c r="CF1" s="2">
        <v>45755</v>
      </c>
      <c r="CG1" s="2">
        <v>45756</v>
      </c>
      <c r="CH1" s="2">
        <v>45757</v>
      </c>
      <c r="CI1" s="2">
        <v>45758</v>
      </c>
      <c r="CJ1" s="20" t="s">
        <v>56</v>
      </c>
      <c r="CK1" s="2">
        <v>45761</v>
      </c>
      <c r="CL1" s="2">
        <v>45762</v>
      </c>
      <c r="CM1" s="2">
        <v>45763</v>
      </c>
      <c r="CN1" s="2">
        <v>45764</v>
      </c>
      <c r="CO1" s="2">
        <v>45765</v>
      </c>
      <c r="CP1" s="20" t="s">
        <v>56</v>
      </c>
      <c r="CQ1" s="2">
        <v>45768</v>
      </c>
      <c r="CR1" s="2">
        <v>45769</v>
      </c>
      <c r="CS1" s="2">
        <v>45770</v>
      </c>
      <c r="CT1" s="2">
        <v>45771</v>
      </c>
      <c r="CU1" s="2">
        <v>45772</v>
      </c>
      <c r="CV1" s="20" t="s">
        <v>56</v>
      </c>
      <c r="CW1" s="2">
        <v>45775</v>
      </c>
      <c r="CX1" s="2">
        <v>45776</v>
      </c>
      <c r="CY1" s="2">
        <v>45777</v>
      </c>
      <c r="CZ1" s="2">
        <v>45778</v>
      </c>
      <c r="DA1" s="2">
        <v>45779</v>
      </c>
      <c r="DB1" s="20" t="s">
        <v>56</v>
      </c>
      <c r="DC1" s="2">
        <v>45782</v>
      </c>
      <c r="DD1" s="2">
        <v>45783</v>
      </c>
      <c r="DE1" s="2">
        <v>45784</v>
      </c>
      <c r="DF1" s="2">
        <v>45785</v>
      </c>
      <c r="DG1" s="2">
        <v>45786</v>
      </c>
      <c r="DH1" s="20" t="s">
        <v>56</v>
      </c>
      <c r="DI1" s="10">
        <v>45789</v>
      </c>
      <c r="DJ1" s="10">
        <v>45790</v>
      </c>
      <c r="DK1" s="10">
        <v>45791</v>
      </c>
      <c r="DL1" s="10">
        <v>45792</v>
      </c>
      <c r="DM1" s="10">
        <v>45793</v>
      </c>
      <c r="DN1" s="50" t="s">
        <v>56</v>
      </c>
      <c r="DO1" s="10">
        <v>45796</v>
      </c>
      <c r="DP1" s="10">
        <v>45797</v>
      </c>
      <c r="DQ1" s="10">
        <v>45798</v>
      </c>
      <c r="DR1" s="10">
        <v>45799</v>
      </c>
      <c r="DS1" s="10">
        <v>45800</v>
      </c>
      <c r="DT1" s="50" t="s">
        <v>56</v>
      </c>
      <c r="DU1" s="10">
        <v>45803</v>
      </c>
      <c r="DV1" s="10">
        <v>45804</v>
      </c>
      <c r="DW1" s="10">
        <v>45805</v>
      </c>
      <c r="DX1" s="10">
        <v>45806</v>
      </c>
      <c r="DY1" s="10">
        <v>45807</v>
      </c>
      <c r="DZ1" s="50" t="s">
        <v>56</v>
      </c>
    </row>
    <row r="2" spans="1:130" x14ac:dyDescent="0.25">
      <c r="A2" s="3" t="s">
        <v>113</v>
      </c>
      <c r="B2" s="5">
        <v>1</v>
      </c>
      <c r="E2" s="21"/>
      <c r="K2" s="21"/>
      <c r="Q2" s="21"/>
      <c r="X2" s="21"/>
      <c r="AD2" s="21"/>
      <c r="AJ2" s="21"/>
      <c r="AP2" s="21"/>
      <c r="AV2" s="21"/>
      <c r="BB2" s="21"/>
      <c r="BF2" s="21"/>
      <c r="BL2" s="21"/>
      <c r="BR2" s="21"/>
      <c r="BX2" s="21"/>
      <c r="CD2" s="21"/>
      <c r="CJ2" s="21"/>
      <c r="CM2" s="1">
        <v>3</v>
      </c>
      <c r="CO2" s="1" t="s">
        <v>205</v>
      </c>
      <c r="CP2" s="21">
        <f>SUM(CK2:CO2)</f>
        <v>3</v>
      </c>
      <c r="CQ2" s="1" t="s">
        <v>205</v>
      </c>
      <c r="CV2" s="21">
        <f>SUM(CQ2:CU2)</f>
        <v>0</v>
      </c>
      <c r="CZ2" s="1" t="s">
        <v>289</v>
      </c>
      <c r="DA2" s="1" t="s">
        <v>290</v>
      </c>
      <c r="DB2" s="21">
        <f>SUM(CW2:DA2)</f>
        <v>0</v>
      </c>
      <c r="DH2" s="21">
        <f>SUM(DC2:DG2)</f>
        <v>0</v>
      </c>
      <c r="DN2" s="21">
        <f t="shared" ref="DN2:DN16" si="0">SUM(DI2:DM2)</f>
        <v>0</v>
      </c>
      <c r="DT2" s="21">
        <f>SUM(DO2:DS2)</f>
        <v>0</v>
      </c>
      <c r="DZ2" s="51">
        <f>SUM(DU2:DY2)</f>
        <v>0</v>
      </c>
    </row>
    <row r="3" spans="1:130" x14ac:dyDescent="0.25">
      <c r="A3" s="3" t="s">
        <v>0</v>
      </c>
      <c r="B3" s="5">
        <v>2</v>
      </c>
      <c r="E3" s="21"/>
      <c r="K3" s="21"/>
      <c r="Q3" s="21"/>
      <c r="X3" s="21"/>
      <c r="AD3" s="21"/>
      <c r="AF3" s="1">
        <v>3</v>
      </c>
      <c r="AJ3" s="21">
        <f>SUM(AD3:AI3)</f>
        <v>3</v>
      </c>
      <c r="AP3" s="21"/>
      <c r="AV3" s="21"/>
      <c r="BB3" s="21"/>
      <c r="BF3" s="21"/>
      <c r="BL3" s="21"/>
      <c r="BR3" s="21"/>
      <c r="BX3" s="21"/>
      <c r="CD3" s="21"/>
      <c r="CJ3" s="21"/>
      <c r="CP3" s="21">
        <f t="shared" ref="CP3:CP16" si="1">SUM(CK3:CO3)</f>
        <v>0</v>
      </c>
      <c r="CV3" s="21">
        <f t="shared" ref="CV3:CV16" si="2">SUM(CQ3:CU3)</f>
        <v>0</v>
      </c>
      <c r="DB3" s="21">
        <f t="shared" ref="DB3:DB16" si="3">SUM(CW3:DA3)</f>
        <v>0</v>
      </c>
      <c r="DH3" s="21">
        <f>SUM(DC3:DG3)</f>
        <v>0</v>
      </c>
      <c r="DN3" s="21">
        <f t="shared" si="0"/>
        <v>0</v>
      </c>
      <c r="DT3" s="21">
        <f t="shared" ref="DT3:DT16" si="4">SUM(DO3:DS3)</f>
        <v>0</v>
      </c>
      <c r="DZ3" s="51">
        <f t="shared" ref="DZ3:DZ16" si="5">SUM(DU3:DY3)</f>
        <v>0</v>
      </c>
    </row>
    <row r="4" spans="1:130" x14ac:dyDescent="0.25">
      <c r="A4" s="4" t="s">
        <v>100</v>
      </c>
      <c r="B4" s="6">
        <v>3</v>
      </c>
      <c r="E4" s="21"/>
      <c r="K4" s="21"/>
      <c r="Q4" s="21"/>
      <c r="X4" s="21"/>
      <c r="AD4" s="21"/>
      <c r="AJ4" s="21"/>
      <c r="AP4" s="21"/>
      <c r="AV4" s="21"/>
      <c r="BB4" s="21"/>
      <c r="BF4" s="21"/>
      <c r="BL4" s="21"/>
      <c r="BR4" s="21"/>
      <c r="BX4" s="21"/>
      <c r="CD4" s="21"/>
      <c r="CJ4" s="21"/>
      <c r="CP4" s="21">
        <f t="shared" si="1"/>
        <v>0</v>
      </c>
      <c r="CV4" s="21">
        <f t="shared" si="2"/>
        <v>0</v>
      </c>
      <c r="DB4" s="21">
        <f t="shared" si="3"/>
        <v>0</v>
      </c>
      <c r="DH4" s="21">
        <f>SUM(DC4:DG4)</f>
        <v>0</v>
      </c>
      <c r="DN4" s="21">
        <f t="shared" si="0"/>
        <v>0</v>
      </c>
      <c r="DT4" s="21">
        <f t="shared" si="4"/>
        <v>0</v>
      </c>
      <c r="DZ4" s="51">
        <f t="shared" si="5"/>
        <v>0</v>
      </c>
    </row>
    <row r="5" spans="1:130" x14ac:dyDescent="0.25">
      <c r="A5" s="4" t="s">
        <v>99</v>
      </c>
      <c r="B5" s="5">
        <v>4</v>
      </c>
      <c r="E5" s="21"/>
      <c r="K5" s="21"/>
      <c r="Q5" s="21"/>
      <c r="X5" s="21"/>
      <c r="AD5" s="21"/>
      <c r="AJ5" s="21"/>
      <c r="AP5" s="21"/>
      <c r="AV5" s="21"/>
      <c r="BB5" s="21"/>
      <c r="BF5" s="21"/>
      <c r="BL5" s="21"/>
      <c r="BR5" s="21"/>
      <c r="BX5" s="21"/>
      <c r="CD5" s="21"/>
      <c r="CJ5" s="21"/>
      <c r="CP5" s="21">
        <f t="shared" si="1"/>
        <v>0</v>
      </c>
      <c r="CV5" s="21">
        <f t="shared" si="2"/>
        <v>0</v>
      </c>
      <c r="DB5" s="21">
        <f t="shared" si="3"/>
        <v>0</v>
      </c>
      <c r="DH5" s="21">
        <f t="shared" ref="DH5:DH10" si="6">SUM(DC5:DG5)</f>
        <v>0</v>
      </c>
      <c r="DN5" s="21">
        <f t="shared" si="0"/>
        <v>0</v>
      </c>
      <c r="DT5" s="21">
        <f t="shared" si="4"/>
        <v>0</v>
      </c>
      <c r="DZ5" s="51">
        <f t="shared" si="5"/>
        <v>0</v>
      </c>
    </row>
    <row r="6" spans="1:130" x14ac:dyDescent="0.25">
      <c r="A6" s="4" t="s">
        <v>1</v>
      </c>
      <c r="B6" s="5">
        <v>5</v>
      </c>
      <c r="E6" s="21"/>
      <c r="K6" s="21"/>
      <c r="Q6" s="21"/>
      <c r="X6" s="21"/>
      <c r="AD6" s="21"/>
      <c r="AJ6" s="21"/>
      <c r="AP6" s="21"/>
      <c r="AV6" s="21"/>
      <c r="BB6" s="21"/>
      <c r="BF6" s="21"/>
      <c r="BL6" s="21"/>
      <c r="BR6" s="21"/>
      <c r="BW6" s="1">
        <v>50</v>
      </c>
      <c r="BX6" s="21"/>
      <c r="CD6" s="21"/>
      <c r="CJ6" s="21"/>
      <c r="CP6" s="21">
        <f t="shared" si="1"/>
        <v>0</v>
      </c>
      <c r="CV6" s="21">
        <f t="shared" si="2"/>
        <v>0</v>
      </c>
      <c r="DB6" s="21">
        <f t="shared" si="3"/>
        <v>0</v>
      </c>
      <c r="DH6" s="21">
        <f t="shared" si="6"/>
        <v>0</v>
      </c>
      <c r="DN6" s="21">
        <f t="shared" si="0"/>
        <v>0</v>
      </c>
      <c r="DT6" s="21">
        <f t="shared" si="4"/>
        <v>0</v>
      </c>
      <c r="DZ6" s="51">
        <f t="shared" si="5"/>
        <v>0</v>
      </c>
    </row>
    <row r="7" spans="1:130" x14ac:dyDescent="0.25">
      <c r="A7" s="4" t="s">
        <v>2</v>
      </c>
      <c r="B7" s="6">
        <v>6</v>
      </c>
      <c r="E7" s="21"/>
      <c r="K7" s="21"/>
      <c r="Q7" s="21"/>
      <c r="X7" s="21"/>
      <c r="AD7" s="21"/>
      <c r="AJ7" s="21"/>
      <c r="AP7" s="21"/>
      <c r="AV7" s="21"/>
      <c r="BB7" s="21"/>
      <c r="BF7" s="21"/>
      <c r="BL7" s="21"/>
      <c r="BR7" s="21"/>
      <c r="BX7" s="21"/>
      <c r="CD7" s="21"/>
      <c r="CJ7" s="21"/>
      <c r="CP7" s="21">
        <f t="shared" si="1"/>
        <v>0</v>
      </c>
      <c r="CV7" s="21">
        <f t="shared" si="2"/>
        <v>0</v>
      </c>
      <c r="DB7" s="21">
        <f t="shared" si="3"/>
        <v>0</v>
      </c>
      <c r="DH7" s="21">
        <f t="shared" si="6"/>
        <v>0</v>
      </c>
      <c r="DN7" s="21">
        <f t="shared" si="0"/>
        <v>0</v>
      </c>
      <c r="DT7" s="21">
        <f t="shared" si="4"/>
        <v>0</v>
      </c>
      <c r="DZ7" s="51">
        <f t="shared" si="5"/>
        <v>0</v>
      </c>
    </row>
    <row r="8" spans="1:130" x14ac:dyDescent="0.25">
      <c r="A8" s="4" t="s">
        <v>3</v>
      </c>
      <c r="B8" s="5">
        <v>7</v>
      </c>
      <c r="E8" s="21"/>
      <c r="K8" s="21"/>
      <c r="Q8" s="21"/>
      <c r="U8" s="1">
        <v>25</v>
      </c>
      <c r="X8" s="21">
        <f>SUM(R8:W8)</f>
        <v>25</v>
      </c>
      <c r="AD8" s="21"/>
      <c r="AJ8" s="21"/>
      <c r="AP8" s="21"/>
      <c r="AR8" s="1">
        <v>30</v>
      </c>
      <c r="AS8" s="1">
        <v>25</v>
      </c>
      <c r="AT8" s="1">
        <v>20</v>
      </c>
      <c r="AU8" s="1">
        <v>40</v>
      </c>
      <c r="AV8" s="21">
        <f>SUM(AQ8:AU8)</f>
        <v>115</v>
      </c>
      <c r="BB8" s="21"/>
      <c r="BC8" s="1">
        <v>12</v>
      </c>
      <c r="BD8" s="1">
        <v>28</v>
      </c>
      <c r="BE8" s="1">
        <v>10</v>
      </c>
      <c r="BF8" s="21"/>
      <c r="BG8" s="1">
        <v>79</v>
      </c>
      <c r="BL8" s="21"/>
      <c r="BR8" s="21"/>
      <c r="BU8" s="1">
        <v>261</v>
      </c>
      <c r="BV8" s="1">
        <v>144</v>
      </c>
      <c r="BX8" s="21">
        <f>SUM(BS8:BW8)</f>
        <v>405</v>
      </c>
      <c r="BZ8" s="1">
        <v>86</v>
      </c>
      <c r="CD8" s="21">
        <f>SUM(BY8:CC8)</f>
        <v>86</v>
      </c>
      <c r="CI8" s="1">
        <v>15</v>
      </c>
      <c r="CJ8" s="21">
        <f>SUM(CE8:CI8)</f>
        <v>15</v>
      </c>
      <c r="CK8" s="1">
        <v>11</v>
      </c>
      <c r="CP8" s="21">
        <f t="shared" si="1"/>
        <v>11</v>
      </c>
      <c r="CV8" s="21">
        <f t="shared" si="2"/>
        <v>0</v>
      </c>
      <c r="DB8" s="21">
        <f t="shared" si="3"/>
        <v>0</v>
      </c>
      <c r="DH8" s="21">
        <f t="shared" si="6"/>
        <v>0</v>
      </c>
      <c r="DN8" s="21">
        <f t="shared" si="0"/>
        <v>0</v>
      </c>
      <c r="DR8" s="1">
        <v>5</v>
      </c>
      <c r="DT8" s="21">
        <f t="shared" si="4"/>
        <v>5</v>
      </c>
      <c r="DW8" s="1">
        <v>6</v>
      </c>
      <c r="DX8" s="1">
        <v>7</v>
      </c>
      <c r="DY8" s="1">
        <v>18</v>
      </c>
      <c r="DZ8" s="51">
        <f t="shared" si="5"/>
        <v>31</v>
      </c>
    </row>
    <row r="9" spans="1:130" x14ac:dyDescent="0.25">
      <c r="A9" s="4" t="s">
        <v>21</v>
      </c>
      <c r="B9" s="5">
        <v>8</v>
      </c>
      <c r="E9" s="21"/>
      <c r="K9" s="21"/>
      <c r="Q9" s="21"/>
      <c r="X9" s="21"/>
      <c r="AD9" s="21"/>
      <c r="AJ9" s="21"/>
      <c r="AP9" s="21"/>
      <c r="AQ9" s="1">
        <v>8</v>
      </c>
      <c r="AR9" s="1">
        <v>4</v>
      </c>
      <c r="AS9" s="1">
        <v>6</v>
      </c>
      <c r="AT9" s="1">
        <v>9</v>
      </c>
      <c r="AV9" s="21">
        <f>SUM(AQ9:AU9)</f>
        <v>27</v>
      </c>
      <c r="AW9" s="1">
        <v>12</v>
      </c>
      <c r="AX9" s="1">
        <v>6</v>
      </c>
      <c r="AY9" s="1">
        <v>10</v>
      </c>
      <c r="AZ9" s="1">
        <v>10</v>
      </c>
      <c r="BB9" s="21">
        <f>SUM(AW9:BA9)</f>
        <v>38</v>
      </c>
      <c r="BC9" s="1">
        <v>10</v>
      </c>
      <c r="BD9" s="1">
        <v>10</v>
      </c>
      <c r="BE9" s="1">
        <v>10</v>
      </c>
      <c r="BF9" s="21">
        <f t="shared" ref="BF9:BF10" si="7">SUM(BC9:BE9)</f>
        <v>30</v>
      </c>
      <c r="BG9" s="1">
        <v>24</v>
      </c>
      <c r="BH9" s="1">
        <v>15</v>
      </c>
      <c r="BL9" s="21">
        <f>SUM(BG9:BK9)</f>
        <v>39</v>
      </c>
      <c r="BR9" s="21">
        <f>SUM(BM9:BQ9)</f>
        <v>0</v>
      </c>
      <c r="BX9" s="21">
        <f>SUM(BS9:BW9)</f>
        <v>0</v>
      </c>
      <c r="BY9" s="1">
        <v>20</v>
      </c>
      <c r="CA9" s="1">
        <v>19</v>
      </c>
      <c r="CD9" s="21">
        <f>SUM(BY9:CC9)</f>
        <v>39</v>
      </c>
      <c r="CG9" s="1">
        <v>15</v>
      </c>
      <c r="CH9" s="1">
        <v>14</v>
      </c>
      <c r="CI9" s="1">
        <v>18</v>
      </c>
      <c r="CJ9" s="21">
        <f>SUM(CE9:CI9)</f>
        <v>47</v>
      </c>
      <c r="CL9" s="1">
        <v>10</v>
      </c>
      <c r="CP9" s="21">
        <f t="shared" si="1"/>
        <v>10</v>
      </c>
      <c r="CV9" s="21">
        <f t="shared" si="2"/>
        <v>0</v>
      </c>
      <c r="CX9" s="1">
        <v>5</v>
      </c>
      <c r="CY9" s="1">
        <v>4</v>
      </c>
      <c r="DB9" s="21">
        <f t="shared" si="3"/>
        <v>9</v>
      </c>
      <c r="DH9" s="21">
        <f t="shared" si="6"/>
        <v>0</v>
      </c>
      <c r="DN9" s="21">
        <f t="shared" si="0"/>
        <v>0</v>
      </c>
      <c r="DT9" s="21">
        <f t="shared" si="4"/>
        <v>0</v>
      </c>
      <c r="DZ9" s="51">
        <f t="shared" si="5"/>
        <v>0</v>
      </c>
    </row>
    <row r="10" spans="1:130" x14ac:dyDescent="0.25">
      <c r="A10" s="3" t="s">
        <v>13</v>
      </c>
      <c r="B10" s="6">
        <v>9</v>
      </c>
      <c r="E10" s="21"/>
      <c r="K10" s="21"/>
      <c r="Q10" s="21"/>
      <c r="X10" s="21"/>
      <c r="AD10" s="21"/>
      <c r="AJ10" s="21"/>
      <c r="AP10" s="21"/>
      <c r="AQ10" s="1">
        <v>12</v>
      </c>
      <c r="AR10" s="1">
        <v>6</v>
      </c>
      <c r="AS10" s="1">
        <v>6</v>
      </c>
      <c r="AT10" s="1">
        <v>12</v>
      </c>
      <c r="AV10" s="21">
        <f>SUM(AQ10:AU10)</f>
        <v>36</v>
      </c>
      <c r="AW10" s="1">
        <v>12</v>
      </c>
      <c r="AX10" s="1">
        <v>6</v>
      </c>
      <c r="AY10" s="1">
        <v>10</v>
      </c>
      <c r="AZ10" s="1">
        <v>10</v>
      </c>
      <c r="BB10" s="21">
        <f>SUM(AW10:BA10)</f>
        <v>38</v>
      </c>
      <c r="BC10" s="1">
        <v>10</v>
      </c>
      <c r="BD10" s="1">
        <v>10</v>
      </c>
      <c r="BE10" s="1">
        <v>10</v>
      </c>
      <c r="BF10" s="21">
        <f t="shared" si="7"/>
        <v>30</v>
      </c>
      <c r="BG10" s="1">
        <v>24</v>
      </c>
      <c r="BH10" s="1">
        <v>15</v>
      </c>
      <c r="BL10" s="21">
        <f t="shared" ref="BL10:BL11" si="8">SUM(BG10:BK10)</f>
        <v>39</v>
      </c>
      <c r="BR10" s="21">
        <f>SUM(BM10:BQ10)</f>
        <v>0</v>
      </c>
      <c r="BS10" s="1">
        <v>14</v>
      </c>
      <c r="BT10" s="1">
        <v>16</v>
      </c>
      <c r="BX10" s="21">
        <f>SUM(BS10:BW10)</f>
        <v>30</v>
      </c>
      <c r="BY10" s="1">
        <v>19</v>
      </c>
      <c r="CA10" s="1">
        <v>9</v>
      </c>
      <c r="CB10" s="1">
        <v>17</v>
      </c>
      <c r="CD10" s="21">
        <f>SUM(BY10:CC10)</f>
        <v>45</v>
      </c>
      <c r="CG10" s="1">
        <v>15</v>
      </c>
      <c r="CH10" s="1">
        <v>14</v>
      </c>
      <c r="CI10" s="1">
        <v>18</v>
      </c>
      <c r="CJ10" s="21">
        <f>SUM(CE10:CI10)</f>
        <v>47</v>
      </c>
      <c r="CL10" s="1">
        <v>10</v>
      </c>
      <c r="CP10" s="21">
        <f t="shared" si="1"/>
        <v>10</v>
      </c>
      <c r="CV10" s="21">
        <f t="shared" si="2"/>
        <v>0</v>
      </c>
      <c r="CX10" s="1">
        <v>5</v>
      </c>
      <c r="CY10" s="1">
        <v>4</v>
      </c>
      <c r="DB10" s="21">
        <f t="shared" si="3"/>
        <v>9</v>
      </c>
      <c r="DH10" s="21">
        <f t="shared" si="6"/>
        <v>0</v>
      </c>
      <c r="DN10" s="21">
        <f t="shared" si="0"/>
        <v>0</v>
      </c>
      <c r="DT10" s="21">
        <f t="shared" si="4"/>
        <v>0</v>
      </c>
      <c r="DZ10" s="51">
        <f t="shared" si="5"/>
        <v>0</v>
      </c>
    </row>
    <row r="11" spans="1:130" x14ac:dyDescent="0.25">
      <c r="A11" s="4" t="s">
        <v>4</v>
      </c>
      <c r="B11" s="5">
        <v>10</v>
      </c>
      <c r="E11" s="21"/>
      <c r="K11" s="21"/>
      <c r="Q11" s="21"/>
      <c r="R11" s="1">
        <v>11</v>
      </c>
      <c r="S11" s="1">
        <v>3</v>
      </c>
      <c r="T11" s="1">
        <v>4</v>
      </c>
      <c r="U11" s="1">
        <v>4</v>
      </c>
      <c r="V11" s="1">
        <v>2</v>
      </c>
      <c r="X11" s="21">
        <f>SUM(R11:W11)</f>
        <v>24</v>
      </c>
      <c r="AD11" s="21"/>
      <c r="AF11" s="1">
        <v>2</v>
      </c>
      <c r="AG11" s="1">
        <v>3</v>
      </c>
      <c r="AH11" s="1">
        <v>4</v>
      </c>
      <c r="AI11" s="1">
        <v>2</v>
      </c>
      <c r="AJ11" s="21">
        <f>SUM(AD11:AI11)</f>
        <v>11</v>
      </c>
      <c r="AK11" s="1">
        <v>5</v>
      </c>
      <c r="AL11" s="1">
        <v>5</v>
      </c>
      <c r="AM11" s="1">
        <v>5</v>
      </c>
      <c r="AN11" s="1">
        <v>5</v>
      </c>
      <c r="AO11" s="1">
        <v>5</v>
      </c>
      <c r="AP11" s="21">
        <f>SUM(AJ11:AO11)</f>
        <v>36</v>
      </c>
      <c r="AQ11" s="1">
        <v>5</v>
      </c>
      <c r="AR11" s="1">
        <v>5</v>
      </c>
      <c r="AV11" s="21">
        <f>SUM(AQ11:AU11)</f>
        <v>10</v>
      </c>
      <c r="BB11" s="21"/>
      <c r="BF11" s="21"/>
      <c r="BL11" s="21">
        <f t="shared" si="8"/>
        <v>0</v>
      </c>
      <c r="BR11" s="21">
        <f>SUM(BM11:BQ11)</f>
        <v>0</v>
      </c>
      <c r="BS11" s="1">
        <v>15</v>
      </c>
      <c r="BT11" s="1">
        <v>16</v>
      </c>
      <c r="BX11" s="21">
        <f>SUM(BS11:BW11)</f>
        <v>31</v>
      </c>
      <c r="BY11" s="1">
        <v>14</v>
      </c>
      <c r="CA11" s="1">
        <v>9</v>
      </c>
      <c r="CB11" s="1">
        <v>17</v>
      </c>
      <c r="CD11" s="21">
        <f>SUM(BY11:CC11)</f>
        <v>40</v>
      </c>
      <c r="CJ11" s="21">
        <f>SUM(CE11:CI11)</f>
        <v>0</v>
      </c>
      <c r="CP11" s="21">
        <f t="shared" si="1"/>
        <v>0</v>
      </c>
      <c r="CR11" s="1">
        <v>5</v>
      </c>
      <c r="CS11" s="1">
        <v>4</v>
      </c>
      <c r="CT11" s="1">
        <v>5</v>
      </c>
      <c r="CU11" s="1">
        <v>1</v>
      </c>
      <c r="CV11" s="21">
        <f t="shared" si="2"/>
        <v>15</v>
      </c>
      <c r="DB11" s="21">
        <f t="shared" si="3"/>
        <v>0</v>
      </c>
      <c r="DC11" s="1">
        <v>5</v>
      </c>
      <c r="DD11" s="1">
        <v>3</v>
      </c>
      <c r="DE11" s="1">
        <v>3</v>
      </c>
      <c r="DF11" s="1">
        <v>3</v>
      </c>
      <c r="DG11" s="1">
        <v>3</v>
      </c>
      <c r="DH11" s="21">
        <f t="shared" ref="DH11:DH16" si="9">SUM(DC11:DG11)</f>
        <v>17</v>
      </c>
      <c r="DI11" s="1">
        <v>5</v>
      </c>
      <c r="DJ11" s="1">
        <v>5</v>
      </c>
      <c r="DK11" s="1">
        <v>6</v>
      </c>
      <c r="DL11" s="1">
        <v>6</v>
      </c>
      <c r="DM11" s="1">
        <v>5</v>
      </c>
      <c r="DN11" s="21">
        <f t="shared" si="0"/>
        <v>27</v>
      </c>
      <c r="DT11" s="21">
        <f t="shared" si="4"/>
        <v>0</v>
      </c>
      <c r="DZ11" s="51">
        <f t="shared" si="5"/>
        <v>0</v>
      </c>
    </row>
    <row r="12" spans="1:130" x14ac:dyDescent="0.25">
      <c r="A12" s="4" t="s">
        <v>5</v>
      </c>
      <c r="B12" s="5">
        <v>11</v>
      </c>
      <c r="E12" s="21"/>
      <c r="K12" s="21"/>
      <c r="Q12" s="21"/>
      <c r="R12" s="1">
        <v>201</v>
      </c>
      <c r="S12" s="1">
        <v>37</v>
      </c>
      <c r="T12" s="1">
        <v>61</v>
      </c>
      <c r="U12" s="1">
        <v>53</v>
      </c>
      <c r="V12" s="1">
        <v>46</v>
      </c>
      <c r="X12" s="21">
        <f>SUM(R12:W12)</f>
        <v>398</v>
      </c>
      <c r="AD12" s="21"/>
      <c r="AF12" s="1">
        <v>67</v>
      </c>
      <c r="AG12" s="1">
        <v>61</v>
      </c>
      <c r="AH12" s="1">
        <v>116</v>
      </c>
      <c r="AI12" s="1">
        <v>33</v>
      </c>
      <c r="AJ12" s="21">
        <f>SUM(AD12:AI12)</f>
        <v>277</v>
      </c>
      <c r="AK12" s="1">
        <v>59</v>
      </c>
      <c r="AL12" s="1">
        <v>62</v>
      </c>
      <c r="AM12" s="1">
        <v>53</v>
      </c>
      <c r="AN12" s="1">
        <v>49</v>
      </c>
      <c r="AO12" s="1">
        <v>76</v>
      </c>
      <c r="AP12" s="21">
        <f>SUM(AJ12:AO12)</f>
        <v>576</v>
      </c>
      <c r="AQ12" s="1">
        <v>98</v>
      </c>
      <c r="AR12" s="1">
        <v>99</v>
      </c>
      <c r="AV12" s="21">
        <f>SUM(AQ12:AU12)</f>
        <v>197</v>
      </c>
      <c r="BB12" s="21"/>
      <c r="BF12" s="21"/>
      <c r="BL12" s="21"/>
      <c r="BR12" s="21"/>
      <c r="BX12" s="21"/>
      <c r="CD12" s="21"/>
      <c r="CJ12" s="21"/>
      <c r="CP12" s="21">
        <f t="shared" si="1"/>
        <v>0</v>
      </c>
      <c r="CR12" s="1">
        <v>66</v>
      </c>
      <c r="CS12" s="1">
        <v>66</v>
      </c>
      <c r="CT12" s="1">
        <v>84</v>
      </c>
      <c r="CU12" s="1">
        <v>24</v>
      </c>
      <c r="CV12" s="21">
        <f>SUM(CQ12:CU12)</f>
        <v>240</v>
      </c>
      <c r="DB12" s="21">
        <f t="shared" si="3"/>
        <v>0</v>
      </c>
      <c r="DC12" s="1">
        <v>46</v>
      </c>
      <c r="DD12" s="1">
        <v>51</v>
      </c>
      <c r="DE12" s="1">
        <v>30</v>
      </c>
      <c r="DF12" s="1">
        <v>41</v>
      </c>
      <c r="DG12" s="1">
        <v>42</v>
      </c>
      <c r="DH12" s="21">
        <f t="shared" si="9"/>
        <v>210</v>
      </c>
      <c r="DI12" s="1">
        <v>77</v>
      </c>
      <c r="DJ12" s="1">
        <v>60</v>
      </c>
      <c r="DK12" s="1">
        <v>66</v>
      </c>
      <c r="DL12" s="1">
        <v>85</v>
      </c>
      <c r="DM12" s="1">
        <v>64</v>
      </c>
      <c r="DN12" s="21">
        <f t="shared" si="0"/>
        <v>352</v>
      </c>
      <c r="DT12" s="21">
        <f t="shared" si="4"/>
        <v>0</v>
      </c>
      <c r="DZ12" s="51">
        <f t="shared" si="5"/>
        <v>0</v>
      </c>
    </row>
    <row r="13" spans="1:130" x14ac:dyDescent="0.25">
      <c r="A13" s="3" t="s">
        <v>8</v>
      </c>
      <c r="B13" s="6">
        <v>12</v>
      </c>
      <c r="E13" s="21"/>
      <c r="K13" s="21"/>
      <c r="Q13" s="21"/>
      <c r="X13" s="21"/>
      <c r="AD13" s="21"/>
      <c r="AJ13" s="21"/>
      <c r="AP13" s="21"/>
      <c r="AV13" s="21"/>
      <c r="BB13" s="21"/>
      <c r="BF13" s="21"/>
      <c r="BL13" s="21"/>
      <c r="BM13" s="1">
        <v>14</v>
      </c>
      <c r="BN13" s="1">
        <v>14</v>
      </c>
      <c r="BO13" s="1">
        <v>7</v>
      </c>
      <c r="BP13" s="1">
        <v>5</v>
      </c>
      <c r="BQ13" s="1">
        <v>1</v>
      </c>
      <c r="BR13" s="21"/>
      <c r="BW13" s="1">
        <v>5</v>
      </c>
      <c r="BX13" s="21"/>
      <c r="CD13" s="21"/>
      <c r="CJ13" s="21"/>
      <c r="CN13" s="1">
        <v>1</v>
      </c>
      <c r="CP13" s="21">
        <f t="shared" si="1"/>
        <v>1</v>
      </c>
      <c r="CV13" s="21">
        <f t="shared" si="2"/>
        <v>0</v>
      </c>
      <c r="DB13" s="21">
        <f t="shared" si="3"/>
        <v>0</v>
      </c>
      <c r="DH13" s="21">
        <f t="shared" si="9"/>
        <v>0</v>
      </c>
      <c r="DN13" s="21">
        <f t="shared" si="0"/>
        <v>0</v>
      </c>
      <c r="DT13" s="21">
        <f t="shared" si="4"/>
        <v>0</v>
      </c>
      <c r="DU13" s="1">
        <v>1</v>
      </c>
      <c r="DZ13" s="51">
        <f t="shared" si="5"/>
        <v>1</v>
      </c>
    </row>
    <row r="14" spans="1:130" x14ac:dyDescent="0.25">
      <c r="A14" s="4" t="s">
        <v>6</v>
      </c>
      <c r="B14" s="5">
        <v>13</v>
      </c>
      <c r="E14" s="21"/>
      <c r="K14" s="21"/>
      <c r="Q14" s="21"/>
      <c r="X14" s="21"/>
      <c r="AD14" s="21"/>
      <c r="AJ14" s="21"/>
      <c r="AP14" s="21"/>
      <c r="AV14" s="21"/>
      <c r="BB14" s="21"/>
      <c r="BF14" s="21"/>
      <c r="BL14" s="21"/>
      <c r="BR14" s="21"/>
      <c r="BX14" s="21"/>
      <c r="CD14" s="21"/>
      <c r="CJ14" s="21"/>
      <c r="CP14" s="21">
        <f t="shared" si="1"/>
        <v>0</v>
      </c>
      <c r="CV14" s="21">
        <f t="shared" si="2"/>
        <v>0</v>
      </c>
      <c r="DB14" s="21">
        <f t="shared" si="3"/>
        <v>0</v>
      </c>
      <c r="DH14" s="21">
        <f t="shared" si="9"/>
        <v>0</v>
      </c>
      <c r="DN14" s="21">
        <f t="shared" si="0"/>
        <v>0</v>
      </c>
      <c r="DT14" s="21">
        <f t="shared" si="4"/>
        <v>0</v>
      </c>
      <c r="DZ14" s="51">
        <f t="shared" si="5"/>
        <v>0</v>
      </c>
    </row>
    <row r="15" spans="1:130" x14ac:dyDescent="0.25">
      <c r="A15" s="3" t="s">
        <v>7</v>
      </c>
      <c r="B15" s="5">
        <v>14</v>
      </c>
      <c r="E15" s="21"/>
      <c r="K15" s="21"/>
      <c r="Q15" s="21"/>
      <c r="X15" s="21"/>
      <c r="AD15" s="21"/>
      <c r="AJ15" s="21"/>
      <c r="AP15" s="21"/>
      <c r="AV15" s="21"/>
      <c r="BB15" s="21"/>
      <c r="BF15" s="21"/>
      <c r="BJ15" s="1">
        <v>64</v>
      </c>
      <c r="BK15" s="1">
        <v>116</v>
      </c>
      <c r="BL15" s="21">
        <f>SUM(BG15:BK15)</f>
        <v>180</v>
      </c>
      <c r="BR15" s="21"/>
      <c r="BX15" s="21"/>
      <c r="CD15" s="21"/>
      <c r="CJ15" s="21"/>
      <c r="CP15" s="21">
        <f t="shared" si="1"/>
        <v>0</v>
      </c>
      <c r="CV15" s="21">
        <f t="shared" si="2"/>
        <v>0</v>
      </c>
      <c r="DB15" s="21">
        <f t="shared" si="3"/>
        <v>0</v>
      </c>
      <c r="DH15" s="21">
        <f t="shared" si="9"/>
        <v>0</v>
      </c>
      <c r="DN15" s="21">
        <f t="shared" si="0"/>
        <v>0</v>
      </c>
      <c r="DO15" s="1">
        <v>50</v>
      </c>
      <c r="DP15" s="1">
        <v>64</v>
      </c>
      <c r="DQ15" s="1">
        <v>102</v>
      </c>
      <c r="DR15" s="1">
        <v>10</v>
      </c>
      <c r="DS15" s="1">
        <v>10</v>
      </c>
      <c r="DT15" s="21">
        <f t="shared" si="4"/>
        <v>236</v>
      </c>
      <c r="DU15" s="1">
        <v>100</v>
      </c>
      <c r="DV15" s="1">
        <v>140</v>
      </c>
      <c r="DW15" s="1">
        <v>6</v>
      </c>
      <c r="DX15" s="1">
        <v>15</v>
      </c>
      <c r="DY15" s="1">
        <v>16</v>
      </c>
      <c r="DZ15" s="51">
        <f t="shared" si="5"/>
        <v>277</v>
      </c>
    </row>
    <row r="16" spans="1:130" x14ac:dyDescent="0.25">
      <c r="A16" s="5" t="s">
        <v>37</v>
      </c>
      <c r="B16" s="9">
        <v>15</v>
      </c>
      <c r="E16" s="21"/>
      <c r="K16" s="21"/>
      <c r="Q16" s="21"/>
      <c r="X16" s="21"/>
      <c r="AD16" s="21"/>
      <c r="AJ16" s="21"/>
      <c r="AP16" s="21"/>
      <c r="AV16" s="21"/>
      <c r="BA16" s="7">
        <v>260</v>
      </c>
      <c r="BB16" s="21"/>
      <c r="BF16" s="21"/>
      <c r="BL16" s="21"/>
      <c r="BR16" s="21"/>
      <c r="BX16" s="21"/>
      <c r="CD16" s="21"/>
      <c r="CJ16" s="21"/>
      <c r="CP16" s="21">
        <f t="shared" si="1"/>
        <v>0</v>
      </c>
      <c r="CV16" s="21">
        <f t="shared" si="2"/>
        <v>0</v>
      </c>
      <c r="DB16" s="21">
        <f t="shared" si="3"/>
        <v>0</v>
      </c>
      <c r="DH16" s="21">
        <f t="shared" si="9"/>
        <v>0</v>
      </c>
      <c r="DI16" s="49"/>
      <c r="DJ16" s="49"/>
      <c r="DK16" s="49"/>
      <c r="DL16" s="49"/>
      <c r="DM16" s="49"/>
      <c r="DN16" s="52">
        <f t="shared" si="0"/>
        <v>0</v>
      </c>
      <c r="DO16" s="49"/>
      <c r="DP16" s="49"/>
      <c r="DQ16" s="49"/>
      <c r="DR16" s="49"/>
      <c r="DS16" s="49"/>
      <c r="DT16" s="52">
        <f t="shared" si="4"/>
        <v>0</v>
      </c>
      <c r="DU16" s="49"/>
      <c r="DV16" s="49"/>
      <c r="DW16" s="49"/>
      <c r="DX16" s="49"/>
      <c r="DY16" s="49"/>
      <c r="DZ16" s="51">
        <f t="shared" si="5"/>
        <v>0</v>
      </c>
    </row>
    <row r="17" spans="1:128" ht="240" x14ac:dyDescent="0.25">
      <c r="A17" s="1" t="s">
        <v>11</v>
      </c>
      <c r="AR17" s="7" t="s">
        <v>17</v>
      </c>
      <c r="AS17" s="7" t="s">
        <v>19</v>
      </c>
      <c r="AT17" s="7" t="s">
        <v>18</v>
      </c>
      <c r="AU17" s="7" t="s">
        <v>20</v>
      </c>
      <c r="AV17" s="7"/>
      <c r="BA17" s="7" t="s">
        <v>50</v>
      </c>
      <c r="BB17" s="7"/>
      <c r="BE17" s="14" t="s">
        <v>96</v>
      </c>
      <c r="BG17" s="14" t="s">
        <v>97</v>
      </c>
      <c r="BH17" s="14" t="s">
        <v>102</v>
      </c>
      <c r="BI17" s="14" t="s">
        <v>103</v>
      </c>
      <c r="BJ17" s="14" t="s">
        <v>112</v>
      </c>
      <c r="BK17" s="14" t="s">
        <v>128</v>
      </c>
      <c r="BM17" s="7" t="s">
        <v>133</v>
      </c>
      <c r="BN17" s="7"/>
      <c r="BO17" s="7" t="s">
        <v>142</v>
      </c>
      <c r="BP17" s="7"/>
      <c r="BQ17" s="7" t="s">
        <v>147</v>
      </c>
      <c r="BR17" s="7"/>
      <c r="BS17" s="14" t="s">
        <v>157</v>
      </c>
      <c r="BT17" s="14" t="s">
        <v>278</v>
      </c>
      <c r="BZ17" s="7" t="s">
        <v>179</v>
      </c>
      <c r="CA17" s="7" t="s">
        <v>183</v>
      </c>
      <c r="CB17" s="7" t="s">
        <v>189</v>
      </c>
      <c r="CC17" s="7" t="s">
        <v>191</v>
      </c>
      <c r="CE17" s="7" t="s">
        <v>197</v>
      </c>
      <c r="CF17" s="7" t="s">
        <v>197</v>
      </c>
      <c r="CG17" s="7" t="s">
        <v>198</v>
      </c>
      <c r="CH17" s="7" t="s">
        <v>199</v>
      </c>
      <c r="CK17" s="7" t="s">
        <v>207</v>
      </c>
      <c r="CL17" s="7" t="s">
        <v>211</v>
      </c>
      <c r="CM17" s="14" t="s">
        <v>216</v>
      </c>
      <c r="CN17" s="7" t="s">
        <v>221</v>
      </c>
      <c r="CO17" s="7"/>
      <c r="CP17" s="7"/>
      <c r="CS17" s="7" t="s">
        <v>226</v>
      </c>
      <c r="CU17" s="7" t="s">
        <v>235</v>
      </c>
      <c r="CV17" s="7"/>
      <c r="CW17" s="7" t="s">
        <v>238</v>
      </c>
      <c r="CX17" s="7"/>
      <c r="CY17" s="7"/>
      <c r="CZ17" s="7"/>
      <c r="DA17" s="7"/>
      <c r="DB17" s="7"/>
      <c r="DE17" s="7"/>
      <c r="DG17" s="7"/>
      <c r="DV17" s="7"/>
      <c r="DW17" s="7" t="s">
        <v>317</v>
      </c>
      <c r="DX17" s="7" t="s">
        <v>191</v>
      </c>
    </row>
    <row r="18" spans="1:128" ht="135" x14ac:dyDescent="0.25">
      <c r="A18" s="1" t="s">
        <v>10</v>
      </c>
      <c r="C18" s="7" t="s">
        <v>52</v>
      </c>
      <c r="D18" s="7" t="s">
        <v>52</v>
      </c>
      <c r="E18" s="7"/>
      <c r="F18" s="7" t="s">
        <v>52</v>
      </c>
      <c r="G18" s="7" t="s">
        <v>53</v>
      </c>
      <c r="H18" s="7" t="s">
        <v>53</v>
      </c>
      <c r="I18" s="7" t="s">
        <v>53</v>
      </c>
      <c r="J18" s="7" t="s">
        <v>53</v>
      </c>
      <c r="K18" s="7"/>
      <c r="L18" s="7" t="s">
        <v>53</v>
      </c>
      <c r="M18" s="7" t="s">
        <v>53</v>
      </c>
      <c r="N18" s="7" t="s">
        <v>53</v>
      </c>
      <c r="O18" s="7" t="s">
        <v>53</v>
      </c>
      <c r="P18" s="7" t="s">
        <v>53</v>
      </c>
      <c r="Q18" s="7"/>
      <c r="R18" s="7" t="s">
        <v>40</v>
      </c>
      <c r="S18" s="7" t="s">
        <v>40</v>
      </c>
      <c r="T18" s="7" t="s">
        <v>40</v>
      </c>
      <c r="U18" s="7" t="s">
        <v>40</v>
      </c>
      <c r="V18" s="7" t="s">
        <v>40</v>
      </c>
      <c r="W18" s="7"/>
      <c r="X18" s="7"/>
      <c r="Y18" s="7"/>
      <c r="Z18" s="7"/>
      <c r="AA18" s="7" t="s">
        <v>64</v>
      </c>
      <c r="AB18" s="7" t="s">
        <v>64</v>
      </c>
      <c r="AC18" s="7" t="s">
        <v>64</v>
      </c>
      <c r="AD18" s="7"/>
      <c r="AE18" s="7" t="s">
        <v>64</v>
      </c>
      <c r="AF18" s="7" t="s">
        <v>40</v>
      </c>
      <c r="AG18" s="7" t="s">
        <v>40</v>
      </c>
      <c r="AH18" s="7" t="s">
        <v>40</v>
      </c>
      <c r="AI18" s="7" t="s">
        <v>40</v>
      </c>
      <c r="AJ18" s="7"/>
      <c r="AK18" s="7" t="s">
        <v>40</v>
      </c>
      <c r="AL18" s="7" t="s">
        <v>40</v>
      </c>
      <c r="AM18" s="7" t="s">
        <v>40</v>
      </c>
      <c r="AN18" s="7" t="s">
        <v>40</v>
      </c>
      <c r="AO18" s="7" t="s">
        <v>40</v>
      </c>
      <c r="AP18" s="7"/>
      <c r="AQ18" s="7" t="s">
        <v>40</v>
      </c>
      <c r="AR18" s="7"/>
      <c r="AS18" s="7" t="s">
        <v>48</v>
      </c>
      <c r="AT18" s="7" t="s">
        <v>49</v>
      </c>
      <c r="AU18" s="7" t="s">
        <v>23</v>
      </c>
      <c r="AV18" s="7"/>
      <c r="AW18" s="7" t="s">
        <v>23</v>
      </c>
      <c r="AX18" s="7" t="s">
        <v>26</v>
      </c>
      <c r="AY18" s="7"/>
      <c r="AZ18" s="7"/>
      <c r="BA18" s="7" t="s">
        <v>39</v>
      </c>
      <c r="BB18" s="7"/>
      <c r="BC18" s="7"/>
      <c r="BE18" s="14" t="s">
        <v>90</v>
      </c>
      <c r="BG18" s="14" t="s">
        <v>98</v>
      </c>
      <c r="BH18" s="14"/>
      <c r="BI18" s="14" t="s">
        <v>104</v>
      </c>
      <c r="BJ18" s="14" t="s">
        <v>111</v>
      </c>
      <c r="BM18" s="7"/>
      <c r="BN18" s="7"/>
      <c r="BO18" s="7" t="s">
        <v>141</v>
      </c>
      <c r="BP18" s="7" t="s">
        <v>145</v>
      </c>
      <c r="BQ18" s="7" t="s">
        <v>145</v>
      </c>
      <c r="BR18" s="7"/>
      <c r="BS18" s="14" t="s">
        <v>153</v>
      </c>
      <c r="CB18" s="7" t="s">
        <v>190</v>
      </c>
      <c r="CC18" s="7" t="s">
        <v>192</v>
      </c>
      <c r="CL18" s="1" t="s">
        <v>209</v>
      </c>
      <c r="CM18" s="7" t="s">
        <v>217</v>
      </c>
      <c r="CN18" s="7" t="s">
        <v>222</v>
      </c>
      <c r="CO18" s="37" t="s">
        <v>205</v>
      </c>
      <c r="CP18" s="7"/>
      <c r="CQ18" s="37" t="s">
        <v>205</v>
      </c>
      <c r="CS18" s="7" t="s">
        <v>227</v>
      </c>
      <c r="CU18" s="7" t="s">
        <v>239</v>
      </c>
      <c r="CV18" s="7"/>
      <c r="CW18" s="7" t="s">
        <v>191</v>
      </c>
      <c r="CX18" s="7" t="s">
        <v>191</v>
      </c>
      <c r="CY18" s="7" t="s">
        <v>191</v>
      </c>
      <c r="DE18" s="7" t="s">
        <v>259</v>
      </c>
      <c r="DG18" s="7" t="s">
        <v>260</v>
      </c>
    </row>
    <row r="19" spans="1:128" ht="30"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BA19" s="7"/>
      <c r="BB19" s="7"/>
      <c r="BQ19" s="29" t="s">
        <v>148</v>
      </c>
      <c r="BS19" s="14"/>
    </row>
  </sheetData>
  <customSheetViews>
    <customSheetView guid="{3D987F8E-A6EA-454D-9537-6BFC5053CB00}" topLeftCell="BV1">
      <selection activeCell="CI17" sqref="CI17"/>
      <pageMargins left="0.511811024" right="0.511811024" top="0.78740157499999996" bottom="0.78740157499999996" header="0.31496062000000002" footer="0.31496062000000002"/>
    </customSheetView>
    <customSheetView guid="{B3CDE377-BA5D-4E06-91D9-3A48E1959BA5}">
      <pane xSplit="1" topLeftCell="BR1" activePane="topRight" state="frozen"/>
      <selection pane="topRight" activeCell="BY9" sqref="BY9"/>
      <pageMargins left="0.511811024" right="0.511811024" top="0.78740157499999996" bottom="0.78740157499999996" header="0.31496062000000002" footer="0.31496062000000002"/>
    </customSheetView>
    <customSheetView guid="{C69767F5-CD39-44C1-AD4B-CE19DC8285A6}">
      <selection activeCell="D11" sqref="D11"/>
      <pageMargins left="0.511811024" right="0.511811024" top="0.78740157499999996" bottom="0.78740157499999996" header="0.31496062000000002" footer="0.31496062000000002"/>
    </customSheetView>
    <customSheetView guid="{552DFCCD-1786-4D75-8B10-27DD730384DD}">
      <pane xSplit="1" topLeftCell="I1" activePane="topRight" state="frozen"/>
      <selection pane="topRight" activeCell="M11" sqref="M11"/>
      <pageMargins left="0.511811024" right="0.511811024" top="0.78740157499999996" bottom="0.78740157499999996" header="0.31496062000000002" footer="0.31496062000000002"/>
    </customSheetView>
    <customSheetView guid="{9B623083-AA7B-440B-95EA-C33E1AB3D963}" topLeftCell="DG1">
      <selection activeCell="DG15" sqref="A15:XFD15"/>
      <pageMargins left="0.511811024" right="0.511811024" top="0.78740157499999996" bottom="0.78740157499999996" header="0.31496062000000002" footer="0.31496062000000002"/>
    </customSheetView>
    <customSheetView guid="{18A482E0-C8B6-4AA1-9E04-15FA7C9CD5E3}">
      <pane xSplit="1" topLeftCell="DC1" activePane="topRight" state="frozen"/>
      <selection pane="topRight" activeCell="DO13" sqref="DO13"/>
      <pageMargins left="0.511811024" right="0.511811024" top="0.78740157499999996" bottom="0.78740157499999996" header="0.31496062000000002" footer="0.31496062000000002"/>
    </customSheetView>
    <customSheetView guid="{20CB6D8F-C24D-4D4B-A424-AF380F620455}" scale="90" showPageBreaks="1">
      <pane xSplit="1" topLeftCell="DL1" activePane="topRight" state="frozen"/>
      <selection pane="topRight" activeCell="DX17" sqref="DX17"/>
      <pageMargins left="0.511811024" right="0.511811024" top="0.78740157499999996" bottom="0.78740157499999996" header="0.31496062000000002" footer="0.31496062000000002"/>
      <pageSetup paperSize="9" orientation="portrait" r:id="rId1"/>
    </customSheetView>
    <customSheetView guid="{86039CF8-B158-4D70-9A6F-A10C29CBD68A}" topLeftCell="DD1">
      <selection activeCell="AR1" sqref="AR1:AR1048576"/>
      <pageMargins left="0.511811024" right="0.511811024" top="0.78740157499999996" bottom="0.78740157499999996" header="0.31496062000000002" footer="0.31496062000000002"/>
    </customSheetView>
    <customSheetView guid="{E3841903-5B68-44FD-8F09-58E03D1025C5}" scale="80" topLeftCell="DB1">
      <selection activeCell="DS17" sqref="DS17"/>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19"/>
  <sheetViews>
    <sheetView zoomScaleNormal="80" workbookViewId="0">
      <pane xSplit="1" topLeftCell="DN1" activePane="topRight" state="frozen"/>
      <selection pane="topRight" activeCell="DO17" sqref="DO17"/>
    </sheetView>
  </sheetViews>
  <sheetFormatPr defaultColWidth="9.140625" defaultRowHeight="15" x14ac:dyDescent="0.25"/>
  <cols>
    <col min="1" max="1" width="77.42578125" style="1" bestFit="1" customWidth="1"/>
    <col min="2" max="2" width="3" style="1" bestFit="1" customWidth="1"/>
    <col min="3" max="6" width="19" style="1" customWidth="1"/>
    <col min="7" max="10" width="31.28515625" style="1" customWidth="1"/>
    <col min="11" max="12" width="19" style="1" customWidth="1"/>
    <col min="13" max="16" width="35.5703125" style="1" customWidth="1"/>
    <col min="17" max="18" width="19" style="1" customWidth="1"/>
    <col min="19" max="19" width="44" style="1" customWidth="1"/>
    <col min="20" max="25" width="19" style="1" customWidth="1"/>
    <col min="26" max="26" width="40.5703125" style="1" customWidth="1"/>
    <col min="27" max="30" width="19" style="1" customWidth="1"/>
    <col min="31" max="34" width="29.140625" style="1" customWidth="1"/>
    <col min="35" max="36" width="19" style="1" customWidth="1"/>
    <col min="37" max="39" width="28.5703125" style="1" customWidth="1"/>
    <col min="40" max="50" width="19" style="1" customWidth="1"/>
    <col min="51" max="51" width="43.7109375" style="1" customWidth="1"/>
    <col min="52" max="52" width="29.5703125" style="1" customWidth="1"/>
    <col min="53" max="53" width="28.7109375" style="1" customWidth="1"/>
    <col min="54" max="55" width="19" style="1" customWidth="1"/>
    <col min="56" max="56" width="38.28515625" style="1" customWidth="1"/>
    <col min="57" max="57" width="46.140625" style="1" customWidth="1"/>
    <col min="58" max="58" width="19.7109375" style="1" customWidth="1"/>
    <col min="59" max="59" width="24.85546875" style="1" customWidth="1"/>
    <col min="60" max="63" width="37.42578125" style="1" customWidth="1"/>
    <col min="64" max="64" width="14.28515625" style="1" bestFit="1" customWidth="1"/>
    <col min="65" max="65" width="21.85546875" style="1" customWidth="1"/>
    <col min="66" max="66" width="19.42578125" style="1" customWidth="1"/>
    <col min="67" max="67" width="16.42578125" style="1" customWidth="1"/>
    <col min="68" max="69" width="12.42578125" style="1" customWidth="1"/>
    <col min="70" max="70" width="14.28515625" style="1" bestFit="1" customWidth="1"/>
    <col min="71" max="71" width="40.7109375" style="1" customWidth="1"/>
    <col min="72" max="72" width="20.140625" style="1" customWidth="1"/>
    <col min="73" max="73" width="30.42578125" style="1" customWidth="1"/>
    <col min="74" max="74" width="15.5703125" style="1" customWidth="1"/>
    <col min="75" max="75" width="19.85546875" style="1" customWidth="1"/>
    <col min="76" max="76" width="14.28515625" style="1" bestFit="1" customWidth="1"/>
    <col min="77" max="77" width="19.85546875" style="1" customWidth="1"/>
    <col min="78" max="78" width="19.140625" style="1" customWidth="1"/>
    <col min="79" max="79" width="16.28515625" style="1" customWidth="1"/>
    <col min="80" max="80" width="26.5703125" style="1" customWidth="1"/>
    <col min="81" max="81" width="19" style="1" customWidth="1"/>
    <col min="82" max="82" width="14.28515625" style="1" bestFit="1" customWidth="1"/>
    <col min="83" max="83" width="10.42578125" style="1" customWidth="1"/>
    <col min="84" max="84" width="12.28515625" style="1" customWidth="1"/>
    <col min="85" max="85" width="11.7109375" style="1" customWidth="1"/>
    <col min="86" max="86" width="12.85546875" style="1" customWidth="1"/>
    <col min="87" max="87" width="13.5703125" style="1" customWidth="1"/>
    <col min="88" max="88" width="14.28515625" style="1" bestFit="1" customWidth="1"/>
    <col min="89" max="89" width="17.42578125" style="1" customWidth="1"/>
    <col min="90" max="90" width="15.7109375" style="1" customWidth="1"/>
    <col min="91" max="91" width="14" style="1" customWidth="1"/>
    <col min="92" max="92" width="25.7109375" style="1" bestFit="1" customWidth="1"/>
    <col min="93" max="93" width="11.7109375" style="1" customWidth="1"/>
    <col min="94" max="94" width="14.28515625" style="1" bestFit="1" customWidth="1"/>
    <col min="95" max="95" width="11.5703125" style="1" customWidth="1"/>
    <col min="96" max="96" width="17.5703125" style="1" customWidth="1"/>
    <col min="97" max="97" width="15.7109375" style="1" customWidth="1"/>
    <col min="98" max="99" width="15.5703125" style="1" customWidth="1"/>
    <col min="100" max="100" width="14.28515625" style="1" bestFit="1" customWidth="1"/>
    <col min="101" max="101" width="40" style="1" customWidth="1"/>
    <col min="102" max="102" width="39.5703125" style="1" customWidth="1"/>
    <col min="103" max="103" width="27.28515625" style="1" customWidth="1"/>
    <col min="104" max="104" width="23" style="1" customWidth="1"/>
    <col min="105" max="105" width="20.7109375" style="1" customWidth="1"/>
    <col min="106" max="106" width="14.28515625" style="1" bestFit="1" customWidth="1"/>
    <col min="107" max="107" width="27.140625" style="1" customWidth="1"/>
    <col min="108" max="108" width="36.5703125" style="1" customWidth="1"/>
    <col min="109" max="109" width="40.85546875" style="1" customWidth="1"/>
    <col min="110" max="110" width="23.5703125" style="1" customWidth="1"/>
    <col min="111" max="111" width="19.7109375" style="1" customWidth="1"/>
    <col min="112" max="112" width="14.28515625" style="1" bestFit="1" customWidth="1"/>
    <col min="113" max="117" width="9.140625" style="1"/>
    <col min="118" max="118" width="14.28515625" style="1" bestFit="1" customWidth="1"/>
    <col min="119" max="119" width="15.5703125" style="1" customWidth="1"/>
    <col min="120" max="120" width="18" style="1" customWidth="1"/>
    <col min="121" max="121" width="16.42578125" style="1" customWidth="1"/>
    <col min="122" max="122" width="15.140625" style="1" customWidth="1"/>
    <col min="123" max="123" width="15.5703125" style="1" customWidth="1"/>
    <col min="124" max="124" width="14.28515625" style="1" bestFit="1" customWidth="1"/>
    <col min="125" max="128" width="9.140625" style="1"/>
    <col min="129" max="129" width="11.28515625" style="1" customWidth="1"/>
    <col min="130" max="130" width="14.28515625" style="1" bestFit="1" customWidth="1"/>
    <col min="131" max="16384" width="9.140625" style="1"/>
  </cols>
  <sheetData>
    <row r="1" spans="1:130"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2">
        <v>45675</v>
      </c>
      <c r="S1" s="2">
        <v>45677</v>
      </c>
      <c r="T1" s="2">
        <v>45678</v>
      </c>
      <c r="U1" s="2">
        <v>45679</v>
      </c>
      <c r="V1" s="2">
        <v>45680</v>
      </c>
      <c r="W1" s="2">
        <v>45681</v>
      </c>
      <c r="X1" s="20" t="s">
        <v>56</v>
      </c>
      <c r="Y1" s="2">
        <v>45684</v>
      </c>
      <c r="Z1" s="2">
        <v>45685</v>
      </c>
      <c r="AA1" s="2">
        <v>45686</v>
      </c>
      <c r="AB1" s="2">
        <v>45687</v>
      </c>
      <c r="AC1" s="2">
        <v>45688</v>
      </c>
      <c r="AD1" s="20" t="s">
        <v>56</v>
      </c>
      <c r="AE1" s="2">
        <v>45691</v>
      </c>
      <c r="AF1" s="2">
        <v>45692</v>
      </c>
      <c r="AG1" s="2">
        <v>45693</v>
      </c>
      <c r="AH1" s="2">
        <v>45694</v>
      </c>
      <c r="AI1" s="2">
        <v>45695</v>
      </c>
      <c r="AJ1" s="20" t="s">
        <v>56</v>
      </c>
      <c r="AK1" s="2">
        <v>45698</v>
      </c>
      <c r="AL1" s="2">
        <v>45699</v>
      </c>
      <c r="AM1" s="2">
        <v>45700</v>
      </c>
      <c r="AN1" s="2">
        <v>45701</v>
      </c>
      <c r="AO1" s="2">
        <v>45702</v>
      </c>
      <c r="AP1" s="20" t="s">
        <v>56</v>
      </c>
      <c r="AQ1" s="2">
        <v>45705</v>
      </c>
      <c r="AR1" s="2">
        <v>45706</v>
      </c>
      <c r="AS1" s="2">
        <v>45707</v>
      </c>
      <c r="AT1" s="2">
        <v>45708</v>
      </c>
      <c r="AU1" s="2">
        <v>45709</v>
      </c>
      <c r="AV1" s="20" t="s">
        <v>56</v>
      </c>
      <c r="AW1" s="2">
        <v>45712</v>
      </c>
      <c r="AX1" s="2">
        <v>45713</v>
      </c>
      <c r="AY1" s="2">
        <v>45714</v>
      </c>
      <c r="AZ1" s="2">
        <v>45715</v>
      </c>
      <c r="BA1" s="2">
        <v>45716</v>
      </c>
      <c r="BB1" s="20" t="s">
        <v>56</v>
      </c>
      <c r="BC1" s="2">
        <v>45721</v>
      </c>
      <c r="BD1" s="2">
        <v>45722</v>
      </c>
      <c r="BE1" s="2">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c r="CE1" s="2">
        <v>45754</v>
      </c>
      <c r="CF1" s="2">
        <v>45755</v>
      </c>
      <c r="CG1" s="2">
        <v>45756</v>
      </c>
      <c r="CH1" s="2">
        <v>45757</v>
      </c>
      <c r="CI1" s="2">
        <v>45758</v>
      </c>
      <c r="CJ1" s="20" t="s">
        <v>56</v>
      </c>
      <c r="CK1" s="2">
        <v>45761</v>
      </c>
      <c r="CL1" s="2">
        <v>45762</v>
      </c>
      <c r="CM1" s="2">
        <v>45763</v>
      </c>
      <c r="CN1" s="2">
        <v>45764</v>
      </c>
      <c r="CO1" s="2">
        <v>45765</v>
      </c>
      <c r="CP1" s="20" t="s">
        <v>56</v>
      </c>
      <c r="CQ1" s="2">
        <v>45768</v>
      </c>
      <c r="CR1" s="2">
        <v>45769</v>
      </c>
      <c r="CS1" s="2">
        <v>45770</v>
      </c>
      <c r="CT1" s="2">
        <v>45771</v>
      </c>
      <c r="CU1" s="2">
        <v>45772</v>
      </c>
      <c r="CV1" s="20" t="s">
        <v>56</v>
      </c>
      <c r="CW1" s="2">
        <v>45775</v>
      </c>
      <c r="CX1" s="2">
        <v>45776</v>
      </c>
      <c r="CY1" s="2">
        <v>45777</v>
      </c>
      <c r="CZ1" s="2">
        <v>45778</v>
      </c>
      <c r="DA1" s="2">
        <v>45779</v>
      </c>
      <c r="DB1" s="20" t="s">
        <v>56</v>
      </c>
      <c r="DC1" s="2">
        <v>45782</v>
      </c>
      <c r="DD1" s="2">
        <v>45783</v>
      </c>
      <c r="DE1" s="2">
        <v>45784</v>
      </c>
      <c r="DF1" s="2">
        <v>45785</v>
      </c>
      <c r="DG1" s="2">
        <v>45786</v>
      </c>
      <c r="DH1" s="20" t="s">
        <v>56</v>
      </c>
      <c r="DI1" s="2">
        <v>45789</v>
      </c>
      <c r="DJ1" s="2">
        <v>45790</v>
      </c>
      <c r="DK1" s="2">
        <v>45791</v>
      </c>
      <c r="DL1" s="2">
        <v>45792</v>
      </c>
      <c r="DM1" s="2">
        <v>45793</v>
      </c>
      <c r="DN1" s="20" t="s">
        <v>56</v>
      </c>
      <c r="DO1" s="2">
        <v>45796</v>
      </c>
      <c r="DP1" s="2">
        <v>45797</v>
      </c>
      <c r="DQ1" s="2">
        <v>45798</v>
      </c>
      <c r="DR1" s="2">
        <v>45799</v>
      </c>
      <c r="DS1" s="2">
        <v>45800</v>
      </c>
      <c r="DT1" s="20" t="s">
        <v>56</v>
      </c>
      <c r="DU1" s="10">
        <v>45803</v>
      </c>
      <c r="DV1" s="10">
        <v>45804</v>
      </c>
      <c r="DW1" s="10">
        <v>45805</v>
      </c>
      <c r="DX1" s="10">
        <v>45806</v>
      </c>
      <c r="DY1" s="10">
        <v>45807</v>
      </c>
      <c r="DZ1" s="50" t="s">
        <v>56</v>
      </c>
    </row>
    <row r="2" spans="1:130" x14ac:dyDescent="0.25">
      <c r="A2" s="3" t="s">
        <v>113</v>
      </c>
      <c r="B2" s="8">
        <v>1</v>
      </c>
      <c r="E2" s="21"/>
      <c r="G2" s="1">
        <v>7</v>
      </c>
      <c r="K2" s="21"/>
      <c r="P2" s="1">
        <v>1</v>
      </c>
      <c r="Q2" s="21"/>
      <c r="X2" s="21"/>
      <c r="AD2" s="21"/>
      <c r="AH2" s="1">
        <v>3</v>
      </c>
      <c r="AI2" s="1">
        <v>19</v>
      </c>
      <c r="AJ2" s="21"/>
      <c r="AP2" s="21"/>
      <c r="AV2" s="21"/>
      <c r="BB2" s="21"/>
      <c r="BC2" s="1">
        <v>2</v>
      </c>
      <c r="BF2" s="21"/>
      <c r="BH2" s="1">
        <v>1</v>
      </c>
      <c r="BL2" s="21"/>
      <c r="BR2" s="21"/>
      <c r="BW2" s="1">
        <v>2</v>
      </c>
      <c r="BX2" s="21"/>
      <c r="CD2" s="21"/>
      <c r="CJ2" s="21"/>
      <c r="CL2" s="1">
        <v>2</v>
      </c>
      <c r="CM2" s="1">
        <v>1</v>
      </c>
      <c r="CO2" s="37" t="s">
        <v>205</v>
      </c>
      <c r="CP2" s="21"/>
      <c r="CQ2" s="37" t="s">
        <v>205</v>
      </c>
      <c r="CV2" s="21"/>
      <c r="CY2" s="1">
        <v>1</v>
      </c>
      <c r="CZ2" s="39" t="s">
        <v>205</v>
      </c>
      <c r="DA2" s="39" t="s">
        <v>242</v>
      </c>
      <c r="DB2" s="21">
        <f t="shared" ref="DB2:DB4" si="0">SUM(CW2:DA2)</f>
        <v>1</v>
      </c>
      <c r="DE2" s="1">
        <v>1</v>
      </c>
      <c r="DH2" s="21">
        <f t="shared" ref="DH2:DH7" si="1">SUM(DC2:DG2)</f>
        <v>1</v>
      </c>
      <c r="DN2" s="21"/>
      <c r="DT2" s="21"/>
      <c r="DZ2" s="51">
        <f>SUM(DU2:DY2)</f>
        <v>0</v>
      </c>
    </row>
    <row r="3" spans="1:130" x14ac:dyDescent="0.25">
      <c r="A3" s="3" t="s">
        <v>0</v>
      </c>
      <c r="B3" s="8">
        <v>2</v>
      </c>
      <c r="E3" s="21"/>
      <c r="K3" s="21"/>
      <c r="Q3" s="21"/>
      <c r="X3" s="21"/>
      <c r="AD3" s="21"/>
      <c r="AE3" s="1">
        <v>2</v>
      </c>
      <c r="AF3" s="1">
        <v>2</v>
      </c>
      <c r="AG3" s="1">
        <v>2</v>
      </c>
      <c r="AJ3" s="21"/>
      <c r="AP3" s="21"/>
      <c r="AV3" s="21"/>
      <c r="BA3" s="1">
        <v>2</v>
      </c>
      <c r="BB3" s="21"/>
      <c r="BF3" s="21"/>
      <c r="BL3" s="21"/>
      <c r="BR3" s="21"/>
      <c r="BS3" s="1">
        <v>1</v>
      </c>
      <c r="BU3" s="1">
        <v>1</v>
      </c>
      <c r="BV3" s="1">
        <v>2</v>
      </c>
      <c r="BW3" s="1">
        <v>4</v>
      </c>
      <c r="BX3" s="21"/>
      <c r="BZ3" s="1">
        <v>4</v>
      </c>
      <c r="CD3" s="21"/>
      <c r="CE3" s="1">
        <v>20</v>
      </c>
      <c r="CF3" s="1">
        <v>18</v>
      </c>
      <c r="CG3" s="1">
        <v>19</v>
      </c>
      <c r="CH3" s="1">
        <v>19</v>
      </c>
      <c r="CI3" s="1">
        <v>29</v>
      </c>
      <c r="CJ3" s="21">
        <f>SUM(CE3:CI3)</f>
        <v>105</v>
      </c>
      <c r="CP3" s="21"/>
      <c r="CV3" s="21"/>
      <c r="DB3" s="21">
        <f t="shared" si="0"/>
        <v>0</v>
      </c>
      <c r="DH3" s="21">
        <f t="shared" si="1"/>
        <v>0</v>
      </c>
      <c r="DN3" s="21"/>
      <c r="DT3" s="21"/>
      <c r="DZ3" s="51">
        <f t="shared" ref="DZ3:DZ16" si="2">SUM(DU3:DY3)</f>
        <v>0</v>
      </c>
    </row>
    <row r="4" spans="1:130" x14ac:dyDescent="0.25">
      <c r="A4" s="4" t="s">
        <v>100</v>
      </c>
      <c r="B4" s="9">
        <v>3</v>
      </c>
      <c r="E4" s="21"/>
      <c r="F4" s="1">
        <v>15</v>
      </c>
      <c r="K4" s="21"/>
      <c r="Q4" s="21"/>
      <c r="X4" s="21"/>
      <c r="AD4" s="21"/>
      <c r="AJ4" s="21"/>
      <c r="AP4" s="21"/>
      <c r="AV4" s="21"/>
      <c r="AZ4" s="1">
        <v>6</v>
      </c>
      <c r="BB4" s="21"/>
      <c r="BF4" s="21"/>
      <c r="BJ4" s="1">
        <v>1</v>
      </c>
      <c r="BL4" s="21"/>
      <c r="BR4" s="21"/>
      <c r="BX4" s="21"/>
      <c r="BZ4" s="1">
        <v>1</v>
      </c>
      <c r="CA4" s="1">
        <v>3</v>
      </c>
      <c r="CB4" s="1">
        <v>2</v>
      </c>
      <c r="CD4" s="21"/>
      <c r="CJ4" s="21"/>
      <c r="CM4" s="1">
        <v>7</v>
      </c>
      <c r="CP4" s="21"/>
      <c r="CT4" s="1">
        <v>5</v>
      </c>
      <c r="CU4" s="1">
        <v>10</v>
      </c>
      <c r="CV4" s="21"/>
      <c r="CY4" s="1">
        <v>4</v>
      </c>
      <c r="DB4" s="21">
        <f t="shared" si="0"/>
        <v>4</v>
      </c>
      <c r="DG4" s="1">
        <v>2</v>
      </c>
      <c r="DH4" s="21">
        <f t="shared" si="1"/>
        <v>2</v>
      </c>
      <c r="DN4" s="21"/>
      <c r="DT4" s="21"/>
      <c r="DZ4" s="51">
        <f t="shared" si="2"/>
        <v>0</v>
      </c>
    </row>
    <row r="5" spans="1:130" x14ac:dyDescent="0.25">
      <c r="A5" s="4" t="s">
        <v>99</v>
      </c>
      <c r="B5" s="8">
        <v>4</v>
      </c>
      <c r="D5" s="1">
        <v>4</v>
      </c>
      <c r="E5" s="21"/>
      <c r="H5" s="1">
        <v>3</v>
      </c>
      <c r="J5" s="1">
        <v>1</v>
      </c>
      <c r="K5" s="21"/>
      <c r="L5" s="1">
        <v>8</v>
      </c>
      <c r="M5" s="1">
        <v>1</v>
      </c>
      <c r="N5" s="1">
        <v>1</v>
      </c>
      <c r="Q5" s="21"/>
      <c r="S5" s="1">
        <v>4</v>
      </c>
      <c r="X5" s="21"/>
      <c r="Y5" s="1">
        <v>1</v>
      </c>
      <c r="Z5" s="1">
        <v>1</v>
      </c>
      <c r="AD5" s="21"/>
      <c r="AI5" s="1">
        <v>1</v>
      </c>
      <c r="AJ5" s="21"/>
      <c r="AN5" s="1">
        <v>1</v>
      </c>
      <c r="AP5" s="21"/>
      <c r="AV5" s="21"/>
      <c r="BB5" s="21"/>
      <c r="BF5" s="21"/>
      <c r="BL5" s="21"/>
      <c r="BR5" s="21"/>
      <c r="BX5" s="21"/>
      <c r="CD5" s="21"/>
      <c r="CJ5" s="21"/>
      <c r="CN5" s="1">
        <v>2</v>
      </c>
      <c r="CP5" s="21"/>
      <c r="CV5" s="21"/>
      <c r="DB5" s="21"/>
      <c r="DH5" s="21">
        <f t="shared" si="1"/>
        <v>0</v>
      </c>
      <c r="DN5" s="21"/>
      <c r="DT5" s="21"/>
      <c r="DZ5" s="51">
        <f t="shared" si="2"/>
        <v>0</v>
      </c>
    </row>
    <row r="6" spans="1:130" x14ac:dyDescent="0.25">
      <c r="A6" s="4" t="s">
        <v>1</v>
      </c>
      <c r="B6" s="8">
        <v>5</v>
      </c>
      <c r="E6" s="21"/>
      <c r="K6" s="21"/>
      <c r="Q6" s="21"/>
      <c r="X6" s="21"/>
      <c r="AD6" s="21"/>
      <c r="AJ6" s="21"/>
      <c r="AP6" s="21"/>
      <c r="AV6" s="21"/>
      <c r="BB6" s="21"/>
      <c r="BF6" s="21"/>
      <c r="BL6" s="21"/>
      <c r="BR6" s="21"/>
      <c r="BX6" s="21"/>
      <c r="CD6" s="21"/>
      <c r="CJ6" s="21"/>
      <c r="CP6" s="21"/>
      <c r="CV6" s="21"/>
      <c r="DB6" s="21"/>
      <c r="DH6" s="21">
        <f t="shared" si="1"/>
        <v>0</v>
      </c>
      <c r="DN6" s="21"/>
      <c r="DT6" s="21"/>
      <c r="DZ6" s="51">
        <f t="shared" si="2"/>
        <v>0</v>
      </c>
    </row>
    <row r="7" spans="1:130" x14ac:dyDescent="0.25">
      <c r="A7" s="4" t="s">
        <v>2</v>
      </c>
      <c r="B7" s="9">
        <v>6</v>
      </c>
      <c r="E7" s="21"/>
      <c r="K7" s="21"/>
      <c r="Q7" s="21"/>
      <c r="X7" s="21"/>
      <c r="AD7" s="21"/>
      <c r="AJ7" s="21"/>
      <c r="AP7" s="21"/>
      <c r="AV7" s="21"/>
      <c r="BB7" s="21"/>
      <c r="BF7" s="21"/>
      <c r="BL7" s="21"/>
      <c r="BR7" s="21"/>
      <c r="BX7" s="21"/>
      <c r="CD7" s="21"/>
      <c r="CJ7" s="21"/>
      <c r="CP7" s="21"/>
      <c r="CV7" s="21"/>
      <c r="DB7" s="21"/>
      <c r="DH7" s="21">
        <f t="shared" si="1"/>
        <v>0</v>
      </c>
      <c r="DN7" s="21"/>
      <c r="DT7" s="21"/>
      <c r="DZ7" s="51">
        <f t="shared" si="2"/>
        <v>0</v>
      </c>
    </row>
    <row r="8" spans="1:130" x14ac:dyDescent="0.25">
      <c r="A8" s="4" t="s">
        <v>3</v>
      </c>
      <c r="B8" s="8">
        <v>7</v>
      </c>
      <c r="E8" s="21"/>
      <c r="K8" s="21"/>
      <c r="Q8" s="21"/>
      <c r="W8" s="1">
        <v>107</v>
      </c>
      <c r="X8" s="21"/>
      <c r="AD8" s="21"/>
      <c r="AJ8" s="21"/>
      <c r="AP8" s="21"/>
      <c r="AQ8" s="1">
        <v>25</v>
      </c>
      <c r="AV8" s="21"/>
      <c r="BB8" s="21"/>
      <c r="BF8" s="21"/>
      <c r="BL8" s="21"/>
      <c r="BR8" s="21"/>
      <c r="BX8" s="21">
        <f>SUM(BS8:BW8)</f>
        <v>0</v>
      </c>
      <c r="CD8" s="21">
        <f>SUM(BY8:CC8)</f>
        <v>0</v>
      </c>
      <c r="CJ8" s="21"/>
      <c r="CP8" s="21">
        <f>SUM(CK8:CO8)</f>
        <v>0</v>
      </c>
      <c r="CV8" s="21">
        <f>SUM(CQ8:CU8)</f>
        <v>0</v>
      </c>
      <c r="DB8" s="21">
        <f>SUM(CW8:DA8)</f>
        <v>0</v>
      </c>
      <c r="DH8" s="21">
        <f>SUM(DC8:DG8)</f>
        <v>0</v>
      </c>
      <c r="DN8" s="21">
        <f t="shared" ref="DN8:DN13" si="3">SUM(DI8:DM8)</f>
        <v>0</v>
      </c>
      <c r="DP8" s="1">
        <v>4</v>
      </c>
      <c r="DQ8" s="1">
        <v>4</v>
      </c>
      <c r="DT8" s="21">
        <f t="shared" ref="DT8:DT13" si="4">SUM(DO8:DS8)</f>
        <v>8</v>
      </c>
      <c r="DZ8" s="51">
        <f t="shared" si="2"/>
        <v>0</v>
      </c>
    </row>
    <row r="9" spans="1:130" x14ac:dyDescent="0.25">
      <c r="A9" s="4" t="s">
        <v>21</v>
      </c>
      <c r="B9" s="8">
        <v>8</v>
      </c>
      <c r="E9" s="21"/>
      <c r="K9" s="21"/>
      <c r="Q9" s="21"/>
      <c r="X9" s="21"/>
      <c r="AD9" s="21"/>
      <c r="AJ9" s="21"/>
      <c r="AP9" s="21"/>
      <c r="AV9" s="21"/>
      <c r="BB9" s="21"/>
      <c r="BF9" s="21"/>
      <c r="BL9" s="21"/>
      <c r="BR9" s="21">
        <f>SUM(BM9:BQ9)</f>
        <v>0</v>
      </c>
      <c r="BX9" s="21">
        <f>SUM(BS9:BW9)</f>
        <v>0</v>
      </c>
      <c r="CD9" s="21">
        <f>SUM(BY9:CC9)</f>
        <v>0</v>
      </c>
      <c r="CJ9" s="21"/>
      <c r="CP9" s="21">
        <f>SUM(CK9:CO9)</f>
        <v>0</v>
      </c>
      <c r="CV9" s="21">
        <f>SUM(CQ9:CU9)</f>
        <v>0</v>
      </c>
      <c r="DB9" s="21">
        <f>SUM(CW9:DA9)</f>
        <v>0</v>
      </c>
      <c r="DH9" s="21">
        <f>SUM(DC9:DG9)</f>
        <v>0</v>
      </c>
      <c r="DN9" s="21">
        <f t="shared" si="3"/>
        <v>0</v>
      </c>
      <c r="DT9" s="21">
        <f t="shared" si="4"/>
        <v>0</v>
      </c>
      <c r="DW9" s="1">
        <v>6</v>
      </c>
      <c r="DX9" s="1">
        <v>4</v>
      </c>
      <c r="DY9" s="1">
        <v>1</v>
      </c>
      <c r="DZ9" s="51">
        <f t="shared" si="2"/>
        <v>11</v>
      </c>
    </row>
    <row r="10" spans="1:130" x14ac:dyDescent="0.25">
      <c r="A10" s="3" t="s">
        <v>13</v>
      </c>
      <c r="B10" s="9">
        <v>9</v>
      </c>
      <c r="E10" s="21"/>
      <c r="K10" s="21"/>
      <c r="Q10" s="21"/>
      <c r="X10" s="21"/>
      <c r="AD10" s="21"/>
      <c r="AJ10" s="21"/>
      <c r="AP10" s="21"/>
      <c r="AV10" s="21"/>
      <c r="BB10" s="21"/>
      <c r="BF10" s="21"/>
      <c r="BL10" s="21"/>
      <c r="BR10" s="21">
        <f>SUM(BM10:BQ10)</f>
        <v>0</v>
      </c>
      <c r="BX10" s="21">
        <f>SUM(BS10:BW10)</f>
        <v>0</v>
      </c>
      <c r="CD10" s="21">
        <f>SUM(BY10:CC10)</f>
        <v>0</v>
      </c>
      <c r="CJ10" s="21"/>
      <c r="CP10" s="21">
        <f>SUM(CK10:CO10)</f>
        <v>0</v>
      </c>
      <c r="CV10" s="21">
        <f>SUM(CQ10:CU10)</f>
        <v>0</v>
      </c>
      <c r="DB10" s="21">
        <f>SUM(CW10:DA10)</f>
        <v>0</v>
      </c>
      <c r="DH10" s="21">
        <f>SUM(DC10:DG10)</f>
        <v>0</v>
      </c>
      <c r="DN10" s="21">
        <f t="shared" si="3"/>
        <v>0</v>
      </c>
      <c r="DT10" s="21">
        <f t="shared" si="4"/>
        <v>0</v>
      </c>
      <c r="DZ10" s="51">
        <f t="shared" si="2"/>
        <v>0</v>
      </c>
    </row>
    <row r="11" spans="1:130" x14ac:dyDescent="0.25">
      <c r="A11" s="4" t="s">
        <v>4</v>
      </c>
      <c r="B11" s="8">
        <v>10</v>
      </c>
      <c r="E11" s="21"/>
      <c r="K11" s="21"/>
      <c r="Q11" s="21"/>
      <c r="X11" s="21"/>
      <c r="AD11" s="21"/>
      <c r="AJ11" s="21"/>
      <c r="AP11" s="21"/>
      <c r="AV11" s="21"/>
      <c r="BB11" s="21"/>
      <c r="BF11" s="21"/>
      <c r="BL11" s="21"/>
      <c r="BR11" s="21">
        <f>SUM(BM11:BQ11)</f>
        <v>0</v>
      </c>
      <c r="BX11" s="21">
        <f>SUM(BS11:BW11)</f>
        <v>0</v>
      </c>
      <c r="CD11" s="21">
        <f>SUM(BY11:CC11)</f>
        <v>0</v>
      </c>
      <c r="CJ11" s="21"/>
      <c r="CP11" s="21">
        <f>SUM(CK11:CO11)</f>
        <v>0</v>
      </c>
      <c r="CV11" s="21">
        <f>SUM(CQ11:CU11)</f>
        <v>0</v>
      </c>
      <c r="DB11" s="21">
        <f>SUM(CW11:DA11)</f>
        <v>0</v>
      </c>
      <c r="DH11" s="21">
        <f>SUM(DC11:DG11)</f>
        <v>0</v>
      </c>
      <c r="DI11" s="1">
        <v>5</v>
      </c>
      <c r="DJ11" s="1">
        <v>5</v>
      </c>
      <c r="DK11" s="1">
        <v>5</v>
      </c>
      <c r="DL11" s="1">
        <v>5</v>
      </c>
      <c r="DM11" s="1">
        <v>5</v>
      </c>
      <c r="DN11" s="21">
        <f t="shared" si="3"/>
        <v>25</v>
      </c>
      <c r="DO11" s="1">
        <v>3</v>
      </c>
      <c r="DR11" s="1">
        <v>5</v>
      </c>
      <c r="DS11" s="1">
        <v>5</v>
      </c>
      <c r="DT11" s="21">
        <f t="shared" si="4"/>
        <v>13</v>
      </c>
      <c r="DZ11" s="51">
        <f t="shared" si="2"/>
        <v>0</v>
      </c>
    </row>
    <row r="12" spans="1:130" x14ac:dyDescent="0.25">
      <c r="A12" s="4" t="s">
        <v>5</v>
      </c>
      <c r="B12" s="8">
        <v>11</v>
      </c>
      <c r="E12" s="21"/>
      <c r="K12" s="21"/>
      <c r="Q12" s="21"/>
      <c r="X12" s="21"/>
      <c r="AD12" s="21"/>
      <c r="AJ12" s="21"/>
      <c r="AP12" s="21"/>
      <c r="AV12" s="21"/>
      <c r="BB12" s="21"/>
      <c r="BF12" s="21"/>
      <c r="BL12" s="21"/>
      <c r="BR12" s="21"/>
      <c r="BX12" s="21"/>
      <c r="CD12" s="21"/>
      <c r="CJ12" s="21"/>
      <c r="CK12" s="1">
        <v>11</v>
      </c>
      <c r="CP12" s="21"/>
      <c r="CV12" s="21"/>
      <c r="DB12" s="21"/>
      <c r="DH12" s="21">
        <f t="shared" ref="DH12:DH16" si="5">SUM(DC12:DG12)</f>
        <v>0</v>
      </c>
      <c r="DI12" s="1">
        <v>48</v>
      </c>
      <c r="DJ12" s="1">
        <v>49</v>
      </c>
      <c r="DK12" s="1">
        <v>54</v>
      </c>
      <c r="DL12" s="1">
        <v>66</v>
      </c>
      <c r="DM12" s="1">
        <v>58</v>
      </c>
      <c r="DN12" s="21">
        <f t="shared" si="3"/>
        <v>275</v>
      </c>
      <c r="DO12" s="1">
        <v>29</v>
      </c>
      <c r="DR12" s="1">
        <v>69</v>
      </c>
      <c r="DS12" s="1">
        <v>82</v>
      </c>
      <c r="DT12" s="21">
        <f t="shared" si="4"/>
        <v>180</v>
      </c>
      <c r="DZ12" s="51">
        <f t="shared" si="2"/>
        <v>0</v>
      </c>
    </row>
    <row r="13" spans="1:130" x14ac:dyDescent="0.25">
      <c r="A13" s="3" t="s">
        <v>8</v>
      </c>
      <c r="B13" s="9">
        <v>12</v>
      </c>
      <c r="E13" s="21"/>
      <c r="F13" s="1">
        <v>1</v>
      </c>
      <c r="K13" s="21"/>
      <c r="P13" s="1">
        <v>1</v>
      </c>
      <c r="Q13" s="21"/>
      <c r="X13" s="21"/>
      <c r="AD13" s="21"/>
      <c r="AJ13" s="21"/>
      <c r="AP13" s="21"/>
      <c r="AV13" s="21"/>
      <c r="BB13" s="21"/>
      <c r="BD13" s="1">
        <v>2</v>
      </c>
      <c r="BF13" s="21">
        <f>SUM(BC13:BE13)</f>
        <v>2</v>
      </c>
      <c r="BJ13" s="1">
        <v>1</v>
      </c>
      <c r="BL13" s="21"/>
      <c r="BM13" s="1">
        <v>12</v>
      </c>
      <c r="BN13" s="1">
        <v>12</v>
      </c>
      <c r="BO13" s="1">
        <v>7</v>
      </c>
      <c r="BP13" s="1">
        <v>3</v>
      </c>
      <c r="BQ13" s="1">
        <v>3</v>
      </c>
      <c r="BR13" s="21"/>
      <c r="BT13" s="1">
        <v>1</v>
      </c>
      <c r="BX13" s="21"/>
      <c r="BY13" s="1">
        <v>3</v>
      </c>
      <c r="BZ13" s="1">
        <v>1</v>
      </c>
      <c r="CA13" s="1">
        <v>2</v>
      </c>
      <c r="CB13" s="1">
        <v>4</v>
      </c>
      <c r="CD13" s="21">
        <f>SUM(BY13:CC13)</f>
        <v>10</v>
      </c>
      <c r="CJ13" s="21">
        <f>SUM(CE13:CI13)</f>
        <v>0</v>
      </c>
      <c r="CM13" s="1">
        <v>9</v>
      </c>
      <c r="CP13" s="21">
        <f>SUM(CK13:CO13)</f>
        <v>9</v>
      </c>
      <c r="CR13" s="1">
        <v>2</v>
      </c>
      <c r="CS13" s="1">
        <v>4</v>
      </c>
      <c r="CV13" s="21">
        <f>SUM(CQ13:CU13)</f>
        <v>6</v>
      </c>
      <c r="CY13" s="1">
        <v>1</v>
      </c>
      <c r="DB13" s="21">
        <f>SUM(CW13:DA13)</f>
        <v>1</v>
      </c>
      <c r="DF13" s="1">
        <v>1</v>
      </c>
      <c r="DH13" s="21">
        <f t="shared" si="5"/>
        <v>1</v>
      </c>
      <c r="DN13" s="21">
        <f t="shared" si="3"/>
        <v>0</v>
      </c>
      <c r="DT13" s="21">
        <f t="shared" si="4"/>
        <v>0</v>
      </c>
      <c r="DZ13" s="51">
        <f t="shared" si="2"/>
        <v>0</v>
      </c>
    </row>
    <row r="14" spans="1:130" x14ac:dyDescent="0.25">
      <c r="A14" s="4" t="s">
        <v>6</v>
      </c>
      <c r="B14" s="8">
        <v>13</v>
      </c>
      <c r="E14" s="21"/>
      <c r="G14" s="1">
        <v>1</v>
      </c>
      <c r="K14" s="21"/>
      <c r="Q14" s="21"/>
      <c r="X14" s="21"/>
      <c r="AD14" s="21"/>
      <c r="AJ14" s="21"/>
      <c r="AP14" s="21"/>
      <c r="AV14" s="21"/>
      <c r="BB14" s="21"/>
      <c r="BF14" s="21"/>
      <c r="BL14" s="21"/>
      <c r="BN14" s="1">
        <v>1</v>
      </c>
      <c r="BR14" s="21"/>
      <c r="BU14" s="1">
        <v>1</v>
      </c>
      <c r="BX14" s="21"/>
      <c r="CD14" s="21"/>
      <c r="CJ14" s="21"/>
      <c r="CP14" s="21"/>
      <c r="CV14" s="21"/>
      <c r="CW14" s="1">
        <v>1</v>
      </c>
      <c r="DB14" s="21"/>
      <c r="DC14" s="1">
        <v>2</v>
      </c>
      <c r="DD14" s="1">
        <v>1</v>
      </c>
      <c r="DH14" s="21">
        <f t="shared" si="5"/>
        <v>3</v>
      </c>
      <c r="DN14" s="21"/>
      <c r="DT14" s="21"/>
      <c r="DZ14" s="51">
        <f t="shared" si="2"/>
        <v>0</v>
      </c>
    </row>
    <row r="15" spans="1:130" x14ac:dyDescent="0.25">
      <c r="A15" s="3" t="s">
        <v>7</v>
      </c>
      <c r="B15" s="8">
        <v>14</v>
      </c>
      <c r="E15" s="21"/>
      <c r="I15" s="1">
        <v>161</v>
      </c>
      <c r="K15" s="21">
        <f>SUM(F15:J15)</f>
        <v>161</v>
      </c>
      <c r="Q15" s="21"/>
      <c r="S15" s="1">
        <v>120</v>
      </c>
      <c r="T15" s="1">
        <v>583</v>
      </c>
      <c r="X15" s="21">
        <f>SUM(R15:W15)</f>
        <v>703</v>
      </c>
      <c r="AD15" s="21"/>
      <c r="AJ15" s="21"/>
      <c r="AP15" s="21"/>
      <c r="AV15" s="21"/>
      <c r="BB15" s="21"/>
      <c r="BF15" s="21"/>
      <c r="BJ15" s="1">
        <v>64</v>
      </c>
      <c r="BK15" s="1">
        <v>116</v>
      </c>
      <c r="BL15" s="21">
        <f>SUM(BG15:BK15)</f>
        <v>180</v>
      </c>
      <c r="BR15" s="21"/>
      <c r="BX15" s="21"/>
      <c r="CD15" s="21"/>
      <c r="CJ15" s="21"/>
      <c r="CP15" s="21"/>
      <c r="CV15" s="21"/>
      <c r="DB15" s="21"/>
      <c r="DF15" s="1">
        <v>784</v>
      </c>
      <c r="DH15" s="21">
        <f t="shared" si="5"/>
        <v>784</v>
      </c>
      <c r="DN15" s="21"/>
      <c r="DT15" s="21"/>
      <c r="DU15" s="1">
        <v>100</v>
      </c>
      <c r="DV15" s="1">
        <v>140</v>
      </c>
      <c r="DZ15" s="51">
        <f t="shared" si="2"/>
        <v>240</v>
      </c>
    </row>
    <row r="16" spans="1:130" x14ac:dyDescent="0.25">
      <c r="A16" s="5" t="s">
        <v>37</v>
      </c>
      <c r="B16" s="9">
        <v>15</v>
      </c>
      <c r="E16" s="21"/>
      <c r="J16" s="1">
        <v>13</v>
      </c>
      <c r="K16" s="21"/>
      <c r="Q16" s="21"/>
      <c r="X16" s="21"/>
      <c r="AD16" s="21"/>
      <c r="AJ16" s="21"/>
      <c r="AP16" s="21"/>
      <c r="AV16" s="21"/>
      <c r="BA16" s="1">
        <v>260</v>
      </c>
      <c r="BB16" s="21">
        <f>SUM(AW16:BA16)</f>
        <v>260</v>
      </c>
      <c r="BF16" s="21"/>
      <c r="BL16" s="21"/>
      <c r="BR16" s="21"/>
      <c r="BX16" s="21"/>
      <c r="CD16" s="21"/>
      <c r="CJ16" s="21"/>
      <c r="CP16" s="21"/>
      <c r="CV16" s="21"/>
      <c r="DB16" s="21"/>
      <c r="DH16" s="21">
        <f t="shared" si="5"/>
        <v>0</v>
      </c>
      <c r="DN16" s="21"/>
      <c r="DP16" s="1">
        <v>1439</v>
      </c>
      <c r="DQ16" s="1">
        <v>1439</v>
      </c>
      <c r="DT16" s="21"/>
      <c r="DZ16" s="51">
        <f t="shared" si="2"/>
        <v>0</v>
      </c>
    </row>
    <row r="17" spans="1:129" ht="181.5" customHeight="1" x14ac:dyDescent="0.25">
      <c r="A17" s="1" t="s">
        <v>11</v>
      </c>
      <c r="C17" s="7" t="s">
        <v>62</v>
      </c>
      <c r="D17" s="7" t="s">
        <v>73</v>
      </c>
      <c r="E17" s="7"/>
      <c r="F17" s="7" t="s">
        <v>58</v>
      </c>
      <c r="G17" s="7" t="s">
        <v>63</v>
      </c>
      <c r="H17" s="7" t="s">
        <v>72</v>
      </c>
      <c r="I17" s="14" t="s">
        <v>68</v>
      </c>
      <c r="J17" s="14" t="s">
        <v>69</v>
      </c>
      <c r="K17" s="7"/>
      <c r="L17" s="7" t="s">
        <v>70</v>
      </c>
      <c r="M17" s="14" t="s">
        <v>71</v>
      </c>
      <c r="N17" s="7" t="s">
        <v>75</v>
      </c>
      <c r="O17" s="14" t="s">
        <v>74</v>
      </c>
      <c r="P17" s="7" t="s">
        <v>76</v>
      </c>
      <c r="Q17" s="7"/>
      <c r="R17" s="7"/>
      <c r="S17" s="14" t="s">
        <v>77</v>
      </c>
      <c r="T17" s="7" t="s">
        <v>59</v>
      </c>
      <c r="U17" s="7" t="s">
        <v>60</v>
      </c>
      <c r="V17" s="7" t="s">
        <v>59</v>
      </c>
      <c r="W17" s="7" t="s">
        <v>60</v>
      </c>
      <c r="X17" s="7"/>
      <c r="Y17" s="7" t="s">
        <v>61</v>
      </c>
      <c r="Z17" s="7" t="s">
        <v>65</v>
      </c>
      <c r="AA17" s="7" t="s">
        <v>64</v>
      </c>
      <c r="AB17" s="7" t="s">
        <v>64</v>
      </c>
      <c r="AC17" s="7" t="s">
        <v>64</v>
      </c>
      <c r="AD17" s="7"/>
      <c r="AE17" s="7" t="s">
        <v>64</v>
      </c>
      <c r="AF17" s="7" t="s">
        <v>64</v>
      </c>
      <c r="AG17" s="7" t="s">
        <v>64</v>
      </c>
      <c r="AH17" s="7" t="s">
        <v>64</v>
      </c>
      <c r="AI17" s="7" t="s">
        <v>67</v>
      </c>
      <c r="AJ17" s="7"/>
      <c r="AK17" s="14" t="s">
        <v>78</v>
      </c>
      <c r="AL17" s="7" t="s">
        <v>79</v>
      </c>
      <c r="AM17" s="7" t="s">
        <v>79</v>
      </c>
      <c r="AN17" s="7" t="s">
        <v>80</v>
      </c>
      <c r="AO17" s="7" t="s">
        <v>22</v>
      </c>
      <c r="AP17" s="7"/>
      <c r="AQ17" s="14" t="s">
        <v>78</v>
      </c>
      <c r="AR17" s="14" t="s">
        <v>78</v>
      </c>
      <c r="AS17" s="14" t="s">
        <v>78</v>
      </c>
      <c r="AT17" s="14" t="s">
        <v>78</v>
      </c>
      <c r="AU17" s="14" t="s">
        <v>78</v>
      </c>
      <c r="AV17" s="7"/>
      <c r="AW17" s="14" t="s">
        <v>78</v>
      </c>
      <c r="AX17" s="14" t="s">
        <v>78</v>
      </c>
      <c r="AY17" s="7" t="s">
        <v>82</v>
      </c>
      <c r="AZ17" s="7" t="s">
        <v>81</v>
      </c>
      <c r="BA17" s="7" t="s">
        <v>83</v>
      </c>
      <c r="BC17" s="7" t="s">
        <v>84</v>
      </c>
      <c r="BD17" s="7" t="s">
        <v>85</v>
      </c>
      <c r="BE17" s="7" t="s">
        <v>88</v>
      </c>
      <c r="BF17" s="7"/>
      <c r="BG17" s="7" t="s">
        <v>101</v>
      </c>
      <c r="BH17" s="7" t="s">
        <v>126</v>
      </c>
      <c r="BI17" s="14" t="s">
        <v>110</v>
      </c>
      <c r="BJ17" s="14" t="s">
        <v>127</v>
      </c>
      <c r="BK17" s="14" t="s">
        <v>129</v>
      </c>
      <c r="BL17" s="7"/>
      <c r="BM17" s="7" t="s">
        <v>133</v>
      </c>
      <c r="BO17" s="7" t="s">
        <v>138</v>
      </c>
      <c r="BS17" s="7" t="s">
        <v>155</v>
      </c>
      <c r="BT17" s="14" t="s">
        <v>156</v>
      </c>
      <c r="BU17" s="7" t="s">
        <v>164</v>
      </c>
      <c r="BV17" s="7" t="s">
        <v>167</v>
      </c>
      <c r="BW17" s="7" t="s">
        <v>173</v>
      </c>
      <c r="BY17" s="7" t="s">
        <v>174</v>
      </c>
      <c r="BZ17" s="7" t="s">
        <v>178</v>
      </c>
      <c r="CA17" s="7" t="s">
        <v>181</v>
      </c>
      <c r="CB17" s="7" t="s">
        <v>184</v>
      </c>
      <c r="CC17" s="7" t="s">
        <v>195</v>
      </c>
      <c r="CE17" s="7" t="s">
        <v>196</v>
      </c>
      <c r="CF17" s="7" t="s">
        <v>196</v>
      </c>
      <c r="CG17" s="7" t="s">
        <v>196</v>
      </c>
      <c r="CH17" s="7" t="s">
        <v>196</v>
      </c>
      <c r="CI17" s="7" t="s">
        <v>204</v>
      </c>
      <c r="CK17" s="7" t="s">
        <v>210</v>
      </c>
      <c r="CL17" s="7" t="s">
        <v>213</v>
      </c>
      <c r="CR17" s="7" t="s">
        <v>219</v>
      </c>
      <c r="CS17" s="7" t="s">
        <v>219</v>
      </c>
      <c r="CT17" s="7" t="s">
        <v>228</v>
      </c>
      <c r="CW17" s="7" t="s">
        <v>236</v>
      </c>
      <c r="CX17" s="7" t="s">
        <v>241</v>
      </c>
      <c r="CY17" s="7" t="s">
        <v>243</v>
      </c>
      <c r="DC17" s="7" t="s">
        <v>250</v>
      </c>
      <c r="DD17" s="7" t="s">
        <v>251</v>
      </c>
      <c r="DE17" s="7" t="s">
        <v>252</v>
      </c>
      <c r="DF17" s="7" t="s">
        <v>253</v>
      </c>
      <c r="DG17" s="7" t="s">
        <v>258</v>
      </c>
      <c r="DO17" s="7" t="s">
        <v>312</v>
      </c>
      <c r="DY17" s="14" t="s">
        <v>320</v>
      </c>
    </row>
    <row r="18" spans="1:129" ht="190.5" customHeight="1" x14ac:dyDescent="0.25">
      <c r="A18" s="1" t="s">
        <v>10</v>
      </c>
      <c r="AZ18" s="14"/>
      <c r="BB18" s="7"/>
      <c r="BI18" s="1" t="s">
        <v>109</v>
      </c>
      <c r="BM18" s="28" t="s">
        <v>146</v>
      </c>
      <c r="BN18" s="7" t="s">
        <v>136</v>
      </c>
      <c r="BO18" s="7" t="s">
        <v>141</v>
      </c>
      <c r="BP18" s="7" t="s">
        <v>145</v>
      </c>
      <c r="BQ18" s="7" t="s">
        <v>145</v>
      </c>
      <c r="CN18" s="39" t="s">
        <v>218</v>
      </c>
      <c r="DI18" s="7" t="s">
        <v>276</v>
      </c>
      <c r="DJ18" s="7" t="s">
        <v>276</v>
      </c>
      <c r="DK18" s="7" t="s">
        <v>277</v>
      </c>
      <c r="DL18" s="7" t="s">
        <v>277</v>
      </c>
      <c r="DM18" s="7" t="s">
        <v>277</v>
      </c>
      <c r="DO18" s="7" t="s">
        <v>276</v>
      </c>
      <c r="DP18" s="7" t="s">
        <v>313</v>
      </c>
      <c r="DQ18" s="7" t="s">
        <v>313</v>
      </c>
      <c r="DR18" s="7" t="s">
        <v>277</v>
      </c>
      <c r="DS18" s="7" t="s">
        <v>277</v>
      </c>
      <c r="DU18" s="14" t="s">
        <v>314</v>
      </c>
      <c r="DV18" s="14" t="s">
        <v>315</v>
      </c>
      <c r="DW18" s="7" t="s">
        <v>316</v>
      </c>
    </row>
    <row r="19" spans="1:129"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row>
  </sheetData>
  <customSheetViews>
    <customSheetView guid="{3D987F8E-A6EA-454D-9537-6BFC5053CB00}">
      <pane xSplit="1" topLeftCell="DN1" activePane="topRight" state="frozen"/>
      <selection pane="topRight" activeCell="DO17" sqref="DO17"/>
      <pageMargins left="0.511811024" right="0.511811024" top="0.78740157499999996" bottom="0.78740157499999996" header="0.31496062000000002" footer="0.31496062000000002"/>
    </customSheetView>
    <customSheetView guid="{B3CDE377-BA5D-4E06-91D9-3A48E1959BA5}" topLeftCell="A10">
      <pane xSplit="1" topLeftCell="BK1" activePane="topRight" state="frozen"/>
      <selection pane="topRight" activeCell="BN18" sqref="BN18"/>
      <pageMargins left="0.511811024" right="0.511811024" top="0.78740157499999996" bottom="0.78740157499999996" header="0.31496062000000002" footer="0.31496062000000002"/>
    </customSheetView>
    <customSheetView guid="{C69767F5-CD39-44C1-AD4B-CE19DC8285A6}">
      <selection activeCell="F5" sqref="F5"/>
      <pageMargins left="0.511811024" right="0.511811024" top="0.78740157499999996" bottom="0.78740157499999996" header="0.31496062000000002" footer="0.31496062000000002"/>
    </customSheetView>
    <customSheetView guid="{552DFCCD-1786-4D75-8B10-27DD730384DD}">
      <selection activeCell="E3" sqref="E3"/>
      <pageMargins left="0.511811024" right="0.511811024" top="0.78740157499999996" bottom="0.78740157499999996" header="0.31496062000000002" footer="0.31496062000000002"/>
    </customSheetView>
    <customSheetView guid="{9B623083-AA7B-440B-95EA-C33E1AB3D963}">
      <pane xSplit="1" topLeftCell="DD1" activePane="topRight" state="frozen"/>
      <selection pane="topRight" activeCell="DF17" sqref="DF17"/>
      <pageMargins left="0.511811024" right="0.511811024" top="0.78740157499999996" bottom="0.78740157499999996" header="0.31496062000000002" footer="0.31496062000000002"/>
    </customSheetView>
    <customSheetView guid="{18A482E0-C8B6-4AA1-9E04-15FA7C9CD5E3}" scale="80">
      <pane xSplit="1" topLeftCell="DC1" activePane="topRight" state="frozen"/>
      <selection pane="topRight" activeCell="DF17" sqref="DF17"/>
      <pageMargins left="0.511811024" right="0.511811024" top="0.78740157499999996" bottom="0.78740157499999996" header="0.31496062000000002" footer="0.31496062000000002"/>
    </customSheetView>
    <customSheetView guid="{20CB6D8F-C24D-4D4B-A424-AF380F620455}" showPageBreaks="1" topLeftCell="BZ7">
      <selection activeCell="BP18" sqref="BP18"/>
      <pageMargins left="0.511811024" right="0.511811024" top="0.78740157499999996" bottom="0.78740157499999996" header="0.31496062000000002" footer="0.31496062000000002"/>
      <pageSetup paperSize="9" orientation="portrait" r:id="rId1"/>
    </customSheetView>
    <customSheetView guid="{86039CF8-B158-4D70-9A6F-A10C29CBD68A}" topLeftCell="A7">
      <pane xSplit="1" topLeftCell="DT1" activePane="topRight" state="frozen"/>
      <selection pane="topRight" activeCell="DY17" sqref="DY17"/>
      <pageMargins left="0.511811024" right="0.511811024" top="0.78740157499999996" bottom="0.78740157499999996" header="0.31496062000000002" footer="0.31496062000000002"/>
    </customSheetView>
    <customSheetView guid="{E3841903-5B68-44FD-8F09-58E03D1025C5}" topLeftCell="DG1">
      <selection activeCell="D1" sqref="D1:D1048576"/>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E19"/>
  <sheetViews>
    <sheetView zoomScaleNormal="90" workbookViewId="0">
      <pane xSplit="1" topLeftCell="M1" activePane="topRight" state="frozen"/>
      <selection pane="topRight" activeCell="A18" sqref="A18"/>
    </sheetView>
  </sheetViews>
  <sheetFormatPr defaultColWidth="9.140625" defaultRowHeight="15" x14ac:dyDescent="0.25"/>
  <cols>
    <col min="1" max="1" width="77.42578125" style="1" bestFit="1" customWidth="1"/>
    <col min="2" max="2" width="3" style="1" bestFit="1" customWidth="1"/>
    <col min="3" max="45" width="20.140625" style="1" customWidth="1"/>
    <col min="46" max="46" width="16.28515625" style="1" customWidth="1"/>
    <col min="47" max="48" width="18.85546875" style="1" customWidth="1"/>
    <col min="49" max="49" width="9.140625" style="1"/>
    <col min="50" max="50" width="39.42578125" style="1" customWidth="1"/>
    <col min="51" max="52" width="9.140625" style="1"/>
    <col min="53" max="53" width="59.5703125" style="1" customWidth="1"/>
    <col min="54" max="54" width="14.28515625" style="1" bestFit="1" customWidth="1"/>
    <col min="55" max="56" width="9.140625" style="1"/>
    <col min="57" max="57" width="15.140625" style="1" customWidth="1"/>
    <col min="58" max="58" width="15.85546875" style="1" customWidth="1"/>
    <col min="59" max="59" width="12.7109375" style="1" customWidth="1"/>
    <col min="60" max="60" width="9.140625" style="1"/>
    <col min="61" max="61" width="12.7109375" style="1" customWidth="1"/>
    <col min="62" max="62" width="15.5703125" style="1" customWidth="1"/>
    <col min="63" max="63" width="16.42578125" style="1" customWidth="1"/>
    <col min="64" max="64" width="14.28515625" style="1" bestFit="1" customWidth="1"/>
    <col min="65" max="65" width="14.7109375" style="1" customWidth="1"/>
    <col min="66" max="68" width="18.42578125" style="1" customWidth="1"/>
    <col min="69" max="69" width="22.140625" style="1" customWidth="1"/>
    <col min="70" max="70" width="14.28515625" style="1" bestFit="1" customWidth="1"/>
    <col min="71" max="71" width="22.85546875" style="1" customWidth="1"/>
    <col min="72" max="75" width="15.5703125" style="1" customWidth="1"/>
    <col min="76" max="76" width="14.28515625" style="1" bestFit="1" customWidth="1"/>
    <col min="77" max="81" width="9.140625" style="1"/>
    <col min="82" max="82" width="14.28515625" style="1" bestFit="1" customWidth="1"/>
    <col min="83" max="87" width="9.140625" style="1"/>
    <col min="88" max="88" width="14.28515625" style="1" bestFit="1" customWidth="1"/>
    <col min="89" max="93" width="9.140625" style="1"/>
    <col min="94" max="94" width="14.28515625" style="1" bestFit="1" customWidth="1"/>
    <col min="95" max="99" width="9.140625" style="1"/>
    <col min="100" max="100" width="16" style="1" customWidth="1"/>
    <col min="101" max="103" width="9.140625" style="1"/>
    <col min="104" max="104" width="9" style="1" bestFit="1" customWidth="1"/>
    <col min="105" max="105" width="19.85546875" style="1" bestFit="1" customWidth="1"/>
    <col min="106" max="106" width="16.7109375" style="1" customWidth="1"/>
    <col min="107" max="111" width="14" style="1" customWidth="1"/>
    <col min="112" max="112" width="14.28515625" style="1" bestFit="1" customWidth="1"/>
    <col min="113" max="117" width="14.42578125" style="1" customWidth="1"/>
    <col min="118" max="118" width="14.28515625" style="1" bestFit="1" customWidth="1"/>
    <col min="119" max="119" width="11.85546875" style="1" customWidth="1"/>
    <col min="120" max="123" width="9.140625" style="1"/>
    <col min="124" max="124" width="14.28515625" style="1" bestFit="1" customWidth="1"/>
    <col min="125" max="129" width="9.140625" style="1"/>
    <col min="130" max="130" width="14.28515625" style="1" bestFit="1" customWidth="1"/>
    <col min="131" max="16384" width="9.140625" style="1"/>
  </cols>
  <sheetData>
    <row r="1" spans="1:135"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10">
        <v>45675</v>
      </c>
      <c r="S1" s="10">
        <v>45677</v>
      </c>
      <c r="T1" s="10">
        <v>45678</v>
      </c>
      <c r="U1" s="10">
        <v>45679</v>
      </c>
      <c r="V1" s="10">
        <v>45680</v>
      </c>
      <c r="W1" s="10">
        <v>45681</v>
      </c>
      <c r="X1" s="20" t="s">
        <v>56</v>
      </c>
      <c r="Y1" s="10">
        <v>45684</v>
      </c>
      <c r="Z1" s="10">
        <v>45685</v>
      </c>
      <c r="AA1" s="10">
        <v>45686</v>
      </c>
      <c r="AB1" s="10">
        <v>45687</v>
      </c>
      <c r="AC1" s="10">
        <v>45688</v>
      </c>
      <c r="AD1" s="20" t="s">
        <v>56</v>
      </c>
      <c r="AE1" s="10">
        <v>45691</v>
      </c>
      <c r="AF1" s="10">
        <v>45692</v>
      </c>
      <c r="AG1" s="10">
        <v>45693</v>
      </c>
      <c r="AH1" s="10">
        <v>45694</v>
      </c>
      <c r="AI1" s="10">
        <v>45695</v>
      </c>
      <c r="AJ1" s="20" t="s">
        <v>56</v>
      </c>
      <c r="AK1" s="10">
        <v>45698</v>
      </c>
      <c r="AL1" s="10">
        <v>45699</v>
      </c>
      <c r="AM1" s="10">
        <v>45700</v>
      </c>
      <c r="AN1" s="10">
        <v>45701</v>
      </c>
      <c r="AO1" s="10">
        <v>45702</v>
      </c>
      <c r="AP1" s="20" t="s">
        <v>56</v>
      </c>
      <c r="AQ1" s="10">
        <v>45705</v>
      </c>
      <c r="AR1" s="10">
        <v>45706</v>
      </c>
      <c r="AS1" s="10">
        <v>45707</v>
      </c>
      <c r="AT1" s="10">
        <v>45708</v>
      </c>
      <c r="AU1" s="10">
        <v>45709</v>
      </c>
      <c r="AV1" s="20" t="s">
        <v>56</v>
      </c>
      <c r="AW1" s="10">
        <v>45712</v>
      </c>
      <c r="AX1" s="10">
        <v>45713</v>
      </c>
      <c r="AY1" s="10">
        <v>45714</v>
      </c>
      <c r="AZ1" s="10">
        <v>45715</v>
      </c>
      <c r="BA1" s="10">
        <v>45716</v>
      </c>
      <c r="BB1" s="20" t="s">
        <v>56</v>
      </c>
      <c r="BC1" s="10">
        <v>45721</v>
      </c>
      <c r="BD1" s="10">
        <v>45722</v>
      </c>
      <c r="BE1" s="10">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c r="CE1" s="10">
        <v>45754</v>
      </c>
      <c r="CF1" s="10">
        <v>45755</v>
      </c>
      <c r="CG1" s="10">
        <v>45756</v>
      </c>
      <c r="CH1" s="10">
        <v>45757</v>
      </c>
      <c r="CI1" s="10">
        <v>45758</v>
      </c>
      <c r="CJ1" s="20" t="s">
        <v>56</v>
      </c>
      <c r="CK1" s="38">
        <v>45761</v>
      </c>
      <c r="CL1" s="10">
        <v>45762</v>
      </c>
      <c r="CM1" s="10">
        <v>45763</v>
      </c>
      <c r="CN1" s="43">
        <v>45764</v>
      </c>
      <c r="CO1" s="43">
        <v>45765</v>
      </c>
      <c r="CP1" s="20" t="s">
        <v>56</v>
      </c>
      <c r="CQ1" s="38">
        <v>45768</v>
      </c>
      <c r="CR1" s="38">
        <v>45769</v>
      </c>
      <c r="CS1" s="10">
        <v>45770</v>
      </c>
      <c r="CT1" s="10">
        <v>45771</v>
      </c>
      <c r="CU1" s="10">
        <v>45772</v>
      </c>
      <c r="CV1" s="20" t="s">
        <v>56</v>
      </c>
      <c r="CW1" s="10">
        <v>45775</v>
      </c>
      <c r="CX1" s="10">
        <v>45776</v>
      </c>
      <c r="CY1" s="10">
        <v>45777</v>
      </c>
      <c r="CZ1" s="10">
        <v>45778</v>
      </c>
      <c r="DA1" s="10">
        <v>45779</v>
      </c>
      <c r="DB1" s="20" t="s">
        <v>56</v>
      </c>
      <c r="DC1" s="10">
        <v>45782</v>
      </c>
      <c r="DD1" s="10">
        <v>45783</v>
      </c>
      <c r="DE1" s="10">
        <v>45784</v>
      </c>
      <c r="DF1" s="10">
        <v>45785</v>
      </c>
      <c r="DG1" s="10">
        <v>45786</v>
      </c>
      <c r="DH1" s="20" t="s">
        <v>56</v>
      </c>
      <c r="DI1" s="10">
        <v>45789</v>
      </c>
      <c r="DJ1" s="10">
        <v>45790</v>
      </c>
      <c r="DK1" s="10">
        <v>45791</v>
      </c>
      <c r="DL1" s="10">
        <v>45792</v>
      </c>
      <c r="DM1" s="10">
        <v>45793</v>
      </c>
      <c r="DN1" s="20" t="s">
        <v>56</v>
      </c>
      <c r="DO1" s="10">
        <v>45796</v>
      </c>
      <c r="DP1" s="10">
        <v>45797</v>
      </c>
      <c r="DQ1" s="10">
        <v>45798</v>
      </c>
      <c r="DR1" s="10">
        <v>45799</v>
      </c>
      <c r="DS1" s="10">
        <v>45800</v>
      </c>
      <c r="DT1" s="20" t="s">
        <v>56</v>
      </c>
      <c r="DU1" s="76">
        <v>45803</v>
      </c>
      <c r="DV1" s="76">
        <v>45804</v>
      </c>
      <c r="DW1" s="76">
        <v>45805</v>
      </c>
      <c r="DX1" s="76">
        <v>45806</v>
      </c>
      <c r="DY1" s="76">
        <v>45807</v>
      </c>
      <c r="DZ1" s="50" t="s">
        <v>56</v>
      </c>
      <c r="EA1" s="2">
        <v>45809</v>
      </c>
      <c r="EB1" s="2">
        <v>45810</v>
      </c>
      <c r="EC1" s="2">
        <v>45811</v>
      </c>
      <c r="ED1" s="2">
        <v>45812</v>
      </c>
      <c r="EE1" s="2">
        <v>45813</v>
      </c>
    </row>
    <row r="2" spans="1:135" x14ac:dyDescent="0.25">
      <c r="A2" s="3" t="s">
        <v>113</v>
      </c>
      <c r="B2" s="12">
        <v>1</v>
      </c>
      <c r="C2" s="11"/>
      <c r="D2" s="11"/>
      <c r="E2" s="21"/>
      <c r="F2" s="11"/>
      <c r="G2" s="11"/>
      <c r="H2" s="11"/>
      <c r="I2" s="11"/>
      <c r="J2" s="11"/>
      <c r="K2" s="21"/>
      <c r="L2" s="11"/>
      <c r="M2" s="11"/>
      <c r="N2" s="11"/>
      <c r="O2" s="11"/>
      <c r="P2" s="11"/>
      <c r="Q2" s="21"/>
      <c r="R2" s="11"/>
      <c r="S2" s="11"/>
      <c r="T2" s="11"/>
      <c r="U2" s="11"/>
      <c r="V2" s="11"/>
      <c r="W2" s="11"/>
      <c r="X2" s="21"/>
      <c r="Y2" s="11">
        <v>1</v>
      </c>
      <c r="Z2" s="11">
        <v>1</v>
      </c>
      <c r="AA2" s="11">
        <v>1</v>
      </c>
      <c r="AB2" s="11">
        <v>1</v>
      </c>
      <c r="AC2" s="11">
        <v>1</v>
      </c>
      <c r="AD2" s="21"/>
      <c r="AE2" s="11">
        <v>1</v>
      </c>
      <c r="AF2" s="11">
        <v>1</v>
      </c>
      <c r="AG2" s="11">
        <v>1</v>
      </c>
      <c r="AH2" s="11">
        <v>1</v>
      </c>
      <c r="AI2" s="11"/>
      <c r="AJ2" s="21"/>
      <c r="AK2" s="11"/>
      <c r="AL2" s="11"/>
      <c r="AM2" s="11"/>
      <c r="AN2" s="11"/>
      <c r="AO2" s="11"/>
      <c r="AP2" s="21"/>
      <c r="AQ2" s="11"/>
      <c r="AR2" s="11"/>
      <c r="AS2" s="11"/>
      <c r="AT2" s="11"/>
      <c r="AU2" s="11">
        <v>1</v>
      </c>
      <c r="AV2" s="21"/>
      <c r="AW2" s="11"/>
      <c r="AX2" s="11"/>
      <c r="AY2" s="11"/>
      <c r="AZ2" s="11"/>
      <c r="BA2" s="15"/>
      <c r="BB2" s="21"/>
      <c r="BC2" s="15"/>
      <c r="BD2" s="18"/>
      <c r="BE2" s="18"/>
      <c r="BF2" s="21"/>
      <c r="BG2" s="11"/>
      <c r="BH2" s="11"/>
      <c r="BI2" s="11"/>
      <c r="BJ2" s="11"/>
      <c r="BK2" s="11"/>
      <c r="BL2" s="21"/>
      <c r="BM2" s="18"/>
      <c r="BN2" s="18"/>
      <c r="BO2" s="18"/>
      <c r="BP2" s="18"/>
      <c r="BQ2" s="15"/>
      <c r="BR2" s="21"/>
      <c r="BS2" s="11"/>
      <c r="BT2" s="11"/>
      <c r="BU2" s="11"/>
      <c r="BV2" s="11"/>
      <c r="BW2" s="11"/>
      <c r="BX2" s="21"/>
      <c r="BY2" s="18"/>
      <c r="BZ2" s="18"/>
      <c r="CA2" s="18"/>
      <c r="CB2" s="18"/>
      <c r="CC2" s="18"/>
      <c r="CD2" s="21"/>
      <c r="CE2" s="11"/>
      <c r="CF2" s="11"/>
      <c r="CG2" s="11"/>
      <c r="CH2" s="11"/>
      <c r="CI2" s="11"/>
      <c r="CJ2" s="21"/>
      <c r="CK2" s="16"/>
      <c r="CL2" s="11"/>
      <c r="CM2" s="11"/>
      <c r="CN2" s="44"/>
      <c r="CO2" s="44" t="s">
        <v>205</v>
      </c>
      <c r="CP2" s="21"/>
      <c r="CQ2" s="16" t="s">
        <v>205</v>
      </c>
      <c r="CR2" s="16"/>
      <c r="CS2" s="41"/>
      <c r="CT2" s="11"/>
      <c r="CU2" s="11"/>
      <c r="CV2" s="21"/>
      <c r="CW2" s="11"/>
      <c r="CX2" s="11"/>
      <c r="CY2" s="11"/>
      <c r="CZ2" s="1" t="s">
        <v>289</v>
      </c>
      <c r="DA2" s="1" t="s">
        <v>290</v>
      </c>
      <c r="DB2" s="21"/>
      <c r="DC2" s="11"/>
      <c r="DD2" s="11"/>
      <c r="DE2" s="11"/>
      <c r="DF2" s="11"/>
      <c r="DG2" s="11"/>
      <c r="DH2" s="21">
        <f>SUM(DC2:DG2)</f>
        <v>0</v>
      </c>
      <c r="DI2" s="11"/>
      <c r="DJ2" s="11"/>
      <c r="DK2" s="11"/>
      <c r="DL2" s="11"/>
      <c r="DM2" s="11"/>
      <c r="DN2" s="21">
        <f>SUM(DI2:DM2)</f>
        <v>0</v>
      </c>
      <c r="DO2" s="11"/>
      <c r="DP2" s="11"/>
      <c r="DQ2" s="11"/>
      <c r="DR2" s="11"/>
      <c r="DS2" s="11"/>
      <c r="DT2" s="21">
        <f>SUM(DO2:DS2)</f>
        <v>0</v>
      </c>
      <c r="DU2" s="74"/>
      <c r="DV2" s="74"/>
      <c r="DW2" s="74"/>
      <c r="DX2" s="74"/>
      <c r="DY2" s="74"/>
      <c r="DZ2" s="21">
        <f>SUM(DU2:DY2)</f>
        <v>0</v>
      </c>
      <c r="EA2" s="74"/>
      <c r="EB2" s="74"/>
      <c r="EC2" s="74"/>
      <c r="ED2" s="74"/>
      <c r="EE2" s="74"/>
    </row>
    <row r="3" spans="1:135" x14ac:dyDescent="0.25">
      <c r="A3" s="3" t="s">
        <v>0</v>
      </c>
      <c r="B3" s="12">
        <v>2</v>
      </c>
      <c r="C3" s="11"/>
      <c r="D3" s="11"/>
      <c r="E3" s="21"/>
      <c r="F3" s="11"/>
      <c r="G3" s="11"/>
      <c r="H3" s="11"/>
      <c r="I3" s="11"/>
      <c r="J3" s="11"/>
      <c r="K3" s="21"/>
      <c r="L3" s="11"/>
      <c r="M3" s="11"/>
      <c r="N3" s="11"/>
      <c r="O3" s="11"/>
      <c r="P3" s="11"/>
      <c r="Q3" s="21"/>
      <c r="R3" s="11"/>
      <c r="S3" s="11"/>
      <c r="T3" s="11"/>
      <c r="U3" s="11"/>
      <c r="V3" s="11"/>
      <c r="W3" s="11"/>
      <c r="X3" s="21"/>
      <c r="Y3" s="11"/>
      <c r="Z3" s="11"/>
      <c r="AA3" s="11"/>
      <c r="AB3" s="11"/>
      <c r="AC3" s="11"/>
      <c r="AD3" s="21"/>
      <c r="AE3" s="11"/>
      <c r="AF3" s="11"/>
      <c r="AG3" s="11"/>
      <c r="AH3" s="11"/>
      <c r="AI3" s="11"/>
      <c r="AJ3" s="21"/>
      <c r="AK3" s="11"/>
      <c r="AL3" s="11"/>
      <c r="AM3" s="11"/>
      <c r="AN3" s="11"/>
      <c r="AO3" s="11"/>
      <c r="AP3" s="21"/>
      <c r="AQ3" s="11"/>
      <c r="AR3" s="11"/>
      <c r="AS3" s="11"/>
      <c r="AT3" s="11"/>
      <c r="AU3" s="11"/>
      <c r="AV3" s="21"/>
      <c r="AW3" s="11"/>
      <c r="AX3" s="11"/>
      <c r="AY3" s="11"/>
      <c r="AZ3" s="11"/>
      <c r="BA3" s="16"/>
      <c r="BB3" s="21"/>
      <c r="BC3" s="16"/>
      <c r="BD3" s="11"/>
      <c r="BE3" s="11"/>
      <c r="BF3" s="21"/>
      <c r="BG3" s="11"/>
      <c r="BH3" s="11"/>
      <c r="BI3" s="11"/>
      <c r="BJ3" s="11"/>
      <c r="BK3" s="11"/>
      <c r="BL3" s="21"/>
      <c r="BM3" s="11"/>
      <c r="BN3" s="11"/>
      <c r="BO3" s="11"/>
      <c r="BP3" s="11"/>
      <c r="BQ3" s="16"/>
      <c r="BR3" s="21"/>
      <c r="BS3" s="11"/>
      <c r="BT3" s="11"/>
      <c r="BU3" s="11"/>
      <c r="BV3" s="11"/>
      <c r="BW3" s="11"/>
      <c r="BX3" s="21"/>
      <c r="BY3" s="11">
        <v>5</v>
      </c>
      <c r="BZ3" s="11"/>
      <c r="CA3" s="11"/>
      <c r="CB3" s="11">
        <v>32</v>
      </c>
      <c r="CC3" s="11" t="s">
        <v>194</v>
      </c>
      <c r="CD3" s="21">
        <f>SUM(BY3:CC3)</f>
        <v>37</v>
      </c>
      <c r="CE3" s="11"/>
      <c r="CF3" s="11"/>
      <c r="CG3" s="11"/>
      <c r="CH3" s="11"/>
      <c r="CI3" s="11"/>
      <c r="CJ3" s="21">
        <f>SUM(CE3:CI3)</f>
        <v>0</v>
      </c>
      <c r="CK3" s="16"/>
      <c r="CL3" s="11"/>
      <c r="CM3" s="11"/>
      <c r="CN3" s="44"/>
      <c r="CO3" s="44"/>
      <c r="CP3" s="21">
        <f>SUM(CK3:CO3)</f>
        <v>0</v>
      </c>
      <c r="CQ3" s="16"/>
      <c r="CR3" s="16"/>
      <c r="CS3" s="41"/>
      <c r="CT3" s="11"/>
      <c r="CU3" s="11"/>
      <c r="CV3" s="21">
        <f>SUM(CQ3:CU3)</f>
        <v>0</v>
      </c>
      <c r="CW3" s="11"/>
      <c r="CX3" s="11"/>
      <c r="CY3" s="11"/>
      <c r="CZ3" s="11"/>
      <c r="DA3" s="11"/>
      <c r="DB3" s="21">
        <f>SUM(CW3:DA3)</f>
        <v>0</v>
      </c>
      <c r="DC3" s="11"/>
      <c r="DD3" s="11"/>
      <c r="DE3" s="11"/>
      <c r="DF3" s="11"/>
      <c r="DG3" s="11"/>
      <c r="DH3" s="21">
        <f t="shared" ref="DH3:DH7" si="0">SUM(DC3:DG3)</f>
        <v>0</v>
      </c>
      <c r="DI3" s="11"/>
      <c r="DJ3" s="11"/>
      <c r="DK3" s="11"/>
      <c r="DL3" s="11"/>
      <c r="DM3" s="11"/>
      <c r="DN3" s="21">
        <f t="shared" ref="DN3:DN7" si="1">SUM(DI3:DM3)</f>
        <v>0</v>
      </c>
      <c r="DO3" s="11"/>
      <c r="DP3" s="11"/>
      <c r="DQ3" s="11"/>
      <c r="DR3" s="11"/>
      <c r="DS3" s="11"/>
      <c r="DT3" s="21">
        <f t="shared" ref="DT3:DT7" si="2">SUM(DO3:DS3)</f>
        <v>0</v>
      </c>
      <c r="DU3" s="74"/>
      <c r="DV3" s="74"/>
      <c r="DW3" s="74"/>
      <c r="DX3" s="74"/>
      <c r="DY3" s="74"/>
      <c r="DZ3" s="21">
        <f t="shared" ref="DZ3:DZ16" si="3">SUM(DU3:DY3)</f>
        <v>0</v>
      </c>
      <c r="EA3" s="74"/>
      <c r="EB3" s="74"/>
      <c r="EC3" s="74"/>
      <c r="ED3" s="74"/>
      <c r="EE3" s="74"/>
    </row>
    <row r="4" spans="1:135" x14ac:dyDescent="0.25">
      <c r="A4" s="4" t="s">
        <v>100</v>
      </c>
      <c r="B4" s="13">
        <v>3</v>
      </c>
      <c r="C4" s="11"/>
      <c r="D4" s="11"/>
      <c r="E4" s="21"/>
      <c r="F4" s="11"/>
      <c r="G4" s="11"/>
      <c r="H4" s="11"/>
      <c r="I4" s="11"/>
      <c r="J4" s="11"/>
      <c r="K4" s="21"/>
      <c r="L4" s="11"/>
      <c r="M4" s="11"/>
      <c r="N4" s="11"/>
      <c r="O4" s="11"/>
      <c r="P4" s="11"/>
      <c r="Q4" s="21"/>
      <c r="R4" s="11"/>
      <c r="S4" s="11"/>
      <c r="T4" s="11"/>
      <c r="U4" s="11"/>
      <c r="V4" s="11"/>
      <c r="W4" s="11"/>
      <c r="X4" s="21"/>
      <c r="Y4" s="11"/>
      <c r="Z4" s="11"/>
      <c r="AA4" s="11"/>
      <c r="AB4" s="11"/>
      <c r="AC4" s="11"/>
      <c r="AD4" s="21"/>
      <c r="AE4" s="11"/>
      <c r="AF4" s="11"/>
      <c r="AG4" s="11"/>
      <c r="AH4" s="11"/>
      <c r="AI4" s="11"/>
      <c r="AJ4" s="21"/>
      <c r="AK4" s="11"/>
      <c r="AL4" s="11"/>
      <c r="AM4" s="11"/>
      <c r="AN4" s="11"/>
      <c r="AO4" s="11"/>
      <c r="AP4" s="21"/>
      <c r="AQ4" s="11"/>
      <c r="AR4" s="11"/>
      <c r="AS4" s="11"/>
      <c r="AT4" s="11"/>
      <c r="AU4" s="11"/>
      <c r="AV4" s="21"/>
      <c r="AW4" s="11"/>
      <c r="AX4" s="11"/>
      <c r="AY4" s="11"/>
      <c r="AZ4" s="11"/>
      <c r="BA4" s="16"/>
      <c r="BB4" s="21"/>
      <c r="BC4" s="16"/>
      <c r="BD4" s="11"/>
      <c r="BE4" s="11"/>
      <c r="BF4" s="21"/>
      <c r="BG4" s="11"/>
      <c r="BH4" s="11"/>
      <c r="BI4" s="11"/>
      <c r="BJ4" s="11"/>
      <c r="BK4" s="11"/>
      <c r="BL4" s="21"/>
      <c r="BM4" s="11"/>
      <c r="BN4" s="11"/>
      <c r="BO4" s="11"/>
      <c r="BP4" s="11"/>
      <c r="BQ4" s="16"/>
      <c r="BR4" s="21"/>
      <c r="BS4" s="11"/>
      <c r="BT4" s="11"/>
      <c r="BU4" s="11"/>
      <c r="BV4" s="11"/>
      <c r="BW4" s="11"/>
      <c r="BX4" s="21"/>
      <c r="BY4" s="11"/>
      <c r="BZ4" s="11"/>
      <c r="CA4" s="11"/>
      <c r="CB4" s="11"/>
      <c r="CC4" s="11"/>
      <c r="CD4" s="21"/>
      <c r="CE4" s="11"/>
      <c r="CF4" s="11"/>
      <c r="CG4" s="11"/>
      <c r="CH4" s="11"/>
      <c r="CI4" s="11"/>
      <c r="CJ4" s="21"/>
      <c r="CK4" s="16"/>
      <c r="CL4" s="11"/>
      <c r="CM4" s="11"/>
      <c r="CN4" s="44"/>
      <c r="CO4" s="44"/>
      <c r="CP4" s="21"/>
      <c r="CQ4" s="16"/>
      <c r="CR4" s="16"/>
      <c r="CS4" s="41"/>
      <c r="CT4" s="11"/>
      <c r="CU4" s="11"/>
      <c r="CV4" s="21"/>
      <c r="CW4" s="11"/>
      <c r="CX4" s="11"/>
      <c r="CY4" s="11"/>
      <c r="CZ4" s="11"/>
      <c r="DA4" s="11"/>
      <c r="DB4" s="21"/>
      <c r="DC4" s="11"/>
      <c r="DD4" s="11"/>
      <c r="DE4" s="11"/>
      <c r="DF4" s="11"/>
      <c r="DG4" s="11">
        <v>2</v>
      </c>
      <c r="DH4" s="21">
        <f t="shared" si="0"/>
        <v>2</v>
      </c>
      <c r="DI4" s="11"/>
      <c r="DJ4" s="11"/>
      <c r="DK4" s="11"/>
      <c r="DL4" s="11"/>
      <c r="DM4" s="11"/>
      <c r="DN4" s="21">
        <f t="shared" si="1"/>
        <v>0</v>
      </c>
      <c r="DO4" s="11"/>
      <c r="DP4" s="11"/>
      <c r="DQ4" s="11"/>
      <c r="DR4" s="11"/>
      <c r="DS4" s="11"/>
      <c r="DT4" s="21">
        <f t="shared" si="2"/>
        <v>0</v>
      </c>
      <c r="DU4" s="74"/>
      <c r="DV4" s="74"/>
      <c r="DW4" s="74"/>
      <c r="DX4" s="74"/>
      <c r="DY4" s="74"/>
      <c r="DZ4" s="21">
        <f t="shared" si="3"/>
        <v>0</v>
      </c>
      <c r="EA4" s="74"/>
      <c r="EB4" s="74"/>
      <c r="EC4" s="74"/>
      <c r="ED4" s="74"/>
      <c r="EE4" s="74"/>
    </row>
    <row r="5" spans="1:135" x14ac:dyDescent="0.25">
      <c r="A5" s="4" t="s">
        <v>99</v>
      </c>
      <c r="B5" s="12">
        <v>4</v>
      </c>
      <c r="C5" s="11"/>
      <c r="D5" s="11"/>
      <c r="E5" s="21"/>
      <c r="F5" s="11"/>
      <c r="G5" s="11"/>
      <c r="H5" s="11"/>
      <c r="I5" s="11"/>
      <c r="J5" s="11"/>
      <c r="K5" s="21"/>
      <c r="L5" s="11"/>
      <c r="M5" s="11"/>
      <c r="N5" s="11"/>
      <c r="O5" s="11"/>
      <c r="P5" s="11"/>
      <c r="Q5" s="21"/>
      <c r="R5" s="11"/>
      <c r="S5" s="11"/>
      <c r="T5" s="11"/>
      <c r="U5" s="11"/>
      <c r="V5" s="11"/>
      <c r="W5" s="11"/>
      <c r="X5" s="21"/>
      <c r="Y5" s="11"/>
      <c r="Z5" s="11"/>
      <c r="AA5" s="11"/>
      <c r="AB5" s="11"/>
      <c r="AC5" s="11"/>
      <c r="AD5" s="21"/>
      <c r="AE5" s="11"/>
      <c r="AF5" s="11"/>
      <c r="AG5" s="11"/>
      <c r="AH5" s="11"/>
      <c r="AI5" s="11"/>
      <c r="AJ5" s="21"/>
      <c r="AK5" s="11"/>
      <c r="AL5" s="11"/>
      <c r="AM5" s="11"/>
      <c r="AN5" s="11"/>
      <c r="AO5" s="11"/>
      <c r="AP5" s="21"/>
      <c r="AQ5" s="11"/>
      <c r="AR5" s="11"/>
      <c r="AS5" s="11"/>
      <c r="AT5" s="11"/>
      <c r="AU5" s="11"/>
      <c r="AV5" s="21"/>
      <c r="AW5" s="11"/>
      <c r="AX5" s="11"/>
      <c r="AY5" s="11"/>
      <c r="AZ5" s="11"/>
      <c r="BA5" s="16"/>
      <c r="BB5" s="21"/>
      <c r="BC5" s="16"/>
      <c r="BD5" s="11"/>
      <c r="BE5" s="11"/>
      <c r="BF5" s="21"/>
      <c r="BG5" s="11"/>
      <c r="BH5" s="11"/>
      <c r="BI5" s="11"/>
      <c r="BJ5" s="11"/>
      <c r="BK5" s="11"/>
      <c r="BL5" s="21"/>
      <c r="BM5" s="11"/>
      <c r="BN5" s="11"/>
      <c r="BO5" s="11"/>
      <c r="BP5" s="11"/>
      <c r="BQ5" s="16"/>
      <c r="BR5" s="21"/>
      <c r="BS5" s="11"/>
      <c r="BT5" s="11"/>
      <c r="BU5" s="11"/>
      <c r="BV5" s="11"/>
      <c r="BW5" s="11"/>
      <c r="BX5" s="21"/>
      <c r="BY5" s="11"/>
      <c r="BZ5" s="11"/>
      <c r="CA5" s="11"/>
      <c r="CB5" s="11"/>
      <c r="CC5" s="11"/>
      <c r="CD5" s="21"/>
      <c r="CE5" s="11"/>
      <c r="CF5" s="11"/>
      <c r="CG5" s="11"/>
      <c r="CH5" s="11"/>
      <c r="CI5" s="11"/>
      <c r="CJ5" s="21"/>
      <c r="CK5" s="16"/>
      <c r="CL5" s="11"/>
      <c r="CM5" s="11"/>
      <c r="CN5" s="44">
        <v>7</v>
      </c>
      <c r="CO5" s="44"/>
      <c r="CP5" s="21"/>
      <c r="CQ5" s="16"/>
      <c r="CR5" s="16"/>
      <c r="CS5" s="11">
        <v>1</v>
      </c>
      <c r="CT5" s="11"/>
      <c r="CU5" s="11"/>
      <c r="CV5" s="21"/>
      <c r="CW5" s="11"/>
      <c r="CX5" s="11"/>
      <c r="CY5" s="11"/>
      <c r="CZ5" s="11"/>
      <c r="DA5" s="11"/>
      <c r="DB5" s="21"/>
      <c r="DC5" s="11"/>
      <c r="DD5" s="11"/>
      <c r="DE5" s="11"/>
      <c r="DF5" s="11">
        <v>1</v>
      </c>
      <c r="DG5" s="11"/>
      <c r="DH5" s="21">
        <f t="shared" si="0"/>
        <v>1</v>
      </c>
      <c r="DI5" s="11"/>
      <c r="DJ5" s="11"/>
      <c r="DK5" s="11"/>
      <c r="DL5" s="11"/>
      <c r="DM5" s="11"/>
      <c r="DN5" s="21">
        <f t="shared" si="1"/>
        <v>0</v>
      </c>
      <c r="DO5" s="11"/>
      <c r="DP5" s="11"/>
      <c r="DQ5" s="11"/>
      <c r="DR5" s="11"/>
      <c r="DS5" s="11"/>
      <c r="DT5" s="21">
        <f t="shared" si="2"/>
        <v>0</v>
      </c>
      <c r="DU5" s="74"/>
      <c r="DV5" s="74"/>
      <c r="DW5" s="74"/>
      <c r="DX5" s="74"/>
      <c r="DY5" s="74"/>
      <c r="DZ5" s="21">
        <f t="shared" si="3"/>
        <v>0</v>
      </c>
      <c r="EA5" s="74"/>
      <c r="EB5" s="74"/>
      <c r="EC5" s="74"/>
      <c r="ED5" s="74"/>
      <c r="EE5" s="74"/>
    </row>
    <row r="6" spans="1:135" x14ac:dyDescent="0.25">
      <c r="A6" s="4" t="s">
        <v>1</v>
      </c>
      <c r="B6" s="12">
        <v>5</v>
      </c>
      <c r="C6" s="11"/>
      <c r="D6" s="11"/>
      <c r="E6" s="21"/>
      <c r="F6" s="11"/>
      <c r="G6" s="11"/>
      <c r="H6" s="11"/>
      <c r="I6" s="11"/>
      <c r="J6" s="11"/>
      <c r="K6" s="21"/>
      <c r="L6" s="11"/>
      <c r="M6" s="11"/>
      <c r="N6" s="11"/>
      <c r="O6" s="11"/>
      <c r="P6" s="11"/>
      <c r="Q6" s="21"/>
      <c r="R6" s="11"/>
      <c r="S6" s="11"/>
      <c r="T6" s="11"/>
      <c r="U6" s="11"/>
      <c r="V6" s="11"/>
      <c r="W6" s="11"/>
      <c r="X6" s="21"/>
      <c r="Y6" s="11"/>
      <c r="Z6" s="11"/>
      <c r="AA6" s="11"/>
      <c r="AB6" s="11"/>
      <c r="AC6" s="11"/>
      <c r="AD6" s="21"/>
      <c r="AE6" s="11"/>
      <c r="AF6" s="11"/>
      <c r="AG6" s="11"/>
      <c r="AH6" s="11"/>
      <c r="AI6" s="11"/>
      <c r="AJ6" s="21"/>
      <c r="AK6" s="11"/>
      <c r="AL6" s="11"/>
      <c r="AM6" s="11"/>
      <c r="AN6" s="11"/>
      <c r="AO6" s="11"/>
      <c r="AP6" s="21"/>
      <c r="AQ6" s="11"/>
      <c r="AR6" s="11"/>
      <c r="AS6" s="11"/>
      <c r="AT6" s="11"/>
      <c r="AU6" s="11"/>
      <c r="AV6" s="21"/>
      <c r="AW6" s="11"/>
      <c r="AX6" s="11"/>
      <c r="AY6" s="11"/>
      <c r="AZ6" s="11"/>
      <c r="BA6" s="16"/>
      <c r="BB6" s="21"/>
      <c r="BC6" s="16"/>
      <c r="BD6" s="11"/>
      <c r="BE6" s="11"/>
      <c r="BF6" s="21"/>
      <c r="BG6" s="11"/>
      <c r="BH6" s="11"/>
      <c r="BI6" s="11"/>
      <c r="BJ6" s="11"/>
      <c r="BK6" s="11"/>
      <c r="BL6" s="21"/>
      <c r="BM6" s="11"/>
      <c r="BN6" s="11"/>
      <c r="BO6" s="11"/>
      <c r="BP6" s="11"/>
      <c r="BQ6" s="16"/>
      <c r="BR6" s="21"/>
      <c r="BS6" s="11"/>
      <c r="BT6" s="11"/>
      <c r="BU6" s="11"/>
      <c r="BV6" s="11"/>
      <c r="BW6" s="11"/>
      <c r="BX6" s="21"/>
      <c r="BY6" s="11"/>
      <c r="BZ6" s="11"/>
      <c r="CA6" s="11"/>
      <c r="CB6" s="11"/>
      <c r="CC6" s="11"/>
      <c r="CD6" s="21"/>
      <c r="CE6" s="11"/>
      <c r="CF6" s="11"/>
      <c r="CG6" s="11"/>
      <c r="CH6" s="11"/>
      <c r="CI6" s="11"/>
      <c r="CJ6" s="21"/>
      <c r="CK6" s="16"/>
      <c r="CL6" s="11"/>
      <c r="CM6" s="11"/>
      <c r="CN6" s="44"/>
      <c r="CO6" s="44"/>
      <c r="CP6" s="21"/>
      <c r="CQ6" s="16"/>
      <c r="CR6" s="16"/>
      <c r="CS6" s="11"/>
      <c r="CT6" s="11"/>
      <c r="CU6" s="11"/>
      <c r="CV6" s="21"/>
      <c r="CW6" s="11"/>
      <c r="CX6" s="11"/>
      <c r="CY6" s="11"/>
      <c r="CZ6" s="11"/>
      <c r="DA6" s="11"/>
      <c r="DB6" s="21"/>
      <c r="DC6" s="11"/>
      <c r="DD6" s="11"/>
      <c r="DE6" s="11"/>
      <c r="DF6" s="11"/>
      <c r="DG6" s="11"/>
      <c r="DH6" s="21">
        <f t="shared" si="0"/>
        <v>0</v>
      </c>
      <c r="DI6" s="11"/>
      <c r="DJ6" s="11"/>
      <c r="DK6" s="11"/>
      <c r="DL6" s="11"/>
      <c r="DM6" s="11"/>
      <c r="DN6" s="21">
        <f t="shared" si="1"/>
        <v>0</v>
      </c>
      <c r="DO6" s="11"/>
      <c r="DP6" s="11"/>
      <c r="DQ6" s="11"/>
      <c r="DR6" s="11"/>
      <c r="DS6" s="11"/>
      <c r="DT6" s="21">
        <f t="shared" si="2"/>
        <v>0</v>
      </c>
      <c r="DU6" s="74"/>
      <c r="DV6" s="74"/>
      <c r="DW6" s="74"/>
      <c r="DX6" s="74"/>
      <c r="DY6" s="74"/>
      <c r="DZ6" s="21">
        <f t="shared" si="3"/>
        <v>0</v>
      </c>
      <c r="EA6" s="74"/>
      <c r="EB6" s="74"/>
      <c r="EC6" s="74"/>
      <c r="ED6" s="74"/>
      <c r="EE6" s="74"/>
    </row>
    <row r="7" spans="1:135" x14ac:dyDescent="0.25">
      <c r="A7" s="4" t="s">
        <v>2</v>
      </c>
      <c r="B7" s="13">
        <v>6</v>
      </c>
      <c r="C7" s="11"/>
      <c r="D7" s="11"/>
      <c r="E7" s="21"/>
      <c r="F7" s="11"/>
      <c r="G7" s="11"/>
      <c r="H7" s="11"/>
      <c r="I7" s="11"/>
      <c r="J7" s="11"/>
      <c r="K7" s="21"/>
      <c r="L7" s="11"/>
      <c r="M7" s="11"/>
      <c r="N7" s="11"/>
      <c r="O7" s="11"/>
      <c r="P7" s="11"/>
      <c r="Q7" s="21"/>
      <c r="R7" s="11"/>
      <c r="S7" s="11"/>
      <c r="T7" s="11"/>
      <c r="U7" s="11"/>
      <c r="V7" s="11"/>
      <c r="W7" s="11"/>
      <c r="X7" s="21"/>
      <c r="Y7" s="11"/>
      <c r="Z7" s="11"/>
      <c r="AA7" s="11"/>
      <c r="AB7" s="11"/>
      <c r="AC7" s="11"/>
      <c r="AD7" s="21"/>
      <c r="AE7" s="11"/>
      <c r="AF7" s="11"/>
      <c r="AG7" s="11"/>
      <c r="AH7" s="11"/>
      <c r="AI7" s="11"/>
      <c r="AJ7" s="21"/>
      <c r="AK7" s="11"/>
      <c r="AL7" s="11"/>
      <c r="AM7" s="11"/>
      <c r="AN7" s="11"/>
      <c r="AO7" s="11"/>
      <c r="AP7" s="21"/>
      <c r="AQ7" s="11"/>
      <c r="AR7" s="11"/>
      <c r="AS7" s="11"/>
      <c r="AT7" s="11"/>
      <c r="AU7" s="11"/>
      <c r="AV7" s="21"/>
      <c r="AW7" s="11"/>
      <c r="AX7" s="11"/>
      <c r="AY7" s="11"/>
      <c r="AZ7" s="11"/>
      <c r="BA7" s="16"/>
      <c r="BB7" s="21"/>
      <c r="BC7" s="16"/>
      <c r="BD7" s="11"/>
      <c r="BE7" s="11"/>
      <c r="BF7" s="21"/>
      <c r="BG7" s="11"/>
      <c r="BH7" s="11"/>
      <c r="BI7" s="11"/>
      <c r="BJ7" s="11"/>
      <c r="BK7" s="11"/>
      <c r="BL7" s="21"/>
      <c r="BM7" s="11"/>
      <c r="BN7" s="11"/>
      <c r="BO7" s="11"/>
      <c r="BP7" s="11"/>
      <c r="BQ7" s="16"/>
      <c r="BR7" s="21"/>
      <c r="BS7" s="11"/>
      <c r="BT7" s="11"/>
      <c r="BU7" s="11"/>
      <c r="BV7" s="11"/>
      <c r="BW7" s="11"/>
      <c r="BX7" s="21"/>
      <c r="BY7" s="11"/>
      <c r="BZ7" s="11"/>
      <c r="CA7" s="11"/>
      <c r="CB7" s="11"/>
      <c r="CC7" s="11"/>
      <c r="CD7" s="21"/>
      <c r="CE7" s="11"/>
      <c r="CF7" s="11"/>
      <c r="CG7" s="11"/>
      <c r="CH7" s="11">
        <v>14</v>
      </c>
      <c r="CI7" s="11"/>
      <c r="CJ7" s="21">
        <f>SUM(CE7:CI7)</f>
        <v>14</v>
      </c>
      <c r="CK7" s="16"/>
      <c r="CL7" s="11"/>
      <c r="CM7" s="11"/>
      <c r="CN7" s="44"/>
      <c r="CO7" s="44"/>
      <c r="CP7" s="21">
        <f>SUM(CK7:CO7)</f>
        <v>0</v>
      </c>
      <c r="CQ7" s="16"/>
      <c r="CR7" s="16"/>
      <c r="CS7" s="11"/>
      <c r="CT7" s="11"/>
      <c r="CU7" s="11"/>
      <c r="CV7" s="21">
        <f>SUM(CQ7:CU7)</f>
        <v>0</v>
      </c>
      <c r="CW7" s="11"/>
      <c r="CX7" s="11"/>
      <c r="CY7" s="11"/>
      <c r="CZ7" s="11"/>
      <c r="DA7" s="11"/>
      <c r="DB7" s="21">
        <f>SUM(CW7:DA7)</f>
        <v>0</v>
      </c>
      <c r="DC7" s="11"/>
      <c r="DD7" s="11"/>
      <c r="DE7" s="11"/>
      <c r="DF7" s="11"/>
      <c r="DG7" s="11"/>
      <c r="DH7" s="21">
        <f t="shared" si="0"/>
        <v>0</v>
      </c>
      <c r="DI7" s="11"/>
      <c r="DJ7" s="11"/>
      <c r="DK7" s="11"/>
      <c r="DL7" s="11"/>
      <c r="DM7" s="11"/>
      <c r="DN7" s="21">
        <f t="shared" si="1"/>
        <v>0</v>
      </c>
      <c r="DO7" s="11"/>
      <c r="DP7" s="11"/>
      <c r="DQ7" s="11"/>
      <c r="DR7" s="11"/>
      <c r="DS7" s="11"/>
      <c r="DT7" s="21">
        <f t="shared" si="2"/>
        <v>0</v>
      </c>
      <c r="DU7" s="74"/>
      <c r="DV7" s="74"/>
      <c r="DW7" s="74"/>
      <c r="DX7" s="74"/>
      <c r="DY7" s="74"/>
      <c r="DZ7" s="21">
        <f t="shared" si="3"/>
        <v>0</v>
      </c>
      <c r="EA7" s="74"/>
      <c r="EB7" s="74"/>
      <c r="EC7" s="74"/>
      <c r="ED7" s="74"/>
      <c r="EE7" s="74"/>
    </row>
    <row r="8" spans="1:135" x14ac:dyDescent="0.25">
      <c r="A8" s="4" t="s">
        <v>3</v>
      </c>
      <c r="B8" s="12">
        <v>7</v>
      </c>
      <c r="C8" s="11"/>
      <c r="D8" s="11"/>
      <c r="E8" s="21"/>
      <c r="F8" s="11"/>
      <c r="G8" s="11"/>
      <c r="H8" s="11"/>
      <c r="I8" s="11"/>
      <c r="J8" s="11"/>
      <c r="K8" s="21"/>
      <c r="L8" s="11"/>
      <c r="M8" s="11"/>
      <c r="N8" s="11"/>
      <c r="O8" s="11"/>
      <c r="P8" s="11"/>
      <c r="Q8" s="21"/>
      <c r="R8" s="11"/>
      <c r="S8" s="11"/>
      <c r="T8" s="11"/>
      <c r="U8" s="11">
        <v>25</v>
      </c>
      <c r="V8" s="11"/>
      <c r="W8" s="11"/>
      <c r="X8" s="21">
        <f>SUM(R8:W8)</f>
        <v>25</v>
      </c>
      <c r="Y8" s="11"/>
      <c r="Z8" s="11"/>
      <c r="AA8" s="11"/>
      <c r="AB8" s="11"/>
      <c r="AC8" s="11"/>
      <c r="AD8" s="21"/>
      <c r="AE8" s="11"/>
      <c r="AF8" s="11"/>
      <c r="AG8" s="11"/>
      <c r="AH8" s="11"/>
      <c r="AI8" s="11"/>
      <c r="AJ8" s="21"/>
      <c r="AK8" s="11"/>
      <c r="AL8" s="11"/>
      <c r="AM8" s="11"/>
      <c r="AN8" s="11"/>
      <c r="AO8" s="11"/>
      <c r="AP8" s="21"/>
      <c r="AQ8" s="11"/>
      <c r="AR8" s="11"/>
      <c r="AS8" s="11"/>
      <c r="AT8" s="11">
        <v>4</v>
      </c>
      <c r="AU8" s="11"/>
      <c r="AV8" s="21">
        <f>SUM(AQ8:AU8)</f>
        <v>4</v>
      </c>
      <c r="AW8" s="11">
        <v>15</v>
      </c>
      <c r="AX8" s="11">
        <v>22</v>
      </c>
      <c r="AY8" s="11">
        <v>24</v>
      </c>
      <c r="AZ8" s="11">
        <v>30</v>
      </c>
      <c r="BA8" s="16"/>
      <c r="BB8" s="21">
        <f>SUM(AW8:BA8)</f>
        <v>91</v>
      </c>
      <c r="BC8" s="16">
        <v>12</v>
      </c>
      <c r="BD8" s="11">
        <v>28</v>
      </c>
      <c r="BE8" s="11">
        <v>20</v>
      </c>
      <c r="BF8" s="21">
        <f>SUM(BC8:BE8)</f>
        <v>60</v>
      </c>
      <c r="BG8" s="11">
        <v>79</v>
      </c>
      <c r="BH8" s="11"/>
      <c r="BI8" s="11"/>
      <c r="BJ8" s="11"/>
      <c r="BK8" s="11"/>
      <c r="BL8" s="21">
        <f>SUM(BG8:BK8)</f>
        <v>79</v>
      </c>
      <c r="BM8" s="11"/>
      <c r="BN8" s="11">
        <v>15</v>
      </c>
      <c r="BO8" s="11">
        <v>39</v>
      </c>
      <c r="BP8" s="11">
        <v>42</v>
      </c>
      <c r="BQ8" s="16">
        <v>29</v>
      </c>
      <c r="BR8" s="21"/>
      <c r="BS8" s="11"/>
      <c r="BT8" s="11">
        <v>54</v>
      </c>
      <c r="BU8" s="11"/>
      <c r="BV8" s="11"/>
      <c r="BW8" s="11"/>
      <c r="BX8" s="21">
        <f>SUM(BS8:BW8)</f>
        <v>54</v>
      </c>
      <c r="BY8" s="11"/>
      <c r="BZ8" s="11"/>
      <c r="CA8" s="11"/>
      <c r="CB8" s="11"/>
      <c r="CC8" s="11"/>
      <c r="CD8" s="21">
        <f>SUM(BY8:CC8)</f>
        <v>0</v>
      </c>
      <c r="CE8" s="11"/>
      <c r="CF8" s="11"/>
      <c r="CG8" s="11"/>
      <c r="CH8" s="11"/>
      <c r="CI8" s="11"/>
      <c r="CJ8" s="21">
        <f>SUM(CE8:CI8)</f>
        <v>0</v>
      </c>
      <c r="CK8" s="16"/>
      <c r="CL8" s="11"/>
      <c r="CM8" s="11"/>
      <c r="CN8" s="44"/>
      <c r="CO8" s="44"/>
      <c r="CP8" s="21">
        <f>SUM(CK8:CO8)</f>
        <v>0</v>
      </c>
      <c r="CQ8" s="16"/>
      <c r="CR8" s="16">
        <v>27</v>
      </c>
      <c r="CS8" s="11"/>
      <c r="CT8" s="11"/>
      <c r="CU8" s="11"/>
      <c r="CV8" s="21">
        <f>SUM(CQ8:CU8)</f>
        <v>27</v>
      </c>
      <c r="CW8" s="11"/>
      <c r="CX8" s="11">
        <v>9</v>
      </c>
      <c r="CY8" s="11"/>
      <c r="CZ8" s="11"/>
      <c r="DA8" s="11"/>
      <c r="DB8" s="21">
        <f>SUM(CW8:DA8)</f>
        <v>9</v>
      </c>
      <c r="DC8" s="11"/>
      <c r="DD8" s="11"/>
      <c r="DE8" s="11"/>
      <c r="DF8" s="11"/>
      <c r="DG8" s="11"/>
      <c r="DH8" s="21">
        <f>SUM(DC8:DG8)</f>
        <v>0</v>
      </c>
      <c r="DI8" s="11"/>
      <c r="DJ8" s="11"/>
      <c r="DK8" s="11"/>
      <c r="DL8" s="11"/>
      <c r="DM8" s="11"/>
      <c r="DN8" s="21">
        <f>SUM(DI8:DM8)</f>
        <v>0</v>
      </c>
      <c r="DO8" s="11"/>
      <c r="DP8" s="11"/>
      <c r="DQ8" s="11"/>
      <c r="DR8" s="11">
        <v>5</v>
      </c>
      <c r="DS8" s="11"/>
      <c r="DT8" s="21">
        <f>SUM(DO8:DS8)</f>
        <v>5</v>
      </c>
      <c r="DU8" s="74"/>
      <c r="DV8" s="74"/>
      <c r="DW8" s="74">
        <v>6</v>
      </c>
      <c r="DX8" s="74">
        <v>7</v>
      </c>
      <c r="DY8" s="74">
        <v>18</v>
      </c>
      <c r="DZ8" s="21">
        <f t="shared" si="3"/>
        <v>31</v>
      </c>
      <c r="EA8" s="74"/>
      <c r="EB8" s="74"/>
      <c r="EC8" s="74"/>
      <c r="ED8" s="74"/>
      <c r="EE8" s="74"/>
    </row>
    <row r="9" spans="1:135" x14ac:dyDescent="0.25">
      <c r="A9" s="4" t="s">
        <v>21</v>
      </c>
      <c r="B9" s="12">
        <v>8</v>
      </c>
      <c r="C9" s="11"/>
      <c r="D9" s="11"/>
      <c r="E9" s="21"/>
      <c r="F9" s="11"/>
      <c r="G9" s="11"/>
      <c r="H9" s="11"/>
      <c r="I9" s="11"/>
      <c r="J9" s="11"/>
      <c r="K9" s="21"/>
      <c r="L9" s="11"/>
      <c r="M9" s="11"/>
      <c r="N9" s="11"/>
      <c r="O9" s="11"/>
      <c r="P9" s="11"/>
      <c r="Q9" s="21"/>
      <c r="R9" s="11"/>
      <c r="S9" s="11"/>
      <c r="T9" s="11"/>
      <c r="U9" s="11"/>
      <c r="V9" s="11"/>
      <c r="W9" s="11"/>
      <c r="X9" s="21"/>
      <c r="Y9" s="11"/>
      <c r="Z9" s="11"/>
      <c r="AA9" s="11"/>
      <c r="AB9" s="11"/>
      <c r="AC9" s="11"/>
      <c r="AD9" s="21"/>
      <c r="AE9" s="11"/>
      <c r="AF9" s="11"/>
      <c r="AG9" s="11"/>
      <c r="AH9" s="11"/>
      <c r="AI9" s="11"/>
      <c r="AJ9" s="21"/>
      <c r="AK9" s="11"/>
      <c r="AL9" s="11"/>
      <c r="AM9" s="11"/>
      <c r="AN9" s="11"/>
      <c r="AO9" s="11"/>
      <c r="AP9" s="21"/>
      <c r="AQ9" s="11"/>
      <c r="AR9" s="11"/>
      <c r="AS9" s="11"/>
      <c r="AT9" s="11"/>
      <c r="AU9" s="11"/>
      <c r="AV9" s="21"/>
      <c r="AW9" s="11">
        <v>7</v>
      </c>
      <c r="AX9" s="11">
        <v>6</v>
      </c>
      <c r="AY9" s="11">
        <v>7</v>
      </c>
      <c r="AZ9" s="11">
        <v>10</v>
      </c>
      <c r="BA9" s="16">
        <v>5</v>
      </c>
      <c r="BB9" s="21">
        <f>SUM(AW9:BA9)</f>
        <v>35</v>
      </c>
      <c r="BC9" s="16">
        <v>5</v>
      </c>
      <c r="BD9" s="11">
        <v>10</v>
      </c>
      <c r="BE9" s="11">
        <v>10</v>
      </c>
      <c r="BF9" s="21">
        <f>SUM(BC9:BE9)</f>
        <v>25</v>
      </c>
      <c r="BG9" s="11">
        <v>25</v>
      </c>
      <c r="BH9" s="11">
        <v>14</v>
      </c>
      <c r="BI9" s="11">
        <v>10</v>
      </c>
      <c r="BJ9" s="11"/>
      <c r="BK9" s="11"/>
      <c r="BL9" s="21">
        <f t="shared" ref="BL9" si="4">SUM(BG9:BK9)</f>
        <v>49</v>
      </c>
      <c r="BM9" s="11"/>
      <c r="BN9" s="11">
        <v>5</v>
      </c>
      <c r="BO9" s="11">
        <v>15</v>
      </c>
      <c r="BP9" s="11">
        <v>16</v>
      </c>
      <c r="BQ9" s="16">
        <v>12</v>
      </c>
      <c r="BR9" s="21">
        <f>SUM(BM9:BQ9)</f>
        <v>48</v>
      </c>
      <c r="BS9" s="11">
        <v>17</v>
      </c>
      <c r="BT9" s="11">
        <v>13</v>
      </c>
      <c r="BU9" s="11"/>
      <c r="BV9" s="11"/>
      <c r="BW9" s="11"/>
      <c r="BX9" s="21">
        <f>SUM(BS9:BW9)</f>
        <v>30</v>
      </c>
      <c r="BY9" s="11"/>
      <c r="BZ9" s="11"/>
      <c r="CA9" s="11"/>
      <c r="CB9" s="11"/>
      <c r="CC9" s="11"/>
      <c r="CD9" s="21">
        <f>SUM(BY9:CC9)</f>
        <v>0</v>
      </c>
      <c r="CE9" s="11"/>
      <c r="CF9" s="11"/>
      <c r="CG9" s="11"/>
      <c r="CH9" s="11"/>
      <c r="CI9" s="11">
        <v>12</v>
      </c>
      <c r="CJ9" s="21">
        <f>SUM(CE9:CI9)</f>
        <v>12</v>
      </c>
      <c r="CK9" s="16"/>
      <c r="CL9" s="11">
        <v>10</v>
      </c>
      <c r="CM9" s="11"/>
      <c r="CN9" s="44"/>
      <c r="CO9" s="44"/>
      <c r="CP9" s="21">
        <f>SUM(CK9:CO9)</f>
        <v>10</v>
      </c>
      <c r="CQ9" s="16"/>
      <c r="CR9" s="16"/>
      <c r="CS9" s="11"/>
      <c r="CT9" s="11"/>
      <c r="CU9" s="11"/>
      <c r="CV9" s="21">
        <f>SUM(CQ9:CU9)</f>
        <v>0</v>
      </c>
      <c r="CW9" s="11"/>
      <c r="CX9" s="11">
        <v>6</v>
      </c>
      <c r="CY9" s="11"/>
      <c r="CZ9" s="11"/>
      <c r="DA9" s="11"/>
      <c r="DB9" s="21">
        <f>SUM(CW9:DA9)</f>
        <v>6</v>
      </c>
      <c r="DC9" s="11"/>
      <c r="DD9" s="11"/>
      <c r="DE9" s="11"/>
      <c r="DF9" s="11"/>
      <c r="DG9" s="11"/>
      <c r="DH9" s="21">
        <f>SUM(DC9:DG9)</f>
        <v>0</v>
      </c>
      <c r="DI9" s="11"/>
      <c r="DJ9" s="11"/>
      <c r="DK9" s="11"/>
      <c r="DL9" s="11"/>
      <c r="DM9" s="11"/>
      <c r="DN9" s="21">
        <f>SUM(DI9:DM9)</f>
        <v>0</v>
      </c>
      <c r="DO9" s="11"/>
      <c r="DP9" s="11"/>
      <c r="DQ9" s="11"/>
      <c r="DR9" s="11"/>
      <c r="DS9" s="11"/>
      <c r="DT9" s="21">
        <f>SUM(DO9:DS9)</f>
        <v>0</v>
      </c>
      <c r="DU9" s="74"/>
      <c r="DV9" s="74"/>
      <c r="DW9" s="74"/>
      <c r="DX9" s="74"/>
      <c r="DY9" s="74"/>
      <c r="DZ9" s="21">
        <f t="shared" si="3"/>
        <v>0</v>
      </c>
      <c r="EA9" s="74"/>
      <c r="EB9" s="74"/>
      <c r="EC9" s="74"/>
      <c r="ED9" s="74"/>
      <c r="EE9" s="74"/>
    </row>
    <row r="10" spans="1:135" x14ac:dyDescent="0.25">
      <c r="A10" s="3" t="s">
        <v>13</v>
      </c>
      <c r="B10" s="13">
        <v>9</v>
      </c>
      <c r="C10" s="11"/>
      <c r="D10" s="11"/>
      <c r="E10" s="21"/>
      <c r="F10" s="11"/>
      <c r="G10" s="11"/>
      <c r="H10" s="11"/>
      <c r="I10" s="11"/>
      <c r="J10" s="11"/>
      <c r="K10" s="21"/>
      <c r="L10" s="11"/>
      <c r="M10" s="11"/>
      <c r="N10" s="11"/>
      <c r="O10" s="11"/>
      <c r="P10" s="11"/>
      <c r="Q10" s="21"/>
      <c r="R10" s="11"/>
      <c r="S10" s="11"/>
      <c r="T10" s="11"/>
      <c r="U10" s="11"/>
      <c r="V10" s="11"/>
      <c r="W10" s="11"/>
      <c r="X10" s="21"/>
      <c r="Y10" s="11"/>
      <c r="Z10" s="11"/>
      <c r="AA10" s="11"/>
      <c r="AB10" s="11"/>
      <c r="AC10" s="11"/>
      <c r="AD10" s="21"/>
      <c r="AE10" s="11"/>
      <c r="AF10" s="11"/>
      <c r="AG10" s="11"/>
      <c r="AH10" s="11"/>
      <c r="AI10" s="11"/>
      <c r="AJ10" s="21"/>
      <c r="AK10" s="11"/>
      <c r="AL10" s="11"/>
      <c r="AM10" s="11"/>
      <c r="AN10" s="11"/>
      <c r="AO10" s="11"/>
      <c r="AP10" s="21"/>
      <c r="AQ10" s="11"/>
      <c r="AR10" s="11"/>
      <c r="AS10" s="11"/>
      <c r="AT10" s="11">
        <v>5</v>
      </c>
      <c r="AU10" s="11"/>
      <c r="AV10" s="21">
        <f>SUM(AQ10:AU10)</f>
        <v>5</v>
      </c>
      <c r="AW10" s="11">
        <v>7</v>
      </c>
      <c r="AX10" s="11">
        <v>6</v>
      </c>
      <c r="AY10" s="11">
        <v>7</v>
      </c>
      <c r="AZ10" s="11">
        <v>10</v>
      </c>
      <c r="BA10" s="16">
        <v>5</v>
      </c>
      <c r="BB10" s="21">
        <f>SUM(AW10:BA10)</f>
        <v>35</v>
      </c>
      <c r="BC10" s="16">
        <v>5</v>
      </c>
      <c r="BD10" s="11">
        <v>10</v>
      </c>
      <c r="BE10" s="11">
        <v>10</v>
      </c>
      <c r="BF10" s="21">
        <f>SUM(BC10:BE10)</f>
        <v>25</v>
      </c>
      <c r="BG10" s="11">
        <v>25</v>
      </c>
      <c r="BH10" s="11">
        <v>20</v>
      </c>
      <c r="BI10" s="11">
        <v>10</v>
      </c>
      <c r="BJ10" s="11"/>
      <c r="BK10" s="11"/>
      <c r="BL10" s="21">
        <f>SUM(BG10:BK10)</f>
        <v>55</v>
      </c>
      <c r="BM10" s="11"/>
      <c r="BN10" s="11">
        <v>5</v>
      </c>
      <c r="BO10" s="11">
        <v>20</v>
      </c>
      <c r="BP10" s="11">
        <v>30</v>
      </c>
      <c r="BQ10" s="16">
        <v>22</v>
      </c>
      <c r="BR10" s="21">
        <f>SUM(BM10:BQ10)</f>
        <v>77</v>
      </c>
      <c r="BS10" s="11">
        <v>24</v>
      </c>
      <c r="BT10" s="11">
        <v>21</v>
      </c>
      <c r="BU10" s="11"/>
      <c r="BV10" s="11"/>
      <c r="BW10" s="11"/>
      <c r="BX10" s="21">
        <v>17</v>
      </c>
      <c r="BY10" s="11"/>
      <c r="BZ10" s="11"/>
      <c r="CA10" s="11"/>
      <c r="CB10" s="11"/>
      <c r="CC10" s="11"/>
      <c r="CD10" s="21">
        <f>SUM(BY10:CC10)</f>
        <v>0</v>
      </c>
      <c r="CE10" s="11"/>
      <c r="CF10" s="11"/>
      <c r="CG10" s="11"/>
      <c r="CH10" s="11"/>
      <c r="CI10" s="11">
        <v>55</v>
      </c>
      <c r="CJ10" s="21">
        <f>SUM(CE10:CI10)</f>
        <v>55</v>
      </c>
      <c r="CK10" s="16"/>
      <c r="CL10" s="11">
        <v>15</v>
      </c>
      <c r="CM10" s="11"/>
      <c r="CN10" s="44"/>
      <c r="CO10" s="44"/>
      <c r="CP10" s="21">
        <f>SUM(CK10:CO10)</f>
        <v>15</v>
      </c>
      <c r="CQ10" s="16"/>
      <c r="CR10" s="16"/>
      <c r="CS10" s="11"/>
      <c r="CT10" s="11"/>
      <c r="CU10" s="11"/>
      <c r="CV10" s="21">
        <f>SUM(CQ10:CU10)</f>
        <v>0</v>
      </c>
      <c r="CW10" s="11"/>
      <c r="CX10" s="11">
        <v>9</v>
      </c>
      <c r="CY10" s="11"/>
      <c r="CZ10" s="11"/>
      <c r="DA10" s="11"/>
      <c r="DB10" s="21">
        <f>SUM(CW10:DA10)</f>
        <v>9</v>
      </c>
      <c r="DC10" s="11"/>
      <c r="DD10" s="11"/>
      <c r="DE10" s="11"/>
      <c r="DF10" s="11"/>
      <c r="DG10" s="11"/>
      <c r="DH10" s="21">
        <f>SUM(DC10:DG10)</f>
        <v>0</v>
      </c>
      <c r="DI10" s="11"/>
      <c r="DJ10" s="11"/>
      <c r="DK10" s="11"/>
      <c r="DL10" s="11"/>
      <c r="DM10" s="11"/>
      <c r="DN10" s="21">
        <f>SUM(DI10:DM10)</f>
        <v>0</v>
      </c>
      <c r="DO10" s="11"/>
      <c r="DP10" s="11"/>
      <c r="DQ10" s="11"/>
      <c r="DR10" s="11"/>
      <c r="DS10" s="11"/>
      <c r="DT10" s="21">
        <f>SUM(DO10:DS10)</f>
        <v>0</v>
      </c>
      <c r="DU10" s="74"/>
      <c r="DV10" s="74"/>
      <c r="DW10" s="74"/>
      <c r="DX10" s="74"/>
      <c r="DY10" s="74"/>
      <c r="DZ10" s="21">
        <f t="shared" si="3"/>
        <v>0</v>
      </c>
      <c r="EA10" s="74"/>
      <c r="EB10" s="74"/>
      <c r="EC10" s="74"/>
      <c r="ED10" s="74"/>
      <c r="EE10" s="74"/>
    </row>
    <row r="11" spans="1:135" x14ac:dyDescent="0.25">
      <c r="A11" s="4" t="s">
        <v>4</v>
      </c>
      <c r="B11" s="12">
        <v>10</v>
      </c>
      <c r="C11" s="11"/>
      <c r="D11" s="11"/>
      <c r="E11" s="21"/>
      <c r="F11" s="11"/>
      <c r="G11" s="11"/>
      <c r="H11" s="11"/>
      <c r="I11" s="11"/>
      <c r="J11" s="11"/>
      <c r="K11" s="21"/>
      <c r="L11" s="11"/>
      <c r="M11" s="11"/>
      <c r="N11" s="11"/>
      <c r="O11" s="11"/>
      <c r="P11" s="11"/>
      <c r="Q11" s="21"/>
      <c r="R11" s="11">
        <v>10</v>
      </c>
      <c r="S11" s="11">
        <v>5</v>
      </c>
      <c r="T11" s="11">
        <v>4</v>
      </c>
      <c r="U11" s="11">
        <v>1</v>
      </c>
      <c r="V11" s="11">
        <v>3</v>
      </c>
      <c r="W11" s="11"/>
      <c r="X11" s="21">
        <f>SUM(R11:W11)</f>
        <v>23</v>
      </c>
      <c r="Y11" s="11">
        <v>3</v>
      </c>
      <c r="Z11" s="11">
        <v>6</v>
      </c>
      <c r="AA11" s="11"/>
      <c r="AB11" s="11"/>
      <c r="AC11" s="11"/>
      <c r="AD11" s="21">
        <f>SUM(Y11:AC11)</f>
        <v>9</v>
      </c>
      <c r="AE11" s="11"/>
      <c r="AF11" s="11"/>
      <c r="AG11" s="11">
        <v>3</v>
      </c>
      <c r="AH11" s="11">
        <v>7</v>
      </c>
      <c r="AI11" s="11"/>
      <c r="AJ11" s="21">
        <f>SUM(AE11:AI11)</f>
        <v>10</v>
      </c>
      <c r="AK11" s="11"/>
      <c r="AL11" s="11"/>
      <c r="AM11" s="11"/>
      <c r="AN11" s="11"/>
      <c r="AO11" s="11"/>
      <c r="AP11" s="21"/>
      <c r="AQ11" s="11"/>
      <c r="AR11" s="11"/>
      <c r="AS11" s="11"/>
      <c r="AT11" s="11"/>
      <c r="AU11" s="11"/>
      <c r="AV11" s="21"/>
      <c r="AW11" s="11"/>
      <c r="AX11" s="11"/>
      <c r="AY11" s="11"/>
      <c r="AZ11" s="11"/>
      <c r="BA11" s="16"/>
      <c r="BB11" s="21"/>
      <c r="BC11" s="16"/>
      <c r="BD11" s="11"/>
      <c r="BE11" s="11"/>
      <c r="BF11" s="21"/>
      <c r="BG11" s="11"/>
      <c r="BH11" s="11"/>
      <c r="BI11" s="11"/>
      <c r="BJ11" s="11"/>
      <c r="BK11" s="11"/>
      <c r="BL11" s="21"/>
      <c r="BM11" s="11"/>
      <c r="BN11" s="11"/>
      <c r="BO11" s="11"/>
      <c r="BP11" s="11"/>
      <c r="BQ11" s="16"/>
      <c r="BR11" s="21">
        <f>SUM(BM11:BQ11)</f>
        <v>0</v>
      </c>
      <c r="BS11" s="11"/>
      <c r="BT11" s="11"/>
      <c r="BU11" s="11"/>
      <c r="BV11" s="11"/>
      <c r="BW11" s="11"/>
      <c r="BX11" s="21">
        <f>SUM(BS11:BW11)</f>
        <v>0</v>
      </c>
      <c r="BY11" s="11">
        <v>1</v>
      </c>
      <c r="BZ11" s="11"/>
      <c r="CA11" s="11">
        <v>1</v>
      </c>
      <c r="CB11" s="11">
        <v>3</v>
      </c>
      <c r="CC11" s="11">
        <v>1</v>
      </c>
      <c r="CD11" s="21">
        <f>SUM(BY11:CC11)</f>
        <v>6</v>
      </c>
      <c r="CE11" s="11"/>
      <c r="CF11" s="11"/>
      <c r="CG11" s="11"/>
      <c r="CH11" s="11"/>
      <c r="CI11" s="11"/>
      <c r="CJ11" s="21">
        <f>SUM(CE11:CI11)</f>
        <v>0</v>
      </c>
      <c r="CK11" s="16"/>
      <c r="CL11" s="11"/>
      <c r="CM11" s="11"/>
      <c r="CN11" s="44"/>
      <c r="CO11" s="44"/>
      <c r="CP11" s="21">
        <f>SUM(CK11:CO11)</f>
        <v>0</v>
      </c>
      <c r="CQ11" s="16"/>
      <c r="CR11" s="16"/>
      <c r="CS11" s="11"/>
      <c r="CT11" s="11"/>
      <c r="CU11" s="11"/>
      <c r="CV11" s="21">
        <f>SUM(CQ11:CU11)</f>
        <v>0</v>
      </c>
      <c r="CW11" s="11"/>
      <c r="CX11" s="11"/>
      <c r="CY11" s="11"/>
      <c r="CZ11" s="11"/>
      <c r="DA11" s="11"/>
      <c r="DB11" s="21">
        <f>SUM(CW11:DA11)</f>
        <v>0</v>
      </c>
      <c r="DC11" s="11"/>
      <c r="DD11" s="11"/>
      <c r="DE11" s="11"/>
      <c r="DF11" s="11"/>
      <c r="DG11" s="11"/>
      <c r="DH11" s="21">
        <f>SUM(DC11:DG11)</f>
        <v>0</v>
      </c>
      <c r="DI11" s="11"/>
      <c r="DJ11" s="11"/>
      <c r="DK11" s="11"/>
      <c r="DL11" s="11"/>
      <c r="DM11" s="11"/>
      <c r="DN11" s="21">
        <f>SUM(DI11:DM11)</f>
        <v>0</v>
      </c>
      <c r="DO11" s="11"/>
      <c r="DP11" s="11"/>
      <c r="DQ11" s="11"/>
      <c r="DR11" s="11"/>
      <c r="DS11" s="11"/>
      <c r="DT11" s="21">
        <f>SUM(DO11:DS11)</f>
        <v>0</v>
      </c>
      <c r="DU11" s="74"/>
      <c r="DV11" s="74"/>
      <c r="DW11" s="74"/>
      <c r="DX11" s="74"/>
      <c r="DY11" s="74"/>
      <c r="DZ11" s="21">
        <f t="shared" si="3"/>
        <v>0</v>
      </c>
      <c r="EA11" s="74"/>
      <c r="EB11" s="74"/>
      <c r="EC11" s="74"/>
      <c r="ED11" s="74"/>
      <c r="EE11" s="74"/>
    </row>
    <row r="12" spans="1:135" x14ac:dyDescent="0.25">
      <c r="A12" s="4" t="s">
        <v>5</v>
      </c>
      <c r="B12" s="12">
        <v>11</v>
      </c>
      <c r="C12" s="11"/>
      <c r="D12" s="11"/>
      <c r="E12" s="21"/>
      <c r="F12" s="11"/>
      <c r="G12" s="11"/>
      <c r="H12" s="11"/>
      <c r="I12" s="11"/>
      <c r="J12" s="11"/>
      <c r="K12" s="21"/>
      <c r="L12" s="11"/>
      <c r="M12" s="11"/>
      <c r="N12" s="11"/>
      <c r="O12" s="11"/>
      <c r="P12" s="11"/>
      <c r="Q12" s="21"/>
      <c r="R12" s="11">
        <v>201</v>
      </c>
      <c r="S12" s="11">
        <v>97</v>
      </c>
      <c r="T12" s="11">
        <v>61</v>
      </c>
      <c r="U12" s="11">
        <v>47</v>
      </c>
      <c r="V12" s="11">
        <v>34</v>
      </c>
      <c r="W12" s="11"/>
      <c r="X12" s="21">
        <f>SUM(R12:W12)</f>
        <v>440</v>
      </c>
      <c r="Y12" s="11">
        <v>40</v>
      </c>
      <c r="Z12" s="11">
        <v>82</v>
      </c>
      <c r="AA12" s="11"/>
      <c r="AB12" s="11"/>
      <c r="AC12" s="11"/>
      <c r="AD12" s="21">
        <f>SUM(Y12:AC12)</f>
        <v>122</v>
      </c>
      <c r="AE12" s="11"/>
      <c r="AF12" s="11"/>
      <c r="AG12" s="11">
        <v>80</v>
      </c>
      <c r="AH12" s="11">
        <v>109</v>
      </c>
      <c r="AI12" s="11"/>
      <c r="AJ12" s="21">
        <f>SUM(AE11:AI12)</f>
        <v>199</v>
      </c>
      <c r="AK12" s="11"/>
      <c r="AL12" s="11"/>
      <c r="AM12" s="11"/>
      <c r="AN12" s="11"/>
      <c r="AO12" s="11"/>
      <c r="AP12" s="21"/>
      <c r="AQ12" s="11"/>
      <c r="AR12" s="11"/>
      <c r="AS12" s="11"/>
      <c r="AT12" s="11"/>
      <c r="AU12" s="11"/>
      <c r="AV12" s="21"/>
      <c r="AW12" s="11"/>
      <c r="AX12" s="11"/>
      <c r="AY12" s="11"/>
      <c r="AZ12" s="11"/>
      <c r="BA12" s="16"/>
      <c r="BB12" s="21"/>
      <c r="BC12" s="16"/>
      <c r="BD12" s="11"/>
      <c r="BE12" s="11"/>
      <c r="BF12" s="21"/>
      <c r="BG12" s="11"/>
      <c r="BH12" s="11"/>
      <c r="BI12" s="11"/>
      <c r="BJ12" s="11"/>
      <c r="BK12" s="11"/>
      <c r="BL12" s="21"/>
      <c r="BM12" s="11"/>
      <c r="BN12" s="11"/>
      <c r="BO12" s="11"/>
      <c r="BP12" s="11"/>
      <c r="BQ12" s="16"/>
      <c r="BR12" s="21"/>
      <c r="BS12" s="11"/>
      <c r="BT12" s="11"/>
      <c r="BU12" s="11"/>
      <c r="BV12" s="11"/>
      <c r="BW12" s="11"/>
      <c r="BX12" s="21"/>
      <c r="BY12" s="11">
        <v>7</v>
      </c>
      <c r="BZ12" s="11"/>
      <c r="CA12" s="11">
        <v>27</v>
      </c>
      <c r="CB12" s="11">
        <v>43</v>
      </c>
      <c r="CC12" s="11">
        <v>14</v>
      </c>
      <c r="CD12" s="21"/>
      <c r="CE12" s="11"/>
      <c r="CF12" s="11"/>
      <c r="CG12" s="11"/>
      <c r="CH12" s="11"/>
      <c r="CI12" s="11"/>
      <c r="CJ12" s="21"/>
      <c r="CK12" s="16"/>
      <c r="CL12" s="11"/>
      <c r="CM12" s="11"/>
      <c r="CN12" s="44"/>
      <c r="CO12" s="44"/>
      <c r="CP12" s="21"/>
      <c r="CQ12" s="16"/>
      <c r="CR12" s="16"/>
      <c r="CS12" s="11"/>
      <c r="CT12" s="11"/>
      <c r="CU12" s="11"/>
      <c r="CV12" s="21"/>
      <c r="CW12" s="11"/>
      <c r="CX12" s="11"/>
      <c r="CY12" s="11"/>
      <c r="CZ12" s="11"/>
      <c r="DA12" s="11"/>
      <c r="DB12" s="21"/>
      <c r="DC12" s="11"/>
      <c r="DD12" s="11"/>
      <c r="DE12" s="11"/>
      <c r="DF12" s="11"/>
      <c r="DG12" s="11"/>
      <c r="DH12" s="21">
        <f t="shared" ref="DH12:DH16" si="5">SUM(DC12:DG12)</f>
        <v>0</v>
      </c>
      <c r="DI12" s="11"/>
      <c r="DJ12" s="11"/>
      <c r="DK12" s="11"/>
      <c r="DL12" s="11"/>
      <c r="DM12" s="11"/>
      <c r="DN12" s="21">
        <f t="shared" ref="DN12:DN16" si="6">SUM(DI12:DM12)</f>
        <v>0</v>
      </c>
      <c r="DO12" s="11"/>
      <c r="DP12" s="11"/>
      <c r="DQ12" s="11"/>
      <c r="DR12" s="11"/>
      <c r="DS12" s="11"/>
      <c r="DT12" s="21">
        <f t="shared" ref="DT12:DT16" si="7">SUM(DO12:DS12)</f>
        <v>0</v>
      </c>
      <c r="DU12" s="74"/>
      <c r="DV12" s="74"/>
      <c r="DW12" s="74"/>
      <c r="DX12" s="74"/>
      <c r="DY12" s="74"/>
      <c r="DZ12" s="21">
        <f t="shared" si="3"/>
        <v>0</v>
      </c>
      <c r="EA12" s="74"/>
      <c r="EB12" s="74"/>
      <c r="EC12" s="74"/>
      <c r="ED12" s="74"/>
      <c r="EE12" s="74"/>
    </row>
    <row r="13" spans="1:135" x14ac:dyDescent="0.25">
      <c r="A13" s="3" t="s">
        <v>8</v>
      </c>
      <c r="B13" s="13">
        <v>12</v>
      </c>
      <c r="C13" s="11"/>
      <c r="D13" s="11"/>
      <c r="E13" s="21"/>
      <c r="F13" s="11"/>
      <c r="G13" s="11"/>
      <c r="H13" s="11"/>
      <c r="I13" s="11"/>
      <c r="J13" s="11"/>
      <c r="K13" s="21"/>
      <c r="L13" s="11"/>
      <c r="M13" s="11"/>
      <c r="N13" s="11"/>
      <c r="O13" s="11"/>
      <c r="P13" s="11"/>
      <c r="Q13" s="21"/>
      <c r="R13" s="11"/>
      <c r="S13" s="11"/>
      <c r="T13" s="11"/>
      <c r="U13" s="11"/>
      <c r="V13" s="11"/>
      <c r="W13" s="11"/>
      <c r="X13" s="21"/>
      <c r="Y13" s="11"/>
      <c r="Z13" s="11"/>
      <c r="AA13" s="11"/>
      <c r="AB13" s="11"/>
      <c r="AC13" s="11"/>
      <c r="AD13" s="21"/>
      <c r="AE13" s="11"/>
      <c r="AF13" s="11"/>
      <c r="AG13" s="11"/>
      <c r="AH13" s="11"/>
      <c r="AI13" s="11"/>
      <c r="AJ13" s="21"/>
      <c r="AK13" s="11"/>
      <c r="AL13" s="11"/>
      <c r="AM13" s="11"/>
      <c r="AN13" s="11"/>
      <c r="AO13" s="11"/>
      <c r="AP13" s="21"/>
      <c r="AQ13" s="11"/>
      <c r="AR13" s="11"/>
      <c r="AS13" s="11"/>
      <c r="AT13" s="11"/>
      <c r="AU13" s="11"/>
      <c r="AV13" s="21"/>
      <c r="AW13" s="11"/>
      <c r="AX13" s="11"/>
      <c r="AY13" s="11"/>
      <c r="AZ13" s="11"/>
      <c r="BA13" s="16"/>
      <c r="BB13" s="21"/>
      <c r="BC13" s="16"/>
      <c r="BD13" s="11"/>
      <c r="BE13" s="11"/>
      <c r="BF13" s="21"/>
      <c r="BG13" s="11"/>
      <c r="BH13" s="11"/>
      <c r="BI13" s="11"/>
      <c r="BJ13" s="11"/>
      <c r="BK13" s="11"/>
      <c r="BL13" s="21"/>
      <c r="BM13" s="11"/>
      <c r="BN13" s="11"/>
      <c r="BO13" s="11"/>
      <c r="BP13" s="11"/>
      <c r="BQ13" s="16"/>
      <c r="BR13" s="21"/>
      <c r="BS13" s="11"/>
      <c r="BT13" s="11"/>
      <c r="BU13" s="11"/>
      <c r="BV13" s="11"/>
      <c r="BW13" s="11"/>
      <c r="BX13" s="21"/>
      <c r="BY13" s="11"/>
      <c r="BZ13" s="11"/>
      <c r="CA13" s="11"/>
      <c r="CB13" s="11"/>
      <c r="CC13" s="11"/>
      <c r="CD13" s="21"/>
      <c r="CE13" s="11"/>
      <c r="CF13" s="11"/>
      <c r="CG13" s="11"/>
      <c r="CH13" s="11"/>
      <c r="CI13" s="11"/>
      <c r="CJ13" s="21"/>
      <c r="CK13" s="16"/>
      <c r="CL13" s="11"/>
      <c r="CM13" s="11"/>
      <c r="CN13" s="44"/>
      <c r="CO13" s="44"/>
      <c r="CP13" s="21"/>
      <c r="CQ13" s="16"/>
      <c r="CR13" s="16"/>
      <c r="CS13" s="11"/>
      <c r="CT13" s="11"/>
      <c r="CU13" s="11"/>
      <c r="CV13" s="21"/>
      <c r="CW13" s="11"/>
      <c r="CX13" s="11"/>
      <c r="CY13" s="11"/>
      <c r="CZ13" s="11"/>
      <c r="DA13" s="11"/>
      <c r="DB13" s="21"/>
      <c r="DC13" s="11"/>
      <c r="DD13" s="11"/>
      <c r="DE13" s="11"/>
      <c r="DF13" s="11"/>
      <c r="DG13" s="11"/>
      <c r="DH13" s="21">
        <f t="shared" si="5"/>
        <v>0</v>
      </c>
      <c r="DI13" s="11"/>
      <c r="DJ13" s="11"/>
      <c r="DK13" s="11"/>
      <c r="DL13" s="11"/>
      <c r="DM13" s="11"/>
      <c r="DN13" s="21">
        <f t="shared" si="6"/>
        <v>0</v>
      </c>
      <c r="DO13" s="11"/>
      <c r="DP13" s="11"/>
      <c r="DQ13" s="11"/>
      <c r="DR13" s="11"/>
      <c r="DS13" s="11"/>
      <c r="DT13" s="21">
        <f t="shared" si="7"/>
        <v>0</v>
      </c>
      <c r="DU13" s="74"/>
      <c r="DV13" s="74"/>
      <c r="DW13" s="74"/>
      <c r="DX13" s="74"/>
      <c r="DY13" s="74"/>
      <c r="DZ13" s="21">
        <f t="shared" si="3"/>
        <v>0</v>
      </c>
      <c r="EA13" s="74"/>
      <c r="EB13" s="74"/>
      <c r="EC13" s="74"/>
      <c r="ED13" s="74"/>
      <c r="EE13" s="74"/>
    </row>
    <row r="14" spans="1:135" x14ac:dyDescent="0.25">
      <c r="A14" s="4" t="s">
        <v>6</v>
      </c>
      <c r="B14" s="12">
        <v>13</v>
      </c>
      <c r="C14" s="11"/>
      <c r="D14" s="11"/>
      <c r="E14" s="21"/>
      <c r="F14" s="11"/>
      <c r="G14" s="11"/>
      <c r="H14" s="11"/>
      <c r="I14" s="11"/>
      <c r="J14" s="11"/>
      <c r="K14" s="21"/>
      <c r="L14" s="11"/>
      <c r="M14" s="11"/>
      <c r="N14" s="11"/>
      <c r="O14" s="11"/>
      <c r="P14" s="11"/>
      <c r="Q14" s="21"/>
      <c r="R14" s="11"/>
      <c r="S14" s="11"/>
      <c r="T14" s="11"/>
      <c r="U14" s="11"/>
      <c r="V14" s="11"/>
      <c r="W14" s="11"/>
      <c r="X14" s="21"/>
      <c r="Y14" s="11"/>
      <c r="Z14" s="11"/>
      <c r="AA14" s="11"/>
      <c r="AB14" s="11"/>
      <c r="AC14" s="11"/>
      <c r="AD14" s="21"/>
      <c r="AE14" s="11"/>
      <c r="AF14" s="11"/>
      <c r="AG14" s="11"/>
      <c r="AH14" s="11"/>
      <c r="AI14" s="11"/>
      <c r="AJ14" s="21"/>
      <c r="AK14" s="11"/>
      <c r="AL14" s="11"/>
      <c r="AM14" s="11"/>
      <c r="AN14" s="11"/>
      <c r="AO14" s="11"/>
      <c r="AP14" s="21"/>
      <c r="AQ14" s="11"/>
      <c r="AR14" s="11"/>
      <c r="AS14" s="11"/>
      <c r="AT14" s="11"/>
      <c r="AU14" s="11"/>
      <c r="AV14" s="21"/>
      <c r="AW14" s="11"/>
      <c r="AX14" s="11"/>
      <c r="AY14" s="11"/>
      <c r="AZ14" s="11"/>
      <c r="BA14" s="16"/>
      <c r="BB14" s="21"/>
      <c r="BC14" s="16"/>
      <c r="BD14" s="11"/>
      <c r="BE14" s="11"/>
      <c r="BF14" s="21"/>
      <c r="BG14" s="11"/>
      <c r="BH14" s="11"/>
      <c r="BI14" s="11"/>
      <c r="BJ14" s="11"/>
      <c r="BK14" s="11"/>
      <c r="BL14" s="21"/>
      <c r="BM14" s="11"/>
      <c r="BN14" s="11"/>
      <c r="BO14" s="11"/>
      <c r="BP14" s="11"/>
      <c r="BQ14" s="16"/>
      <c r="BR14" s="21"/>
      <c r="BS14" s="11"/>
      <c r="BT14" s="11"/>
      <c r="BU14" s="11"/>
      <c r="BV14" s="11"/>
      <c r="BW14" s="11"/>
      <c r="BX14" s="21"/>
      <c r="BY14" s="11"/>
      <c r="BZ14" s="11"/>
      <c r="CA14" s="11"/>
      <c r="CB14" s="11"/>
      <c r="CC14" s="11"/>
      <c r="CD14" s="21"/>
      <c r="CE14" s="11"/>
      <c r="CF14" s="11"/>
      <c r="CG14" s="11"/>
      <c r="CH14" s="11"/>
      <c r="CI14" s="11"/>
      <c r="CJ14" s="21"/>
      <c r="CK14" s="16"/>
      <c r="CL14" s="11"/>
      <c r="CM14" s="11"/>
      <c r="CN14" s="44"/>
      <c r="CO14" s="44"/>
      <c r="CP14" s="21"/>
      <c r="CQ14" s="16"/>
      <c r="CR14" s="16"/>
      <c r="CS14" s="11"/>
      <c r="CT14" s="11"/>
      <c r="CU14" s="11"/>
      <c r="CV14" s="21"/>
      <c r="CW14" s="11"/>
      <c r="CX14" s="11"/>
      <c r="CY14" s="11"/>
      <c r="CZ14" s="11"/>
      <c r="DA14" s="11"/>
      <c r="DB14" s="21"/>
      <c r="DC14" s="11"/>
      <c r="DD14" s="11"/>
      <c r="DE14" s="11"/>
      <c r="DF14" s="11"/>
      <c r="DG14" s="11"/>
      <c r="DH14" s="21">
        <f t="shared" si="5"/>
        <v>0</v>
      </c>
      <c r="DI14" s="11"/>
      <c r="DJ14" s="11"/>
      <c r="DK14" s="11"/>
      <c r="DL14" s="11"/>
      <c r="DM14" s="11"/>
      <c r="DN14" s="21">
        <f t="shared" si="6"/>
        <v>0</v>
      </c>
      <c r="DO14" s="11"/>
      <c r="DP14" s="11"/>
      <c r="DQ14" s="11"/>
      <c r="DR14" s="11"/>
      <c r="DS14" s="11"/>
      <c r="DT14" s="21">
        <f t="shared" si="7"/>
        <v>0</v>
      </c>
      <c r="DU14" s="74"/>
      <c r="DV14" s="74"/>
      <c r="DW14" s="74"/>
      <c r="DX14" s="74"/>
      <c r="DY14" s="74"/>
      <c r="DZ14" s="21">
        <f t="shared" si="3"/>
        <v>0</v>
      </c>
      <c r="EA14" s="74"/>
      <c r="EB14" s="74"/>
      <c r="EC14" s="74"/>
      <c r="ED14" s="74"/>
      <c r="EE14" s="74"/>
    </row>
    <row r="15" spans="1:135" x14ac:dyDescent="0.25">
      <c r="A15" s="3" t="s">
        <v>7</v>
      </c>
      <c r="B15" s="12">
        <v>14</v>
      </c>
      <c r="C15" s="11"/>
      <c r="D15" s="11"/>
      <c r="E15" s="21"/>
      <c r="F15" s="11"/>
      <c r="G15" s="11"/>
      <c r="H15" s="11"/>
      <c r="I15" s="11"/>
      <c r="J15" s="11"/>
      <c r="K15" s="21"/>
      <c r="L15" s="11"/>
      <c r="M15" s="11"/>
      <c r="N15" s="11"/>
      <c r="O15" s="11"/>
      <c r="P15" s="11"/>
      <c r="Q15" s="21"/>
      <c r="R15" s="11"/>
      <c r="S15" s="11"/>
      <c r="T15" s="11"/>
      <c r="U15" s="11"/>
      <c r="V15" s="11"/>
      <c r="W15" s="11"/>
      <c r="X15" s="21"/>
      <c r="Y15" s="11"/>
      <c r="Z15" s="11"/>
      <c r="AA15" s="11"/>
      <c r="AB15" s="11"/>
      <c r="AC15" s="11"/>
      <c r="AD15" s="21"/>
      <c r="AE15" s="11"/>
      <c r="AF15" s="11"/>
      <c r="AG15" s="11"/>
      <c r="AH15" s="11"/>
      <c r="AI15" s="11"/>
      <c r="AJ15" s="21"/>
      <c r="AK15" s="11"/>
      <c r="AL15" s="11"/>
      <c r="AM15" s="11"/>
      <c r="AN15" s="11"/>
      <c r="AO15" s="11"/>
      <c r="AP15" s="21"/>
      <c r="AQ15" s="11"/>
      <c r="AR15" s="11"/>
      <c r="AS15" s="11"/>
      <c r="AT15" s="11"/>
      <c r="AU15" s="11"/>
      <c r="AV15" s="21"/>
      <c r="AW15" s="11"/>
      <c r="AX15" s="11"/>
      <c r="AY15" s="11"/>
      <c r="AZ15" s="11"/>
      <c r="BA15" s="17"/>
      <c r="BB15" s="21"/>
      <c r="BC15" s="16"/>
      <c r="BD15" s="11"/>
      <c r="BE15" s="11"/>
      <c r="BF15" s="21"/>
      <c r="BG15" s="11"/>
      <c r="BH15" s="11"/>
      <c r="BI15" s="11"/>
      <c r="BJ15" s="11">
        <v>64</v>
      </c>
      <c r="BK15" s="11">
        <v>116</v>
      </c>
      <c r="BL15" s="21">
        <f>SUM(BG15:BK15)</f>
        <v>180</v>
      </c>
      <c r="BM15" s="11"/>
      <c r="BN15" s="11"/>
      <c r="BO15" s="11"/>
      <c r="BP15" s="11"/>
      <c r="BQ15" s="16"/>
      <c r="BR15" s="21"/>
      <c r="BS15" s="11"/>
      <c r="BT15" s="11"/>
      <c r="BU15" s="11"/>
      <c r="BV15" s="11"/>
      <c r="BW15" s="11"/>
      <c r="BX15" s="21"/>
      <c r="BY15" s="11"/>
      <c r="BZ15" s="11"/>
      <c r="CA15" s="11"/>
      <c r="CB15" s="11"/>
      <c r="CC15" s="11"/>
      <c r="CD15" s="21"/>
      <c r="CE15" s="11"/>
      <c r="CF15" s="11"/>
      <c r="CG15" s="11"/>
      <c r="CH15" s="11"/>
      <c r="CI15" s="11"/>
      <c r="CJ15" s="21"/>
      <c r="CK15" s="16"/>
      <c r="CL15" s="11"/>
      <c r="CM15" s="11"/>
      <c r="CN15" s="44"/>
      <c r="CO15" s="44"/>
      <c r="CP15" s="21"/>
      <c r="CQ15" s="16"/>
      <c r="CR15" s="16"/>
      <c r="CS15" s="11"/>
      <c r="CT15" s="11"/>
      <c r="CU15" s="11"/>
      <c r="CV15" s="21"/>
      <c r="CW15" s="11"/>
      <c r="CX15" s="11"/>
      <c r="CY15" s="11"/>
      <c r="CZ15" s="11"/>
      <c r="DA15" s="11"/>
      <c r="DB15" s="21"/>
      <c r="DC15" s="11"/>
      <c r="DD15" s="11"/>
      <c r="DE15" s="11"/>
      <c r="DF15" s="11"/>
      <c r="DG15" s="11"/>
      <c r="DH15" s="21">
        <f t="shared" si="5"/>
        <v>0</v>
      </c>
      <c r="DI15" s="11"/>
      <c r="DJ15" s="1">
        <v>79</v>
      </c>
      <c r="DK15" s="11"/>
      <c r="DL15" s="11"/>
      <c r="DM15" s="11"/>
      <c r="DN15" s="21">
        <f t="shared" si="6"/>
        <v>79</v>
      </c>
      <c r="DO15" s="11">
        <v>50</v>
      </c>
      <c r="DP15" s="11">
        <v>64</v>
      </c>
      <c r="DQ15" s="11">
        <v>102</v>
      </c>
      <c r="DR15" s="11">
        <v>10</v>
      </c>
      <c r="DS15" s="11"/>
      <c r="DT15" s="21">
        <f t="shared" si="7"/>
        <v>226</v>
      </c>
      <c r="DU15" s="74"/>
      <c r="DV15" s="74"/>
      <c r="DW15" s="74">
        <v>6</v>
      </c>
      <c r="DX15" s="74">
        <v>15</v>
      </c>
      <c r="DY15" s="74">
        <v>16</v>
      </c>
      <c r="DZ15" s="21">
        <f t="shared" si="3"/>
        <v>37</v>
      </c>
      <c r="EA15" s="74"/>
      <c r="EB15" s="74"/>
      <c r="EC15" s="74"/>
      <c r="ED15" s="74"/>
      <c r="EE15" s="74"/>
    </row>
    <row r="16" spans="1:135" x14ac:dyDescent="0.25">
      <c r="A16" s="5" t="s">
        <v>37</v>
      </c>
      <c r="B16" s="9">
        <v>15</v>
      </c>
      <c r="C16" s="11"/>
      <c r="D16" s="11"/>
      <c r="E16" s="21"/>
      <c r="F16" s="11"/>
      <c r="G16" s="11"/>
      <c r="H16" s="11"/>
      <c r="I16" s="11"/>
      <c r="J16" s="11"/>
      <c r="K16" s="21"/>
      <c r="L16" s="11"/>
      <c r="M16" s="11"/>
      <c r="N16" s="11"/>
      <c r="O16" s="11"/>
      <c r="P16" s="11"/>
      <c r="Q16" s="21"/>
      <c r="R16" s="11"/>
      <c r="S16" s="11"/>
      <c r="T16" s="11"/>
      <c r="U16" s="11"/>
      <c r="V16" s="11"/>
      <c r="W16" s="11"/>
      <c r="X16" s="21"/>
      <c r="Y16" s="11"/>
      <c r="Z16" s="11"/>
      <c r="AA16" s="11"/>
      <c r="AB16" s="11"/>
      <c r="AC16" s="11"/>
      <c r="AD16" s="21"/>
      <c r="AE16" s="11"/>
      <c r="AF16" s="11"/>
      <c r="AG16" s="11"/>
      <c r="AH16" s="11"/>
      <c r="AI16" s="11"/>
      <c r="AJ16" s="21"/>
      <c r="AK16" s="11"/>
      <c r="AL16" s="11"/>
      <c r="AM16" s="11"/>
      <c r="AN16" s="11"/>
      <c r="AO16" s="11"/>
      <c r="AP16" s="21"/>
      <c r="AQ16" s="11"/>
      <c r="AR16" s="11"/>
      <c r="AS16" s="11"/>
      <c r="AT16" s="11"/>
      <c r="AU16" s="11"/>
      <c r="AV16" s="21"/>
      <c r="AW16" s="11"/>
      <c r="AX16" s="11"/>
      <c r="AY16" s="11"/>
      <c r="AZ16" s="11"/>
      <c r="BA16" s="17">
        <v>260</v>
      </c>
      <c r="BB16" s="21">
        <f>SUM(AW16:BA16)</f>
        <v>260</v>
      </c>
      <c r="BC16" s="16"/>
      <c r="BD16" s="11"/>
      <c r="BE16" s="11"/>
      <c r="BF16" s="21"/>
      <c r="BG16" s="11"/>
      <c r="BH16" s="11"/>
      <c r="BI16" s="11"/>
      <c r="BJ16" s="11"/>
      <c r="BK16" s="11"/>
      <c r="BL16" s="21"/>
      <c r="BM16" s="11">
        <v>196</v>
      </c>
      <c r="BN16" s="11">
        <v>100</v>
      </c>
      <c r="BO16" s="11"/>
      <c r="BP16" s="11"/>
      <c r="BQ16" s="16"/>
      <c r="BR16" s="21">
        <f>SUM(BM16:BQ16)</f>
        <v>296</v>
      </c>
      <c r="BS16" s="11"/>
      <c r="BT16" s="11"/>
      <c r="BU16" s="11"/>
      <c r="BV16" s="11"/>
      <c r="BW16" s="11"/>
      <c r="BX16" s="21"/>
      <c r="BY16" s="11"/>
      <c r="BZ16" s="11"/>
      <c r="CA16" s="11"/>
      <c r="CB16" s="11"/>
      <c r="CC16" s="11"/>
      <c r="CD16" s="21"/>
      <c r="CE16" s="11"/>
      <c r="CF16" s="11"/>
      <c r="CG16" s="11"/>
      <c r="CH16" s="11"/>
      <c r="CI16" s="11"/>
      <c r="CJ16" s="21"/>
      <c r="CK16" s="16"/>
      <c r="CL16" s="11"/>
      <c r="CM16" s="11"/>
      <c r="CN16" s="44"/>
      <c r="CO16" s="44"/>
      <c r="CP16" s="21"/>
      <c r="CQ16" s="16"/>
      <c r="CR16" s="16"/>
      <c r="CS16" s="11">
        <v>7</v>
      </c>
      <c r="CT16" s="11"/>
      <c r="CU16" s="11"/>
      <c r="CV16" s="21"/>
      <c r="CW16" s="11"/>
      <c r="CX16" s="11"/>
      <c r="CY16" s="11"/>
      <c r="CZ16" s="11"/>
      <c r="DA16" s="11"/>
      <c r="DB16" s="21"/>
      <c r="DC16" s="11"/>
      <c r="DD16" s="11"/>
      <c r="DE16" s="11"/>
      <c r="DF16" s="11"/>
      <c r="DG16" s="11"/>
      <c r="DH16" s="21">
        <f t="shared" si="5"/>
        <v>0</v>
      </c>
      <c r="DI16" s="11"/>
      <c r="DJ16" s="11"/>
      <c r="DK16" s="11"/>
      <c r="DL16" s="11">
        <v>33</v>
      </c>
      <c r="DM16" s="11">
        <v>34</v>
      </c>
      <c r="DN16" s="21">
        <f t="shared" si="6"/>
        <v>67</v>
      </c>
      <c r="DO16" s="11"/>
      <c r="DP16" s="11"/>
      <c r="DQ16" s="11"/>
      <c r="DR16" s="11"/>
      <c r="DS16" s="11"/>
      <c r="DT16" s="21">
        <f t="shared" si="7"/>
        <v>0</v>
      </c>
      <c r="DU16" s="74"/>
      <c r="DV16" s="74"/>
      <c r="DW16" s="74"/>
      <c r="DX16" s="74"/>
      <c r="DY16" s="74"/>
      <c r="DZ16" s="21">
        <f t="shared" si="3"/>
        <v>0</v>
      </c>
      <c r="EA16" s="74"/>
      <c r="EB16" s="74"/>
      <c r="EC16" s="74"/>
      <c r="ED16" s="74"/>
      <c r="EE16" s="74"/>
    </row>
    <row r="17" spans="1:135" ht="315" x14ac:dyDescent="0.25">
      <c r="A17" s="11" t="s">
        <v>11</v>
      </c>
      <c r="B17" s="11"/>
      <c r="C17" s="11"/>
      <c r="D17" s="11"/>
      <c r="E17" s="11"/>
      <c r="F17" s="11"/>
      <c r="G17" s="11"/>
      <c r="H17" s="11"/>
      <c r="I17" s="11"/>
      <c r="J17" s="11"/>
      <c r="K17" s="11"/>
      <c r="L17" s="11"/>
      <c r="M17" s="11"/>
      <c r="N17" s="11"/>
      <c r="O17" s="11"/>
      <c r="P17" s="11"/>
      <c r="Q17" s="11"/>
      <c r="R17" s="11"/>
      <c r="S17" s="11"/>
      <c r="T17" s="11"/>
      <c r="U17" s="11"/>
      <c r="V17" s="11"/>
      <c r="W17" s="11"/>
      <c r="X17" s="11"/>
      <c r="Y17" s="14" t="s">
        <v>41</v>
      </c>
      <c r="Z17" s="14" t="s">
        <v>41</v>
      </c>
      <c r="AA17" s="14" t="s">
        <v>41</v>
      </c>
      <c r="AB17" s="14" t="s">
        <v>42</v>
      </c>
      <c r="AC17" s="14" t="s">
        <v>43</v>
      </c>
      <c r="AD17" s="14"/>
      <c r="AE17" s="14" t="s">
        <v>44</v>
      </c>
      <c r="AF17" s="14" t="s">
        <v>45</v>
      </c>
      <c r="AG17" s="14" t="s">
        <v>46</v>
      </c>
      <c r="AH17" s="14" t="s">
        <v>46</v>
      </c>
      <c r="AI17" s="14"/>
      <c r="AJ17" s="14"/>
      <c r="AK17" s="14"/>
      <c r="AL17" s="14"/>
      <c r="AM17" s="14"/>
      <c r="AN17" s="14"/>
      <c r="AO17" s="14"/>
      <c r="AP17" s="14"/>
      <c r="AQ17" s="11"/>
      <c r="AR17" s="11"/>
      <c r="AS17" s="11"/>
      <c r="AT17" s="11"/>
      <c r="AU17" s="14" t="s">
        <v>25</v>
      </c>
      <c r="AV17" s="14"/>
      <c r="AW17" s="11"/>
      <c r="AX17" s="14" t="s">
        <v>26</v>
      </c>
      <c r="AY17" s="11"/>
      <c r="BA17" s="14" t="s">
        <v>36</v>
      </c>
      <c r="BB17" s="22"/>
      <c r="BC17" s="16"/>
      <c r="BD17" s="11"/>
      <c r="BE17" s="14" t="s">
        <v>90</v>
      </c>
      <c r="BF17" s="11"/>
      <c r="BG17" s="14" t="s">
        <v>97</v>
      </c>
      <c r="BH17" s="14" t="s">
        <v>102</v>
      </c>
      <c r="BI17" s="14" t="s">
        <v>103</v>
      </c>
      <c r="BJ17" s="14" t="s">
        <v>112</v>
      </c>
      <c r="BK17" s="14" t="s">
        <v>128</v>
      </c>
      <c r="BM17" s="14" t="s">
        <v>134</v>
      </c>
      <c r="BN17" s="14" t="s">
        <v>139</v>
      </c>
      <c r="BO17" s="7" t="s">
        <v>140</v>
      </c>
      <c r="BP17" s="7" t="s">
        <v>140</v>
      </c>
      <c r="BQ17" s="7" t="s">
        <v>151</v>
      </c>
      <c r="BS17" s="14" t="s">
        <v>158</v>
      </c>
      <c r="BT17" s="14" t="s">
        <v>161</v>
      </c>
      <c r="BU17" s="14" t="s">
        <v>168</v>
      </c>
      <c r="BV17" s="14" t="s">
        <v>168</v>
      </c>
      <c r="BW17" s="14" t="s">
        <v>170</v>
      </c>
      <c r="BY17" s="14" t="s">
        <v>176</v>
      </c>
      <c r="BZ17" s="14" t="s">
        <v>180</v>
      </c>
      <c r="CA17" s="14" t="s">
        <v>180</v>
      </c>
      <c r="CB17" s="14" t="s">
        <v>186</v>
      </c>
      <c r="CC17" s="14" t="s">
        <v>193</v>
      </c>
      <c r="CE17" s="36" t="s">
        <v>197</v>
      </c>
      <c r="CF17" s="36" t="s">
        <v>197</v>
      </c>
      <c r="CG17" s="35" t="s">
        <v>198</v>
      </c>
      <c r="CH17" s="14" t="s">
        <v>201</v>
      </c>
      <c r="CI17" s="11"/>
      <c r="CJ17" s="11"/>
      <c r="CK17" s="7" t="s">
        <v>214</v>
      </c>
      <c r="CL17" s="11"/>
      <c r="CM17" s="14" t="s">
        <v>216</v>
      </c>
      <c r="CN17" s="45" t="s">
        <v>223</v>
      </c>
      <c r="CO17" s="7"/>
      <c r="CQ17" s="16"/>
      <c r="CR17" s="17"/>
      <c r="CS17" s="40" t="s">
        <v>224</v>
      </c>
      <c r="CT17" s="40" t="s">
        <v>231</v>
      </c>
      <c r="CU17" s="40" t="s">
        <v>229</v>
      </c>
      <c r="CW17" s="14" t="s">
        <v>191</v>
      </c>
      <c r="CX17" s="14" t="s">
        <v>191</v>
      </c>
      <c r="CY17" s="14" t="s">
        <v>191</v>
      </c>
      <c r="CZ17" s="11" t="s">
        <v>205</v>
      </c>
      <c r="DA17" s="14" t="s">
        <v>249</v>
      </c>
      <c r="DC17" s="14" t="s">
        <v>191</v>
      </c>
      <c r="DD17" s="14" t="s">
        <v>191</v>
      </c>
      <c r="DE17" s="14" t="s">
        <v>191</v>
      </c>
      <c r="DF17" s="14" t="s">
        <v>254</v>
      </c>
      <c r="DG17" s="14" t="s">
        <v>257</v>
      </c>
      <c r="DI17" s="14" t="s">
        <v>273</v>
      </c>
      <c r="DJ17" s="14" t="s">
        <v>266</v>
      </c>
      <c r="DK17" s="14" t="s">
        <v>272</v>
      </c>
      <c r="DL17" s="14" t="s">
        <v>275</v>
      </c>
      <c r="DM17" s="14" t="s">
        <v>275</v>
      </c>
      <c r="DO17" s="14" t="s">
        <v>282</v>
      </c>
      <c r="DP17" s="11"/>
      <c r="DQ17" s="11"/>
      <c r="DR17" s="11"/>
      <c r="DS17" s="11" t="s">
        <v>318</v>
      </c>
      <c r="DU17" s="74" t="s">
        <v>318</v>
      </c>
      <c r="DV17" s="74" t="s">
        <v>318</v>
      </c>
      <c r="DW17" s="75" t="s">
        <v>319</v>
      </c>
      <c r="DX17" s="7" t="s">
        <v>191</v>
      </c>
      <c r="DY17" s="74"/>
      <c r="DZ17" s="77"/>
      <c r="EA17" s="74"/>
      <c r="EB17" s="74"/>
      <c r="EC17" s="74"/>
      <c r="ED17" s="74"/>
      <c r="EE17" s="74"/>
    </row>
    <row r="18" spans="1:135" ht="195" x14ac:dyDescent="0.25">
      <c r="A18" s="11" t="s">
        <v>10</v>
      </c>
      <c r="B18" s="11"/>
      <c r="C18" s="14" t="s">
        <v>54</v>
      </c>
      <c r="D18" s="14" t="s">
        <v>54</v>
      </c>
      <c r="E18" s="14"/>
      <c r="F18" s="14" t="s">
        <v>54</v>
      </c>
      <c r="G18" s="14" t="s">
        <v>55</v>
      </c>
      <c r="H18" s="14" t="s">
        <v>55</v>
      </c>
      <c r="I18" s="14" t="s">
        <v>55</v>
      </c>
      <c r="J18" s="14" t="s">
        <v>55</v>
      </c>
      <c r="K18" s="14"/>
      <c r="L18" s="14" t="s">
        <v>55</v>
      </c>
      <c r="M18" s="14" t="s">
        <v>55</v>
      </c>
      <c r="N18" s="14" t="s">
        <v>55</v>
      </c>
      <c r="O18" s="14" t="s">
        <v>55</v>
      </c>
      <c r="P18" s="14" t="s">
        <v>55</v>
      </c>
      <c r="Q18" s="14"/>
      <c r="R18" s="14" t="s">
        <v>40</v>
      </c>
      <c r="S18" s="14" t="s">
        <v>40</v>
      </c>
      <c r="T18" s="14" t="s">
        <v>40</v>
      </c>
      <c r="U18" s="14" t="s">
        <v>40</v>
      </c>
      <c r="V18" s="14" t="s">
        <v>40</v>
      </c>
      <c r="W18" s="14"/>
      <c r="X18" s="14"/>
      <c r="Y18" s="14" t="s">
        <v>40</v>
      </c>
      <c r="Z18" s="14" t="s">
        <v>40</v>
      </c>
      <c r="AA18" s="14"/>
      <c r="AB18" s="14"/>
      <c r="AC18" s="14"/>
      <c r="AD18" s="14"/>
      <c r="AE18" s="14"/>
      <c r="AF18" s="14"/>
      <c r="AG18" s="14" t="s">
        <v>40</v>
      </c>
      <c r="AH18" s="14" t="s">
        <v>40</v>
      </c>
      <c r="AI18" s="14"/>
      <c r="AJ18" s="14"/>
      <c r="AK18" s="14"/>
      <c r="AL18" s="14"/>
      <c r="AM18" s="14"/>
      <c r="AN18" s="14"/>
      <c r="AO18" s="14"/>
      <c r="AP18" s="14"/>
      <c r="AQ18" s="11" t="s">
        <v>12</v>
      </c>
      <c r="AR18" s="11" t="s">
        <v>12</v>
      </c>
      <c r="AS18" s="11"/>
      <c r="AT18" s="14" t="s">
        <v>47</v>
      </c>
      <c r="AU18" s="11"/>
      <c r="AV18" s="11"/>
      <c r="AW18" s="11"/>
      <c r="AX18" s="14" t="s">
        <v>34</v>
      </c>
      <c r="AY18" s="11"/>
      <c r="AZ18" s="11"/>
      <c r="BA18" s="14" t="s">
        <v>89</v>
      </c>
      <c r="BB18" s="22"/>
      <c r="BC18" s="16"/>
      <c r="BD18" s="11"/>
      <c r="BE18" s="14" t="s">
        <v>95</v>
      </c>
      <c r="BF18" s="11"/>
      <c r="BG18" s="14" t="s">
        <v>98</v>
      </c>
      <c r="BH18" s="14" t="s">
        <v>106</v>
      </c>
      <c r="BI18" s="14" t="s">
        <v>107</v>
      </c>
      <c r="BJ18" s="14" t="s">
        <v>111</v>
      </c>
      <c r="BK18" s="11"/>
      <c r="BM18" s="14"/>
      <c r="BN18" s="14" t="s">
        <v>135</v>
      </c>
      <c r="BO18" s="11"/>
      <c r="BP18" s="7" t="s">
        <v>150</v>
      </c>
      <c r="BQ18" s="7" t="s">
        <v>150</v>
      </c>
      <c r="BS18" s="14" t="s">
        <v>153</v>
      </c>
      <c r="BT18" s="18"/>
      <c r="BU18" s="18"/>
      <c r="BV18" s="18"/>
      <c r="BW18" s="32" t="s">
        <v>169</v>
      </c>
      <c r="BY18" s="14" t="s">
        <v>177</v>
      </c>
      <c r="BZ18" s="14" t="s">
        <v>182</v>
      </c>
      <c r="CA18" s="14" t="s">
        <v>185</v>
      </c>
      <c r="CB18" s="14" t="s">
        <v>188</v>
      </c>
      <c r="CC18" s="14" t="s">
        <v>192</v>
      </c>
      <c r="CE18" s="11"/>
      <c r="CF18" s="11"/>
      <c r="CG18" s="14" t="s">
        <v>200</v>
      </c>
      <c r="CH18" s="14" t="s">
        <v>202</v>
      </c>
      <c r="CI18" s="14" t="s">
        <v>203</v>
      </c>
      <c r="CK18" s="14"/>
      <c r="CL18" s="14" t="s">
        <v>215</v>
      </c>
      <c r="CM18" s="11"/>
      <c r="CN18" s="46" t="s">
        <v>225</v>
      </c>
      <c r="CO18" s="7"/>
      <c r="CQ18" s="16"/>
      <c r="CR18" s="16"/>
      <c r="CS18" s="11"/>
      <c r="CT18" s="14" t="s">
        <v>230</v>
      </c>
      <c r="CU18" s="14" t="s">
        <v>230</v>
      </c>
      <c r="CW18" s="14" t="s">
        <v>240</v>
      </c>
      <c r="CX18" s="14" t="s">
        <v>245</v>
      </c>
      <c r="CY18" s="14" t="s">
        <v>246</v>
      </c>
      <c r="CZ18" s="11"/>
      <c r="DA18" s="11"/>
      <c r="DC18" s="11"/>
      <c r="DD18" s="11"/>
      <c r="DE18" s="14" t="s">
        <v>255</v>
      </c>
      <c r="DF18" s="14" t="s">
        <v>256</v>
      </c>
      <c r="DG18" s="14" t="s">
        <v>191</v>
      </c>
      <c r="DI18" s="14" t="s">
        <v>274</v>
      </c>
      <c r="DJ18" s="14" t="s">
        <v>245</v>
      </c>
      <c r="DK18" s="14" t="s">
        <v>271</v>
      </c>
      <c r="DL18" s="11"/>
      <c r="DM18" s="11"/>
      <c r="DO18" s="14" t="s">
        <v>283</v>
      </c>
      <c r="DP18" s="11"/>
      <c r="DQ18" s="11"/>
      <c r="DR18" s="11"/>
      <c r="DS18" s="11"/>
      <c r="DU18" s="74"/>
      <c r="DV18" s="74"/>
      <c r="DW18" s="74"/>
      <c r="DX18" s="74"/>
      <c r="DY18" s="74"/>
      <c r="DZ18" s="77"/>
      <c r="EA18" s="74"/>
      <c r="EB18" s="74"/>
      <c r="EC18" s="74"/>
      <c r="ED18" s="74"/>
      <c r="EE18" s="74"/>
    </row>
    <row r="19" spans="1:135" ht="45" x14ac:dyDescent="0.25">
      <c r="BQ19" s="7" t="s">
        <v>152</v>
      </c>
      <c r="DI19" s="7"/>
    </row>
  </sheetData>
  <customSheetViews>
    <customSheetView guid="{3D987F8E-A6EA-454D-9537-6BFC5053CB00}">
      <pane xSplit="1" topLeftCell="M1" activePane="topRight" state="frozen"/>
      <selection pane="topRight" activeCell="A18" sqref="A18"/>
      <pageMargins left="0.511811024" right="0.511811024" top="0.78740157499999996" bottom="0.78740157499999996" header="0.31496062000000002" footer="0.31496062000000002"/>
    </customSheetView>
    <customSheetView guid="{B3CDE377-BA5D-4E06-91D9-3A48E1959BA5}">
      <pane xSplit="1" topLeftCell="DN1" activePane="topRight" state="frozen"/>
      <selection pane="topRight" activeCell="BQ18" sqref="BQ18"/>
      <pageMargins left="0.511811024" right="0.511811024" top="0.78740157499999996" bottom="0.78740157499999996" header="0.31496062000000002" footer="0.31496062000000002"/>
    </customSheetView>
    <customSheetView guid="{C69767F5-CD39-44C1-AD4B-CE19DC8285A6}" topLeftCell="D1">
      <selection activeCell="L10" sqref="L10"/>
      <pageMargins left="0.511811024" right="0.511811024" top="0.78740157499999996" bottom="0.78740157499999996" header="0.31496062000000002" footer="0.31496062000000002"/>
    </customSheetView>
    <customSheetView guid="{552DFCCD-1786-4D75-8B10-27DD730384DD}">
      <selection activeCell="G12" sqref="G12"/>
      <pageMargins left="0.511811024" right="0.511811024" top="0.78740157499999996" bottom="0.78740157499999996" header="0.31496062000000002" footer="0.31496062000000002"/>
    </customSheetView>
    <customSheetView guid="{9B623083-AA7B-440B-95EA-C33E1AB3D963}" topLeftCell="A17">
      <pane xSplit="1" topLeftCell="DR1" activePane="topRight" state="frozen"/>
      <selection pane="topRight" activeCell="EA22" sqref="EA22"/>
      <pageMargins left="0.511811024" right="0.511811024" top="0.78740157499999996" bottom="0.78740157499999996" header="0.31496062000000002" footer="0.31496062000000002"/>
    </customSheetView>
    <customSheetView guid="{18A482E0-C8B6-4AA1-9E04-15FA7C9CD5E3}" scale="90" topLeftCell="A7">
      <pane xSplit="1" topLeftCell="DG1" activePane="topRight" state="frozen"/>
      <selection pane="topRight" activeCell="DI17" sqref="DI17"/>
      <pageMargins left="0.511811024" right="0.511811024" top="0.78740157499999996" bottom="0.78740157499999996" header="0.31496062000000002" footer="0.31496062000000002"/>
    </customSheetView>
    <customSheetView guid="{20CB6D8F-C24D-4D4B-A424-AF380F620455}" showPageBreaks="1">
      <pane xSplit="1" topLeftCell="DL1" activePane="topRight" state="frozen"/>
      <selection pane="topRight" activeCell="DR8" sqref="DR8"/>
      <pageMargins left="0.511811024" right="0.511811024" top="0.78740157499999996" bottom="0.78740157499999996" header="0.31496062000000002" footer="0.31496062000000002"/>
      <pageSetup paperSize="9" orientation="portrait" r:id="rId1"/>
    </customSheetView>
    <customSheetView guid="{86039CF8-B158-4D70-9A6F-A10C29CBD68A}">
      <selection activeCell="BB1" sqref="BB1:BB1048576"/>
      <pageMargins left="0.511811024" right="0.511811024" top="0.78740157499999996" bottom="0.78740157499999996" header="0.31496062000000002" footer="0.31496062000000002"/>
    </customSheetView>
    <customSheetView guid="{E3841903-5B68-44FD-8F09-58E03D1025C5}" topLeftCell="DH1">
      <selection activeCell="DO15" sqref="DO15"/>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Z20"/>
  <sheetViews>
    <sheetView workbookViewId="0">
      <pane xSplit="1" topLeftCell="BW1" activePane="topRight" state="frozen"/>
      <selection pane="topRight" activeCell="BN17" sqref="BN17"/>
    </sheetView>
  </sheetViews>
  <sheetFormatPr defaultColWidth="9.140625" defaultRowHeight="15" x14ac:dyDescent="0.25"/>
  <cols>
    <col min="1" max="1" width="77.42578125" style="1" bestFit="1" customWidth="1"/>
    <col min="2" max="2" width="3" style="1" bestFit="1" customWidth="1"/>
    <col min="3" max="45" width="20.140625" style="1" customWidth="1"/>
    <col min="46" max="46" width="16.28515625" style="1" customWidth="1"/>
    <col min="47" max="48" width="18.85546875" style="1" customWidth="1"/>
    <col min="49" max="49" width="14.140625" style="1" customWidth="1"/>
    <col min="50" max="50" width="15" style="1" customWidth="1"/>
    <col min="51" max="53" width="9.140625" style="1"/>
    <col min="54" max="54" width="14.28515625" style="1" bestFit="1" customWidth="1"/>
    <col min="55" max="55" width="9.140625" style="1"/>
    <col min="56" max="56" width="20.140625" style="1" customWidth="1"/>
    <col min="57" max="57" width="9.140625" style="1"/>
    <col min="58" max="58" width="22.140625" style="1" customWidth="1"/>
    <col min="59" max="59" width="13" style="1" customWidth="1"/>
    <col min="60" max="61" width="9.140625" style="1"/>
    <col min="62" max="62" width="16.140625" style="1" customWidth="1"/>
    <col min="63" max="63" width="17.5703125" style="1" customWidth="1"/>
    <col min="64" max="64" width="14.28515625" style="1" bestFit="1" customWidth="1"/>
    <col min="65" max="65" width="14.7109375" style="1" customWidth="1"/>
    <col min="66" max="66" width="18.42578125" style="1" customWidth="1"/>
    <col min="67" max="67" width="19.140625" style="1" customWidth="1"/>
    <col min="68" max="69" width="19" style="1" customWidth="1"/>
    <col min="70" max="70" width="14.28515625" style="1" bestFit="1" customWidth="1"/>
    <col min="71" max="71" width="14.7109375" style="1" customWidth="1"/>
    <col min="72" max="72" width="13.42578125" style="1" customWidth="1"/>
    <col min="73" max="73" width="14.5703125" style="1" customWidth="1"/>
    <col min="74" max="74" width="23" style="1" customWidth="1"/>
    <col min="75" max="75" width="27.28515625" style="1" customWidth="1"/>
    <col min="76" max="76" width="14.28515625" style="1" bestFit="1" customWidth="1"/>
    <col min="77" max="81" width="9.140625" style="1"/>
    <col min="82" max="82" width="14.28515625" style="1" bestFit="1" customWidth="1"/>
    <col min="83" max="87" width="9.140625" style="1"/>
    <col min="88" max="88" width="15.5703125" style="1" customWidth="1"/>
    <col min="89" max="93" width="9.140625" style="1"/>
    <col min="94" max="94" width="14.28515625" style="1" bestFit="1" customWidth="1"/>
    <col min="95" max="99" width="9.140625" style="1"/>
    <col min="100" max="100" width="14.28515625" style="1" bestFit="1" customWidth="1"/>
    <col min="101" max="103" width="9.140625" style="1"/>
    <col min="104" max="104" width="9" style="1" bestFit="1" customWidth="1"/>
    <col min="105" max="105" width="19.85546875" style="1" bestFit="1" customWidth="1"/>
    <col min="106" max="106" width="14.28515625" style="1" bestFit="1" customWidth="1"/>
    <col min="107" max="111" width="9.140625" style="1"/>
    <col min="112" max="112" width="14.28515625" style="1" bestFit="1" customWidth="1"/>
    <col min="113" max="117" width="9.140625" style="1"/>
    <col min="118" max="118" width="14.28515625" style="1" bestFit="1" customWidth="1"/>
    <col min="119" max="123" width="9.140625" style="1"/>
    <col min="124" max="124" width="14.28515625" style="1" bestFit="1" customWidth="1"/>
    <col min="125" max="129" width="9.140625" style="1"/>
    <col min="130" max="130" width="14.28515625" style="1" bestFit="1" customWidth="1"/>
    <col min="131" max="16384" width="9.140625" style="1"/>
  </cols>
  <sheetData>
    <row r="1" spans="1:130"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2">
        <v>45675</v>
      </c>
      <c r="S1" s="2">
        <v>45677</v>
      </c>
      <c r="T1" s="2">
        <v>45678</v>
      </c>
      <c r="U1" s="2">
        <v>45679</v>
      </c>
      <c r="V1" s="2">
        <v>45680</v>
      </c>
      <c r="W1" s="2">
        <v>45681</v>
      </c>
      <c r="X1" s="20" t="s">
        <v>56</v>
      </c>
      <c r="Y1" s="2">
        <v>45684</v>
      </c>
      <c r="Z1" s="2">
        <v>45685</v>
      </c>
      <c r="AA1" s="2">
        <v>45686</v>
      </c>
      <c r="AB1" s="2">
        <v>45687</v>
      </c>
      <c r="AC1" s="2">
        <v>45688</v>
      </c>
      <c r="AD1" s="20" t="s">
        <v>56</v>
      </c>
      <c r="AE1" s="2">
        <v>45691</v>
      </c>
      <c r="AF1" s="2">
        <v>45692</v>
      </c>
      <c r="AG1" s="2">
        <v>45693</v>
      </c>
      <c r="AH1" s="2">
        <v>45694</v>
      </c>
      <c r="AI1" s="2">
        <v>45695</v>
      </c>
      <c r="AJ1" s="20" t="s">
        <v>56</v>
      </c>
      <c r="AK1" s="2">
        <v>45698</v>
      </c>
      <c r="AL1" s="2">
        <v>45699</v>
      </c>
      <c r="AM1" s="2">
        <v>45700</v>
      </c>
      <c r="AN1" s="2">
        <v>45701</v>
      </c>
      <c r="AO1" s="2">
        <v>45702</v>
      </c>
      <c r="AP1" s="20" t="s">
        <v>56</v>
      </c>
      <c r="AQ1" s="2">
        <v>45705</v>
      </c>
      <c r="AR1" s="2">
        <v>45706</v>
      </c>
      <c r="AS1" s="2">
        <v>45707</v>
      </c>
      <c r="AT1" s="2">
        <v>45708</v>
      </c>
      <c r="AU1" s="2">
        <v>45709</v>
      </c>
      <c r="AV1" s="20" t="s">
        <v>56</v>
      </c>
      <c r="AW1" s="2">
        <v>45712</v>
      </c>
      <c r="AX1" s="2">
        <v>45713</v>
      </c>
      <c r="AY1" s="2">
        <v>45714</v>
      </c>
      <c r="AZ1" s="2">
        <v>45715</v>
      </c>
      <c r="BA1" s="1" t="s">
        <v>30</v>
      </c>
      <c r="BB1" s="20" t="s">
        <v>56</v>
      </c>
      <c r="BC1" s="2">
        <v>45721</v>
      </c>
      <c r="BD1" s="2">
        <v>45722</v>
      </c>
      <c r="BE1" s="2">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c r="CE1" s="10">
        <v>45754</v>
      </c>
      <c r="CF1" s="10">
        <v>45755</v>
      </c>
      <c r="CG1" s="10">
        <v>45756</v>
      </c>
      <c r="CH1" s="10">
        <v>45757</v>
      </c>
      <c r="CI1" s="10">
        <v>45758</v>
      </c>
      <c r="CJ1" s="20" t="s">
        <v>56</v>
      </c>
      <c r="CK1" s="2">
        <v>45761</v>
      </c>
      <c r="CL1" s="2">
        <v>45762</v>
      </c>
      <c r="CM1" s="2">
        <v>45763</v>
      </c>
      <c r="CN1" s="2">
        <v>45764</v>
      </c>
      <c r="CO1" s="2">
        <v>45765</v>
      </c>
      <c r="CP1" s="20" t="s">
        <v>56</v>
      </c>
      <c r="CQ1" s="2">
        <v>45768</v>
      </c>
      <c r="CR1" s="2">
        <v>45769</v>
      </c>
      <c r="CS1" s="2">
        <v>45770</v>
      </c>
      <c r="CT1" s="2">
        <v>45771</v>
      </c>
      <c r="CU1" s="2">
        <v>45772</v>
      </c>
      <c r="CV1" s="20" t="s">
        <v>56</v>
      </c>
      <c r="CW1" s="2">
        <v>45775</v>
      </c>
      <c r="CX1" s="2">
        <v>45776</v>
      </c>
      <c r="CY1" s="2">
        <v>45777</v>
      </c>
      <c r="CZ1" s="10">
        <v>45778</v>
      </c>
      <c r="DA1" s="10">
        <v>45779</v>
      </c>
      <c r="DB1" s="20" t="s">
        <v>56</v>
      </c>
      <c r="DC1" s="2">
        <v>45782</v>
      </c>
      <c r="DD1" s="2">
        <v>45783</v>
      </c>
      <c r="DE1" s="2">
        <v>45784</v>
      </c>
      <c r="DF1" s="2">
        <v>45785</v>
      </c>
      <c r="DG1" s="2">
        <v>45786</v>
      </c>
      <c r="DH1" s="20" t="s">
        <v>56</v>
      </c>
      <c r="DI1" s="2">
        <v>45789</v>
      </c>
      <c r="DJ1" s="2">
        <v>45790</v>
      </c>
      <c r="DK1" s="2">
        <v>45791</v>
      </c>
      <c r="DL1" s="2">
        <v>45792</v>
      </c>
      <c r="DM1" s="2">
        <v>45793</v>
      </c>
      <c r="DN1" s="20" t="s">
        <v>56</v>
      </c>
      <c r="DO1" s="2">
        <v>45796</v>
      </c>
      <c r="DP1" s="2">
        <v>45797</v>
      </c>
      <c r="DQ1" s="2">
        <v>45798</v>
      </c>
      <c r="DR1" s="2">
        <v>45799</v>
      </c>
      <c r="DS1" s="2">
        <v>45800</v>
      </c>
      <c r="DT1" s="20" t="s">
        <v>56</v>
      </c>
      <c r="DU1" s="10">
        <v>45803</v>
      </c>
      <c r="DV1" s="10">
        <v>45804</v>
      </c>
      <c r="DW1" s="10">
        <v>45805</v>
      </c>
      <c r="DX1" s="10">
        <v>45806</v>
      </c>
      <c r="DY1" s="10">
        <v>45807</v>
      </c>
      <c r="DZ1" s="50" t="s">
        <v>56</v>
      </c>
    </row>
    <row r="2" spans="1:130" ht="20.25" customHeight="1" x14ac:dyDescent="0.25">
      <c r="A2" s="3" t="s">
        <v>113</v>
      </c>
      <c r="B2" s="5">
        <v>1</v>
      </c>
      <c r="E2" s="21"/>
      <c r="K2" s="21"/>
      <c r="Q2" s="21"/>
      <c r="X2" s="21"/>
      <c r="AD2" s="21"/>
      <c r="AJ2" s="21"/>
      <c r="AP2" s="21"/>
      <c r="AV2" s="21"/>
      <c r="BB2" s="21"/>
      <c r="BF2" s="21"/>
      <c r="BL2" s="21"/>
      <c r="BR2" s="21"/>
      <c r="BT2" s="1">
        <v>3</v>
      </c>
      <c r="BX2" s="21"/>
      <c r="CD2" s="21"/>
      <c r="CJ2" s="21"/>
      <c r="CO2" s="1" t="s">
        <v>205</v>
      </c>
      <c r="CP2" s="21"/>
      <c r="CQ2" s="1" t="s">
        <v>205</v>
      </c>
      <c r="CV2" s="21"/>
      <c r="CZ2" s="1" t="s">
        <v>289</v>
      </c>
      <c r="DA2" s="1" t="s">
        <v>290</v>
      </c>
      <c r="DB2" s="21"/>
      <c r="DH2" s="21">
        <f>SUM(DC2:DG2)</f>
        <v>0</v>
      </c>
      <c r="DK2" s="1">
        <v>1</v>
      </c>
      <c r="DN2" s="21">
        <f>SUM(DI2:DM2)</f>
        <v>1</v>
      </c>
      <c r="DP2" s="1">
        <v>1</v>
      </c>
      <c r="DT2" s="21">
        <f>SUM(DO2:DS2)</f>
        <v>1</v>
      </c>
      <c r="DU2" s="1">
        <v>1</v>
      </c>
      <c r="DZ2" s="51">
        <f>SUM(DU2:DY2)</f>
        <v>1</v>
      </c>
    </row>
    <row r="3" spans="1:130" ht="20.25" customHeight="1" x14ac:dyDescent="0.25">
      <c r="A3" s="3" t="s">
        <v>0</v>
      </c>
      <c r="B3" s="5">
        <v>2</v>
      </c>
      <c r="E3" s="21"/>
      <c r="K3" s="21"/>
      <c r="Q3" s="21"/>
      <c r="X3" s="21"/>
      <c r="AD3" s="21"/>
      <c r="AF3" s="1">
        <v>9</v>
      </c>
      <c r="AG3" s="1">
        <v>8</v>
      </c>
      <c r="AH3" s="1">
        <v>7</v>
      </c>
      <c r="AJ3" s="21"/>
      <c r="AN3" s="1">
        <v>4</v>
      </c>
      <c r="AP3" s="21">
        <f>SUM(AK3:AO3)</f>
        <v>4</v>
      </c>
      <c r="AV3" s="21"/>
      <c r="BB3" s="21"/>
      <c r="BF3" s="21"/>
      <c r="BL3" s="21"/>
      <c r="BR3" s="21"/>
      <c r="BT3" s="1">
        <v>3</v>
      </c>
      <c r="BX3" s="21"/>
      <c r="CD3" s="21"/>
      <c r="CJ3" s="21"/>
      <c r="CP3" s="21"/>
      <c r="CV3" s="21">
        <f>SUM(CQ3:CU3)</f>
        <v>0</v>
      </c>
      <c r="DB3" s="21">
        <f>SUM(CW3:DA3)</f>
        <v>0</v>
      </c>
      <c r="DH3" s="21">
        <f t="shared" ref="DH3:DH7" si="0">SUM(DC3:DG3)</f>
        <v>0</v>
      </c>
      <c r="DK3" s="1">
        <v>2</v>
      </c>
      <c r="DN3" s="21">
        <f t="shared" ref="DN3:DN7" si="1">SUM(DI3:DM3)</f>
        <v>2</v>
      </c>
      <c r="DP3" s="1">
        <v>10</v>
      </c>
      <c r="DT3" s="21">
        <f t="shared" ref="DT3:DT7" si="2">SUM(DO3:DS3)</f>
        <v>10</v>
      </c>
      <c r="DU3" s="1">
        <v>1</v>
      </c>
      <c r="DZ3" s="51">
        <f t="shared" ref="DZ3:DZ16" si="3">SUM(DU3:DY3)</f>
        <v>1</v>
      </c>
    </row>
    <row r="4" spans="1:130" ht="20.25" customHeight="1" x14ac:dyDescent="0.25">
      <c r="A4" s="4" t="s">
        <v>100</v>
      </c>
      <c r="B4" s="6">
        <v>3</v>
      </c>
      <c r="E4" s="21"/>
      <c r="K4" s="21"/>
      <c r="Q4" s="21"/>
      <c r="X4" s="21"/>
      <c r="AD4" s="21"/>
      <c r="AJ4" s="21"/>
      <c r="AP4" s="21"/>
      <c r="AS4" s="1">
        <v>79</v>
      </c>
      <c r="AV4" s="21">
        <f>SUM(AQ4:AU4)</f>
        <v>79</v>
      </c>
      <c r="BB4" s="21"/>
      <c r="BF4" s="21"/>
      <c r="BL4" s="21"/>
      <c r="BR4" s="21"/>
      <c r="BT4" s="1">
        <v>1</v>
      </c>
      <c r="BX4" s="21"/>
      <c r="CD4" s="21"/>
      <c r="CJ4" s="21"/>
      <c r="CP4" s="21"/>
      <c r="CV4" s="21"/>
      <c r="DB4" s="21"/>
      <c r="DH4" s="21">
        <f t="shared" si="0"/>
        <v>0</v>
      </c>
      <c r="DN4" s="21">
        <f t="shared" si="1"/>
        <v>0</v>
      </c>
      <c r="DP4" s="1">
        <v>2</v>
      </c>
      <c r="DT4" s="21">
        <f t="shared" si="2"/>
        <v>2</v>
      </c>
      <c r="DU4" s="1">
        <v>5</v>
      </c>
      <c r="DZ4" s="51">
        <f t="shared" si="3"/>
        <v>5</v>
      </c>
    </row>
    <row r="5" spans="1:130" ht="20.25" customHeight="1" x14ac:dyDescent="0.25">
      <c r="A5" s="4" t="s">
        <v>99</v>
      </c>
      <c r="B5" s="5">
        <v>4</v>
      </c>
      <c r="E5" s="21"/>
      <c r="K5" s="21"/>
      <c r="Q5" s="21"/>
      <c r="X5" s="21"/>
      <c r="AD5" s="21"/>
      <c r="AJ5" s="21"/>
      <c r="AP5" s="21"/>
      <c r="AV5" s="21"/>
      <c r="BB5" s="21"/>
      <c r="BD5" s="1">
        <v>32</v>
      </c>
      <c r="BF5" s="21"/>
      <c r="BL5" s="21"/>
      <c r="BR5" s="21"/>
      <c r="BX5" s="21"/>
      <c r="CD5" s="21"/>
      <c r="CJ5" s="21"/>
      <c r="CN5" s="1">
        <v>7</v>
      </c>
      <c r="CP5" s="21"/>
      <c r="CS5" s="1">
        <v>1</v>
      </c>
      <c r="CV5" s="21"/>
      <c r="DB5" s="21"/>
      <c r="DH5" s="21">
        <f t="shared" si="0"/>
        <v>0</v>
      </c>
      <c r="DN5" s="21">
        <f t="shared" si="1"/>
        <v>0</v>
      </c>
      <c r="DP5" s="1">
        <v>1</v>
      </c>
      <c r="DT5" s="21">
        <f t="shared" si="2"/>
        <v>1</v>
      </c>
      <c r="DZ5" s="51">
        <f t="shared" si="3"/>
        <v>0</v>
      </c>
    </row>
    <row r="6" spans="1:130" ht="20.25" customHeight="1" x14ac:dyDescent="0.25">
      <c r="A6" s="4" t="s">
        <v>1</v>
      </c>
      <c r="B6" s="5">
        <v>5</v>
      </c>
      <c r="E6" s="21"/>
      <c r="K6" s="21"/>
      <c r="Q6" s="21"/>
      <c r="X6" s="21"/>
      <c r="AD6" s="21"/>
      <c r="AJ6" s="21"/>
      <c r="AP6" s="21"/>
      <c r="AV6" s="21"/>
      <c r="BB6" s="21"/>
      <c r="BF6" s="21"/>
      <c r="BL6" s="21"/>
      <c r="BR6" s="21"/>
      <c r="BX6" s="21"/>
      <c r="CD6" s="21"/>
      <c r="CH6" s="1">
        <v>14</v>
      </c>
      <c r="CJ6" s="21">
        <f t="shared" ref="CJ6:CJ7" si="4">SUM(CE6:CI6)</f>
        <v>14</v>
      </c>
      <c r="CP6" s="21">
        <f>SUM(CK6:CO6)</f>
        <v>0</v>
      </c>
      <c r="CV6" s="21"/>
      <c r="DB6" s="21"/>
      <c r="DH6" s="21">
        <f t="shared" si="0"/>
        <v>0</v>
      </c>
      <c r="DN6" s="21">
        <f t="shared" si="1"/>
        <v>0</v>
      </c>
      <c r="DT6" s="21">
        <f t="shared" si="2"/>
        <v>0</v>
      </c>
      <c r="DZ6" s="51">
        <f t="shared" si="3"/>
        <v>0</v>
      </c>
    </row>
    <row r="7" spans="1:130" ht="20.25" customHeight="1" x14ac:dyDescent="0.25">
      <c r="A7" s="4" t="s">
        <v>2</v>
      </c>
      <c r="B7" s="6">
        <v>6</v>
      </c>
      <c r="E7" s="21"/>
      <c r="K7" s="21"/>
      <c r="Q7" s="21"/>
      <c r="X7" s="21"/>
      <c r="AD7" s="21"/>
      <c r="AJ7" s="21"/>
      <c r="AP7" s="21"/>
      <c r="AV7" s="21"/>
      <c r="BB7" s="21"/>
      <c r="BF7" s="21"/>
      <c r="BL7" s="21"/>
      <c r="BR7" s="21"/>
      <c r="BS7" s="1">
        <v>2</v>
      </c>
      <c r="BT7" s="1">
        <v>1</v>
      </c>
      <c r="BX7" s="21"/>
      <c r="BY7" s="1">
        <v>22</v>
      </c>
      <c r="CA7" s="1">
        <v>16</v>
      </c>
      <c r="CD7" s="21"/>
      <c r="CI7" s="1">
        <v>9</v>
      </c>
      <c r="CJ7" s="21">
        <f t="shared" si="4"/>
        <v>9</v>
      </c>
      <c r="CL7" s="1">
        <v>13</v>
      </c>
      <c r="CP7" s="21">
        <f t="shared" ref="CP7" si="5">SUM(CK7:CO7)</f>
        <v>13</v>
      </c>
      <c r="CV7" s="21">
        <f>SUM(CQ7:CU7)</f>
        <v>0</v>
      </c>
      <c r="DB7" s="21">
        <f>SUM(CW7:DA7)</f>
        <v>0</v>
      </c>
      <c r="DH7" s="21">
        <f t="shared" si="0"/>
        <v>0</v>
      </c>
      <c r="DN7" s="21">
        <f t="shared" si="1"/>
        <v>0</v>
      </c>
      <c r="DT7" s="21">
        <f t="shared" si="2"/>
        <v>0</v>
      </c>
      <c r="DU7" s="1">
        <v>19</v>
      </c>
      <c r="DV7" s="1">
        <v>18</v>
      </c>
      <c r="DW7" s="1">
        <v>19</v>
      </c>
      <c r="DX7" s="1">
        <v>27</v>
      </c>
      <c r="DY7" s="1">
        <v>5</v>
      </c>
      <c r="DZ7" s="51">
        <f t="shared" si="3"/>
        <v>88</v>
      </c>
    </row>
    <row r="8" spans="1:130" ht="20.25" customHeight="1" x14ac:dyDescent="0.25">
      <c r="A8" s="4" t="s">
        <v>3</v>
      </c>
      <c r="B8" s="5">
        <v>7</v>
      </c>
      <c r="E8" s="21"/>
      <c r="K8" s="21"/>
      <c r="Q8" s="21"/>
      <c r="U8" s="1">
        <v>25</v>
      </c>
      <c r="X8" s="21">
        <f>SUM(R8:W8)</f>
        <v>25</v>
      </c>
      <c r="Y8" s="1">
        <v>37</v>
      </c>
      <c r="AD8" s="21">
        <f>SUM(Y8:AC8)</f>
        <v>37</v>
      </c>
      <c r="AH8" s="1">
        <v>22</v>
      </c>
      <c r="AJ8" s="21">
        <f>SUM(AE8:AI8)</f>
        <v>22</v>
      </c>
      <c r="AP8" s="21"/>
      <c r="AV8" s="21"/>
      <c r="BB8" s="21"/>
      <c r="BF8" s="21"/>
      <c r="BL8" s="21"/>
      <c r="BR8" s="21"/>
      <c r="BX8" s="21">
        <f>SUM(BS8:BW8)</f>
        <v>0</v>
      </c>
      <c r="BY8" s="1">
        <v>22</v>
      </c>
      <c r="BZ8" s="1">
        <v>82</v>
      </c>
      <c r="CA8" s="1">
        <v>16</v>
      </c>
      <c r="CD8" s="21">
        <f>SUM(BY8:CC8)</f>
        <v>120</v>
      </c>
      <c r="CI8" s="1">
        <v>9</v>
      </c>
      <c r="CJ8" s="21">
        <f>SUM(CE8:CI8)</f>
        <v>9</v>
      </c>
      <c r="CL8" s="1">
        <v>13</v>
      </c>
      <c r="CP8" s="21">
        <f>SUM(CK8:CO8)</f>
        <v>13</v>
      </c>
      <c r="CR8" s="1">
        <v>27</v>
      </c>
      <c r="CV8" s="21">
        <f>SUM(CQ8:CU8)</f>
        <v>27</v>
      </c>
      <c r="DB8" s="21">
        <f>SUM(CW8:DA8)</f>
        <v>0</v>
      </c>
      <c r="DH8" s="21">
        <f>SUM(DC8:DG8)</f>
        <v>0</v>
      </c>
      <c r="DN8" s="21">
        <f>SUM(DI8:DM8)</f>
        <v>0</v>
      </c>
      <c r="DR8" s="1">
        <v>5</v>
      </c>
      <c r="DT8" s="21">
        <f>SUM(DO8:DS8)</f>
        <v>5</v>
      </c>
      <c r="DZ8" s="51">
        <f t="shared" si="3"/>
        <v>0</v>
      </c>
    </row>
    <row r="9" spans="1:130" ht="20.25" customHeight="1" x14ac:dyDescent="0.25">
      <c r="A9" s="4" t="s">
        <v>21</v>
      </c>
      <c r="B9" s="5">
        <v>8</v>
      </c>
      <c r="E9" s="21"/>
      <c r="K9" s="21"/>
      <c r="Q9" s="21"/>
      <c r="X9" s="21"/>
      <c r="AD9" s="21"/>
      <c r="AJ9" s="21"/>
      <c r="AP9" s="21"/>
      <c r="AV9" s="21"/>
      <c r="BB9" s="21"/>
      <c r="BF9" s="21"/>
      <c r="BL9" s="21"/>
      <c r="BR9" s="21">
        <f>SUM(BM9:BQ9)</f>
        <v>0</v>
      </c>
      <c r="BX9" s="21">
        <f>SUM(BS9:BW9)</f>
        <v>0</v>
      </c>
      <c r="BY9" s="1">
        <v>10</v>
      </c>
      <c r="CA9" s="1">
        <v>16</v>
      </c>
      <c r="CD9" s="21">
        <f>SUM(BY9:CC9)</f>
        <v>26</v>
      </c>
      <c r="CI9" s="1">
        <v>9</v>
      </c>
      <c r="CJ9" s="21">
        <f>SUM(CE9:CI9)</f>
        <v>9</v>
      </c>
      <c r="CL9" s="1">
        <v>13</v>
      </c>
      <c r="CP9" s="21">
        <f>SUM(CK9:CO9)</f>
        <v>13</v>
      </c>
      <c r="CV9" s="21">
        <f>SUM(CQ9:CU9)</f>
        <v>0</v>
      </c>
      <c r="DB9" s="21">
        <f>SUM(CW9:DA9)</f>
        <v>0</v>
      </c>
      <c r="DH9" s="21">
        <f>SUM(DC9:DG9)</f>
        <v>0</v>
      </c>
      <c r="DN9" s="21">
        <f>SUM(DI9:DM9)</f>
        <v>0</v>
      </c>
      <c r="DT9" s="21">
        <f>SUM(DO9:DS9)</f>
        <v>0</v>
      </c>
      <c r="DZ9" s="51">
        <f t="shared" si="3"/>
        <v>0</v>
      </c>
    </row>
    <row r="10" spans="1:130" ht="20.25" customHeight="1" x14ac:dyDescent="0.25">
      <c r="A10" s="3" t="s">
        <v>13</v>
      </c>
      <c r="B10" s="6">
        <v>9</v>
      </c>
      <c r="E10" s="21"/>
      <c r="K10" s="21"/>
      <c r="Q10" s="21"/>
      <c r="X10" s="21"/>
      <c r="AD10" s="21"/>
      <c r="AJ10" s="21"/>
      <c r="AP10" s="21"/>
      <c r="AV10" s="21"/>
      <c r="BB10" s="21"/>
      <c r="BF10" s="21"/>
      <c r="BL10" s="21"/>
      <c r="BR10" s="21">
        <f>SUM(BM10:BQ10)</f>
        <v>0</v>
      </c>
      <c r="BX10" s="21">
        <f>SUM(BS10:BW10)</f>
        <v>0</v>
      </c>
      <c r="BY10" s="1">
        <v>22</v>
      </c>
      <c r="CA10" s="1">
        <v>16</v>
      </c>
      <c r="CB10" s="1">
        <v>10</v>
      </c>
      <c r="CD10" s="21">
        <f>SUM(BY10:CC10)</f>
        <v>48</v>
      </c>
      <c r="CJ10" s="21">
        <f>SUM(CE10:CI10)</f>
        <v>0</v>
      </c>
      <c r="CP10" s="21">
        <f>SUM(CK10:CO10)</f>
        <v>0</v>
      </c>
      <c r="CV10" s="21">
        <f>SUM(CQ10:CU10)</f>
        <v>0</v>
      </c>
      <c r="DB10" s="21">
        <f>SUM(CW10:DA10)</f>
        <v>0</v>
      </c>
      <c r="DH10" s="21">
        <f>SUM(DC10:DG10)</f>
        <v>0</v>
      </c>
      <c r="DN10" s="21">
        <f>SUM(DI10:DM10)</f>
        <v>0</v>
      </c>
      <c r="DT10" s="21">
        <f>SUM(DO10:DS10)</f>
        <v>0</v>
      </c>
      <c r="DZ10" s="51">
        <f t="shared" si="3"/>
        <v>0</v>
      </c>
    </row>
    <row r="11" spans="1:130" ht="20.25" customHeight="1" x14ac:dyDescent="0.25">
      <c r="A11" s="4" t="s">
        <v>4</v>
      </c>
      <c r="B11" s="5">
        <v>10</v>
      </c>
      <c r="E11" s="21"/>
      <c r="K11" s="21"/>
      <c r="Q11" s="21"/>
      <c r="S11" s="1">
        <v>8</v>
      </c>
      <c r="V11" s="1">
        <v>3</v>
      </c>
      <c r="X11" s="21">
        <f>SUM(R11:W11)</f>
        <v>11</v>
      </c>
      <c r="AD11" s="21"/>
      <c r="AJ11" s="21"/>
      <c r="AP11" s="21"/>
      <c r="AQ11" s="1">
        <v>3</v>
      </c>
      <c r="AR11" s="1">
        <v>7</v>
      </c>
      <c r="AV11" s="21">
        <f>SUM(AQ11:AU11)</f>
        <v>10</v>
      </c>
      <c r="AY11" s="1">
        <v>5</v>
      </c>
      <c r="AZ11" s="1">
        <v>3</v>
      </c>
      <c r="BA11" s="1">
        <v>5</v>
      </c>
      <c r="BB11" s="21">
        <f>SUM(AW11:BA11)</f>
        <v>13</v>
      </c>
      <c r="BC11" s="1">
        <v>2</v>
      </c>
      <c r="BE11" s="1">
        <v>5</v>
      </c>
      <c r="BF11" s="21">
        <f>SUM(BC11:BE11)</f>
        <v>7</v>
      </c>
      <c r="BG11" s="1">
        <v>1</v>
      </c>
      <c r="BL11" s="21">
        <f>SUM(BG11:BK11)</f>
        <v>1</v>
      </c>
      <c r="BR11" s="21">
        <f>SUM(BM11:BQ11)</f>
        <v>0</v>
      </c>
      <c r="BS11" s="1">
        <v>5</v>
      </c>
      <c r="BT11" s="1">
        <v>4</v>
      </c>
      <c r="BX11" s="21">
        <f>SUM(BS11:BW11)</f>
        <v>9</v>
      </c>
      <c r="CB11" s="1">
        <v>10</v>
      </c>
      <c r="CD11" s="21">
        <f>SUM(BY11:CC11)</f>
        <v>10</v>
      </c>
      <c r="CJ11" s="21">
        <f>SUM(CE11:CI11)</f>
        <v>0</v>
      </c>
      <c r="CP11" s="21">
        <f>SUM(CK11:CO11)</f>
        <v>0</v>
      </c>
      <c r="CV11" s="21">
        <f>SUM(CQ11:CU11)</f>
        <v>0</v>
      </c>
      <c r="CW11" s="1">
        <v>5</v>
      </c>
      <c r="CX11" s="1">
        <v>5</v>
      </c>
      <c r="CY11" s="1">
        <v>5</v>
      </c>
      <c r="DB11" s="21">
        <f>SUM(CW11:DA11)</f>
        <v>15</v>
      </c>
      <c r="DH11" s="21">
        <f>SUM(DC11:DG11)</f>
        <v>0</v>
      </c>
      <c r="DN11" s="21">
        <f>SUM(DI11:DM11)</f>
        <v>0</v>
      </c>
      <c r="DT11" s="21">
        <f>SUM(DO11:DS11)</f>
        <v>0</v>
      </c>
      <c r="DU11" s="1">
        <v>2</v>
      </c>
      <c r="DV11" s="1">
        <v>5</v>
      </c>
      <c r="DW11" s="1">
        <v>2</v>
      </c>
      <c r="DX11" s="1">
        <v>3</v>
      </c>
      <c r="DY11" s="1">
        <v>2</v>
      </c>
      <c r="DZ11" s="51">
        <f t="shared" si="3"/>
        <v>14</v>
      </c>
    </row>
    <row r="12" spans="1:130" ht="20.25" customHeight="1" x14ac:dyDescent="0.25">
      <c r="A12" s="4" t="s">
        <v>5</v>
      </c>
      <c r="B12" s="5">
        <v>11</v>
      </c>
      <c r="E12" s="21"/>
      <c r="K12" s="21"/>
      <c r="Q12" s="21"/>
      <c r="S12" s="1">
        <v>46</v>
      </c>
      <c r="V12" s="1">
        <v>69</v>
      </c>
      <c r="X12" s="21">
        <f>SUM(R12:W12)</f>
        <v>115</v>
      </c>
      <c r="AD12" s="21"/>
      <c r="AJ12" s="21"/>
      <c r="AP12" s="21"/>
      <c r="AQ12" s="1">
        <v>53</v>
      </c>
      <c r="AR12" s="1">
        <v>131</v>
      </c>
      <c r="AV12" s="21">
        <f>SUM(AQ12:AU12)</f>
        <v>184</v>
      </c>
      <c r="AY12" s="1">
        <v>111</v>
      </c>
      <c r="AZ12" s="1">
        <v>41</v>
      </c>
      <c r="BA12" s="1">
        <v>75</v>
      </c>
      <c r="BB12" s="21">
        <f>SUM(AW12:BA12)</f>
        <v>227</v>
      </c>
      <c r="BC12" s="1">
        <v>13</v>
      </c>
      <c r="BE12" s="1">
        <v>64</v>
      </c>
      <c r="BF12" s="21">
        <f>SUM(BC12:BE12)</f>
        <v>77</v>
      </c>
      <c r="BG12" s="1">
        <v>21</v>
      </c>
      <c r="BL12" s="21">
        <f>SUM(BG12:BK12)</f>
        <v>21</v>
      </c>
      <c r="BR12" s="21"/>
      <c r="BS12" s="1">
        <v>101</v>
      </c>
      <c r="BT12" s="1">
        <v>47</v>
      </c>
      <c r="BX12" s="21"/>
      <c r="CD12" s="21"/>
      <c r="CJ12" s="21"/>
      <c r="CP12" s="21"/>
      <c r="CV12" s="21">
        <f t="shared" ref="CV12:CV16" si="6">SUM(CQ12:CU12)</f>
        <v>0</v>
      </c>
      <c r="CW12" s="1">
        <v>59</v>
      </c>
      <c r="CX12" s="1">
        <v>64</v>
      </c>
      <c r="CY12" s="1">
        <v>51</v>
      </c>
      <c r="DB12" s="21"/>
      <c r="DH12" s="21">
        <f t="shared" ref="DH12:DH16" si="7">SUM(DC12:DG12)</f>
        <v>0</v>
      </c>
      <c r="DN12" s="21">
        <f t="shared" ref="DN12:DN16" si="8">SUM(DI12:DM12)</f>
        <v>0</v>
      </c>
      <c r="DT12" s="21">
        <f t="shared" ref="DT12:DT16" si="9">SUM(DO12:DS12)</f>
        <v>0</v>
      </c>
      <c r="DU12" s="1">
        <v>55</v>
      </c>
      <c r="DV12" s="1">
        <v>91</v>
      </c>
      <c r="DW12" s="1">
        <v>34</v>
      </c>
      <c r="DX12" s="1">
        <v>83</v>
      </c>
      <c r="DY12" s="1">
        <v>43</v>
      </c>
      <c r="DZ12" s="51">
        <f t="shared" si="3"/>
        <v>306</v>
      </c>
    </row>
    <row r="13" spans="1:130" ht="20.25" customHeight="1" x14ac:dyDescent="0.25">
      <c r="A13" s="3" t="s">
        <v>8</v>
      </c>
      <c r="B13" s="6">
        <v>12</v>
      </c>
      <c r="E13" s="21"/>
      <c r="K13" s="21"/>
      <c r="Q13" s="21"/>
      <c r="T13" s="1">
        <v>22</v>
      </c>
      <c r="X13" s="21"/>
      <c r="AD13" s="21"/>
      <c r="AJ13" s="21"/>
      <c r="AP13" s="21"/>
      <c r="AV13" s="21"/>
      <c r="BB13" s="21"/>
      <c r="BE13" s="1">
        <v>25</v>
      </c>
      <c r="BF13" s="21">
        <v>25</v>
      </c>
      <c r="BG13" s="1">
        <v>10</v>
      </c>
      <c r="BI13" s="1">
        <v>10</v>
      </c>
      <c r="BL13" s="21">
        <f t="shared" ref="BL13:BL16" si="10">SUM(BG13:BK13)</f>
        <v>20</v>
      </c>
      <c r="BO13" s="1">
        <v>1</v>
      </c>
      <c r="BP13" s="1">
        <v>1</v>
      </c>
      <c r="BR13" s="21"/>
      <c r="BT13" s="1">
        <v>3</v>
      </c>
      <c r="BX13" s="21"/>
      <c r="CD13" s="21"/>
      <c r="CJ13" s="21"/>
      <c r="CP13" s="21"/>
      <c r="CV13" s="21">
        <f t="shared" si="6"/>
        <v>0</v>
      </c>
      <c r="DB13" s="21"/>
      <c r="DH13" s="21">
        <f t="shared" si="7"/>
        <v>0</v>
      </c>
      <c r="DK13" s="1">
        <v>2</v>
      </c>
      <c r="DN13" s="21">
        <f t="shared" si="8"/>
        <v>2</v>
      </c>
      <c r="DP13" s="1">
        <v>2</v>
      </c>
      <c r="DR13" s="1">
        <v>2</v>
      </c>
      <c r="DT13" s="21">
        <f t="shared" si="9"/>
        <v>4</v>
      </c>
      <c r="DU13" s="1">
        <v>1</v>
      </c>
      <c r="DZ13" s="51">
        <f t="shared" si="3"/>
        <v>1</v>
      </c>
    </row>
    <row r="14" spans="1:130" ht="20.25" customHeight="1" x14ac:dyDescent="0.25">
      <c r="A14" s="4" t="s">
        <v>6</v>
      </c>
      <c r="B14" s="5">
        <v>13</v>
      </c>
      <c r="E14" s="21"/>
      <c r="K14" s="21"/>
      <c r="Q14" s="21"/>
      <c r="X14" s="21"/>
      <c r="AD14" s="21"/>
      <c r="AJ14" s="21"/>
      <c r="AP14" s="21"/>
      <c r="AV14" s="21"/>
      <c r="BB14" s="21"/>
      <c r="BF14" s="21"/>
      <c r="BL14" s="21"/>
      <c r="BR14" s="21"/>
      <c r="BX14" s="21"/>
      <c r="CD14" s="21"/>
      <c r="CJ14" s="21"/>
      <c r="CP14" s="21"/>
      <c r="CT14" s="1">
        <v>1</v>
      </c>
      <c r="CV14" s="21">
        <f t="shared" si="6"/>
        <v>1</v>
      </c>
      <c r="DB14" s="21"/>
      <c r="DH14" s="21">
        <f t="shared" si="7"/>
        <v>0</v>
      </c>
      <c r="DN14" s="21">
        <f t="shared" si="8"/>
        <v>0</v>
      </c>
      <c r="DT14" s="21">
        <f t="shared" si="9"/>
        <v>0</v>
      </c>
      <c r="DU14" s="1">
        <v>1</v>
      </c>
      <c r="DZ14" s="51">
        <f t="shared" si="3"/>
        <v>1</v>
      </c>
    </row>
    <row r="15" spans="1:130" ht="20.25" customHeight="1" x14ac:dyDescent="0.25">
      <c r="A15" s="3" t="s">
        <v>7</v>
      </c>
      <c r="B15" s="5">
        <v>14</v>
      </c>
      <c r="E15" s="21"/>
      <c r="K15" s="21"/>
      <c r="Q15" s="21"/>
      <c r="X15" s="21"/>
      <c r="Z15" s="1">
        <v>328</v>
      </c>
      <c r="AA15" s="1">
        <v>295</v>
      </c>
      <c r="AD15" s="21">
        <f>SUM(Y15:AC15)</f>
        <v>623</v>
      </c>
      <c r="AF15" s="1">
        <v>100</v>
      </c>
      <c r="AG15" s="1">
        <v>100</v>
      </c>
      <c r="AH15" s="1">
        <v>50</v>
      </c>
      <c r="AJ15" s="21">
        <f>SUM(AE15:AI15)</f>
        <v>250</v>
      </c>
      <c r="AP15" s="21"/>
      <c r="AV15" s="21"/>
      <c r="AX15" s="1">
        <v>11</v>
      </c>
      <c r="AY15" s="1">
        <v>10</v>
      </c>
      <c r="AZ15" s="1">
        <v>8</v>
      </c>
      <c r="BA15" s="1">
        <v>10</v>
      </c>
      <c r="BB15" s="21">
        <f>SUM(AW15:BA15)</f>
        <v>39</v>
      </c>
      <c r="BC15" s="1">
        <v>4</v>
      </c>
      <c r="BE15" s="1">
        <v>12</v>
      </c>
      <c r="BF15" s="21">
        <f>SUM(BC15:BE15)</f>
        <v>16</v>
      </c>
      <c r="BJ15" s="1">
        <v>64</v>
      </c>
      <c r="BK15" s="1">
        <v>116</v>
      </c>
      <c r="BL15" s="21">
        <f t="shared" si="10"/>
        <v>180</v>
      </c>
      <c r="BR15" s="21">
        <f>SUM(BM15:BQ15)</f>
        <v>0</v>
      </c>
      <c r="BS15" s="1">
        <v>10</v>
      </c>
      <c r="BX15" s="21"/>
      <c r="CD15" s="21"/>
      <c r="CJ15" s="21"/>
      <c r="CP15" s="21"/>
      <c r="CV15" s="21">
        <f t="shared" si="6"/>
        <v>0</v>
      </c>
      <c r="DB15" s="21"/>
      <c r="DH15" s="21">
        <f t="shared" si="7"/>
        <v>0</v>
      </c>
      <c r="DI15" s="1">
        <v>79</v>
      </c>
      <c r="DJ15" s="1">
        <v>23</v>
      </c>
      <c r="DL15" s="1">
        <v>33</v>
      </c>
      <c r="DM15" s="1">
        <v>34</v>
      </c>
      <c r="DN15" s="21">
        <f t="shared" si="8"/>
        <v>169</v>
      </c>
      <c r="DO15" s="1">
        <v>50</v>
      </c>
      <c r="DP15" s="1">
        <v>64</v>
      </c>
      <c r="DQ15" s="1">
        <v>104</v>
      </c>
      <c r="DR15" s="1">
        <v>10</v>
      </c>
      <c r="DS15" s="1">
        <v>10</v>
      </c>
      <c r="DT15" s="21">
        <f t="shared" si="9"/>
        <v>238</v>
      </c>
      <c r="DZ15" s="51">
        <f t="shared" si="3"/>
        <v>0</v>
      </c>
    </row>
    <row r="16" spans="1:130" ht="20.25" customHeight="1" x14ac:dyDescent="0.25">
      <c r="A16" s="5" t="s">
        <v>37</v>
      </c>
      <c r="B16" s="9">
        <v>15</v>
      </c>
      <c r="E16" s="21"/>
      <c r="K16" s="21"/>
      <c r="Q16" s="21"/>
      <c r="X16" s="21"/>
      <c r="AD16" s="21"/>
      <c r="AJ16" s="21"/>
      <c r="AP16" s="21"/>
      <c r="AV16" s="21"/>
      <c r="BB16" s="21"/>
      <c r="BF16" s="21"/>
      <c r="BG16" s="1">
        <v>1</v>
      </c>
      <c r="BL16" s="21">
        <f t="shared" si="10"/>
        <v>1</v>
      </c>
      <c r="BM16" s="1">
        <v>196</v>
      </c>
      <c r="BN16" s="1">
        <v>100</v>
      </c>
      <c r="BR16" s="21">
        <f>SUM(BM16:BQ16)</f>
        <v>296</v>
      </c>
      <c r="BS16" s="1">
        <v>5</v>
      </c>
      <c r="BX16" s="21"/>
      <c r="CD16" s="21"/>
      <c r="CJ16" s="21"/>
      <c r="CP16" s="21"/>
      <c r="CS16" s="1">
        <v>7</v>
      </c>
      <c r="CV16" s="21">
        <f t="shared" si="6"/>
        <v>7</v>
      </c>
      <c r="DB16" s="21"/>
      <c r="DH16" s="21">
        <f t="shared" si="7"/>
        <v>0</v>
      </c>
      <c r="DN16" s="21">
        <f t="shared" si="8"/>
        <v>0</v>
      </c>
      <c r="DT16" s="21">
        <f t="shared" si="9"/>
        <v>0</v>
      </c>
      <c r="DU16" s="49"/>
      <c r="DV16" s="49"/>
      <c r="DW16" s="49"/>
      <c r="DX16" s="49"/>
      <c r="DY16" s="49"/>
      <c r="DZ16" s="51">
        <f t="shared" si="3"/>
        <v>0</v>
      </c>
    </row>
    <row r="17" spans="1:127" ht="240" x14ac:dyDescent="0.25">
      <c r="A17" s="1" t="s">
        <v>11</v>
      </c>
      <c r="BD17" s="7" t="s">
        <v>66</v>
      </c>
      <c r="BG17" s="7" t="s">
        <v>93</v>
      </c>
      <c r="BJ17" s="14" t="s">
        <v>112</v>
      </c>
      <c r="BK17" s="14" t="s">
        <v>128</v>
      </c>
      <c r="BM17" s="14" t="s">
        <v>134</v>
      </c>
      <c r="BN17" s="14" t="s">
        <v>139</v>
      </c>
      <c r="BO17" s="7" t="s">
        <v>143</v>
      </c>
      <c r="BP17" s="7" t="s">
        <v>143</v>
      </c>
      <c r="BQ17" s="7" t="s">
        <v>151</v>
      </c>
      <c r="BS17" s="7" t="s">
        <v>162</v>
      </c>
      <c r="BT17" s="7" t="s">
        <v>162</v>
      </c>
      <c r="BU17" s="7" t="s">
        <v>163</v>
      </c>
      <c r="BV17" s="7" t="s">
        <v>166</v>
      </c>
      <c r="BW17" s="7" t="s">
        <v>171</v>
      </c>
      <c r="BZ17" s="7" t="s">
        <v>179</v>
      </c>
      <c r="CB17" s="7" t="s">
        <v>187</v>
      </c>
      <c r="CC17" s="7" t="s">
        <v>191</v>
      </c>
      <c r="CE17" s="36" t="s">
        <v>197</v>
      </c>
      <c r="CF17" s="36" t="s">
        <v>197</v>
      </c>
      <c r="CG17" s="35" t="s">
        <v>198</v>
      </c>
      <c r="CH17" s="14" t="s">
        <v>201</v>
      </c>
      <c r="CK17" s="7" t="s">
        <v>214</v>
      </c>
      <c r="CM17" s="7" t="s">
        <v>220</v>
      </c>
      <c r="CN17" s="7" t="s">
        <v>223</v>
      </c>
      <c r="CO17" s="7"/>
      <c r="CP17" s="7"/>
      <c r="CQ17" s="7"/>
      <c r="CS17" s="7" t="s">
        <v>224</v>
      </c>
      <c r="CT17" s="7" t="s">
        <v>232</v>
      </c>
      <c r="CX17" s="7" t="s">
        <v>247</v>
      </c>
      <c r="DC17" s="14" t="s">
        <v>191</v>
      </c>
      <c r="DD17" s="14" t="s">
        <v>191</v>
      </c>
      <c r="DE17" s="14" t="s">
        <v>191</v>
      </c>
      <c r="DF17" s="7" t="s">
        <v>265</v>
      </c>
      <c r="DG17" s="14" t="s">
        <v>257</v>
      </c>
      <c r="DH17" s="7"/>
      <c r="DJ17" s="7" t="s">
        <v>266</v>
      </c>
      <c r="DK17" s="7" t="s">
        <v>267</v>
      </c>
      <c r="DL17" s="7" t="s">
        <v>268</v>
      </c>
      <c r="DM17" s="14"/>
      <c r="DN17" s="7"/>
    </row>
    <row r="18" spans="1:127" ht="173.25" x14ac:dyDescent="0.25">
      <c r="A18" s="1" t="s">
        <v>10</v>
      </c>
      <c r="AA18" s="7" t="s">
        <v>14</v>
      </c>
      <c r="AB18" s="7"/>
      <c r="AC18" s="7"/>
      <c r="AD18" s="7"/>
      <c r="AE18" s="7"/>
      <c r="AF18" s="7" t="s">
        <v>15</v>
      </c>
      <c r="AG18" s="7" t="s">
        <v>15</v>
      </c>
      <c r="AH18" s="7" t="s">
        <v>15</v>
      </c>
      <c r="AI18" s="7"/>
      <c r="AJ18" s="7"/>
      <c r="AK18" s="7"/>
      <c r="AL18" s="7"/>
      <c r="AM18" s="7"/>
      <c r="AN18" s="7"/>
      <c r="AO18" s="7"/>
      <c r="AP18" s="7"/>
      <c r="AR18" s="7"/>
      <c r="AS18" s="7" t="s">
        <v>24</v>
      </c>
      <c r="AT18" s="7" t="s">
        <v>24</v>
      </c>
      <c r="AU18" s="7" t="s">
        <v>24</v>
      </c>
      <c r="AV18" s="7"/>
      <c r="AW18" s="7" t="s">
        <v>31</v>
      </c>
      <c r="AX18" s="7" t="s">
        <v>32</v>
      </c>
      <c r="BD18" s="7" t="s">
        <v>57</v>
      </c>
      <c r="BG18" s="7" t="s">
        <v>92</v>
      </c>
      <c r="BH18" s="24" t="s">
        <v>108</v>
      </c>
      <c r="BN18" s="7" t="s">
        <v>137</v>
      </c>
      <c r="BQ18" s="7" t="s">
        <v>150</v>
      </c>
      <c r="BU18" s="7" t="s">
        <v>165</v>
      </c>
      <c r="BW18" s="1" t="s">
        <v>172</v>
      </c>
      <c r="CC18" s="7" t="s">
        <v>192</v>
      </c>
      <c r="CN18" s="14" t="s">
        <v>234</v>
      </c>
      <c r="CO18" s="7"/>
      <c r="CP18" s="7"/>
      <c r="CQ18" s="7"/>
      <c r="CS18" s="7" t="s">
        <v>234</v>
      </c>
      <c r="CT18" s="7" t="s">
        <v>233</v>
      </c>
      <c r="CU18" s="7" t="s">
        <v>234</v>
      </c>
      <c r="CV18" s="7"/>
      <c r="DD18" s="7" t="s">
        <v>269</v>
      </c>
      <c r="DG18" s="14" t="s">
        <v>191</v>
      </c>
      <c r="DH18" s="7"/>
      <c r="DK18" s="48" t="s">
        <v>270</v>
      </c>
      <c r="DL18" s="14" t="s">
        <v>275</v>
      </c>
      <c r="DM18" s="14" t="s">
        <v>275</v>
      </c>
      <c r="DV18" s="7"/>
      <c r="DW18" s="7" t="s">
        <v>316</v>
      </c>
    </row>
    <row r="19" spans="1:127" ht="96.75" customHeight="1" x14ac:dyDescent="0.25">
      <c r="BN19" s="7" t="s">
        <v>144</v>
      </c>
      <c r="CT19" s="7" t="s">
        <v>231</v>
      </c>
    </row>
    <row r="20" spans="1:127" ht="120" x14ac:dyDescent="0.25">
      <c r="BN20" s="7"/>
      <c r="CT20" s="7" t="s">
        <v>234</v>
      </c>
    </row>
  </sheetData>
  <customSheetViews>
    <customSheetView guid="{3D987F8E-A6EA-454D-9537-6BFC5053CB00}">
      <pane xSplit="1" topLeftCell="BW1" activePane="topRight" state="frozen"/>
      <selection pane="topRight" activeCell="BN17" sqref="BN17"/>
      <pageMargins left="0.511811024" right="0.511811024" top="0.78740157499999996" bottom="0.78740157499999996" header="0.31496062000000002" footer="0.31496062000000002"/>
    </customSheetView>
    <customSheetView guid="{B3CDE377-BA5D-4E06-91D9-3A48E1959BA5}" topLeftCell="A8">
      <pane xSplit="1" topLeftCell="DM1" activePane="topRight" state="frozen"/>
      <selection pane="topRight" activeCell="DT17" sqref="DT17"/>
      <pageMargins left="0.511811024" right="0.511811024" top="0.78740157499999996" bottom="0.78740157499999996" header="0.31496062000000002" footer="0.31496062000000002"/>
    </customSheetView>
    <customSheetView guid="{C69767F5-CD39-44C1-AD4B-CE19DC8285A6}">
      <selection activeCell="A18" sqref="A18"/>
      <pageMargins left="0.511811024" right="0.511811024" top="0.78740157499999996" bottom="0.78740157499999996" header="0.31496062000000002" footer="0.31496062000000002"/>
    </customSheetView>
    <customSheetView guid="{552DFCCD-1786-4D75-8B10-27DD730384DD}">
      <pane xSplit="1" topLeftCell="J1" activePane="topRight" state="frozen"/>
      <selection pane="topRight" activeCell="L8" sqref="L8"/>
      <pageMargins left="0.511811024" right="0.511811024" top="0.78740157499999996" bottom="0.78740157499999996" header="0.31496062000000002" footer="0.31496062000000002"/>
    </customSheetView>
    <customSheetView guid="{9B623083-AA7B-440B-95EA-C33E1AB3D963}" topLeftCell="A14">
      <pane xSplit="1" topLeftCell="CP1" activePane="topRight" state="frozen"/>
      <selection pane="topRight" activeCell="DD18" sqref="DD18"/>
      <pageMargins left="0.511811024" right="0.511811024" top="0.78740157499999996" bottom="0.78740157499999996" header="0.31496062000000002" footer="0.31496062000000002"/>
    </customSheetView>
    <customSheetView guid="{18A482E0-C8B6-4AA1-9E04-15FA7C9CD5E3}" scale="90">
      <pane xSplit="1" topLeftCell="AR1" activePane="topRight" state="frozen"/>
      <selection pane="topRight" activeCell="AR2" sqref="AR2"/>
      <pageMargins left="0.511811024" right="0.511811024" top="0.78740157499999996" bottom="0.78740157499999996" header="0.31496062000000002" footer="0.31496062000000002"/>
    </customSheetView>
    <customSheetView guid="{20CB6D8F-C24D-4D4B-A424-AF380F620455}" showPageBreaks="1">
      <pane xSplit="1" topLeftCell="DL1" activePane="topRight" state="frozen"/>
      <selection pane="topRight" activeCell="DR15" sqref="DR15"/>
      <pageMargins left="0.511811024" right="0.511811024" top="0.78740157499999996" bottom="0.78740157499999996" header="0.31496062000000002" footer="0.31496062000000002"/>
      <pageSetup paperSize="9" orientation="portrait" r:id="rId1"/>
    </customSheetView>
    <customSheetView guid="{86039CF8-B158-4D70-9A6F-A10C29CBD68A}" topLeftCell="B1">
      <selection activeCell="S1" sqref="S1:S1048576"/>
      <pageMargins left="0.511811024" right="0.511811024" top="0.78740157499999996" bottom="0.78740157499999996" header="0.31496062000000002" footer="0.31496062000000002"/>
    </customSheetView>
    <customSheetView guid="{E3841903-5B68-44FD-8F09-58E03D1025C5}" topLeftCell="DA1">
      <selection activeCell="DR13" sqref="DR13"/>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Z18"/>
  <sheetViews>
    <sheetView zoomScaleNormal="100" workbookViewId="0">
      <pane xSplit="1" topLeftCell="BM1" activePane="topRight" state="frozen"/>
      <selection pane="topRight" activeCell="BL12" sqref="BL12"/>
    </sheetView>
  </sheetViews>
  <sheetFormatPr defaultColWidth="9.140625" defaultRowHeight="15" x14ac:dyDescent="0.25"/>
  <cols>
    <col min="1" max="1" width="77.42578125" style="1" bestFit="1" customWidth="1"/>
    <col min="2" max="2" width="3" style="1" bestFit="1" customWidth="1"/>
    <col min="3" max="45" width="20.140625" style="1" customWidth="1"/>
    <col min="46" max="46" width="16.28515625" style="1" customWidth="1"/>
    <col min="47" max="48" width="18.85546875" style="1" customWidth="1"/>
    <col min="49" max="49" width="19.140625" style="1" customWidth="1"/>
    <col min="50" max="50" width="16.42578125" style="1" customWidth="1"/>
    <col min="51" max="54" width="16.28515625" style="1" customWidth="1"/>
    <col min="55" max="57" width="9.140625" style="1"/>
    <col min="58" max="58" width="20" style="1" customWidth="1"/>
    <col min="59" max="59" width="16.5703125" style="1" customWidth="1"/>
    <col min="60" max="60" width="9.140625" style="1"/>
    <col min="61" max="61" width="31.42578125" style="1" customWidth="1"/>
    <col min="62" max="62" width="14.42578125" style="1" customWidth="1"/>
    <col min="63" max="63" width="12.140625" style="1" customWidth="1"/>
    <col min="64" max="69" width="17.5703125" style="1" customWidth="1"/>
    <col min="70" max="70" width="16.7109375" style="1" customWidth="1"/>
    <col min="71" max="71" width="22.42578125" style="1" customWidth="1"/>
    <col min="72" max="75" width="9.140625" style="1"/>
    <col min="76" max="76" width="14.28515625" style="1" bestFit="1" customWidth="1"/>
    <col min="77" max="81" width="9.140625" style="1"/>
    <col min="82" max="82" width="14.28515625" style="1" bestFit="1" customWidth="1"/>
    <col min="83" max="87" width="9.140625" style="1"/>
    <col min="88" max="88" width="14.28515625" style="1" bestFit="1" customWidth="1"/>
    <col min="89" max="93" width="9.140625" style="1"/>
    <col min="94" max="94" width="14.7109375" style="1" bestFit="1" customWidth="1"/>
    <col min="95" max="99" width="9.140625" style="1"/>
    <col min="100" max="100" width="14.7109375" style="1" bestFit="1" customWidth="1"/>
    <col min="101" max="104" width="9.140625" style="1"/>
    <col min="105" max="105" width="19.85546875" style="1" bestFit="1" customWidth="1"/>
    <col min="106" max="106" width="14.7109375" style="1" bestFit="1" customWidth="1"/>
    <col min="107" max="111" width="9.140625" style="1"/>
    <col min="112" max="112" width="14.28515625" style="1" bestFit="1" customWidth="1"/>
    <col min="113" max="116" width="9.140625" style="1"/>
    <col min="117" max="117" width="13.28515625" style="1" customWidth="1"/>
    <col min="118" max="118" width="14.28515625" style="1" bestFit="1" customWidth="1"/>
    <col min="119" max="123" width="9.140625" style="1"/>
    <col min="124" max="124" width="14.28515625" style="1" bestFit="1" customWidth="1"/>
    <col min="125" max="129" width="9.140625" style="1"/>
    <col min="130" max="130" width="14.28515625" style="1" bestFit="1" customWidth="1"/>
    <col min="131" max="16384" width="9.140625" style="1"/>
  </cols>
  <sheetData>
    <row r="1" spans="1:130"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2">
        <v>45675</v>
      </c>
      <c r="S1" s="2">
        <v>45677</v>
      </c>
      <c r="T1" s="2">
        <v>45678</v>
      </c>
      <c r="U1" s="2">
        <v>45679</v>
      </c>
      <c r="V1" s="2">
        <v>45680</v>
      </c>
      <c r="W1" s="2">
        <v>45681</v>
      </c>
      <c r="X1" s="20" t="s">
        <v>56</v>
      </c>
      <c r="Y1" s="2">
        <v>45684</v>
      </c>
      <c r="Z1" s="2">
        <v>45685</v>
      </c>
      <c r="AA1" s="2">
        <v>45686</v>
      </c>
      <c r="AB1" s="2">
        <v>45687</v>
      </c>
      <c r="AC1" s="2">
        <v>45688</v>
      </c>
      <c r="AD1" s="20" t="s">
        <v>56</v>
      </c>
      <c r="AE1" s="2">
        <v>45691</v>
      </c>
      <c r="AF1" s="2">
        <v>45692</v>
      </c>
      <c r="AG1" s="2">
        <v>45693</v>
      </c>
      <c r="AH1" s="2">
        <v>45694</v>
      </c>
      <c r="AI1" s="2">
        <v>45695</v>
      </c>
      <c r="AJ1" s="20" t="s">
        <v>56</v>
      </c>
      <c r="AK1" s="2">
        <v>45698</v>
      </c>
      <c r="AL1" s="2">
        <v>45699</v>
      </c>
      <c r="AM1" s="2">
        <v>45700</v>
      </c>
      <c r="AN1" s="2">
        <v>45701</v>
      </c>
      <c r="AO1" s="2">
        <v>45702</v>
      </c>
      <c r="AP1" s="20" t="s">
        <v>56</v>
      </c>
      <c r="AQ1" s="2">
        <v>45705</v>
      </c>
      <c r="AR1" s="2">
        <v>45706</v>
      </c>
      <c r="AS1" s="2">
        <v>45707</v>
      </c>
      <c r="AT1" s="2">
        <v>45708</v>
      </c>
      <c r="AU1" s="2">
        <v>45709</v>
      </c>
      <c r="AV1" s="20" t="s">
        <v>56</v>
      </c>
      <c r="AW1" s="2">
        <v>45712</v>
      </c>
      <c r="AX1" s="2">
        <v>45713</v>
      </c>
      <c r="AY1" s="2">
        <v>45714</v>
      </c>
      <c r="AZ1" s="2">
        <v>45715</v>
      </c>
      <c r="BA1" s="2">
        <v>45716</v>
      </c>
      <c r="BB1" s="20" t="s">
        <v>56</v>
      </c>
      <c r="BC1" s="2">
        <v>45721</v>
      </c>
      <c r="BD1" s="2">
        <v>45722</v>
      </c>
      <c r="BE1" s="2">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c r="CE1" s="2">
        <v>45754</v>
      </c>
      <c r="CF1" s="2">
        <v>45755</v>
      </c>
      <c r="CG1" s="2">
        <v>45756</v>
      </c>
      <c r="CH1" s="2">
        <v>45757</v>
      </c>
      <c r="CI1" s="2">
        <v>45758</v>
      </c>
      <c r="CJ1" s="20" t="s">
        <v>56</v>
      </c>
      <c r="CK1" s="2">
        <v>45761</v>
      </c>
      <c r="CL1" s="2">
        <v>45762</v>
      </c>
      <c r="CM1" s="2">
        <v>45763</v>
      </c>
      <c r="CN1" s="2">
        <v>45764</v>
      </c>
      <c r="CO1" s="2">
        <v>45765</v>
      </c>
      <c r="CP1" s="20" t="s">
        <v>56</v>
      </c>
      <c r="CQ1" s="2">
        <v>45768</v>
      </c>
      <c r="CR1" s="2">
        <v>45769</v>
      </c>
      <c r="CS1" s="2">
        <v>45770</v>
      </c>
      <c r="CT1" s="2">
        <v>45771</v>
      </c>
      <c r="CU1" s="2">
        <v>45772</v>
      </c>
      <c r="CV1" s="20" t="s">
        <v>56</v>
      </c>
      <c r="CW1" s="2">
        <v>45775</v>
      </c>
      <c r="CX1" s="2">
        <v>45776</v>
      </c>
      <c r="CY1" s="2">
        <v>45777</v>
      </c>
      <c r="CZ1" s="2">
        <v>45778</v>
      </c>
      <c r="DA1" s="2">
        <v>45779</v>
      </c>
      <c r="DB1" s="20" t="s">
        <v>56</v>
      </c>
      <c r="DC1" s="2">
        <v>45782</v>
      </c>
      <c r="DD1" s="2">
        <v>45783</v>
      </c>
      <c r="DE1" s="2">
        <v>45784</v>
      </c>
      <c r="DF1" s="2">
        <v>45785</v>
      </c>
      <c r="DG1" s="2">
        <v>45786</v>
      </c>
      <c r="DH1" s="20" t="s">
        <v>56</v>
      </c>
      <c r="DI1" s="2">
        <v>45789</v>
      </c>
      <c r="DJ1" s="2">
        <v>45790</v>
      </c>
      <c r="DK1" s="2">
        <v>45791</v>
      </c>
      <c r="DL1" s="2">
        <v>45792</v>
      </c>
      <c r="DM1" s="2">
        <v>45793</v>
      </c>
      <c r="DN1" s="20" t="s">
        <v>56</v>
      </c>
      <c r="DO1" s="2">
        <v>45796</v>
      </c>
      <c r="DP1" s="2">
        <v>45797</v>
      </c>
      <c r="DQ1" s="2">
        <v>45798</v>
      </c>
      <c r="DR1" s="2">
        <v>45799</v>
      </c>
      <c r="DS1" s="2">
        <v>45800</v>
      </c>
      <c r="DT1" s="20" t="s">
        <v>56</v>
      </c>
      <c r="DU1" s="10">
        <v>45803</v>
      </c>
      <c r="DV1" s="10">
        <v>45804</v>
      </c>
      <c r="DW1" s="10">
        <v>45805</v>
      </c>
      <c r="DX1" s="10">
        <v>45806</v>
      </c>
      <c r="DY1" s="10">
        <v>45807</v>
      </c>
      <c r="DZ1" s="50" t="s">
        <v>56</v>
      </c>
    </row>
    <row r="2" spans="1:130" ht="20.25" customHeight="1" x14ac:dyDescent="0.25">
      <c r="A2" s="3" t="s">
        <v>113</v>
      </c>
      <c r="B2" s="5">
        <v>1</v>
      </c>
      <c r="E2" s="21"/>
      <c r="K2" s="21"/>
      <c r="Q2" s="21"/>
      <c r="X2" s="21"/>
      <c r="AD2" s="21"/>
      <c r="AJ2" s="21"/>
      <c r="AP2" s="21"/>
      <c r="AV2" s="21"/>
      <c r="BB2" s="21"/>
      <c r="BF2" s="21"/>
      <c r="BL2" s="21"/>
      <c r="BR2" s="21"/>
      <c r="BX2" s="21"/>
      <c r="CD2" s="21"/>
      <c r="CJ2" s="21"/>
      <c r="CO2" s="1" t="s">
        <v>205</v>
      </c>
      <c r="CP2" s="21"/>
      <c r="CQ2" s="1" t="s">
        <v>205</v>
      </c>
      <c r="CV2" s="21"/>
      <c r="CZ2" s="1" t="s">
        <v>205</v>
      </c>
      <c r="DA2" s="1" t="s">
        <v>290</v>
      </c>
      <c r="DB2" s="21"/>
      <c r="DH2" s="21">
        <f>SUM(DC2:DG2)</f>
        <v>0</v>
      </c>
      <c r="DN2" s="21">
        <f>SUM(DI2:DM2)</f>
        <v>0</v>
      </c>
      <c r="DT2" s="21">
        <f>SUM(DO2:DS2)</f>
        <v>0</v>
      </c>
      <c r="DZ2" s="51">
        <f>SUM(DU2:DY2)</f>
        <v>0</v>
      </c>
    </row>
    <row r="3" spans="1:130" ht="20.25" customHeight="1" x14ac:dyDescent="0.25">
      <c r="A3" s="3" t="s">
        <v>0</v>
      </c>
      <c r="B3" s="5">
        <v>2</v>
      </c>
      <c r="E3" s="21"/>
      <c r="K3" s="21"/>
      <c r="Q3" s="21"/>
      <c r="X3" s="21"/>
      <c r="AD3" s="21"/>
      <c r="AJ3" s="21"/>
      <c r="AP3" s="21"/>
      <c r="AV3" s="21"/>
      <c r="BB3" s="21"/>
      <c r="BF3" s="21"/>
      <c r="BL3" s="21"/>
      <c r="BR3" s="21"/>
      <c r="BX3" s="21"/>
      <c r="CD3" s="21"/>
      <c r="CJ3" s="21"/>
      <c r="CP3" s="21"/>
      <c r="CV3" s="21"/>
      <c r="DB3" s="21">
        <f>SUM(CW3:DA3)</f>
        <v>0</v>
      </c>
      <c r="DH3" s="21">
        <f t="shared" ref="DH3:DH7" si="0">SUM(DC3:DG3)</f>
        <v>0</v>
      </c>
      <c r="DN3" s="21">
        <f t="shared" ref="DN3:DN7" si="1">SUM(DI3:DM3)</f>
        <v>0</v>
      </c>
      <c r="DT3" s="21">
        <f t="shared" ref="DT3:DT7" si="2">SUM(DO3:DS3)</f>
        <v>0</v>
      </c>
      <c r="DZ3" s="51">
        <f t="shared" ref="DZ3:DZ16" si="3">SUM(DU3:DY3)</f>
        <v>0</v>
      </c>
    </row>
    <row r="4" spans="1:130" ht="20.25" customHeight="1" x14ac:dyDescent="0.25">
      <c r="A4" s="4" t="s">
        <v>100</v>
      </c>
      <c r="B4" s="6">
        <v>3</v>
      </c>
      <c r="E4" s="21"/>
      <c r="K4" s="21"/>
      <c r="Q4" s="21"/>
      <c r="X4" s="21"/>
      <c r="AD4" s="21"/>
      <c r="AJ4" s="21"/>
      <c r="AP4" s="21"/>
      <c r="AS4" s="1">
        <v>79</v>
      </c>
      <c r="AV4" s="21">
        <f>SUM(AQ4:AU4)</f>
        <v>79</v>
      </c>
      <c r="BB4" s="21"/>
      <c r="BF4" s="21"/>
      <c r="BL4" s="21"/>
      <c r="BR4" s="21"/>
      <c r="BX4" s="21"/>
      <c r="CD4" s="21"/>
      <c r="CJ4" s="21"/>
      <c r="CP4" s="21"/>
      <c r="CV4" s="21"/>
      <c r="DB4" s="21"/>
      <c r="DH4" s="21">
        <f t="shared" si="0"/>
        <v>0</v>
      </c>
      <c r="DN4" s="21">
        <f t="shared" si="1"/>
        <v>0</v>
      </c>
      <c r="DT4" s="21">
        <f t="shared" si="2"/>
        <v>0</v>
      </c>
      <c r="DZ4" s="51">
        <f t="shared" si="3"/>
        <v>0</v>
      </c>
    </row>
    <row r="5" spans="1:130" ht="20.25" customHeight="1" x14ac:dyDescent="0.25">
      <c r="A5" s="4" t="s">
        <v>99</v>
      </c>
      <c r="B5" s="5">
        <v>4</v>
      </c>
      <c r="E5" s="21"/>
      <c r="K5" s="21"/>
      <c r="Q5" s="21"/>
      <c r="X5" s="21"/>
      <c r="AD5" s="21"/>
      <c r="AJ5" s="21"/>
      <c r="AP5" s="21"/>
      <c r="AV5" s="21"/>
      <c r="BB5" s="21"/>
      <c r="BF5" s="21"/>
      <c r="BL5" s="21"/>
      <c r="BR5" s="21"/>
      <c r="BX5" s="21"/>
      <c r="CD5" s="21"/>
      <c r="CJ5" s="21"/>
      <c r="CP5" s="21"/>
      <c r="CV5" s="21"/>
      <c r="DB5" s="21"/>
      <c r="DH5" s="21">
        <f t="shared" si="0"/>
        <v>0</v>
      </c>
      <c r="DN5" s="21">
        <f t="shared" si="1"/>
        <v>0</v>
      </c>
      <c r="DT5" s="21">
        <f t="shared" si="2"/>
        <v>0</v>
      </c>
      <c r="DZ5" s="51">
        <f t="shared" si="3"/>
        <v>0</v>
      </c>
    </row>
    <row r="6" spans="1:130" ht="20.25" customHeight="1" x14ac:dyDescent="0.25">
      <c r="A6" s="4" t="s">
        <v>1</v>
      </c>
      <c r="B6" s="5">
        <v>5</v>
      </c>
      <c r="E6" s="21"/>
      <c r="K6" s="21"/>
      <c r="Q6" s="21"/>
      <c r="X6" s="21"/>
      <c r="AD6" s="21"/>
      <c r="AF6" s="1">
        <v>10</v>
      </c>
      <c r="AG6" s="1">
        <v>8</v>
      </c>
      <c r="AH6" s="1">
        <v>7</v>
      </c>
      <c r="AJ6" s="21">
        <f>SUM(AE6:AI6)</f>
        <v>25</v>
      </c>
      <c r="AP6" s="21"/>
      <c r="AV6" s="21"/>
      <c r="BB6" s="21"/>
      <c r="BF6" s="21"/>
      <c r="BL6" s="21"/>
      <c r="BR6" s="21"/>
      <c r="BW6" s="1">
        <v>50</v>
      </c>
      <c r="BX6" s="21">
        <f t="shared" ref="BX6:BX11" si="4">SUM(BS6:BW6)</f>
        <v>50</v>
      </c>
      <c r="CD6" s="21"/>
      <c r="CJ6" s="21"/>
      <c r="CP6" s="21"/>
      <c r="CV6" s="21"/>
      <c r="DB6" s="21"/>
      <c r="DH6" s="21">
        <f t="shared" si="0"/>
        <v>0</v>
      </c>
      <c r="DN6" s="21">
        <f t="shared" si="1"/>
        <v>0</v>
      </c>
      <c r="DT6" s="21">
        <f t="shared" si="2"/>
        <v>0</v>
      </c>
      <c r="DZ6" s="51">
        <f t="shared" si="3"/>
        <v>0</v>
      </c>
    </row>
    <row r="7" spans="1:130" ht="20.25" customHeight="1" x14ac:dyDescent="0.25">
      <c r="A7" s="4" t="s">
        <v>2</v>
      </c>
      <c r="B7" s="6">
        <v>6</v>
      </c>
      <c r="E7" s="21"/>
      <c r="K7" s="21"/>
      <c r="Q7" s="21"/>
      <c r="X7" s="21"/>
      <c r="AD7" s="21"/>
      <c r="AJ7" s="21"/>
      <c r="AP7" s="21"/>
      <c r="AV7" s="21"/>
      <c r="BB7" s="21"/>
      <c r="BF7" s="21"/>
      <c r="BL7" s="21"/>
      <c r="BR7" s="21"/>
      <c r="BU7" s="1">
        <v>260</v>
      </c>
      <c r="BV7" s="1">
        <v>145</v>
      </c>
      <c r="BX7" s="21">
        <f t="shared" si="4"/>
        <v>405</v>
      </c>
      <c r="BZ7" s="1">
        <v>86</v>
      </c>
      <c r="CD7" s="21">
        <f>SUM(BY7:CC7)</f>
        <v>86</v>
      </c>
      <c r="CJ7" s="21">
        <f>SUM(CE7:CI7)</f>
        <v>0</v>
      </c>
      <c r="CP7" s="21">
        <f>SUM(CK7:CO7)</f>
        <v>0</v>
      </c>
      <c r="CV7" s="21">
        <f>SUM(CQ7:CU7)</f>
        <v>0</v>
      </c>
      <c r="DB7" s="21">
        <f>SUM(CW7:DA7)</f>
        <v>0</v>
      </c>
      <c r="DH7" s="21">
        <f t="shared" si="0"/>
        <v>0</v>
      </c>
      <c r="DN7" s="21">
        <f t="shared" si="1"/>
        <v>0</v>
      </c>
      <c r="DT7" s="21">
        <f t="shared" si="2"/>
        <v>0</v>
      </c>
      <c r="DZ7" s="51">
        <f t="shared" si="3"/>
        <v>0</v>
      </c>
    </row>
    <row r="8" spans="1:130" ht="20.25" customHeight="1" x14ac:dyDescent="0.25">
      <c r="A8" s="4" t="s">
        <v>3</v>
      </c>
      <c r="B8" s="5">
        <v>7</v>
      </c>
      <c r="E8" s="21"/>
      <c r="K8" s="21"/>
      <c r="Q8" s="21"/>
      <c r="X8" s="21"/>
      <c r="AD8" s="21"/>
      <c r="AJ8" s="21"/>
      <c r="AP8" s="21"/>
      <c r="AV8" s="21"/>
      <c r="BB8" s="21"/>
      <c r="BF8" s="21"/>
      <c r="BL8" s="21"/>
      <c r="BN8" s="1">
        <v>15</v>
      </c>
      <c r="BO8" s="1">
        <v>39</v>
      </c>
      <c r="BP8" s="1">
        <v>42</v>
      </c>
      <c r="BQ8" s="1">
        <v>29</v>
      </c>
      <c r="BR8" s="21">
        <f>SUM(BM8:BQ8)</f>
        <v>125</v>
      </c>
      <c r="BX8" s="21">
        <f t="shared" si="4"/>
        <v>0</v>
      </c>
      <c r="BY8" s="1">
        <v>20</v>
      </c>
      <c r="CD8" s="21">
        <f>SUM(BY8:CC8)</f>
        <v>20</v>
      </c>
      <c r="CJ8" s="21">
        <f>SUM(CE8:CI8)</f>
        <v>0</v>
      </c>
      <c r="CK8" s="1">
        <v>11</v>
      </c>
      <c r="CP8" s="21">
        <f>SUM(CK8:CO8)</f>
        <v>11</v>
      </c>
      <c r="CV8" s="21">
        <f>SUM(CQ8:CU8)</f>
        <v>0</v>
      </c>
      <c r="CX8" s="1">
        <v>7</v>
      </c>
      <c r="DB8" s="21">
        <f>SUM(CW8:DA8)</f>
        <v>7</v>
      </c>
      <c r="DH8" s="21">
        <f>SUM(DC8:DG8)</f>
        <v>0</v>
      </c>
      <c r="DN8" s="21">
        <f>SUM(DI8:DM8)</f>
        <v>0</v>
      </c>
      <c r="DR8" s="1">
        <v>5</v>
      </c>
      <c r="DT8" s="21">
        <f>SUM(DO8:DS8)</f>
        <v>5</v>
      </c>
      <c r="DW8" s="1">
        <v>6</v>
      </c>
      <c r="DX8" s="1">
        <v>7</v>
      </c>
      <c r="DY8" s="1">
        <v>18</v>
      </c>
      <c r="DZ8" s="51">
        <f t="shared" si="3"/>
        <v>31</v>
      </c>
    </row>
    <row r="9" spans="1:130" ht="20.25" customHeight="1" x14ac:dyDescent="0.25">
      <c r="A9" s="4" t="s">
        <v>21</v>
      </c>
      <c r="B9" s="5">
        <v>8</v>
      </c>
      <c r="E9" s="21"/>
      <c r="K9" s="21"/>
      <c r="Q9" s="21"/>
      <c r="U9" s="1">
        <v>25</v>
      </c>
      <c r="W9" s="1">
        <v>30</v>
      </c>
      <c r="X9" s="21">
        <f>SUM(R9:W9)</f>
        <v>55</v>
      </c>
      <c r="Y9" s="1">
        <v>30</v>
      </c>
      <c r="AD9" s="21">
        <f>SUM(Y9:AC9)</f>
        <v>30</v>
      </c>
      <c r="AH9" s="1">
        <v>22</v>
      </c>
      <c r="AJ9" s="21">
        <f>SUM(AE9:AI9)</f>
        <v>22</v>
      </c>
      <c r="AP9" s="21"/>
      <c r="AV9" s="21"/>
      <c r="BB9" s="21"/>
      <c r="BF9" s="21"/>
      <c r="BL9" s="21"/>
      <c r="BN9" s="1">
        <v>5</v>
      </c>
      <c r="BO9" s="1">
        <v>14</v>
      </c>
      <c r="BP9" s="1">
        <v>16</v>
      </c>
      <c r="BQ9" s="1">
        <v>7</v>
      </c>
      <c r="BR9" s="21">
        <f>SUM(BM9:BQ9)</f>
        <v>42</v>
      </c>
      <c r="BS9" s="1">
        <v>14</v>
      </c>
      <c r="BT9" s="1">
        <v>15</v>
      </c>
      <c r="BX9" s="21">
        <f t="shared" si="4"/>
        <v>29</v>
      </c>
      <c r="BY9" s="1">
        <v>13</v>
      </c>
      <c r="CA9" s="1">
        <v>15</v>
      </c>
      <c r="CB9" s="1">
        <v>12</v>
      </c>
      <c r="CD9" s="21">
        <f>SUM(BY9:CC9)</f>
        <v>40</v>
      </c>
      <c r="CJ9" s="21">
        <f>SUM(CE9:CI9)</f>
        <v>0</v>
      </c>
      <c r="CP9" s="21">
        <f>SUM(CK9:CO9)</f>
        <v>0</v>
      </c>
      <c r="CV9" s="21">
        <f>SUM(CQ9:CU9)</f>
        <v>0</v>
      </c>
      <c r="CX9" s="1">
        <v>13</v>
      </c>
      <c r="DB9" s="21">
        <f>SUM(CW9:DA9)</f>
        <v>13</v>
      </c>
      <c r="DH9" s="21">
        <f>SUM(DC9:DG9)</f>
        <v>0</v>
      </c>
      <c r="DN9" s="21">
        <f>SUM(DI9:DM9)</f>
        <v>0</v>
      </c>
      <c r="DT9" s="21">
        <f>SUM(DO9:DS9)</f>
        <v>0</v>
      </c>
      <c r="DZ9" s="51">
        <f t="shared" si="3"/>
        <v>0</v>
      </c>
    </row>
    <row r="10" spans="1:130" ht="20.25" customHeight="1" x14ac:dyDescent="0.25">
      <c r="A10" s="3" t="s">
        <v>13</v>
      </c>
      <c r="B10" s="6">
        <v>9</v>
      </c>
      <c r="E10" s="21"/>
      <c r="K10" s="21"/>
      <c r="Q10" s="21"/>
      <c r="X10" s="21"/>
      <c r="AD10" s="21"/>
      <c r="AJ10" s="21"/>
      <c r="AP10" s="21"/>
      <c r="AV10" s="21"/>
      <c r="BB10" s="21"/>
      <c r="BF10" s="21"/>
      <c r="BL10" s="21"/>
      <c r="BN10" s="1">
        <v>5</v>
      </c>
      <c r="BO10" s="1">
        <v>14</v>
      </c>
      <c r="BP10" s="1">
        <v>19</v>
      </c>
      <c r="BQ10" s="1">
        <v>14</v>
      </c>
      <c r="BR10" s="21">
        <f>SUM(BM10:BQ10)</f>
        <v>52</v>
      </c>
      <c r="BS10" s="1">
        <v>14</v>
      </c>
      <c r="BT10" s="1">
        <v>15</v>
      </c>
      <c r="BX10" s="21">
        <f t="shared" si="4"/>
        <v>29</v>
      </c>
      <c r="BY10" s="1">
        <v>13</v>
      </c>
      <c r="CA10" s="1">
        <v>15</v>
      </c>
      <c r="CB10" s="1">
        <v>12</v>
      </c>
      <c r="CD10" s="21">
        <f>SUM(BY10:CC10)</f>
        <v>40</v>
      </c>
      <c r="CJ10" s="21">
        <f>SUM(CE10:CI10)</f>
        <v>0</v>
      </c>
      <c r="CL10" s="1">
        <v>13</v>
      </c>
      <c r="CP10" s="21">
        <f>SUM(CK10:CO10)</f>
        <v>13</v>
      </c>
      <c r="CS10" s="1">
        <v>7</v>
      </c>
      <c r="CT10" s="1">
        <v>7</v>
      </c>
      <c r="CV10" s="21">
        <f>SUM(CQ10:CU10)</f>
        <v>14</v>
      </c>
      <c r="DB10" s="21">
        <f>SUM(CW10:DA10)</f>
        <v>0</v>
      </c>
      <c r="DH10" s="21">
        <f>SUM(DC10:DG10)</f>
        <v>0</v>
      </c>
      <c r="DN10" s="21">
        <f>SUM(DI10:DM10)</f>
        <v>0</v>
      </c>
      <c r="DT10" s="21">
        <f>SUM(DO10:DS10)</f>
        <v>0</v>
      </c>
      <c r="DZ10" s="51">
        <f t="shared" si="3"/>
        <v>0</v>
      </c>
    </row>
    <row r="11" spans="1:130" ht="20.25" customHeight="1" x14ac:dyDescent="0.25">
      <c r="A11" s="4" t="s">
        <v>4</v>
      </c>
      <c r="B11" s="5">
        <v>10</v>
      </c>
      <c r="E11" s="21"/>
      <c r="K11" s="21"/>
      <c r="Q11" s="21"/>
      <c r="S11" s="1">
        <v>4</v>
      </c>
      <c r="T11" s="1">
        <v>3</v>
      </c>
      <c r="U11" s="1">
        <v>4</v>
      </c>
      <c r="V11" s="1">
        <v>1</v>
      </c>
      <c r="X11" s="21">
        <f>SUM(R11:W11)</f>
        <v>12</v>
      </c>
      <c r="AD11" s="21"/>
      <c r="AJ11" s="21"/>
      <c r="AK11" s="1">
        <v>4</v>
      </c>
      <c r="AL11" s="1">
        <v>5</v>
      </c>
      <c r="AM11" s="1">
        <v>5</v>
      </c>
      <c r="AN11" s="1">
        <v>5</v>
      </c>
      <c r="AO11" s="1">
        <v>5</v>
      </c>
      <c r="AP11" s="21">
        <f>SUM(AK11:AO11)</f>
        <v>24</v>
      </c>
      <c r="AQ11" s="1">
        <v>5</v>
      </c>
      <c r="AR11" s="1">
        <v>5</v>
      </c>
      <c r="AV11" s="21">
        <f>SUM(AQ11:AU11)</f>
        <v>10</v>
      </c>
      <c r="AX11" s="1">
        <v>11</v>
      </c>
      <c r="AY11" s="1">
        <v>5</v>
      </c>
      <c r="AZ11" s="1">
        <v>7</v>
      </c>
      <c r="BA11" s="1">
        <v>4</v>
      </c>
      <c r="BB11" s="21">
        <f>SUM(AW11:BA11)</f>
        <v>27</v>
      </c>
      <c r="BC11" s="1">
        <v>2</v>
      </c>
      <c r="BD11" s="1">
        <v>2</v>
      </c>
      <c r="BE11" s="1">
        <v>5</v>
      </c>
      <c r="BF11" s="21">
        <f>SUM(BC11:BE11)</f>
        <v>9</v>
      </c>
      <c r="BG11" s="1">
        <v>1</v>
      </c>
      <c r="BH11" s="1">
        <v>5</v>
      </c>
      <c r="BI11" s="1">
        <v>2</v>
      </c>
      <c r="BJ11" s="1">
        <v>3</v>
      </c>
      <c r="BL11" s="21">
        <f>SUM(BG11:BK11)</f>
        <v>11</v>
      </c>
      <c r="BR11" s="21">
        <f>SUM(BM11:BQ11)</f>
        <v>0</v>
      </c>
      <c r="BX11" s="21">
        <f t="shared" si="4"/>
        <v>0</v>
      </c>
      <c r="CD11" s="21">
        <f>SUM(BY11:CC11)</f>
        <v>0</v>
      </c>
      <c r="CJ11" s="21">
        <f>SUM(CE11:CI11)</f>
        <v>0</v>
      </c>
      <c r="CL11" s="1">
        <v>13</v>
      </c>
      <c r="CP11" s="21">
        <f>SUM(CK11:CO11)</f>
        <v>13</v>
      </c>
      <c r="CS11" s="1">
        <v>17</v>
      </c>
      <c r="CT11" s="1">
        <v>9</v>
      </c>
      <c r="CV11" s="21">
        <f>SUM(CQ11:CU11)</f>
        <v>26</v>
      </c>
      <c r="DB11" s="21">
        <f>SUM(CW11:DA11)</f>
        <v>0</v>
      </c>
      <c r="DC11" s="1">
        <v>5</v>
      </c>
      <c r="DD11" s="1">
        <v>5</v>
      </c>
      <c r="DE11" s="1">
        <v>3</v>
      </c>
      <c r="DF11" s="1">
        <v>2</v>
      </c>
      <c r="DH11" s="21">
        <f>SUM(DC11:DG11)</f>
        <v>15</v>
      </c>
      <c r="DN11" s="21">
        <f>SUM(DI11:DM11)</f>
        <v>0</v>
      </c>
      <c r="DT11" s="21">
        <f>SUM(DO11:DS11)</f>
        <v>0</v>
      </c>
      <c r="DZ11" s="51">
        <f t="shared" si="3"/>
        <v>0</v>
      </c>
    </row>
    <row r="12" spans="1:130" ht="20.25" customHeight="1" x14ac:dyDescent="0.25">
      <c r="A12" s="4" t="s">
        <v>5</v>
      </c>
      <c r="B12" s="5">
        <v>11</v>
      </c>
      <c r="E12" s="21"/>
      <c r="K12" s="21"/>
      <c r="Q12" s="21"/>
      <c r="S12" s="1">
        <v>47</v>
      </c>
      <c r="T12" s="1">
        <v>29</v>
      </c>
      <c r="U12" s="1">
        <v>53</v>
      </c>
      <c r="V12" s="1">
        <v>36</v>
      </c>
      <c r="X12" s="21">
        <f>SUM(R12:W12)</f>
        <v>165</v>
      </c>
      <c r="AD12" s="21"/>
      <c r="AJ12" s="21"/>
      <c r="AK12" s="1">
        <v>78</v>
      </c>
      <c r="AL12" s="1">
        <v>85</v>
      </c>
      <c r="AM12" s="1">
        <v>123</v>
      </c>
      <c r="AN12" s="1">
        <v>72</v>
      </c>
      <c r="AO12" s="1">
        <v>174</v>
      </c>
      <c r="AP12" s="21">
        <f>SUM(AK12:AO12)</f>
        <v>532</v>
      </c>
      <c r="AQ12" s="1">
        <v>98</v>
      </c>
      <c r="AR12" s="1">
        <v>100</v>
      </c>
      <c r="AV12" s="21">
        <f>SUM(AQ12:AU12)</f>
        <v>198</v>
      </c>
      <c r="AX12" s="1">
        <v>79</v>
      </c>
      <c r="AY12" s="1">
        <v>75</v>
      </c>
      <c r="AZ12" s="1">
        <v>84</v>
      </c>
      <c r="BA12" s="1">
        <v>159</v>
      </c>
      <c r="BB12" s="21">
        <f>SUM(AW12:BA12)</f>
        <v>397</v>
      </c>
      <c r="BC12" s="1">
        <v>27</v>
      </c>
      <c r="BD12" s="1">
        <v>32</v>
      </c>
      <c r="BE12" s="1">
        <v>57</v>
      </c>
      <c r="BF12" s="21">
        <f>SUM(BC12:BE12)</f>
        <v>116</v>
      </c>
      <c r="BG12" s="1">
        <v>15</v>
      </c>
      <c r="BH12" s="1">
        <v>102</v>
      </c>
      <c r="BI12" s="1">
        <v>21</v>
      </c>
      <c r="BJ12" s="1">
        <v>40</v>
      </c>
      <c r="BL12" s="21">
        <f>SUM(BG12:BK12)</f>
        <v>178</v>
      </c>
      <c r="BR12" s="21"/>
      <c r="BX12" s="21"/>
      <c r="CD12" s="21"/>
      <c r="CJ12" s="21"/>
      <c r="CP12" s="21"/>
      <c r="CV12" s="21"/>
      <c r="DB12" s="21"/>
      <c r="DC12" s="1">
        <v>57</v>
      </c>
      <c r="DD12" s="1">
        <v>68</v>
      </c>
      <c r="DE12" s="1">
        <v>40</v>
      </c>
      <c r="DF12" s="1">
        <v>32</v>
      </c>
      <c r="DH12" s="21">
        <f>SUM(DC12:DG12)</f>
        <v>197</v>
      </c>
      <c r="DN12" s="21">
        <f>SUM(DI12:DM12)</f>
        <v>0</v>
      </c>
      <c r="DT12" s="21">
        <f>SUM(DO12:DS12)</f>
        <v>0</v>
      </c>
      <c r="DZ12" s="51">
        <f t="shared" si="3"/>
        <v>0</v>
      </c>
    </row>
    <row r="13" spans="1:130" ht="20.25" customHeight="1" x14ac:dyDescent="0.25">
      <c r="A13" s="3" t="s">
        <v>8</v>
      </c>
      <c r="B13" s="6">
        <v>12</v>
      </c>
      <c r="E13" s="21"/>
      <c r="K13" s="21"/>
      <c r="Q13" s="21"/>
      <c r="X13" s="21"/>
      <c r="AD13" s="21"/>
      <c r="AJ13" s="21"/>
      <c r="AP13" s="21"/>
      <c r="AV13" s="21"/>
      <c r="BB13" s="21"/>
      <c r="BE13" s="1">
        <v>15</v>
      </c>
      <c r="BF13" s="21">
        <v>15</v>
      </c>
      <c r="BG13" s="1">
        <v>2</v>
      </c>
      <c r="BL13" s="21">
        <f>SUM(BG13:BK13)</f>
        <v>2</v>
      </c>
      <c r="BR13" s="21"/>
      <c r="BX13" s="21"/>
      <c r="CD13" s="21"/>
      <c r="CJ13" s="21"/>
      <c r="CP13" s="21"/>
      <c r="CV13" s="21"/>
      <c r="CY13" s="1">
        <v>1</v>
      </c>
      <c r="DB13" s="21"/>
      <c r="DH13" s="21">
        <f t="shared" ref="DH13:DH16" si="5">SUM(DC13:DG13)</f>
        <v>0</v>
      </c>
      <c r="DN13" s="21">
        <f t="shared" ref="DN13:DN16" si="6">SUM(DI13:DM13)</f>
        <v>0</v>
      </c>
      <c r="DT13" s="21">
        <f t="shared" ref="DT13:DT16" si="7">SUM(DO13:DS13)</f>
        <v>0</v>
      </c>
      <c r="DZ13" s="51">
        <f t="shared" si="3"/>
        <v>0</v>
      </c>
    </row>
    <row r="14" spans="1:130" ht="20.25" customHeight="1" x14ac:dyDescent="0.25">
      <c r="A14" s="4" t="s">
        <v>6</v>
      </c>
      <c r="B14" s="5">
        <v>13</v>
      </c>
      <c r="E14" s="21"/>
      <c r="K14" s="21"/>
      <c r="Q14" s="21"/>
      <c r="X14" s="21"/>
      <c r="AD14" s="21"/>
      <c r="AJ14" s="21"/>
      <c r="AP14" s="21"/>
      <c r="AV14" s="21"/>
      <c r="BB14" s="21"/>
      <c r="BF14" s="21"/>
      <c r="BL14" s="21"/>
      <c r="BR14" s="21"/>
      <c r="BX14" s="21"/>
      <c r="CD14" s="21"/>
      <c r="CJ14" s="21"/>
      <c r="CP14" s="21"/>
      <c r="CV14" s="21"/>
      <c r="DB14" s="21"/>
      <c r="DH14" s="21">
        <f t="shared" si="5"/>
        <v>0</v>
      </c>
      <c r="DN14" s="21">
        <f t="shared" si="6"/>
        <v>0</v>
      </c>
      <c r="DT14" s="21">
        <f t="shared" si="7"/>
        <v>0</v>
      </c>
      <c r="DZ14" s="51">
        <f t="shared" si="3"/>
        <v>0</v>
      </c>
    </row>
    <row r="15" spans="1:130" ht="20.25" customHeight="1" x14ac:dyDescent="0.25">
      <c r="A15" s="3" t="s">
        <v>7</v>
      </c>
      <c r="B15" s="5">
        <v>14</v>
      </c>
      <c r="E15" s="21"/>
      <c r="K15" s="21"/>
      <c r="Q15" s="21"/>
      <c r="W15" s="1">
        <v>325</v>
      </c>
      <c r="X15" s="21">
        <f>SUM(R15:W15)</f>
        <v>325</v>
      </c>
      <c r="Y15" s="1">
        <v>325</v>
      </c>
      <c r="AA15" s="1">
        <v>295</v>
      </c>
      <c r="AD15" s="21">
        <f>SUM(Y15:AC15)</f>
        <v>620</v>
      </c>
      <c r="AF15" s="1">
        <v>100</v>
      </c>
      <c r="AG15" s="1">
        <v>100</v>
      </c>
      <c r="AH15" s="1">
        <v>46</v>
      </c>
      <c r="AJ15" s="21">
        <f>SUM(AE15:AI15)</f>
        <v>246</v>
      </c>
      <c r="AP15" s="21"/>
      <c r="AV15" s="21"/>
      <c r="AY15" s="1">
        <v>10</v>
      </c>
      <c r="BB15" s="21">
        <f>SUM(AW15:BA15)</f>
        <v>10</v>
      </c>
      <c r="BC15" s="1">
        <v>4</v>
      </c>
      <c r="BE15" s="1">
        <v>12</v>
      </c>
      <c r="BF15" s="21">
        <f>SUM(BC15:BE15)</f>
        <v>16</v>
      </c>
      <c r="BJ15" s="1">
        <v>64</v>
      </c>
      <c r="BL15" s="21">
        <f>SUM(BG15:BK15)</f>
        <v>64</v>
      </c>
      <c r="BR15" s="21"/>
      <c r="BX15" s="21"/>
      <c r="CD15" s="21"/>
      <c r="CJ15" s="21"/>
      <c r="CP15" s="21"/>
      <c r="CV15" s="21"/>
      <c r="DB15" s="21"/>
      <c r="DH15" s="21">
        <f t="shared" si="5"/>
        <v>0</v>
      </c>
      <c r="DL15" s="1">
        <v>33</v>
      </c>
      <c r="DM15" s="1">
        <v>34</v>
      </c>
      <c r="DN15" s="21">
        <f t="shared" si="6"/>
        <v>67</v>
      </c>
      <c r="DO15" s="1">
        <v>50</v>
      </c>
      <c r="DP15" s="1">
        <v>64</v>
      </c>
      <c r="DQ15" s="1">
        <v>102</v>
      </c>
      <c r="DR15" s="1">
        <v>10</v>
      </c>
      <c r="DS15" s="1">
        <v>10</v>
      </c>
      <c r="DT15" s="21">
        <f t="shared" si="7"/>
        <v>236</v>
      </c>
      <c r="DU15" s="1">
        <v>100</v>
      </c>
      <c r="DV15" s="1">
        <v>140</v>
      </c>
      <c r="DW15" s="1">
        <v>6</v>
      </c>
      <c r="DX15" s="1">
        <v>15</v>
      </c>
      <c r="DY15" s="1">
        <v>16</v>
      </c>
      <c r="DZ15" s="51">
        <f t="shared" si="3"/>
        <v>277</v>
      </c>
    </row>
    <row r="16" spans="1:130" ht="20.25" customHeight="1" x14ac:dyDescent="0.25">
      <c r="A16" s="5" t="s">
        <v>37</v>
      </c>
      <c r="B16" s="9">
        <v>15</v>
      </c>
      <c r="E16" s="21"/>
      <c r="K16" s="21"/>
      <c r="Q16" s="21"/>
      <c r="X16" s="21"/>
      <c r="AD16" s="21"/>
      <c r="AJ16" s="21"/>
      <c r="AP16" s="21"/>
      <c r="AV16" s="21"/>
      <c r="BB16" s="21"/>
      <c r="BF16" s="21"/>
      <c r="BG16" s="1">
        <v>1</v>
      </c>
      <c r="BL16" s="21"/>
      <c r="BM16" s="1">
        <v>196</v>
      </c>
      <c r="BN16" s="1">
        <v>100</v>
      </c>
      <c r="BR16" s="21">
        <f>SUM(BM16:BQ16)</f>
        <v>296</v>
      </c>
      <c r="BX16" s="21"/>
      <c r="CD16" s="21"/>
      <c r="CJ16" s="21"/>
      <c r="CP16" s="21"/>
      <c r="CV16" s="21"/>
      <c r="DB16" s="21"/>
      <c r="DH16" s="21">
        <f t="shared" si="5"/>
        <v>0</v>
      </c>
      <c r="DN16" s="21">
        <f t="shared" si="6"/>
        <v>0</v>
      </c>
      <c r="DT16" s="21">
        <f t="shared" si="7"/>
        <v>0</v>
      </c>
      <c r="DU16" s="49"/>
      <c r="DV16" s="49"/>
      <c r="DW16" s="49"/>
      <c r="DX16" s="49"/>
      <c r="DY16" s="49"/>
      <c r="DZ16" s="51">
        <f t="shared" si="3"/>
        <v>0</v>
      </c>
    </row>
    <row r="17" spans="1:128" ht="270" x14ac:dyDescent="0.25">
      <c r="A17" s="1" t="s">
        <v>11</v>
      </c>
      <c r="BG17" s="7" t="s">
        <v>93</v>
      </c>
      <c r="BN17" s="14" t="s">
        <v>139</v>
      </c>
      <c r="BO17" s="7" t="s">
        <v>140</v>
      </c>
      <c r="BP17" s="7" t="s">
        <v>140</v>
      </c>
      <c r="BQ17" s="7" t="s">
        <v>149</v>
      </c>
      <c r="BS17" s="7" t="s">
        <v>159</v>
      </c>
      <c r="BZ17" s="7" t="s">
        <v>179</v>
      </c>
      <c r="CB17" s="7" t="s">
        <v>187</v>
      </c>
      <c r="CC17" s="7" t="s">
        <v>191</v>
      </c>
      <c r="CE17" s="7" t="s">
        <v>208</v>
      </c>
      <c r="CF17" s="7" t="s">
        <v>208</v>
      </c>
      <c r="CG17" s="7" t="s">
        <v>208</v>
      </c>
      <c r="CH17" s="7" t="s">
        <v>208</v>
      </c>
      <c r="CI17" s="7" t="s">
        <v>208</v>
      </c>
      <c r="CK17" s="7" t="s">
        <v>206</v>
      </c>
      <c r="CL17" s="7" t="s">
        <v>212</v>
      </c>
      <c r="CM17" s="14" t="s">
        <v>216</v>
      </c>
      <c r="CN17" s="14" t="s">
        <v>225</v>
      </c>
      <c r="CO17" s="7"/>
      <c r="CR17" s="14" t="s">
        <v>225</v>
      </c>
      <c r="CS17" s="42"/>
      <c r="CT17" s="7" t="s">
        <v>232</v>
      </c>
      <c r="CU17" s="7" t="s">
        <v>237</v>
      </c>
      <c r="CV17" s="7"/>
      <c r="CW17" s="14" t="s">
        <v>225</v>
      </c>
      <c r="CY17" s="47" t="s">
        <v>244</v>
      </c>
      <c r="DE17" s="7" t="s">
        <v>261</v>
      </c>
      <c r="DG17" s="7" t="s">
        <v>262</v>
      </c>
      <c r="DI17" s="7" t="s">
        <v>263</v>
      </c>
      <c r="DJ17" s="7" t="s">
        <v>292</v>
      </c>
      <c r="DK17" s="7" t="s">
        <v>264</v>
      </c>
      <c r="DL17" s="14" t="s">
        <v>275</v>
      </c>
      <c r="DM17" s="14" t="s">
        <v>275</v>
      </c>
      <c r="DP17" s="7" t="s">
        <v>293</v>
      </c>
      <c r="DQ17" s="7"/>
      <c r="DW17" s="7" t="s">
        <v>317</v>
      </c>
      <c r="DX17" s="7" t="s">
        <v>191</v>
      </c>
    </row>
    <row r="18" spans="1:128" ht="135" x14ac:dyDescent="0.25">
      <c r="A18" s="1" t="s">
        <v>10</v>
      </c>
      <c r="R18" s="7"/>
      <c r="S18" s="7" t="s">
        <v>40</v>
      </c>
      <c r="T18" s="7" t="s">
        <v>40</v>
      </c>
      <c r="U18" s="7" t="s">
        <v>40</v>
      </c>
      <c r="V18" s="7" t="s">
        <v>40</v>
      </c>
      <c r="AA18" s="7" t="s">
        <v>14</v>
      </c>
      <c r="AB18" s="7" t="s">
        <v>64</v>
      </c>
      <c r="AC18" s="7" t="s">
        <v>64</v>
      </c>
      <c r="AD18" s="7"/>
      <c r="AE18" s="7" t="s">
        <v>64</v>
      </c>
      <c r="AF18" s="7" t="s">
        <v>15</v>
      </c>
      <c r="AG18" s="7" t="s">
        <v>15</v>
      </c>
      <c r="AH18" s="7" t="s">
        <v>15</v>
      </c>
      <c r="AI18" s="7"/>
      <c r="AJ18" s="7"/>
      <c r="AK18" s="7" t="s">
        <v>40</v>
      </c>
      <c r="AL18" s="7" t="s">
        <v>40</v>
      </c>
      <c r="AM18" s="7" t="s">
        <v>40</v>
      </c>
      <c r="AN18" s="7" t="s">
        <v>40</v>
      </c>
      <c r="AO18" s="7" t="s">
        <v>40</v>
      </c>
      <c r="AP18" s="7"/>
      <c r="AQ18" s="7" t="s">
        <v>40</v>
      </c>
      <c r="AR18" s="7" t="s">
        <v>40</v>
      </c>
      <c r="AS18" s="7" t="s">
        <v>24</v>
      </c>
      <c r="AT18" s="7" t="s">
        <v>33</v>
      </c>
      <c r="AU18" s="7" t="s">
        <v>33</v>
      </c>
      <c r="AV18" s="7"/>
      <c r="AW18" s="7" t="s">
        <v>33</v>
      </c>
      <c r="AX18" s="7" t="s">
        <v>40</v>
      </c>
      <c r="AY18" s="7" t="s">
        <v>40</v>
      </c>
      <c r="AZ18" s="7" t="s">
        <v>40</v>
      </c>
      <c r="BA18" s="7" t="s">
        <v>40</v>
      </c>
      <c r="BB18" s="7"/>
      <c r="BG18" s="7" t="s">
        <v>94</v>
      </c>
      <c r="BH18" s="7"/>
      <c r="BI18" s="7" t="s">
        <v>132</v>
      </c>
      <c r="BJ18" s="14" t="s">
        <v>112</v>
      </c>
      <c r="BK18" s="7" t="s">
        <v>130</v>
      </c>
      <c r="BM18" s="7" t="s">
        <v>134</v>
      </c>
      <c r="BN18" s="14" t="s">
        <v>135</v>
      </c>
      <c r="BO18" s="14"/>
      <c r="BP18" s="14"/>
      <c r="CB18" s="7" t="s">
        <v>190</v>
      </c>
      <c r="CC18" s="7" t="s">
        <v>192</v>
      </c>
      <c r="DQ18" s="7" t="s">
        <v>311</v>
      </c>
    </row>
  </sheetData>
  <customSheetViews>
    <customSheetView guid="{3D987F8E-A6EA-454D-9537-6BFC5053CB00}">
      <pane xSplit="1" topLeftCell="BM1" activePane="topRight" state="frozen"/>
      <selection pane="topRight" activeCell="BL12" sqref="BL12"/>
      <pageMargins left="0.511811024" right="0.511811024" top="0.78740157499999996" bottom="0.78740157499999996" header="0.31496062000000002" footer="0.31496062000000002"/>
    </customSheetView>
    <customSheetView guid="{B3CDE377-BA5D-4E06-91D9-3A48E1959BA5}" topLeftCell="A7">
      <pane xSplit="1" topLeftCell="DM1" activePane="topRight" state="frozen"/>
      <selection pane="topRight" activeCell="DS15" sqref="DS15"/>
      <pageMargins left="0.511811024" right="0.511811024" top="0.78740157499999996" bottom="0.78740157499999996" header="0.31496062000000002" footer="0.31496062000000002"/>
    </customSheetView>
    <customSheetView guid="{C69767F5-CD39-44C1-AD4B-CE19DC8285A6}">
      <selection activeCell="B16" sqref="B16"/>
      <pageMargins left="0.511811024" right="0.511811024" top="0.78740157499999996" bottom="0.78740157499999996" header="0.31496062000000002" footer="0.31496062000000002"/>
    </customSheetView>
    <customSheetView guid="{552DFCCD-1786-4D75-8B10-27DD730384DD}">
      <pane xSplit="1" topLeftCell="H1" activePane="topRight" state="frozen"/>
      <selection pane="topRight" activeCell="M9" sqref="M9"/>
      <pageMargins left="0.511811024" right="0.511811024" top="0.78740157499999996" bottom="0.78740157499999996" header="0.31496062000000002" footer="0.31496062000000002"/>
    </customSheetView>
    <customSheetView guid="{9B623083-AA7B-440B-95EA-C33E1AB3D963}" topLeftCell="A17">
      <pane xSplit="1" topLeftCell="CY1" activePane="topRight" state="frozen"/>
      <selection pane="topRight" activeCell="DL9" sqref="DL9"/>
      <pageMargins left="0.511811024" right="0.511811024" top="0.78740157499999996" bottom="0.78740157499999996" header="0.31496062000000002" footer="0.31496062000000002"/>
      <pageSetup paperSize="9" orientation="portrait" r:id="rId1"/>
    </customSheetView>
    <customSheetView guid="{18A482E0-C8B6-4AA1-9E04-15FA7C9CD5E3}" scale="90">
      <pane xSplit="1" topLeftCell="DK1" activePane="topRight" state="frozen"/>
      <selection pane="topRight" activeCell="DZ1" sqref="DZ1"/>
      <pageMargins left="0.511811024" right="0.511811024" top="0.78740157499999996" bottom="0.78740157499999996" header="0.31496062000000002" footer="0.31496062000000002"/>
    </customSheetView>
    <customSheetView guid="{20CB6D8F-C24D-4D4B-A424-AF380F620455}" scale="90" showPageBreaks="1">
      <pane xSplit="1" topLeftCell="DL1" activePane="topRight" state="frozen"/>
      <selection pane="topRight" activeCell="DR15" sqref="DR15"/>
      <pageMargins left="0.511811024" right="0.511811024" top="0.78740157499999996" bottom="0.78740157499999996" header="0.31496062000000002" footer="0.31496062000000002"/>
      <pageSetup paperSize="9" orientation="portrait" r:id="rId2"/>
    </customSheetView>
    <customSheetView guid="{86039CF8-B158-4D70-9A6F-A10C29CBD68A}" topLeftCell="DG1">
      <selection activeCell="DU9" sqref="DU9"/>
      <pageMargins left="0.511811024" right="0.511811024" top="0.78740157499999996" bottom="0.78740157499999996" header="0.31496062000000002" footer="0.31496062000000002"/>
    </customSheetView>
    <customSheetView guid="{E3841903-5B68-44FD-8F09-58E03D1025C5}">
      <pane xSplit="1" topLeftCell="DN1" activePane="topRight" state="frozen"/>
      <selection pane="topRight" activeCell="DY15" sqref="DY15"/>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Z18"/>
  <sheetViews>
    <sheetView topLeftCell="A7" zoomScaleNormal="90" workbookViewId="0">
      <pane xSplit="1" topLeftCell="BG1" activePane="topRight" state="frozen"/>
      <selection activeCell="A7" sqref="A7"/>
      <selection pane="topRight" activeCell="BQ17" sqref="BQ17"/>
    </sheetView>
  </sheetViews>
  <sheetFormatPr defaultColWidth="9.140625" defaultRowHeight="15" x14ac:dyDescent="0.25"/>
  <cols>
    <col min="1" max="1" width="77.42578125" style="1" bestFit="1" customWidth="1"/>
    <col min="2" max="2" width="3" style="1" bestFit="1" customWidth="1"/>
    <col min="3" max="45" width="20.140625" style="1" customWidth="1"/>
    <col min="46" max="46" width="16.28515625" style="1" customWidth="1"/>
    <col min="47" max="48" width="18.85546875" style="1" customWidth="1"/>
    <col min="49" max="53" width="9.140625" style="1"/>
    <col min="54" max="54" width="14.28515625" style="1" bestFit="1" customWidth="1"/>
    <col min="55" max="57" width="9.140625" style="1"/>
    <col min="58" max="58" width="14.28515625" style="1" bestFit="1" customWidth="1"/>
    <col min="59" max="60" width="9.140625" style="1"/>
    <col min="61" max="61" width="15.28515625" style="1" customWidth="1"/>
    <col min="62" max="62" width="16.7109375" style="1" customWidth="1"/>
    <col min="63" max="63" width="12.7109375" style="1" customWidth="1"/>
    <col min="64" max="64" width="14.28515625" style="1" bestFit="1" customWidth="1"/>
    <col min="65" max="68" width="14.85546875" style="1" customWidth="1"/>
    <col min="69" max="69" width="18.42578125" style="1" customWidth="1"/>
    <col min="70" max="70" width="14.28515625" style="1" bestFit="1" customWidth="1"/>
    <col min="71" max="75" width="9.140625" style="1"/>
    <col min="76" max="76" width="14.28515625" style="1" bestFit="1" customWidth="1"/>
    <col min="77" max="81" width="9.140625" style="1"/>
    <col min="82" max="82" width="14.28515625" style="1" bestFit="1" customWidth="1"/>
    <col min="83" max="87" width="9.140625" style="1"/>
    <col min="88" max="88" width="14.28515625" style="1" bestFit="1" customWidth="1"/>
    <col min="89" max="93" width="9.140625" style="1"/>
    <col min="94" max="94" width="14.28515625" style="1" customWidth="1"/>
    <col min="95" max="99" width="9.140625" style="1"/>
    <col min="100" max="100" width="14.28515625" style="1" bestFit="1" customWidth="1"/>
    <col min="101" max="104" width="9.140625" style="1"/>
    <col min="105" max="105" width="19.85546875" style="1" bestFit="1" customWidth="1"/>
    <col min="106" max="106" width="14.28515625" style="1" bestFit="1" customWidth="1"/>
    <col min="107" max="111" width="9.140625" style="1"/>
    <col min="112" max="112" width="14.28515625" style="1" bestFit="1" customWidth="1"/>
    <col min="113" max="117" width="9.140625" style="1"/>
    <col min="118" max="118" width="14.28515625" style="1" bestFit="1" customWidth="1"/>
    <col min="119" max="123" width="9.140625" style="1"/>
    <col min="124" max="124" width="14.28515625" style="1" bestFit="1" customWidth="1"/>
    <col min="125" max="129" width="9.140625" style="1"/>
    <col min="130" max="130" width="14.28515625" style="1" bestFit="1" customWidth="1"/>
    <col min="131" max="16384" width="9.140625" style="1"/>
  </cols>
  <sheetData>
    <row r="1" spans="1:130" x14ac:dyDescent="0.25">
      <c r="A1" s="1" t="s">
        <v>9</v>
      </c>
      <c r="C1" s="2">
        <v>45659</v>
      </c>
      <c r="D1" s="2">
        <v>45660</v>
      </c>
      <c r="E1" s="20" t="s">
        <v>56</v>
      </c>
      <c r="F1" s="2">
        <v>45663</v>
      </c>
      <c r="G1" s="2">
        <v>45664</v>
      </c>
      <c r="H1" s="2">
        <v>45665</v>
      </c>
      <c r="I1" s="2">
        <v>45666</v>
      </c>
      <c r="J1" s="2">
        <v>45667</v>
      </c>
      <c r="K1" s="20" t="s">
        <v>56</v>
      </c>
      <c r="L1" s="2">
        <v>45670</v>
      </c>
      <c r="M1" s="2">
        <v>45671</v>
      </c>
      <c r="N1" s="2">
        <v>45672</v>
      </c>
      <c r="O1" s="2">
        <v>45673</v>
      </c>
      <c r="P1" s="2">
        <v>45674</v>
      </c>
      <c r="Q1" s="20" t="s">
        <v>56</v>
      </c>
      <c r="R1" s="2">
        <v>45675</v>
      </c>
      <c r="S1" s="2">
        <v>45677</v>
      </c>
      <c r="T1" s="2">
        <v>45678</v>
      </c>
      <c r="U1" s="2">
        <v>45679</v>
      </c>
      <c r="V1" s="2">
        <v>45680</v>
      </c>
      <c r="W1" s="2">
        <v>45681</v>
      </c>
      <c r="X1" s="20" t="s">
        <v>56</v>
      </c>
      <c r="Y1" s="2">
        <v>45684</v>
      </c>
      <c r="Z1" s="2">
        <v>45685</v>
      </c>
      <c r="AA1" s="2">
        <v>45686</v>
      </c>
      <c r="AB1" s="2">
        <v>45687</v>
      </c>
      <c r="AC1" s="2">
        <v>45688</v>
      </c>
      <c r="AD1" s="20" t="s">
        <v>56</v>
      </c>
      <c r="AE1" s="2">
        <v>45691</v>
      </c>
      <c r="AF1" s="2">
        <v>45692</v>
      </c>
      <c r="AG1" s="2">
        <v>45693</v>
      </c>
      <c r="AH1" s="2">
        <v>45694</v>
      </c>
      <c r="AI1" s="2">
        <v>45695</v>
      </c>
      <c r="AJ1" s="20" t="s">
        <v>56</v>
      </c>
      <c r="AK1" s="2">
        <v>45698</v>
      </c>
      <c r="AL1" s="2">
        <v>45699</v>
      </c>
      <c r="AM1" s="2">
        <v>45700</v>
      </c>
      <c r="AN1" s="2">
        <v>45701</v>
      </c>
      <c r="AO1" s="2">
        <v>45702</v>
      </c>
      <c r="AP1" s="20" t="s">
        <v>56</v>
      </c>
      <c r="AQ1" s="2">
        <v>45705</v>
      </c>
      <c r="AR1" s="2">
        <v>45706</v>
      </c>
      <c r="AS1" s="2">
        <v>45707</v>
      </c>
      <c r="AT1" s="2">
        <v>45708</v>
      </c>
      <c r="AU1" s="2">
        <v>45709</v>
      </c>
      <c r="AV1" s="20" t="s">
        <v>56</v>
      </c>
      <c r="AW1" s="2">
        <v>45712</v>
      </c>
      <c r="AX1" s="2">
        <v>45713</v>
      </c>
      <c r="AY1" s="2">
        <v>45714</v>
      </c>
      <c r="AZ1" s="2">
        <v>45715</v>
      </c>
      <c r="BA1" s="2">
        <v>45716</v>
      </c>
      <c r="BB1" s="20" t="s">
        <v>56</v>
      </c>
      <c r="BC1" s="2">
        <v>45721</v>
      </c>
      <c r="BD1" s="2">
        <v>45722</v>
      </c>
      <c r="BE1" s="2">
        <v>45723</v>
      </c>
      <c r="BF1" s="20" t="s">
        <v>56</v>
      </c>
      <c r="BG1" s="10">
        <v>45726</v>
      </c>
      <c r="BH1" s="10">
        <v>45727</v>
      </c>
      <c r="BI1" s="10">
        <v>45728</v>
      </c>
      <c r="BJ1" s="10">
        <v>45729</v>
      </c>
      <c r="BK1" s="10">
        <v>45730</v>
      </c>
      <c r="BL1" s="20" t="s">
        <v>56</v>
      </c>
      <c r="BM1" s="10">
        <v>45733</v>
      </c>
      <c r="BN1" s="10">
        <v>45734</v>
      </c>
      <c r="BO1" s="10">
        <v>45735</v>
      </c>
      <c r="BP1" s="10">
        <v>45736</v>
      </c>
      <c r="BQ1" s="10">
        <v>45737</v>
      </c>
      <c r="BR1" s="20" t="s">
        <v>56</v>
      </c>
      <c r="BS1" s="10">
        <v>45740</v>
      </c>
      <c r="BT1" s="10">
        <v>45741</v>
      </c>
      <c r="BU1" s="10">
        <v>45742</v>
      </c>
      <c r="BV1" s="10">
        <v>45743</v>
      </c>
      <c r="BW1" s="10">
        <v>45744</v>
      </c>
      <c r="BX1" s="20" t="s">
        <v>56</v>
      </c>
      <c r="BY1" s="10">
        <v>45747</v>
      </c>
      <c r="BZ1" s="10">
        <v>45748</v>
      </c>
      <c r="CA1" s="10">
        <v>45749</v>
      </c>
      <c r="CB1" s="10">
        <v>45750</v>
      </c>
      <c r="CC1" s="10">
        <v>45751</v>
      </c>
      <c r="CD1" s="20" t="s">
        <v>56</v>
      </c>
      <c r="CE1" s="10">
        <v>45754</v>
      </c>
      <c r="CF1" s="10">
        <v>45755</v>
      </c>
      <c r="CG1" s="10">
        <v>45756</v>
      </c>
      <c r="CH1" s="10">
        <v>45757</v>
      </c>
      <c r="CI1" s="10">
        <v>45758</v>
      </c>
      <c r="CJ1" s="20" t="s">
        <v>56</v>
      </c>
      <c r="CK1" s="2">
        <v>45761</v>
      </c>
      <c r="CL1" s="2">
        <v>45762</v>
      </c>
      <c r="CM1" s="2">
        <v>45763</v>
      </c>
      <c r="CN1" s="2">
        <v>45764</v>
      </c>
      <c r="CO1" s="2">
        <v>45765</v>
      </c>
      <c r="CP1" s="20" t="s">
        <v>56</v>
      </c>
      <c r="CQ1" s="2">
        <v>45768</v>
      </c>
      <c r="CR1" s="2">
        <v>45769</v>
      </c>
      <c r="CS1" s="2">
        <v>45770</v>
      </c>
      <c r="CT1" s="2">
        <v>45771</v>
      </c>
      <c r="CU1" s="2">
        <v>45772</v>
      </c>
      <c r="CV1" s="20" t="s">
        <v>56</v>
      </c>
      <c r="CW1" s="2">
        <v>45775</v>
      </c>
      <c r="CX1" s="2">
        <v>45776</v>
      </c>
      <c r="CY1" s="2">
        <v>45777</v>
      </c>
      <c r="CZ1" s="2">
        <v>45778</v>
      </c>
      <c r="DA1" s="2">
        <v>45779</v>
      </c>
      <c r="DB1" s="20" t="s">
        <v>56</v>
      </c>
      <c r="DC1" s="2">
        <v>45782</v>
      </c>
      <c r="DD1" s="2">
        <v>45783</v>
      </c>
      <c r="DE1" s="2">
        <v>45784</v>
      </c>
      <c r="DF1" s="2">
        <v>45785</v>
      </c>
      <c r="DG1" s="2">
        <v>45786</v>
      </c>
      <c r="DH1" s="20" t="s">
        <v>56</v>
      </c>
      <c r="DI1" s="2">
        <v>45789</v>
      </c>
      <c r="DJ1" s="2">
        <v>45790</v>
      </c>
      <c r="DK1" s="2">
        <v>45791</v>
      </c>
      <c r="DL1" s="2">
        <v>45792</v>
      </c>
      <c r="DM1" s="2">
        <v>45793</v>
      </c>
      <c r="DN1" s="20" t="s">
        <v>56</v>
      </c>
      <c r="DO1" s="2">
        <v>45796</v>
      </c>
      <c r="DP1" s="2">
        <v>45797</v>
      </c>
      <c r="DQ1" s="2">
        <v>45798</v>
      </c>
      <c r="DR1" s="2">
        <v>45799</v>
      </c>
      <c r="DS1" s="2">
        <v>45800</v>
      </c>
      <c r="DT1" s="20" t="s">
        <v>56</v>
      </c>
      <c r="DU1" s="10">
        <v>45803</v>
      </c>
      <c r="DV1" s="10">
        <v>45804</v>
      </c>
      <c r="DW1" s="10">
        <v>45805</v>
      </c>
      <c r="DX1" s="10">
        <v>45806</v>
      </c>
      <c r="DY1" s="10">
        <v>45807</v>
      </c>
      <c r="DZ1" s="50" t="s">
        <v>56</v>
      </c>
    </row>
    <row r="2" spans="1:130" x14ac:dyDescent="0.25">
      <c r="A2" s="3" t="s">
        <v>113</v>
      </c>
      <c r="B2" s="5">
        <v>1</v>
      </c>
      <c r="E2" s="21"/>
      <c r="K2" s="21"/>
      <c r="Q2" s="21"/>
      <c r="X2" s="21"/>
      <c r="AD2" s="21"/>
      <c r="AJ2" s="21"/>
      <c r="AP2" s="21"/>
      <c r="AV2" s="21"/>
      <c r="BB2" s="21"/>
      <c r="BF2" s="21"/>
      <c r="BL2" s="21"/>
      <c r="BR2" s="21"/>
      <c r="BX2" s="21"/>
      <c r="CD2" s="21"/>
      <c r="CJ2" s="21"/>
      <c r="CO2" s="1" t="s">
        <v>205</v>
      </c>
      <c r="CP2" s="21"/>
      <c r="CQ2" s="1" t="s">
        <v>205</v>
      </c>
      <c r="CV2" s="21"/>
      <c r="CZ2" s="1" t="s">
        <v>205</v>
      </c>
      <c r="DA2" s="1" t="s">
        <v>290</v>
      </c>
      <c r="DB2" s="21">
        <f>SUM(CQ2:DA2)</f>
        <v>0</v>
      </c>
      <c r="DH2" s="21">
        <f>SUM(CW2:DG2)</f>
        <v>0</v>
      </c>
      <c r="DN2" s="21">
        <f>SUM(DI2:DM2)</f>
        <v>0</v>
      </c>
      <c r="DT2" s="21">
        <f>SUM(DO2:DS2)</f>
        <v>0</v>
      </c>
      <c r="DZ2" s="51">
        <f>SUM(DU2:DY2)</f>
        <v>0</v>
      </c>
    </row>
    <row r="3" spans="1:130" x14ac:dyDescent="0.25">
      <c r="A3" s="3" t="s">
        <v>0</v>
      </c>
      <c r="B3" s="5">
        <v>2</v>
      </c>
      <c r="E3" s="21"/>
      <c r="K3" s="21"/>
      <c r="Q3" s="21"/>
      <c r="X3" s="21"/>
      <c r="AD3" s="21"/>
      <c r="AJ3" s="21"/>
      <c r="AP3" s="21"/>
      <c r="AV3" s="21"/>
      <c r="BB3" s="21"/>
      <c r="BF3" s="21"/>
      <c r="BL3" s="21"/>
      <c r="BR3" s="21"/>
      <c r="BX3" s="21"/>
      <c r="CD3" s="21"/>
      <c r="CJ3" s="21"/>
      <c r="CP3" s="21"/>
      <c r="CV3" s="21"/>
      <c r="DB3" s="21">
        <f t="shared" ref="DB3:DB7" si="0">SUM(CQ3:DA3)</f>
        <v>0</v>
      </c>
      <c r="DH3" s="21">
        <f t="shared" ref="DH3:DH7" si="1">SUM(CW3:DG3)</f>
        <v>0</v>
      </c>
      <c r="DN3" s="21">
        <f t="shared" ref="DN3:DN7" si="2">SUM(DI3:DM3)</f>
        <v>0</v>
      </c>
      <c r="DT3" s="21">
        <f t="shared" ref="DT3:DT7" si="3">SUM(DO3:DS3)</f>
        <v>0</v>
      </c>
      <c r="DZ3" s="51">
        <f t="shared" ref="DZ3:DZ16" si="4">SUM(DU3:DY3)</f>
        <v>0</v>
      </c>
    </row>
    <row r="4" spans="1:130" x14ac:dyDescent="0.25">
      <c r="A4" s="4" t="s">
        <v>100</v>
      </c>
      <c r="B4" s="6">
        <v>3</v>
      </c>
      <c r="E4" s="21"/>
      <c r="K4" s="21"/>
      <c r="Q4" s="21"/>
      <c r="X4" s="21"/>
      <c r="AD4" s="21"/>
      <c r="AJ4" s="21"/>
      <c r="AP4" s="21"/>
      <c r="AV4" s="21"/>
      <c r="BB4" s="21"/>
      <c r="BF4" s="21"/>
      <c r="BL4" s="21"/>
      <c r="BR4" s="21"/>
      <c r="BX4" s="21"/>
      <c r="CD4" s="21"/>
      <c r="CJ4" s="21"/>
      <c r="CP4" s="21"/>
      <c r="CV4" s="21"/>
      <c r="DB4" s="21">
        <f t="shared" si="0"/>
        <v>0</v>
      </c>
      <c r="DH4" s="21">
        <f t="shared" si="1"/>
        <v>0</v>
      </c>
      <c r="DN4" s="21">
        <f t="shared" si="2"/>
        <v>0</v>
      </c>
      <c r="DT4" s="21">
        <f t="shared" si="3"/>
        <v>0</v>
      </c>
      <c r="DZ4" s="51">
        <f t="shared" si="4"/>
        <v>0</v>
      </c>
    </row>
    <row r="5" spans="1:130" x14ac:dyDescent="0.25">
      <c r="A5" s="4" t="s">
        <v>99</v>
      </c>
      <c r="B5" s="5">
        <v>4</v>
      </c>
      <c r="E5" s="21"/>
      <c r="K5" s="21"/>
      <c r="Q5" s="21"/>
      <c r="X5" s="21"/>
      <c r="AD5" s="21"/>
      <c r="AJ5" s="21"/>
      <c r="AP5" s="21"/>
      <c r="AV5" s="21"/>
      <c r="BB5" s="21"/>
      <c r="BF5" s="21"/>
      <c r="BL5" s="21"/>
      <c r="BR5" s="21"/>
      <c r="BX5" s="21"/>
      <c r="CD5" s="21"/>
      <c r="CJ5" s="21"/>
      <c r="CP5" s="21"/>
      <c r="CV5" s="21"/>
      <c r="DB5" s="21">
        <f t="shared" si="0"/>
        <v>0</v>
      </c>
      <c r="DH5" s="21">
        <f t="shared" si="1"/>
        <v>0</v>
      </c>
      <c r="DN5" s="21">
        <f t="shared" si="2"/>
        <v>0</v>
      </c>
      <c r="DT5" s="21">
        <f t="shared" si="3"/>
        <v>0</v>
      </c>
      <c r="DZ5" s="51">
        <f t="shared" si="4"/>
        <v>0</v>
      </c>
    </row>
    <row r="6" spans="1:130" x14ac:dyDescent="0.25">
      <c r="A6" s="4" t="s">
        <v>1</v>
      </c>
      <c r="B6" s="5">
        <v>5</v>
      </c>
      <c r="E6" s="21"/>
      <c r="K6" s="21"/>
      <c r="Q6" s="21"/>
      <c r="X6" s="21"/>
      <c r="AD6" s="21"/>
      <c r="AJ6" s="21"/>
      <c r="AP6" s="21"/>
      <c r="AV6" s="21"/>
      <c r="BB6" s="21"/>
      <c r="BF6" s="21"/>
      <c r="BL6" s="21"/>
      <c r="BR6" s="21"/>
      <c r="BX6" s="21"/>
      <c r="CD6" s="21"/>
      <c r="CJ6" s="21">
        <f t="shared" ref="CJ6:CJ7" si="5">SUM(CE6:CI6)</f>
        <v>0</v>
      </c>
      <c r="CP6" s="21"/>
      <c r="CV6" s="21"/>
      <c r="DB6" s="21">
        <f t="shared" si="0"/>
        <v>0</v>
      </c>
      <c r="DH6" s="21">
        <f t="shared" si="1"/>
        <v>0</v>
      </c>
      <c r="DN6" s="21">
        <f t="shared" si="2"/>
        <v>0</v>
      </c>
      <c r="DT6" s="21">
        <f t="shared" si="3"/>
        <v>0</v>
      </c>
      <c r="DZ6" s="51">
        <f t="shared" si="4"/>
        <v>0</v>
      </c>
    </row>
    <row r="7" spans="1:130" x14ac:dyDescent="0.25">
      <c r="A7" s="4" t="s">
        <v>2</v>
      </c>
      <c r="B7" s="6">
        <v>6</v>
      </c>
      <c r="E7" s="21"/>
      <c r="K7" s="21"/>
      <c r="Q7" s="21"/>
      <c r="X7" s="21"/>
      <c r="AD7" s="21"/>
      <c r="AJ7" s="21"/>
      <c r="AP7" s="21"/>
      <c r="AV7" s="21"/>
      <c r="BB7" s="21"/>
      <c r="BF7" s="21"/>
      <c r="BL7" s="21"/>
      <c r="BR7" s="21"/>
      <c r="BX7" s="21"/>
      <c r="CD7" s="21"/>
      <c r="CJ7" s="21">
        <f t="shared" si="5"/>
        <v>0</v>
      </c>
      <c r="CP7" s="21">
        <f>SUM(CK7:CO7)</f>
        <v>0</v>
      </c>
      <c r="CV7" s="21">
        <f>SUM(CQ7:CU7)</f>
        <v>0</v>
      </c>
      <c r="DB7" s="21">
        <f t="shared" si="0"/>
        <v>0</v>
      </c>
      <c r="DH7" s="21">
        <f t="shared" si="1"/>
        <v>0</v>
      </c>
      <c r="DN7" s="21">
        <f t="shared" si="2"/>
        <v>0</v>
      </c>
      <c r="DT7" s="21">
        <f t="shared" si="3"/>
        <v>0</v>
      </c>
      <c r="DZ7" s="51">
        <f t="shared" si="4"/>
        <v>0</v>
      </c>
    </row>
    <row r="8" spans="1:130" x14ac:dyDescent="0.25">
      <c r="A8" s="4" t="s">
        <v>3</v>
      </c>
      <c r="B8" s="5">
        <v>7</v>
      </c>
      <c r="E8" s="21"/>
      <c r="K8" s="21"/>
      <c r="Q8" s="21"/>
      <c r="X8" s="21"/>
      <c r="AD8" s="21"/>
      <c r="AH8" s="1">
        <v>20</v>
      </c>
      <c r="AJ8" s="21"/>
      <c r="AP8" s="21"/>
      <c r="AV8" s="21"/>
      <c r="BB8" s="21"/>
      <c r="BF8" s="21"/>
      <c r="BL8" s="21"/>
      <c r="BN8" s="1">
        <v>15</v>
      </c>
      <c r="BO8" s="1">
        <v>39</v>
      </c>
      <c r="BP8" s="1">
        <v>40</v>
      </c>
      <c r="BR8" s="21">
        <f>SUM(BM8:BQ8)</f>
        <v>94</v>
      </c>
      <c r="BX8" s="21">
        <f>SUM(BS8:BW8)</f>
        <v>0</v>
      </c>
      <c r="CD8" s="21">
        <f>SUM(BY8:CC8)</f>
        <v>0</v>
      </c>
      <c r="CJ8" s="21">
        <f>SUM(CE8:CI8)</f>
        <v>0</v>
      </c>
      <c r="CP8" s="21">
        <f>SUM(CK8:CO8)</f>
        <v>0</v>
      </c>
      <c r="CV8" s="21">
        <f>SUM(CQ8:CU8)</f>
        <v>0</v>
      </c>
      <c r="DB8" s="21">
        <f>SUM(CQ8:DA8)</f>
        <v>0</v>
      </c>
      <c r="DH8" s="21">
        <f>SUM(CW8:DG8)</f>
        <v>0</v>
      </c>
      <c r="DN8" s="21">
        <f>SUM(DI8:DM8)</f>
        <v>0</v>
      </c>
      <c r="DT8" s="21">
        <f>SUM(DO8:DS8)</f>
        <v>0</v>
      </c>
      <c r="DZ8" s="51">
        <f t="shared" si="4"/>
        <v>0</v>
      </c>
    </row>
    <row r="9" spans="1:130" x14ac:dyDescent="0.25">
      <c r="A9" s="4" t="s">
        <v>21</v>
      </c>
      <c r="B9" s="5">
        <v>8</v>
      </c>
      <c r="E9" s="21"/>
      <c r="K9" s="21"/>
      <c r="Q9" s="21"/>
      <c r="X9" s="21"/>
      <c r="AD9" s="21"/>
      <c r="AH9" s="1">
        <v>5</v>
      </c>
      <c r="AJ9" s="21"/>
      <c r="AP9" s="21"/>
      <c r="AQ9" s="1">
        <v>5</v>
      </c>
      <c r="AR9" s="1">
        <v>5</v>
      </c>
      <c r="AS9" s="1">
        <v>3</v>
      </c>
      <c r="AT9" s="1">
        <v>3</v>
      </c>
      <c r="AV9" s="21"/>
      <c r="AW9" s="1">
        <v>8</v>
      </c>
      <c r="AX9" s="1">
        <v>5</v>
      </c>
      <c r="AY9" s="1">
        <v>9</v>
      </c>
      <c r="AZ9" s="1">
        <v>10</v>
      </c>
      <c r="BA9" s="1">
        <v>5</v>
      </c>
      <c r="BB9" s="21"/>
      <c r="BC9" s="1">
        <v>6</v>
      </c>
      <c r="BD9" s="1">
        <v>9</v>
      </c>
      <c r="BE9" s="1">
        <v>8</v>
      </c>
      <c r="BF9" s="21">
        <f>SUM(BC9:BE9)</f>
        <v>23</v>
      </c>
      <c r="BL9" s="21">
        <f>SUM(BG9:BK9)</f>
        <v>0</v>
      </c>
      <c r="BN9" s="1">
        <v>5</v>
      </c>
      <c r="BO9" s="1">
        <v>10</v>
      </c>
      <c r="BP9" s="1">
        <v>10</v>
      </c>
      <c r="BQ9" s="1">
        <v>5</v>
      </c>
      <c r="BR9" s="21">
        <f>SUM(BM9:BQ9)</f>
        <v>30</v>
      </c>
      <c r="BS9" s="1">
        <v>10</v>
      </c>
      <c r="BT9" s="1">
        <v>5</v>
      </c>
      <c r="BU9" s="1">
        <v>8</v>
      </c>
      <c r="BV9" s="1">
        <v>11</v>
      </c>
      <c r="BW9" s="1">
        <v>7</v>
      </c>
      <c r="BX9" s="21">
        <f>SUM(BS9:BW9)</f>
        <v>41</v>
      </c>
      <c r="BY9" s="1">
        <v>9</v>
      </c>
      <c r="BZ9" s="1">
        <v>10</v>
      </c>
      <c r="CA9" s="1">
        <v>11</v>
      </c>
      <c r="CB9" s="1">
        <v>9</v>
      </c>
      <c r="CC9" s="1">
        <v>5</v>
      </c>
      <c r="CD9" s="21">
        <f>SUM(BY9:CC9)</f>
        <v>44</v>
      </c>
      <c r="CE9" s="1">
        <v>6</v>
      </c>
      <c r="CH9" s="1">
        <v>4</v>
      </c>
      <c r="CI9" s="1">
        <v>1</v>
      </c>
      <c r="CJ9" s="21">
        <f>SUM(CE9:CI9)</f>
        <v>11</v>
      </c>
      <c r="CK9" s="1">
        <v>1</v>
      </c>
      <c r="CL9" s="1">
        <v>8</v>
      </c>
      <c r="CM9" s="1">
        <v>2</v>
      </c>
      <c r="CP9" s="21">
        <f>SUM(CK9:CO9)</f>
        <v>11</v>
      </c>
      <c r="CR9" s="1">
        <v>5</v>
      </c>
      <c r="CS9" s="1">
        <v>7</v>
      </c>
      <c r="CV9" s="21">
        <f>SUM(CQ9:CU9)</f>
        <v>12</v>
      </c>
      <c r="CX9" s="1">
        <v>3</v>
      </c>
      <c r="DB9" s="21">
        <f>SUM(CQ9:DA9)</f>
        <v>27</v>
      </c>
      <c r="DC9" s="1">
        <v>2</v>
      </c>
      <c r="DH9" s="21">
        <f>SUM(CW9:DG9)</f>
        <v>32</v>
      </c>
      <c r="DI9" s="1">
        <v>1</v>
      </c>
      <c r="DJ9" s="1">
        <v>1</v>
      </c>
      <c r="DK9" s="1">
        <v>1</v>
      </c>
      <c r="DL9" s="1">
        <v>1</v>
      </c>
      <c r="DM9" s="1">
        <v>1</v>
      </c>
      <c r="DN9" s="21">
        <f>SUM(DI9:DM9)</f>
        <v>5</v>
      </c>
      <c r="DT9" s="21">
        <f>SUM(DO9:DS9)</f>
        <v>0</v>
      </c>
      <c r="DZ9" s="51">
        <f t="shared" si="4"/>
        <v>0</v>
      </c>
    </row>
    <row r="10" spans="1:130" x14ac:dyDescent="0.25">
      <c r="A10" s="3" t="s">
        <v>13</v>
      </c>
      <c r="B10" s="6">
        <v>9</v>
      </c>
      <c r="E10" s="21"/>
      <c r="K10" s="21"/>
      <c r="Q10" s="21"/>
      <c r="X10" s="21"/>
      <c r="AD10" s="21"/>
      <c r="AJ10" s="21"/>
      <c r="AP10" s="21"/>
      <c r="AQ10" s="1">
        <v>8</v>
      </c>
      <c r="AR10" s="1">
        <v>5</v>
      </c>
      <c r="AS10" s="1">
        <v>3</v>
      </c>
      <c r="AT10" s="1">
        <v>3</v>
      </c>
      <c r="AV10" s="21"/>
      <c r="AW10" s="1">
        <v>8</v>
      </c>
      <c r="AX10" s="1">
        <v>5</v>
      </c>
      <c r="AY10" s="1">
        <v>9</v>
      </c>
      <c r="AZ10" s="1">
        <v>10</v>
      </c>
      <c r="BA10" s="1">
        <v>5</v>
      </c>
      <c r="BB10" s="21"/>
      <c r="BC10" s="1">
        <v>6</v>
      </c>
      <c r="BD10" s="1">
        <v>9</v>
      </c>
      <c r="BE10" s="1">
        <v>8</v>
      </c>
      <c r="BF10" s="21">
        <f>SUM(BC10:BE10)</f>
        <v>23</v>
      </c>
      <c r="BL10" s="21">
        <f>SUM(BG10:BK10)</f>
        <v>0</v>
      </c>
      <c r="BN10" s="1">
        <v>5</v>
      </c>
      <c r="BO10" s="1">
        <v>10</v>
      </c>
      <c r="BP10" s="1">
        <v>14</v>
      </c>
      <c r="BQ10" s="1">
        <v>7</v>
      </c>
      <c r="BR10" s="21">
        <f>SUM(BM10:BQ10)</f>
        <v>36</v>
      </c>
      <c r="BS10" s="1">
        <v>11</v>
      </c>
      <c r="BT10" s="1">
        <v>20</v>
      </c>
      <c r="BU10" s="1">
        <v>18</v>
      </c>
      <c r="BV10" s="1">
        <v>14</v>
      </c>
      <c r="BW10" s="1">
        <v>7</v>
      </c>
      <c r="BX10" s="21">
        <f>SUM(BS10:BW10)</f>
        <v>70</v>
      </c>
      <c r="BY10" s="1">
        <v>12</v>
      </c>
      <c r="BZ10" s="1">
        <v>10</v>
      </c>
      <c r="CA10" s="1">
        <v>11</v>
      </c>
      <c r="CB10" s="1">
        <v>3</v>
      </c>
      <c r="CC10" s="1">
        <v>5</v>
      </c>
      <c r="CD10" s="21">
        <f>SUM(BY10:CC10)</f>
        <v>41</v>
      </c>
      <c r="CE10" s="1">
        <v>6</v>
      </c>
      <c r="CH10" s="1">
        <v>10</v>
      </c>
      <c r="CI10" s="1">
        <v>21</v>
      </c>
      <c r="CJ10" s="21">
        <f>SUM(CE10:CI10)</f>
        <v>37</v>
      </c>
      <c r="CK10" s="1">
        <v>13</v>
      </c>
      <c r="CL10" s="1">
        <v>8</v>
      </c>
      <c r="CM10" s="1">
        <v>2</v>
      </c>
      <c r="CP10" s="21">
        <f>SUM(CK10:CO10)</f>
        <v>23</v>
      </c>
      <c r="CR10" s="1">
        <v>5</v>
      </c>
      <c r="CS10" s="1">
        <v>7</v>
      </c>
      <c r="CV10" s="21">
        <f>SUM(CQ10:CU10)</f>
        <v>12</v>
      </c>
      <c r="CX10" s="1">
        <v>3</v>
      </c>
      <c r="DB10" s="21">
        <f>SUM(CQ10:DA10)</f>
        <v>27</v>
      </c>
      <c r="DC10" s="1">
        <v>2</v>
      </c>
      <c r="DH10" s="21">
        <f>SUM(CW10:DG10)</f>
        <v>32</v>
      </c>
      <c r="DI10" s="1">
        <v>100</v>
      </c>
      <c r="DJ10" s="1">
        <v>100</v>
      </c>
      <c r="DK10" s="1">
        <v>123</v>
      </c>
      <c r="DL10" s="1">
        <v>100</v>
      </c>
      <c r="DM10" s="1">
        <v>100</v>
      </c>
      <c r="DN10" s="21">
        <f>SUM(DI10:DM10)</f>
        <v>523</v>
      </c>
      <c r="DT10" s="21">
        <f>SUM(DO10:DS10)</f>
        <v>0</v>
      </c>
      <c r="DZ10" s="51">
        <f t="shared" si="4"/>
        <v>0</v>
      </c>
    </row>
    <row r="11" spans="1:130" x14ac:dyDescent="0.25">
      <c r="A11" s="4" t="s">
        <v>4</v>
      </c>
      <c r="B11" s="5">
        <v>10</v>
      </c>
      <c r="E11" s="21"/>
      <c r="K11" s="21"/>
      <c r="Q11" s="21"/>
      <c r="X11" s="21"/>
      <c r="AD11" s="21"/>
      <c r="AJ11" s="21"/>
      <c r="AP11" s="21"/>
      <c r="AV11" s="21"/>
      <c r="BB11" s="21"/>
      <c r="BF11" s="21"/>
      <c r="BL11" s="21">
        <f t="shared" ref="BL11" si="6">SUM(BG11:BK11)</f>
        <v>0</v>
      </c>
      <c r="BR11" s="21">
        <f>SUM(BM11:BQ11)</f>
        <v>0</v>
      </c>
      <c r="BX11" s="21">
        <f>SUM(BS11:BW11)</f>
        <v>0</v>
      </c>
      <c r="CD11" s="21">
        <f>SUM(BY11:CC11)</f>
        <v>0</v>
      </c>
      <c r="CJ11" s="21">
        <f>SUM(CE11:CI11)</f>
        <v>0</v>
      </c>
      <c r="CP11" s="21">
        <f>SUM(CK11:CO11)</f>
        <v>0</v>
      </c>
      <c r="CV11" s="21">
        <f>SUM(CQ11:CU11)</f>
        <v>0</v>
      </c>
      <c r="DB11" s="21">
        <f>SUM(CQ11:DA11)</f>
        <v>0</v>
      </c>
      <c r="DH11" s="21">
        <f>SUM(CW11:DG11)</f>
        <v>0</v>
      </c>
      <c r="DN11" s="21">
        <f>SUM(DI11:DM11)</f>
        <v>0</v>
      </c>
      <c r="DT11" s="21">
        <f>SUM(DO11:DS11)</f>
        <v>0</v>
      </c>
      <c r="DZ11" s="51">
        <f t="shared" si="4"/>
        <v>0</v>
      </c>
    </row>
    <row r="12" spans="1:130" x14ac:dyDescent="0.25">
      <c r="A12" s="4" t="s">
        <v>5</v>
      </c>
      <c r="B12" s="5">
        <v>11</v>
      </c>
      <c r="E12" s="21"/>
      <c r="K12" s="21"/>
      <c r="Q12" s="21"/>
      <c r="X12" s="21"/>
      <c r="AD12" s="21"/>
      <c r="AJ12" s="21"/>
      <c r="AP12" s="21"/>
      <c r="AV12" s="21"/>
      <c r="BB12" s="21"/>
      <c r="BF12" s="21"/>
      <c r="BL12" s="21"/>
      <c r="BR12" s="21"/>
      <c r="BX12" s="21"/>
      <c r="CD12" s="21"/>
      <c r="CJ12" s="21"/>
      <c r="CP12" s="21"/>
      <c r="CV12" s="21"/>
      <c r="DB12" s="21">
        <f t="shared" ref="DB12:DB16" si="7">SUM(CQ12:DA12)</f>
        <v>0</v>
      </c>
      <c r="DH12" s="21">
        <f t="shared" ref="DH12:DH16" si="8">SUM(CW12:DG12)</f>
        <v>0</v>
      </c>
      <c r="DN12" s="21">
        <f t="shared" ref="DN12:DN16" si="9">SUM(DI12:DM12)</f>
        <v>0</v>
      </c>
      <c r="DT12" s="21">
        <f t="shared" ref="DT12:DT16" si="10">SUM(DO12:DS12)</f>
        <v>0</v>
      </c>
      <c r="DZ12" s="51">
        <f t="shared" si="4"/>
        <v>0</v>
      </c>
    </row>
    <row r="13" spans="1:130" x14ac:dyDescent="0.25">
      <c r="A13" s="3" t="s">
        <v>8</v>
      </c>
      <c r="B13" s="6">
        <v>12</v>
      </c>
      <c r="E13" s="21"/>
      <c r="K13" s="21"/>
      <c r="Q13" s="21"/>
      <c r="X13" s="21"/>
      <c r="AD13" s="21"/>
      <c r="AJ13" s="21"/>
      <c r="AP13" s="21"/>
      <c r="AV13" s="21"/>
      <c r="BB13" s="21"/>
      <c r="BF13" s="21"/>
      <c r="BL13" s="21"/>
      <c r="BR13" s="21"/>
      <c r="BX13" s="21"/>
      <c r="CD13" s="21"/>
      <c r="CJ13" s="21"/>
      <c r="CP13" s="21"/>
      <c r="CV13" s="21"/>
      <c r="DB13" s="21">
        <f t="shared" si="7"/>
        <v>0</v>
      </c>
      <c r="DH13" s="21">
        <f t="shared" si="8"/>
        <v>0</v>
      </c>
      <c r="DN13" s="21">
        <f t="shared" si="9"/>
        <v>0</v>
      </c>
      <c r="DT13" s="21">
        <f t="shared" si="10"/>
        <v>0</v>
      </c>
      <c r="DZ13" s="51">
        <f t="shared" si="4"/>
        <v>0</v>
      </c>
    </row>
    <row r="14" spans="1:130" x14ac:dyDescent="0.25">
      <c r="A14" s="4" t="s">
        <v>6</v>
      </c>
      <c r="B14" s="5">
        <v>13</v>
      </c>
      <c r="E14" s="21"/>
      <c r="K14" s="21"/>
      <c r="Q14" s="21"/>
      <c r="X14" s="21"/>
      <c r="AD14" s="21"/>
      <c r="AJ14" s="21"/>
      <c r="AP14" s="21"/>
      <c r="AV14" s="21"/>
      <c r="BB14" s="21"/>
      <c r="BF14" s="21"/>
      <c r="BL14" s="21"/>
      <c r="BR14" s="21"/>
      <c r="BX14" s="21"/>
      <c r="CD14" s="21"/>
      <c r="CJ14" s="21"/>
      <c r="CP14" s="21"/>
      <c r="CV14" s="21"/>
      <c r="DB14" s="21">
        <f t="shared" si="7"/>
        <v>0</v>
      </c>
      <c r="DH14" s="21">
        <f t="shared" si="8"/>
        <v>0</v>
      </c>
      <c r="DN14" s="21">
        <f t="shared" si="9"/>
        <v>0</v>
      </c>
      <c r="DT14" s="21">
        <f t="shared" si="10"/>
        <v>0</v>
      </c>
      <c r="DZ14" s="51">
        <f t="shared" si="4"/>
        <v>0</v>
      </c>
    </row>
    <row r="15" spans="1:130" x14ac:dyDescent="0.25">
      <c r="A15" s="3" t="s">
        <v>7</v>
      </c>
      <c r="B15" s="5">
        <v>14</v>
      </c>
      <c r="E15" s="21"/>
      <c r="K15" s="21"/>
      <c r="Q15" s="21"/>
      <c r="X15" s="21"/>
      <c r="AD15" s="21"/>
      <c r="AJ15" s="21"/>
      <c r="AP15" s="21"/>
      <c r="AV15" s="21"/>
      <c r="BB15" s="21"/>
      <c r="BF15" s="21"/>
      <c r="BL15" s="21">
        <f t="shared" ref="BL15" si="11">SUM(BG15:BK15)</f>
        <v>0</v>
      </c>
      <c r="BR15" s="21"/>
      <c r="BX15" s="21"/>
      <c r="CD15" s="21"/>
      <c r="CJ15" s="21"/>
      <c r="CP15" s="21"/>
      <c r="CV15" s="21"/>
      <c r="DB15" s="21">
        <f t="shared" si="7"/>
        <v>0</v>
      </c>
      <c r="DH15" s="21">
        <f t="shared" si="8"/>
        <v>0</v>
      </c>
      <c r="DN15" s="21">
        <f t="shared" si="9"/>
        <v>0</v>
      </c>
      <c r="DT15" s="21">
        <f t="shared" si="10"/>
        <v>0</v>
      </c>
      <c r="DZ15" s="51">
        <f t="shared" si="4"/>
        <v>0</v>
      </c>
    </row>
    <row r="16" spans="1:130" x14ac:dyDescent="0.25">
      <c r="A16" s="5" t="s">
        <v>37</v>
      </c>
      <c r="B16" s="9">
        <v>15</v>
      </c>
      <c r="E16" s="21"/>
      <c r="K16" s="21"/>
      <c r="Q16" s="21"/>
      <c r="X16" s="21"/>
      <c r="AD16" s="21"/>
      <c r="AJ16" s="21"/>
      <c r="AP16" s="21"/>
      <c r="AV16" s="21"/>
      <c r="BB16" s="21"/>
      <c r="BF16" s="21"/>
      <c r="BL16" s="21"/>
      <c r="BM16" s="1">
        <v>196</v>
      </c>
      <c r="BN16" s="1">
        <v>100</v>
      </c>
      <c r="BR16" s="21">
        <f>SUM(BM16:BQ16)</f>
        <v>296</v>
      </c>
      <c r="BX16" s="21"/>
      <c r="CD16" s="21"/>
      <c r="CJ16" s="21"/>
      <c r="CP16" s="21"/>
      <c r="CV16" s="21"/>
      <c r="DB16" s="21">
        <f t="shared" si="7"/>
        <v>0</v>
      </c>
      <c r="DH16" s="21">
        <f t="shared" si="8"/>
        <v>0</v>
      </c>
      <c r="DN16" s="21">
        <f t="shared" si="9"/>
        <v>0</v>
      </c>
      <c r="DT16" s="21">
        <f t="shared" si="10"/>
        <v>0</v>
      </c>
      <c r="DU16" s="49"/>
      <c r="DV16" s="49"/>
      <c r="DW16" s="49"/>
      <c r="DX16" s="49"/>
      <c r="DY16" s="49"/>
      <c r="DZ16" s="51">
        <f t="shared" si="4"/>
        <v>0</v>
      </c>
    </row>
    <row r="17" spans="1:71" ht="39.75" customHeight="1" x14ac:dyDescent="0.25">
      <c r="A17" s="1" t="s">
        <v>11</v>
      </c>
      <c r="AU17" s="7" t="s">
        <v>35</v>
      </c>
      <c r="AV17" s="7"/>
      <c r="BI17" s="14" t="s">
        <v>103</v>
      </c>
      <c r="BJ17" s="7" t="s">
        <v>111</v>
      </c>
      <c r="BM17" s="14" t="s">
        <v>134</v>
      </c>
      <c r="BN17" s="14" t="s">
        <v>139</v>
      </c>
      <c r="BO17" s="7" t="s">
        <v>140</v>
      </c>
      <c r="BP17" s="7" t="s">
        <v>140</v>
      </c>
      <c r="BQ17" s="7" t="s">
        <v>149</v>
      </c>
      <c r="BS17" s="1" t="s">
        <v>160</v>
      </c>
    </row>
    <row r="18" spans="1:71" ht="34.5" customHeight="1" x14ac:dyDescent="0.25">
      <c r="A18" s="1" t="s">
        <v>10</v>
      </c>
      <c r="C18" s="1" t="s">
        <v>51</v>
      </c>
      <c r="D18" s="1" t="s">
        <v>51</v>
      </c>
      <c r="E18" s="1" t="s">
        <v>51</v>
      </c>
      <c r="F18" s="1" t="s">
        <v>51</v>
      </c>
      <c r="G18" s="1" t="s">
        <v>51</v>
      </c>
      <c r="H18" s="1" t="s">
        <v>51</v>
      </c>
      <c r="I18" s="1" t="s">
        <v>51</v>
      </c>
      <c r="J18" s="1" t="s">
        <v>51</v>
      </c>
      <c r="K18" s="1" t="s">
        <v>51</v>
      </c>
      <c r="L18" s="1" t="s">
        <v>51</v>
      </c>
      <c r="M18" s="1" t="s">
        <v>51</v>
      </c>
      <c r="N18" s="1" t="s">
        <v>51</v>
      </c>
      <c r="O18" s="1" t="s">
        <v>51</v>
      </c>
      <c r="P18" s="1" t="s">
        <v>51</v>
      </c>
      <c r="Q18" s="1" t="s">
        <v>51</v>
      </c>
      <c r="R18" s="1" t="s">
        <v>51</v>
      </c>
      <c r="S18" s="1" t="s">
        <v>51</v>
      </c>
      <c r="T18" s="1" t="s">
        <v>51</v>
      </c>
      <c r="U18" s="1" t="s">
        <v>51</v>
      </c>
      <c r="V18" s="1" t="s">
        <v>51</v>
      </c>
      <c r="W18" s="1" t="s">
        <v>51</v>
      </c>
      <c r="X18" s="1" t="s">
        <v>51</v>
      </c>
      <c r="Y18" s="1" t="s">
        <v>51</v>
      </c>
      <c r="Z18" s="1" t="s">
        <v>51</v>
      </c>
      <c r="AA18" s="1" t="s">
        <v>51</v>
      </c>
      <c r="AB18" s="1" t="s">
        <v>51</v>
      </c>
      <c r="AC18" s="1" t="s">
        <v>51</v>
      </c>
      <c r="BH18" s="7" t="s">
        <v>105</v>
      </c>
      <c r="BI18" s="7" t="s">
        <v>104</v>
      </c>
      <c r="BJ18" s="7"/>
      <c r="BN18" s="14" t="s">
        <v>135</v>
      </c>
    </row>
  </sheetData>
  <customSheetViews>
    <customSheetView guid="{3D987F8E-A6EA-454D-9537-6BFC5053CB00}" topLeftCell="A7">
      <pane xSplit="1" topLeftCell="BG1" activePane="topRight" state="frozen"/>
      <selection pane="topRight" activeCell="BQ17" sqref="BQ17"/>
      <pageMargins left="0.511811024" right="0.511811024" top="0.78740157499999996" bottom="0.78740157499999996" header="0.31496062000000002" footer="0.31496062000000002"/>
    </customSheetView>
    <customSheetView guid="{B3CDE377-BA5D-4E06-91D9-3A48E1959BA5}">
      <pane xSplit="1" topLeftCell="AJ1" activePane="topRight" state="frozen"/>
      <selection pane="topRight" activeCell="A16" sqref="A16:XFD16"/>
      <pageMargins left="0.511811024" right="0.511811024" top="0.78740157499999996" bottom="0.78740157499999996" header="0.31496062000000002" footer="0.31496062000000002"/>
    </customSheetView>
    <customSheetView guid="{C69767F5-CD39-44C1-AD4B-CE19DC8285A6}">
      <pane xSplit="1" topLeftCell="U1" activePane="topRight" state="frozen"/>
      <selection pane="topRight" activeCell="AE10" sqref="AE10"/>
      <pageMargins left="0.511811024" right="0.511811024" top="0.78740157499999996" bottom="0.78740157499999996" header="0.31496062000000002" footer="0.31496062000000002"/>
    </customSheetView>
    <customSheetView guid="{552DFCCD-1786-4D75-8B10-27DD730384DD}">
      <selection activeCell="C8" sqref="C8"/>
      <pageMargins left="0.511811024" right="0.511811024" top="0.78740157499999996" bottom="0.78740157499999996" header="0.31496062000000002" footer="0.31496062000000002"/>
    </customSheetView>
    <customSheetView guid="{9B623083-AA7B-440B-95EA-C33E1AB3D963}">
      <pane xSplit="1" topLeftCell="BQ1" activePane="topRight" state="frozen"/>
      <selection pane="topRight" activeCell="BQ17" sqref="BQ17"/>
      <pageMargins left="0.511811024" right="0.511811024" top="0.78740157499999996" bottom="0.78740157499999996" header="0.31496062000000002" footer="0.31496062000000002"/>
    </customSheetView>
    <customSheetView guid="{18A482E0-C8B6-4AA1-9E04-15FA7C9CD5E3}" scale="90">
      <pane xSplit="1" topLeftCell="B1" activePane="topRight" state="frozen"/>
      <selection pane="topRight" activeCell="B1" sqref="B1"/>
      <pageMargins left="0.511811024" right="0.511811024" top="0.78740157499999996" bottom="0.78740157499999996" header="0.31496062000000002" footer="0.31496062000000002"/>
    </customSheetView>
    <customSheetView guid="{20CB6D8F-C24D-4D4B-A424-AF380F620455}" showPageBreaks="1" topLeftCell="B1">
      <selection activeCell="L10" sqref="L10"/>
      <pageMargins left="0.511811024" right="0.511811024" top="0.78740157499999996" bottom="0.78740157499999996" header="0.31496062000000002" footer="0.31496062000000002"/>
      <pageSetup paperSize="9" orientation="portrait" r:id="rId1"/>
    </customSheetView>
    <customSheetView guid="{86039CF8-B158-4D70-9A6F-A10C29CBD68A}">
      <selection activeCell="S1" sqref="S1:S1048576"/>
      <pageMargins left="0.511811024" right="0.511811024" top="0.78740157499999996" bottom="0.78740157499999996" header="0.31496062000000002" footer="0.31496062000000002"/>
    </customSheetView>
    <customSheetView guid="{E3841903-5B68-44FD-8F09-58E03D1025C5}">
      <selection activeCell="A8" sqref="A8:XFD8"/>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C18"/>
  <sheetViews>
    <sheetView tabSelected="1" workbookViewId="0">
      <pane xSplit="1" topLeftCell="AJ1" activePane="topRight" state="frozen"/>
      <selection pane="topRight" activeCell="AV13" sqref="AV13"/>
    </sheetView>
  </sheetViews>
  <sheetFormatPr defaultRowHeight="15" x14ac:dyDescent="0.25"/>
  <cols>
    <col min="1" max="1" width="38.28515625" customWidth="1"/>
    <col min="37" max="37" width="10.85546875" customWidth="1"/>
    <col min="43" max="43" width="10.5703125" customWidth="1"/>
    <col min="49" max="49" width="10.140625" customWidth="1"/>
  </cols>
  <sheetData>
    <row r="1" spans="1:55" ht="30" x14ac:dyDescent="0.25">
      <c r="A1" s="1" t="s">
        <v>9</v>
      </c>
      <c r="B1" s="10">
        <v>45747</v>
      </c>
      <c r="C1" s="10">
        <v>45748</v>
      </c>
      <c r="D1" s="10">
        <v>45749</v>
      </c>
      <c r="E1" s="10">
        <v>45750</v>
      </c>
      <c r="F1" s="10">
        <v>45751</v>
      </c>
      <c r="G1" s="34" t="s">
        <v>56</v>
      </c>
      <c r="H1" s="10">
        <v>45754</v>
      </c>
      <c r="I1" s="10">
        <v>45755</v>
      </c>
      <c r="J1" s="10">
        <v>45756</v>
      </c>
      <c r="K1" s="10">
        <v>45757</v>
      </c>
      <c r="L1" s="10">
        <v>45758</v>
      </c>
      <c r="M1" s="34" t="s">
        <v>56</v>
      </c>
      <c r="N1" s="10">
        <v>45761</v>
      </c>
      <c r="O1" s="10">
        <v>45762</v>
      </c>
      <c r="P1" s="10">
        <v>45763</v>
      </c>
      <c r="Q1" s="10">
        <v>45764</v>
      </c>
      <c r="R1" s="10">
        <v>45765</v>
      </c>
      <c r="S1" s="34" t="s">
        <v>56</v>
      </c>
      <c r="T1" s="10">
        <v>45768</v>
      </c>
      <c r="U1" s="10">
        <v>45769</v>
      </c>
      <c r="V1" s="10">
        <v>45770</v>
      </c>
      <c r="W1" s="10">
        <v>45771</v>
      </c>
      <c r="X1" s="10">
        <v>45772</v>
      </c>
      <c r="Y1" s="34" t="s">
        <v>56</v>
      </c>
      <c r="Z1" s="10">
        <v>45775</v>
      </c>
      <c r="AA1" s="10">
        <v>45776</v>
      </c>
      <c r="AB1" s="10">
        <v>45777</v>
      </c>
      <c r="AC1" s="10">
        <v>45778</v>
      </c>
      <c r="AD1" s="10">
        <v>45779</v>
      </c>
      <c r="AE1" s="34" t="s">
        <v>56</v>
      </c>
      <c r="AF1" s="57">
        <v>45782</v>
      </c>
      <c r="AG1" s="57">
        <v>45783</v>
      </c>
      <c r="AH1" s="57">
        <v>45784</v>
      </c>
      <c r="AI1" s="57">
        <v>45785</v>
      </c>
      <c r="AJ1" s="57">
        <v>45786</v>
      </c>
      <c r="AK1" s="34" t="s">
        <v>56</v>
      </c>
      <c r="AL1" s="57">
        <v>45789</v>
      </c>
      <c r="AM1" s="57">
        <v>45790</v>
      </c>
      <c r="AN1" s="57">
        <v>45791</v>
      </c>
      <c r="AO1" s="57">
        <v>45792</v>
      </c>
      <c r="AP1" s="57">
        <v>45793</v>
      </c>
      <c r="AQ1" s="34" t="s">
        <v>56</v>
      </c>
      <c r="AR1" s="57">
        <v>45796</v>
      </c>
      <c r="AS1" s="57">
        <v>45797</v>
      </c>
      <c r="AT1" s="57">
        <v>45798</v>
      </c>
      <c r="AU1" s="57">
        <v>45799</v>
      </c>
      <c r="AV1" s="57">
        <v>45800</v>
      </c>
      <c r="AW1" s="34" t="s">
        <v>56</v>
      </c>
      <c r="AX1" s="57">
        <v>45803</v>
      </c>
      <c r="AY1" s="57">
        <v>45804</v>
      </c>
      <c r="AZ1" s="57">
        <v>45805</v>
      </c>
      <c r="BA1" s="57">
        <v>45806</v>
      </c>
      <c r="BB1" s="57">
        <v>45807</v>
      </c>
      <c r="BC1" s="34" t="s">
        <v>56</v>
      </c>
    </row>
    <row r="2" spans="1:55" ht="45" customHeight="1" x14ac:dyDescent="0.25">
      <c r="A2" s="3" t="s">
        <v>113</v>
      </c>
      <c r="B2" s="1"/>
      <c r="C2" s="1"/>
      <c r="D2" s="1"/>
      <c r="E2" s="1"/>
      <c r="F2" s="1"/>
      <c r="G2" s="21">
        <f t="shared" ref="G2:G16" si="0">SUM(B2:F2)</f>
        <v>0</v>
      </c>
      <c r="M2" s="56">
        <f t="shared" ref="M2:M16" si="1">SUM(H2:L2)</f>
        <v>0</v>
      </c>
      <c r="R2" s="80" t="s">
        <v>205</v>
      </c>
      <c r="S2" s="33">
        <f t="shared" ref="S2:S16" si="2">SUM(N2:R2)</f>
        <v>0</v>
      </c>
      <c r="T2" s="80" t="s">
        <v>205</v>
      </c>
      <c r="Y2" s="56">
        <f t="shared" ref="Y2:Y16" si="3">SUM(T2:X2)</f>
        <v>0</v>
      </c>
      <c r="AC2" s="78" t="s">
        <v>248</v>
      </c>
      <c r="AD2" s="78"/>
      <c r="AE2" s="33">
        <f t="shared" ref="AE2:AE16" si="4">SUM(Z2:AD2)</f>
        <v>0</v>
      </c>
      <c r="AK2" s="21">
        <f>SUM(AF2:AJ2)</f>
        <v>0</v>
      </c>
      <c r="AQ2" s="21">
        <f>SUM(AL2:AP2)</f>
        <v>0</v>
      </c>
      <c r="AW2" s="21">
        <f>SUM(AR2:AV2)</f>
        <v>0</v>
      </c>
      <c r="BC2" s="58">
        <f>SUM(AX2:BB2)</f>
        <v>0</v>
      </c>
    </row>
    <row r="3" spans="1:55" ht="30" x14ac:dyDescent="0.25">
      <c r="A3" s="3" t="s">
        <v>0</v>
      </c>
      <c r="B3" s="1"/>
      <c r="C3" s="1"/>
      <c r="D3" s="1"/>
      <c r="E3" s="1"/>
      <c r="F3" s="1"/>
      <c r="G3" s="21">
        <f t="shared" si="0"/>
        <v>0</v>
      </c>
      <c r="H3" s="19">
        <v>42</v>
      </c>
      <c r="I3" s="19">
        <v>37</v>
      </c>
      <c r="J3" s="19">
        <v>36</v>
      </c>
      <c r="K3" s="19">
        <v>38</v>
      </c>
      <c r="M3" s="56">
        <f>SUM(H3:L3)</f>
        <v>153</v>
      </c>
      <c r="R3" s="81"/>
      <c r="S3" s="33">
        <f t="shared" si="2"/>
        <v>0</v>
      </c>
      <c r="T3" s="81"/>
      <c r="Y3" s="56">
        <f t="shared" si="3"/>
        <v>0</v>
      </c>
      <c r="AC3" s="79"/>
      <c r="AD3" s="79"/>
      <c r="AE3" s="33">
        <f t="shared" si="4"/>
        <v>0</v>
      </c>
      <c r="AK3" s="21">
        <f t="shared" ref="AK3:AK16" si="5">SUM(AF3:AJ3)</f>
        <v>0</v>
      </c>
      <c r="AQ3" s="21">
        <f t="shared" ref="AQ3:AQ16" si="6">SUM(AL3:AP3)</f>
        <v>0</v>
      </c>
      <c r="AW3" s="21">
        <f t="shared" ref="AW3:AW16" si="7">SUM(AR3:AV3)</f>
        <v>0</v>
      </c>
      <c r="BC3" s="58">
        <f t="shared" ref="BC3:BC16" si="8">SUM(AX3:BB3)</f>
        <v>0</v>
      </c>
    </row>
    <row r="4" spans="1:55" ht="30" x14ac:dyDescent="0.25">
      <c r="A4" s="4" t="s">
        <v>100</v>
      </c>
      <c r="B4" s="1"/>
      <c r="C4" s="1"/>
      <c r="D4" s="1"/>
      <c r="E4" s="1"/>
      <c r="F4" s="1"/>
      <c r="G4" s="21">
        <f t="shared" si="0"/>
        <v>0</v>
      </c>
      <c r="M4" s="56">
        <f t="shared" si="1"/>
        <v>0</v>
      </c>
      <c r="R4" s="81"/>
      <c r="S4" s="33">
        <f t="shared" si="2"/>
        <v>0</v>
      </c>
      <c r="T4" s="81"/>
      <c r="Y4" s="56">
        <f t="shared" si="3"/>
        <v>0</v>
      </c>
      <c r="AC4" s="79"/>
      <c r="AD4" s="79"/>
      <c r="AE4" s="33">
        <f t="shared" si="4"/>
        <v>0</v>
      </c>
      <c r="AK4" s="21">
        <f t="shared" si="5"/>
        <v>0</v>
      </c>
      <c r="AQ4" s="21">
        <f t="shared" si="6"/>
        <v>0</v>
      </c>
      <c r="AW4" s="21">
        <f t="shared" si="7"/>
        <v>0</v>
      </c>
      <c r="BC4" s="58">
        <f t="shared" si="8"/>
        <v>0</v>
      </c>
    </row>
    <row r="5" spans="1:55" ht="30" x14ac:dyDescent="0.25">
      <c r="A5" s="4" t="s">
        <v>99</v>
      </c>
      <c r="B5" s="1"/>
      <c r="C5" s="1"/>
      <c r="D5" s="1"/>
      <c r="E5" s="1"/>
      <c r="F5" s="1"/>
      <c r="G5" s="21">
        <f t="shared" si="0"/>
        <v>0</v>
      </c>
      <c r="M5" s="56">
        <f t="shared" si="1"/>
        <v>0</v>
      </c>
      <c r="R5" s="81"/>
      <c r="S5" s="33">
        <f t="shared" si="2"/>
        <v>0</v>
      </c>
      <c r="T5" s="81"/>
      <c r="Y5" s="56">
        <f t="shared" si="3"/>
        <v>0</v>
      </c>
      <c r="AC5" s="79"/>
      <c r="AD5" s="79"/>
      <c r="AE5" s="33">
        <f t="shared" si="4"/>
        <v>0</v>
      </c>
      <c r="AK5" s="21">
        <f t="shared" si="5"/>
        <v>0</v>
      </c>
      <c r="AQ5" s="21">
        <f t="shared" si="6"/>
        <v>0</v>
      </c>
      <c r="AW5" s="21">
        <f t="shared" si="7"/>
        <v>0</v>
      </c>
      <c r="BC5" s="58">
        <f t="shared" si="8"/>
        <v>0</v>
      </c>
    </row>
    <row r="6" spans="1:55" x14ac:dyDescent="0.25">
      <c r="A6" s="4" t="s">
        <v>1</v>
      </c>
      <c r="B6" s="1"/>
      <c r="C6" s="1"/>
      <c r="D6" s="1"/>
      <c r="E6" s="1"/>
      <c r="F6" s="1"/>
      <c r="G6" s="21">
        <f t="shared" si="0"/>
        <v>0</v>
      </c>
      <c r="M6" s="56">
        <f t="shared" si="1"/>
        <v>0</v>
      </c>
      <c r="R6" s="81"/>
      <c r="S6" s="33">
        <f t="shared" si="2"/>
        <v>0</v>
      </c>
      <c r="T6" s="81"/>
      <c r="Y6" s="56">
        <f t="shared" si="3"/>
        <v>0</v>
      </c>
      <c r="AC6" s="79"/>
      <c r="AD6" s="79"/>
      <c r="AE6" s="33">
        <f t="shared" si="4"/>
        <v>0</v>
      </c>
      <c r="AK6" s="21">
        <f t="shared" si="5"/>
        <v>0</v>
      </c>
      <c r="AQ6" s="21">
        <f t="shared" si="6"/>
        <v>0</v>
      </c>
      <c r="AW6" s="21">
        <f t="shared" si="7"/>
        <v>0</v>
      </c>
      <c r="BC6" s="58">
        <f t="shared" si="8"/>
        <v>0</v>
      </c>
    </row>
    <row r="7" spans="1:55" x14ac:dyDescent="0.25">
      <c r="A7" s="4" t="s">
        <v>2</v>
      </c>
      <c r="B7" s="1"/>
      <c r="C7" s="1"/>
      <c r="D7" s="1"/>
      <c r="E7" s="1"/>
      <c r="F7" s="1"/>
      <c r="G7" s="21">
        <f t="shared" si="0"/>
        <v>0</v>
      </c>
      <c r="M7" s="56">
        <f t="shared" si="1"/>
        <v>0</v>
      </c>
      <c r="R7" s="81"/>
      <c r="S7" s="33">
        <f t="shared" si="2"/>
        <v>0</v>
      </c>
      <c r="T7" s="81"/>
      <c r="Y7" s="56">
        <f t="shared" si="3"/>
        <v>0</v>
      </c>
      <c r="AC7" s="79"/>
      <c r="AD7" s="79"/>
      <c r="AE7" s="33">
        <f t="shared" si="4"/>
        <v>0</v>
      </c>
      <c r="AK7" s="21">
        <f t="shared" si="5"/>
        <v>0</v>
      </c>
      <c r="AQ7" s="21">
        <f t="shared" si="6"/>
        <v>0</v>
      </c>
      <c r="AW7" s="21">
        <f t="shared" si="7"/>
        <v>0</v>
      </c>
      <c r="BC7" s="58">
        <f t="shared" si="8"/>
        <v>0</v>
      </c>
    </row>
    <row r="8" spans="1:55" x14ac:dyDescent="0.25">
      <c r="A8" s="4" t="s">
        <v>3</v>
      </c>
      <c r="B8" s="1"/>
      <c r="C8" s="1"/>
      <c r="D8" s="1"/>
      <c r="E8" s="1"/>
      <c r="F8" s="1"/>
      <c r="G8" s="21">
        <f t="shared" si="0"/>
        <v>0</v>
      </c>
      <c r="M8" s="56">
        <f t="shared" si="1"/>
        <v>0</v>
      </c>
      <c r="R8" s="81"/>
      <c r="S8" s="33">
        <f t="shared" si="2"/>
        <v>0</v>
      </c>
      <c r="T8" s="81"/>
      <c r="Y8" s="56">
        <f t="shared" si="3"/>
        <v>0</v>
      </c>
      <c r="AC8" s="79"/>
      <c r="AD8" s="79"/>
      <c r="AE8" s="33">
        <f t="shared" si="4"/>
        <v>0</v>
      </c>
      <c r="AK8" s="21">
        <f t="shared" si="5"/>
        <v>0</v>
      </c>
      <c r="AQ8" s="21">
        <f t="shared" si="6"/>
        <v>0</v>
      </c>
      <c r="AS8">
        <v>5</v>
      </c>
      <c r="AT8">
        <v>4</v>
      </c>
      <c r="AW8" s="21">
        <f t="shared" si="7"/>
        <v>9</v>
      </c>
      <c r="BC8" s="58">
        <f t="shared" si="8"/>
        <v>0</v>
      </c>
    </row>
    <row r="9" spans="1:55" x14ac:dyDescent="0.25">
      <c r="A9" s="4" t="s">
        <v>21</v>
      </c>
      <c r="B9" s="1"/>
      <c r="C9" s="1"/>
      <c r="D9" s="1"/>
      <c r="E9" s="1"/>
      <c r="F9" s="1"/>
      <c r="G9" s="21">
        <f t="shared" si="0"/>
        <v>0</v>
      </c>
      <c r="M9" s="56">
        <f t="shared" si="1"/>
        <v>0</v>
      </c>
      <c r="R9" s="81"/>
      <c r="S9" s="33">
        <f t="shared" si="2"/>
        <v>0</v>
      </c>
      <c r="T9" s="81"/>
      <c r="Y9" s="56">
        <f t="shared" si="3"/>
        <v>0</v>
      </c>
      <c r="AC9" s="79"/>
      <c r="AD9" s="79"/>
      <c r="AE9" s="33">
        <f t="shared" si="4"/>
        <v>0</v>
      </c>
      <c r="AK9" s="21">
        <f t="shared" si="5"/>
        <v>0</v>
      </c>
      <c r="AQ9" s="21">
        <f t="shared" si="6"/>
        <v>0</v>
      </c>
      <c r="AW9" s="21">
        <f t="shared" si="7"/>
        <v>0</v>
      </c>
      <c r="BC9" s="58">
        <f t="shared" si="8"/>
        <v>0</v>
      </c>
    </row>
    <row r="10" spans="1:55" ht="30" x14ac:dyDescent="0.25">
      <c r="A10" s="3" t="s">
        <v>13</v>
      </c>
      <c r="B10" s="1"/>
      <c r="C10" s="1"/>
      <c r="D10" s="1"/>
      <c r="E10" s="1"/>
      <c r="F10" s="1"/>
      <c r="G10" s="21">
        <f t="shared" si="0"/>
        <v>0</v>
      </c>
      <c r="M10" s="56">
        <f t="shared" si="1"/>
        <v>0</v>
      </c>
      <c r="R10" s="81"/>
      <c r="S10" s="33">
        <f t="shared" si="2"/>
        <v>0</v>
      </c>
      <c r="T10" s="81"/>
      <c r="Y10" s="56">
        <f t="shared" si="3"/>
        <v>0</v>
      </c>
      <c r="AC10" s="79"/>
      <c r="AD10" s="79"/>
      <c r="AE10" s="33">
        <f t="shared" si="4"/>
        <v>0</v>
      </c>
      <c r="AK10" s="21">
        <f t="shared" si="5"/>
        <v>0</v>
      </c>
      <c r="AQ10" s="21">
        <f t="shared" si="6"/>
        <v>0</v>
      </c>
      <c r="AW10" s="21">
        <f t="shared" si="7"/>
        <v>0</v>
      </c>
      <c r="BC10" s="58">
        <f t="shared" si="8"/>
        <v>0</v>
      </c>
    </row>
    <row r="11" spans="1:55" x14ac:dyDescent="0.25">
      <c r="A11" s="4" t="s">
        <v>4</v>
      </c>
      <c r="B11" s="1">
        <v>2</v>
      </c>
      <c r="C11" s="1">
        <v>3</v>
      </c>
      <c r="D11" s="1">
        <v>3</v>
      </c>
      <c r="E11" s="1">
        <v>5</v>
      </c>
      <c r="F11" s="1">
        <v>2</v>
      </c>
      <c r="G11" s="21">
        <f t="shared" si="0"/>
        <v>15</v>
      </c>
      <c r="M11" s="56">
        <f t="shared" si="1"/>
        <v>0</v>
      </c>
      <c r="N11" s="19">
        <v>4</v>
      </c>
      <c r="O11" s="19">
        <v>2</v>
      </c>
      <c r="P11" s="19">
        <v>3</v>
      </c>
      <c r="Q11" s="19">
        <v>1</v>
      </c>
      <c r="R11" s="81"/>
      <c r="S11" s="33">
        <f t="shared" si="2"/>
        <v>10</v>
      </c>
      <c r="T11" s="81"/>
      <c r="U11" s="19">
        <v>2</v>
      </c>
      <c r="V11" s="19">
        <v>4</v>
      </c>
      <c r="W11" s="19">
        <v>2</v>
      </c>
      <c r="X11" s="19">
        <v>2</v>
      </c>
      <c r="Y11" s="56">
        <f t="shared" si="3"/>
        <v>10</v>
      </c>
      <c r="Z11">
        <v>3</v>
      </c>
      <c r="AA11">
        <v>5</v>
      </c>
      <c r="AB11">
        <v>8</v>
      </c>
      <c r="AC11" s="79"/>
      <c r="AD11" s="79"/>
      <c r="AE11" s="33">
        <f t="shared" si="4"/>
        <v>16</v>
      </c>
      <c r="AK11" s="21">
        <f t="shared" si="5"/>
        <v>0</v>
      </c>
      <c r="AQ11" s="21">
        <f t="shared" si="6"/>
        <v>0</v>
      </c>
      <c r="AR11">
        <v>5</v>
      </c>
      <c r="AS11">
        <v>1</v>
      </c>
      <c r="AU11" s="19">
        <v>6</v>
      </c>
      <c r="AV11" s="19">
        <v>3</v>
      </c>
      <c r="AW11" s="21">
        <f t="shared" si="7"/>
        <v>15</v>
      </c>
      <c r="AX11">
        <v>4</v>
      </c>
      <c r="AY11">
        <v>4</v>
      </c>
      <c r="AZ11">
        <v>2</v>
      </c>
      <c r="BA11">
        <v>5</v>
      </c>
      <c r="BB11">
        <v>3</v>
      </c>
      <c r="BC11" s="58">
        <f t="shared" si="8"/>
        <v>18</v>
      </c>
    </row>
    <row r="12" spans="1:55" x14ac:dyDescent="0.25">
      <c r="A12" s="4" t="s">
        <v>5</v>
      </c>
      <c r="B12" s="1">
        <v>32</v>
      </c>
      <c r="C12" s="1">
        <v>47</v>
      </c>
      <c r="D12" s="1">
        <v>49</v>
      </c>
      <c r="E12" s="1">
        <v>97</v>
      </c>
      <c r="F12" s="1">
        <v>48</v>
      </c>
      <c r="G12" s="21">
        <f t="shared" si="0"/>
        <v>273</v>
      </c>
      <c r="M12" s="56">
        <f t="shared" si="1"/>
        <v>0</v>
      </c>
      <c r="N12" s="19">
        <v>52</v>
      </c>
      <c r="O12" s="19">
        <v>22</v>
      </c>
      <c r="P12" s="19">
        <v>39</v>
      </c>
      <c r="Q12" s="19">
        <v>4</v>
      </c>
      <c r="R12" s="81"/>
      <c r="S12" s="33">
        <f t="shared" si="2"/>
        <v>117</v>
      </c>
      <c r="T12" s="81"/>
      <c r="U12" s="19">
        <v>28</v>
      </c>
      <c r="V12" s="19">
        <v>46</v>
      </c>
      <c r="W12" s="19">
        <v>25</v>
      </c>
      <c r="X12" s="19">
        <v>26</v>
      </c>
      <c r="Y12" s="56">
        <f t="shared" si="3"/>
        <v>125</v>
      </c>
      <c r="Z12">
        <v>82</v>
      </c>
      <c r="AA12">
        <v>70</v>
      </c>
      <c r="AB12">
        <v>98</v>
      </c>
      <c r="AC12" s="79"/>
      <c r="AD12" s="79"/>
      <c r="AE12" s="33">
        <f t="shared" si="4"/>
        <v>250</v>
      </c>
      <c r="AK12" s="21">
        <f t="shared" si="5"/>
        <v>0</v>
      </c>
      <c r="AQ12" s="21">
        <f t="shared" si="6"/>
        <v>0</v>
      </c>
      <c r="AR12">
        <v>73</v>
      </c>
      <c r="AS12">
        <v>16</v>
      </c>
      <c r="AU12" s="19">
        <v>90</v>
      </c>
      <c r="AV12" s="19">
        <v>46</v>
      </c>
      <c r="AW12" s="21">
        <f t="shared" si="7"/>
        <v>225</v>
      </c>
      <c r="AX12">
        <v>55</v>
      </c>
      <c r="AY12">
        <v>78</v>
      </c>
      <c r="AZ12">
        <v>47</v>
      </c>
      <c r="BA12">
        <v>97</v>
      </c>
      <c r="BB12">
        <v>105</v>
      </c>
      <c r="BC12" s="58">
        <f t="shared" si="8"/>
        <v>382</v>
      </c>
    </row>
    <row r="13" spans="1:55" ht="45" x14ac:dyDescent="0.25">
      <c r="A13" s="3" t="s">
        <v>8</v>
      </c>
      <c r="B13" s="1"/>
      <c r="C13" s="1"/>
      <c r="D13" s="1"/>
      <c r="E13" s="1"/>
      <c r="F13" s="1"/>
      <c r="G13" s="21">
        <f t="shared" si="0"/>
        <v>0</v>
      </c>
      <c r="M13" s="56">
        <f t="shared" si="1"/>
        <v>0</v>
      </c>
      <c r="R13" s="81"/>
      <c r="S13" s="33">
        <f t="shared" si="2"/>
        <v>0</v>
      </c>
      <c r="T13" s="81"/>
      <c r="Y13" s="56">
        <f t="shared" si="3"/>
        <v>0</v>
      </c>
      <c r="AC13" s="79"/>
      <c r="AD13" s="79"/>
      <c r="AE13" s="33">
        <f t="shared" si="4"/>
        <v>0</v>
      </c>
      <c r="AF13" s="1"/>
      <c r="AK13" s="21">
        <f t="shared" si="5"/>
        <v>0</v>
      </c>
      <c r="AQ13" s="21">
        <f t="shared" si="6"/>
        <v>0</v>
      </c>
      <c r="AW13" s="21">
        <f t="shared" si="7"/>
        <v>0</v>
      </c>
      <c r="BC13" s="51">
        <f t="shared" si="8"/>
        <v>0</v>
      </c>
    </row>
    <row r="14" spans="1:55" ht="30" x14ac:dyDescent="0.25">
      <c r="A14" s="4" t="s">
        <v>6</v>
      </c>
      <c r="B14" s="1"/>
      <c r="C14" s="1"/>
      <c r="D14" s="1"/>
      <c r="E14" s="1"/>
      <c r="F14" s="1"/>
      <c r="G14" s="21">
        <f t="shared" si="0"/>
        <v>0</v>
      </c>
      <c r="M14" s="56">
        <f t="shared" si="1"/>
        <v>0</v>
      </c>
      <c r="R14" s="81"/>
      <c r="S14" s="33">
        <f t="shared" si="2"/>
        <v>0</v>
      </c>
      <c r="T14" s="81"/>
      <c r="Y14" s="56">
        <f t="shared" si="3"/>
        <v>0</v>
      </c>
      <c r="AC14" s="79"/>
      <c r="AD14" s="79"/>
      <c r="AE14" s="33">
        <f t="shared" si="4"/>
        <v>0</v>
      </c>
      <c r="AK14" s="21">
        <f t="shared" si="5"/>
        <v>0</v>
      </c>
      <c r="AQ14" s="21">
        <f t="shared" si="6"/>
        <v>0</v>
      </c>
      <c r="AW14" s="21">
        <f t="shared" si="7"/>
        <v>0</v>
      </c>
      <c r="BC14" s="58">
        <f t="shared" si="8"/>
        <v>0</v>
      </c>
    </row>
    <row r="15" spans="1:55" x14ac:dyDescent="0.25">
      <c r="A15" s="3" t="s">
        <v>7</v>
      </c>
      <c r="B15" s="1"/>
      <c r="C15" s="1"/>
      <c r="D15" s="1"/>
      <c r="E15" s="1"/>
      <c r="F15" s="1"/>
      <c r="G15" s="21">
        <f t="shared" si="0"/>
        <v>0</v>
      </c>
      <c r="M15" s="56">
        <f t="shared" si="1"/>
        <v>0</v>
      </c>
      <c r="R15" s="81"/>
      <c r="S15" s="33">
        <f t="shared" si="2"/>
        <v>0</v>
      </c>
      <c r="T15" s="81"/>
      <c r="Y15" s="56">
        <f t="shared" si="3"/>
        <v>0</v>
      </c>
      <c r="AC15" s="79"/>
      <c r="AD15" s="79"/>
      <c r="AE15" s="33">
        <f t="shared" si="4"/>
        <v>0</v>
      </c>
      <c r="AK15" s="21">
        <f t="shared" si="5"/>
        <v>0</v>
      </c>
      <c r="AQ15" s="21">
        <f t="shared" si="6"/>
        <v>0</v>
      </c>
      <c r="AS15">
        <v>1439</v>
      </c>
      <c r="AT15">
        <v>1439</v>
      </c>
      <c r="AW15" s="21">
        <f t="shared" si="7"/>
        <v>2878</v>
      </c>
      <c r="BC15" s="58">
        <f t="shared" si="8"/>
        <v>0</v>
      </c>
    </row>
    <row r="16" spans="1:55" x14ac:dyDescent="0.25">
      <c r="A16" s="3" t="s">
        <v>37</v>
      </c>
      <c r="B16" s="1"/>
      <c r="C16" s="1"/>
      <c r="D16" s="1"/>
      <c r="E16" s="1"/>
      <c r="F16" s="1"/>
      <c r="G16" s="21">
        <f t="shared" si="0"/>
        <v>0</v>
      </c>
      <c r="M16" s="56">
        <f t="shared" si="1"/>
        <v>0</v>
      </c>
      <c r="R16" s="81"/>
      <c r="S16" s="33">
        <f t="shared" si="2"/>
        <v>0</v>
      </c>
      <c r="T16" s="81"/>
      <c r="Y16" s="56">
        <f t="shared" si="3"/>
        <v>0</v>
      </c>
      <c r="AC16" s="79"/>
      <c r="AD16" s="79"/>
      <c r="AE16" s="33">
        <f t="shared" si="4"/>
        <v>0</v>
      </c>
      <c r="AF16" s="59"/>
      <c r="AG16" s="59"/>
      <c r="AH16" s="59"/>
      <c r="AI16" s="59"/>
      <c r="AJ16" s="59"/>
      <c r="AK16" s="52">
        <f t="shared" si="5"/>
        <v>0</v>
      </c>
      <c r="AL16" s="59"/>
      <c r="AM16" s="59"/>
      <c r="AN16" s="59"/>
      <c r="AO16" s="59"/>
      <c r="AP16" s="59"/>
      <c r="AQ16" s="52">
        <f t="shared" si="6"/>
        <v>0</v>
      </c>
      <c r="AR16" s="59"/>
      <c r="AS16" s="59"/>
      <c r="AT16" s="59"/>
      <c r="AU16" s="59"/>
      <c r="AV16" s="59"/>
      <c r="AW16" s="52">
        <f t="shared" si="7"/>
        <v>0</v>
      </c>
      <c r="AX16" s="59"/>
      <c r="AY16" s="59"/>
      <c r="AZ16" s="59"/>
      <c r="BA16" s="59"/>
      <c r="BB16" s="59"/>
      <c r="BC16" s="60">
        <f t="shared" si="8"/>
        <v>0</v>
      </c>
    </row>
    <row r="17" spans="1:44" ht="225" x14ac:dyDescent="0.25">
      <c r="A17" s="1" t="s">
        <v>11</v>
      </c>
      <c r="H17" s="7" t="s">
        <v>196</v>
      </c>
      <c r="I17" s="7" t="s">
        <v>196</v>
      </c>
      <c r="J17" s="7" t="s">
        <v>196</v>
      </c>
      <c r="K17" s="7" t="s">
        <v>196</v>
      </c>
      <c r="AF17" s="7" t="s">
        <v>294</v>
      </c>
      <c r="AG17" s="7" t="s">
        <v>294</v>
      </c>
      <c r="AH17" s="7" t="s">
        <v>294</v>
      </c>
      <c r="AI17" s="7" t="s">
        <v>294</v>
      </c>
      <c r="AJ17" s="7" t="s">
        <v>294</v>
      </c>
      <c r="AK17" s="19"/>
      <c r="AL17" s="7" t="s">
        <v>295</v>
      </c>
      <c r="AM17" s="7" t="s">
        <v>295</v>
      </c>
      <c r="AN17" s="7" t="s">
        <v>295</v>
      </c>
      <c r="AO17" s="7" t="s">
        <v>295</v>
      </c>
      <c r="AP17" s="7" t="s">
        <v>310</v>
      </c>
      <c r="AR17" s="7" t="s">
        <v>312</v>
      </c>
    </row>
    <row r="18" spans="1:44" x14ac:dyDescent="0.25">
      <c r="A18" s="1" t="s">
        <v>10</v>
      </c>
    </row>
  </sheetData>
  <customSheetViews>
    <customSheetView guid="{3D987F8E-A6EA-454D-9537-6BFC5053CB00}">
      <pane xSplit="1" topLeftCell="AJ1" activePane="topRight" state="frozen"/>
      <selection pane="topRight" activeCell="AV13" sqref="AV13"/>
      <pageMargins left="0.511811024" right="0.511811024" top="0.78740157499999996" bottom="0.78740157499999996" header="0.31496062000000002" footer="0.31496062000000002"/>
    </customSheetView>
    <customSheetView guid="{B3CDE377-BA5D-4E06-91D9-3A48E1959BA5}">
      <selection activeCell="AC2" sqref="AC2:AD16"/>
      <pageMargins left="0.511811024" right="0.511811024" top="0.78740157499999996" bottom="0.78740157499999996" header="0.31496062000000002" footer="0.31496062000000002"/>
    </customSheetView>
    <customSheetView guid="{9B623083-AA7B-440B-95EA-C33E1AB3D963}" topLeftCell="S1">
      <selection activeCell="AC2" sqref="AC2:AD16"/>
      <pageMargins left="0.511811024" right="0.511811024" top="0.78740157499999996" bottom="0.78740157499999996" header="0.31496062000000002" footer="0.31496062000000002"/>
      <pageSetup paperSize="9" orientation="portrait" r:id="rId1"/>
    </customSheetView>
    <customSheetView guid="{18A482E0-C8B6-4AA1-9E04-15FA7C9CD5E3}">
      <pane xSplit="1" topLeftCell="AM1" activePane="topRight" state="frozen"/>
      <selection pane="topRight" activeCell="BE1" sqref="BE1"/>
      <pageMargins left="0.511811024" right="0.511811024" top="0.78740157499999996" bottom="0.78740157499999996" header="0.31496062000000002" footer="0.31496062000000002"/>
      <pageSetup paperSize="9" orientation="portrait" r:id="rId2"/>
    </customSheetView>
    <customSheetView guid="{20CB6D8F-C24D-4D4B-A424-AF380F620455}">
      <selection activeCell="B6" sqref="B6"/>
      <pageMargins left="0.511811024" right="0.511811024" top="0.78740157499999996" bottom="0.78740157499999996" header="0.31496062000000002" footer="0.31496062000000002"/>
    </customSheetView>
    <customSheetView guid="{86039CF8-B158-4D70-9A6F-A10C29CBD68A}" topLeftCell="AB1">
      <selection activeCell="B6" sqref="B6"/>
      <pageMargins left="0.511811024" right="0.511811024" top="0.78740157499999996" bottom="0.78740157499999996" header="0.31496062000000002" footer="0.31496062000000002"/>
    </customSheetView>
    <customSheetView guid="{E3841903-5B68-44FD-8F09-58E03D1025C5}">
      <selection activeCell="B6" sqref="B6"/>
      <pageMargins left="0.511811024" right="0.511811024" top="0.78740157499999996" bottom="0.78740157499999996" header="0.31496062000000002" footer="0.31496062000000002"/>
    </customSheetView>
  </customSheetViews>
  <mergeCells count="3">
    <mergeCell ref="AC2:AD16"/>
    <mergeCell ref="R2:R16"/>
    <mergeCell ref="T2:T16"/>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Marcelo</vt:lpstr>
      <vt:lpstr>Patrícia</vt:lpstr>
      <vt:lpstr>TOTAL</vt:lpstr>
      <vt:lpstr>Diego</vt:lpstr>
      <vt:lpstr>Aelton</vt:lpstr>
      <vt:lpstr>Leonam</vt:lpstr>
      <vt:lpstr>Danilo</vt:lpstr>
      <vt:lpstr>Marcos</vt:lpstr>
      <vt:lpstr>Carlos</vt:lpstr>
      <vt:lpstr>Alessandro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Lucio Saboia Fonseca</dc:creator>
  <cp:lastModifiedBy>Alessandro Borges de Araújo</cp:lastModifiedBy>
  <dcterms:created xsi:type="dcterms:W3CDTF">2025-02-20T15:04:38Z</dcterms:created>
  <dcterms:modified xsi:type="dcterms:W3CDTF">2025-10-21T11:57:06Z</dcterms:modified>
</cp:coreProperties>
</file>
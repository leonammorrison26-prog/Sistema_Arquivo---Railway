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14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130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Mds.net\mds\SE\SAA\CGLA\CDA\DIARQ\Atividade Semanal - Equipe\z INDICADORES - POR DIA\Indicadores Ano 2026\"/>
    </mc:Choice>
  </mc:AlternateContent>
  <xr:revisionPtr revIDLastSave="0" documentId="13_ncr:81_{0158B6F2-F0F4-4FE2-A134-26D36F0283D0}" xr6:coauthVersionLast="47" xr6:coauthVersionMax="47" xr10:uidLastSave="{00000000-0000-0000-0000-000000000000}"/>
  <bookViews>
    <workbookView xWindow="-120" yWindow="-120" windowWidth="24240" windowHeight="13140" firstSheet="1" activeTab="5" xr2:uid="{00000000-000D-0000-FFFF-FFFF00000000}"/>
  </bookViews>
  <sheets>
    <sheet name="GLOSSÁRIO" sheetId="12" r:id="rId1"/>
    <sheet name="Patrícia" sheetId="1" r:id="rId2"/>
    <sheet name="Leonardo" sheetId="2" r:id="rId3"/>
    <sheet name="TOTAL" sheetId="3" r:id="rId4"/>
    <sheet name="Diego" sheetId="4" r:id="rId5"/>
    <sheet name="Aelton" sheetId="5" r:id="rId6"/>
    <sheet name="Leonam" sheetId="6" r:id="rId7"/>
    <sheet name="Danilo" sheetId="7" r:id="rId8"/>
    <sheet name="Marcos" sheetId="8" r:id="rId9"/>
    <sheet name="Alessandro" sheetId="10" r:id="rId10"/>
    <sheet name="Carlos" sheetId="9" r:id="rId11"/>
    <sheet name="Planilha1" sheetId="11" state="hidden" r:id="rId12"/>
  </sheets>
  <definedNames>
    <definedName name="_xlnm._FilterDatabase" localSheetId="5" hidden="1">Aelton!$A$1:$A$19</definedName>
    <definedName name="_xlnm._FilterDatabase" localSheetId="9" hidden="1">Alessandro!$A$1:$A$19</definedName>
    <definedName name="_xlnm._FilterDatabase" localSheetId="10" hidden="1">Carlos!$A$1:$A$19</definedName>
    <definedName name="_xlnm._FilterDatabase" localSheetId="7" hidden="1">Danilo!$A$1:$A$19</definedName>
    <definedName name="_xlnm._FilterDatabase" localSheetId="4" hidden="1">Diego!$A$1:$A$20</definedName>
    <definedName name="_xlnm._FilterDatabase" localSheetId="6" hidden="1">Leonam!$A$1:$B$19</definedName>
    <definedName name="_xlnm._FilterDatabase" localSheetId="2" hidden="1">Leonardo!$A$1:$A$5</definedName>
    <definedName name="_xlnm._FilterDatabase" localSheetId="8" hidden="1">Marcos!$A$1:$A$20</definedName>
    <definedName name="_xlnm._FilterDatabase" localSheetId="1" hidden="1">Patrícia!$A$1:$A$5</definedName>
    <definedName name="_xlnm._FilterDatabase" localSheetId="3" hidden="1">TOTAL!$A$1:$J$19</definedName>
    <definedName name="_xleta.N" hidden="1">#NAME?</definedName>
    <definedName name="Z_06B9359A_7F39_4D4B_8367_C837FD7A454D_.wvu.FilterData" localSheetId="7" hidden="1">Danilo!$A$1:$A$19</definedName>
    <definedName name="Z_06B9359A_7F39_4D4B_8367_C837FD7A454D_.wvu.FilterData" localSheetId="4" hidden="1">Diego!$A$1:$A$20</definedName>
    <definedName name="Z_06B9359A_7F39_4D4B_8367_C837FD7A454D_.wvu.FilterData" localSheetId="6" hidden="1">Leonam!$A$1:$B$19</definedName>
    <definedName name="Z_0B55FC46_3C4C_40FA_8D19_F188F3837C28_.wvu.FilterData" localSheetId="8" hidden="1">Marcos!$A$1:$A$19</definedName>
    <definedName name="Z_1510BE18_73CC_483F_9E2C_433AE8548BC0_.wvu.FilterData" localSheetId="10" hidden="1">Carlos!$A$1:$A$19</definedName>
    <definedName name="Z_1510BE18_73CC_483F_9E2C_433AE8548BC0_.wvu.FilterData" localSheetId="4" hidden="1">Diego!$A$1:$A$19</definedName>
    <definedName name="Z_1510BE18_73CC_483F_9E2C_433AE8548BC0_.wvu.FilterData" localSheetId="6" hidden="1">Leonam!$A$1:$B$19</definedName>
    <definedName name="Z_1510BE18_73CC_483F_9E2C_433AE8548BC0_.wvu.FilterData" localSheetId="8" hidden="1">Marcos!$A$1:$A$19</definedName>
    <definedName name="Z_18A482E0_C8B6_4AA1_9E04_15FA7C9CD5E3_.wvu.FilterData" localSheetId="5" hidden="1">Aelton!$A$1:$A$19</definedName>
    <definedName name="Z_18A482E0_C8B6_4AA1_9E04_15FA7C9CD5E3_.wvu.FilterData" localSheetId="9" hidden="1">Alessandro!$A$1:$A$19</definedName>
    <definedName name="Z_18A482E0_C8B6_4AA1_9E04_15FA7C9CD5E3_.wvu.FilterData" localSheetId="10" hidden="1">Carlos!$A$1:$A$19</definedName>
    <definedName name="Z_18A482E0_C8B6_4AA1_9E04_15FA7C9CD5E3_.wvu.FilterData" localSheetId="7" hidden="1">Danilo!$A$1:$A$19</definedName>
    <definedName name="Z_18A482E0_C8B6_4AA1_9E04_15FA7C9CD5E3_.wvu.FilterData" localSheetId="4" hidden="1">Diego!$A$1:$A$19</definedName>
    <definedName name="Z_18A482E0_C8B6_4AA1_9E04_15FA7C9CD5E3_.wvu.FilterData" localSheetId="6" hidden="1">Leonam!$A$1:$B$19</definedName>
    <definedName name="Z_18A482E0_C8B6_4AA1_9E04_15FA7C9CD5E3_.wvu.FilterData" localSheetId="2" hidden="1">Leonardo!$A$1:$A$5</definedName>
    <definedName name="Z_18A482E0_C8B6_4AA1_9E04_15FA7C9CD5E3_.wvu.FilterData" localSheetId="8" hidden="1">Marcos!$A$1:$A$19</definedName>
    <definedName name="Z_18A482E0_C8B6_4AA1_9E04_15FA7C9CD5E3_.wvu.FilterData" localSheetId="1" hidden="1">Patrícia!$A$1:$A$3</definedName>
    <definedName name="Z_18A482E0_C8B6_4AA1_9E04_15FA7C9CD5E3_.wvu.FilterData" localSheetId="3" hidden="1">TOTAL!$A$1:$A$19</definedName>
    <definedName name="Z_1B7E66BC_FAD9_49CD_A44C_EC1BA1D78012_.wvu.FilterData" localSheetId="4" hidden="1">Diego!$A$1:$A$21</definedName>
    <definedName name="Z_1B7E66BC_FAD9_49CD_A44C_EC1BA1D78012_.wvu.FilterData" localSheetId="8" hidden="1">Marcos!$A$1:$A$19</definedName>
    <definedName name="Z_1BDA250B_2920_4BD7_A433_977E2DD900C8_.wvu.FilterData" localSheetId="7" hidden="1">Danilo!$A$1:$A$33</definedName>
    <definedName name="Z_1BDA250B_2920_4BD7_A433_977E2DD900C8_.wvu.FilterData" localSheetId="8" hidden="1">Marcos!$A$1:$A$19</definedName>
    <definedName name="Z_20CB6D8F_C24D_4D4B_A424_AF380F620455_.wvu.FilterData" localSheetId="5" hidden="1">Aelton!$A$1:$A$19</definedName>
    <definedName name="Z_20CB6D8F_C24D_4D4B_A424_AF380F620455_.wvu.FilterData" localSheetId="9" hidden="1">Alessandro!$A$1:$A$19</definedName>
    <definedName name="Z_20CB6D8F_C24D_4D4B_A424_AF380F620455_.wvu.FilterData" localSheetId="10" hidden="1">Carlos!$A$1:$A$19</definedName>
    <definedName name="Z_20CB6D8F_C24D_4D4B_A424_AF380F620455_.wvu.FilterData" localSheetId="7" hidden="1">Danilo!$A$1:$A$19</definedName>
    <definedName name="Z_20CB6D8F_C24D_4D4B_A424_AF380F620455_.wvu.FilterData" localSheetId="4" hidden="1">Diego!$A$1:$A$20</definedName>
    <definedName name="Z_20CB6D8F_C24D_4D4B_A424_AF380F620455_.wvu.FilterData" localSheetId="6" hidden="1">Leonam!$A$1:$B$19</definedName>
    <definedName name="Z_20CB6D8F_C24D_4D4B_A424_AF380F620455_.wvu.FilterData" localSheetId="2" hidden="1">Leonardo!$A$1:$A$5</definedName>
    <definedName name="Z_20CB6D8F_C24D_4D4B_A424_AF380F620455_.wvu.FilterData" localSheetId="8" hidden="1">Marcos!$A$1:$A$20</definedName>
    <definedName name="Z_20CB6D8F_C24D_4D4B_A424_AF380F620455_.wvu.FilterData" localSheetId="1" hidden="1">Patrícia!$A$1:$A$5</definedName>
    <definedName name="Z_20CB6D8F_C24D_4D4B_A424_AF380F620455_.wvu.FilterData" localSheetId="3" hidden="1">TOTAL!$A$1:$J$19</definedName>
    <definedName name="Z_221CAD7F_6BBD_49EC_A8C4_68165B9A6C25_.wvu.FilterData" localSheetId="7" hidden="1">Danilo!$A$1:$A$19</definedName>
    <definedName name="Z_26904941_D7A6_4400_A4D4_FC1C61AD552D_.wvu.FilterData" localSheetId="6" hidden="1">Leonam!$A$1:$B$19</definedName>
    <definedName name="Z_27007976_1F87_4541_B62B_D53BDFC0590C_.wvu.FilterData" localSheetId="8" hidden="1">Marcos!$A$1:$A$20</definedName>
    <definedName name="Z_27D1146D_2AA0_4FD6_A294_24C99A5284B4_.wvu.FilterData" localSheetId="9" hidden="1">Alessandro!$A$1:$A$19</definedName>
    <definedName name="Z_292194A3_4172_400D_B49A_B6ABE831DBEB_.wvu.FilterData" localSheetId="5" hidden="1">Aelton!$A$1:$A$19</definedName>
    <definedName name="Z_292194A3_4172_400D_B49A_B6ABE831DBEB_.wvu.FilterData" localSheetId="4" hidden="1">Diego!$A$1:$A$21</definedName>
    <definedName name="Z_292194A3_4172_400D_B49A_B6ABE831DBEB_.wvu.FilterData" localSheetId="6" hidden="1">Leonam!$A$1:$B$19</definedName>
    <definedName name="Z_292194A3_4172_400D_B49A_B6ABE831DBEB_.wvu.FilterData" localSheetId="8" hidden="1">Marcos!$A$1:$A$19</definedName>
    <definedName name="Z_29ECD1DE_9036_4576_AB88_5BDD65D2BD2E_.wvu.FilterData" localSheetId="6" hidden="1">Leonam!$A$1:$B$19</definedName>
    <definedName name="Z_2B7F7555_67DD_4264_B712_BD247418238E_.wvu.FilterData" localSheetId="8" hidden="1">Marcos!$A$1:$A$19</definedName>
    <definedName name="Z_2E1B29BD_778A_42E8_BF4C_CF2FDC53F7A4_.wvu.FilterData" localSheetId="8" hidden="1">Marcos!$A$1:$A$20</definedName>
    <definedName name="Z_303FA4A8_3B77_41B3_90B1_0B6BBA338E37_.wvu.FilterData" localSheetId="5" hidden="1">Aelton!$A$1:$A$19</definedName>
    <definedName name="Z_328B0BBE_775A_4EF2_B09F_2C1FE785DB17_.wvu.FilterData" localSheetId="8" hidden="1">Marcos!$A$1:$A$20</definedName>
    <definedName name="Z_35CCAC03_A758_4A73_906E_20BF31DABC91_.wvu.FilterData" localSheetId="7" hidden="1">Danilo!$A$1:$A$19</definedName>
    <definedName name="Z_35CCAC03_A758_4A73_906E_20BF31DABC91_.wvu.FilterData" localSheetId="6" hidden="1">Leonam!$A$1:$B$19</definedName>
    <definedName name="Z_39121804_BD9A_4507_AAD5_1867EAE4CB15_.wvu.FilterData" localSheetId="9" hidden="1">Alessandro!$A$1:$A$19</definedName>
    <definedName name="Z_39489D99_D6F8_43D7_9535_2A51B72147B5_.wvu.FilterData" localSheetId="7" hidden="1">Danilo!$A$1:$A$19</definedName>
    <definedName name="Z_39E2970F_D65E_43EC_9342_CEF876D070BB_.wvu.FilterData" localSheetId="5" hidden="1">Aelton!$A$1:$A$19</definedName>
    <definedName name="Z_3BD1B20E_2C15_4B33_A6DA_9CEF5990D929_.wvu.FilterData" localSheetId="4" hidden="1">Diego!$A$1:$A$20</definedName>
    <definedName name="Z_3CC06121_2B9B_48D6_95F1_5B29B3ACEAC3_.wvu.FilterData" localSheetId="6" hidden="1">Leonam!$A$1:$B$19</definedName>
    <definedName name="Z_3D987F8E_A6EA_454D_9537_6BFC5053CB00_.wvu.FilterData" localSheetId="5" hidden="1">Aelton!$A$1:$A$19</definedName>
    <definedName name="Z_3D987F8E_A6EA_454D_9537_6BFC5053CB00_.wvu.FilterData" localSheetId="9" hidden="1">Alessandro!$A$1:$A$19</definedName>
    <definedName name="Z_3D987F8E_A6EA_454D_9537_6BFC5053CB00_.wvu.FilterData" localSheetId="10" hidden="1">Carlos!$A$1:$A$19</definedName>
    <definedName name="Z_3D987F8E_A6EA_454D_9537_6BFC5053CB00_.wvu.FilterData" localSheetId="7" hidden="1">Danilo!$A$1:$A$19</definedName>
    <definedName name="Z_3D987F8E_A6EA_454D_9537_6BFC5053CB00_.wvu.FilterData" localSheetId="4" hidden="1">Diego!$A$1:$A$20</definedName>
    <definedName name="Z_3D987F8E_A6EA_454D_9537_6BFC5053CB00_.wvu.FilterData" localSheetId="6" hidden="1">Leonam!$A$1:$B$19</definedName>
    <definedName name="Z_3D987F8E_A6EA_454D_9537_6BFC5053CB00_.wvu.FilterData" localSheetId="2" hidden="1">Leonardo!$A$1:$A$5</definedName>
    <definedName name="Z_3D987F8E_A6EA_454D_9537_6BFC5053CB00_.wvu.FilterData" localSheetId="8" hidden="1">Marcos!$A$1:$A$20</definedName>
    <definedName name="Z_3D987F8E_A6EA_454D_9537_6BFC5053CB00_.wvu.FilterData" localSheetId="1" hidden="1">Patrícia!$A$1:$A$5</definedName>
    <definedName name="Z_3D987F8E_A6EA_454D_9537_6BFC5053CB00_.wvu.FilterData" localSheetId="3" hidden="1">TOTAL!$A$1:$J$19</definedName>
    <definedName name="Z_4079B0E0_0C38_4415_85D0_9ADAAD8545C0_.wvu.FilterData" localSheetId="7" hidden="1">Danilo!$A$1:$A$33</definedName>
    <definedName name="Z_4079B0E0_0C38_4415_85D0_9ADAAD8545C0_.wvu.FilterData" localSheetId="4" hidden="1">Diego!$A$1:$A$19</definedName>
    <definedName name="Z_4079B0E0_0C38_4415_85D0_9ADAAD8545C0_.wvu.FilterData" localSheetId="3" hidden="1">TOTAL!$A$1:$A$19</definedName>
    <definedName name="Z_45F463EA_C067_4F95_B79F_720A856DD6F7_.wvu.FilterData" localSheetId="4" hidden="1">Diego!$A$1:$A$19</definedName>
    <definedName name="Z_4C2581D1_FB98_41CF_B2FE_518BD27D9442_.wvu.FilterData" localSheetId="5" hidden="1">Aelton!$A$1:$A$19</definedName>
    <definedName name="Z_4C2581D1_FB98_41CF_B2FE_518BD27D9442_.wvu.FilterData" localSheetId="6" hidden="1">Leonam!$A$1:$B$19</definedName>
    <definedName name="Z_4C2581D1_FB98_41CF_B2FE_518BD27D9442_.wvu.FilterData" localSheetId="8" hidden="1">Marcos!$A$1:$A$19</definedName>
    <definedName name="Z_4E060732_83F8_4DF4_BA69_E86233C09DEB_.wvu.FilterData" localSheetId="4" hidden="1">Diego!$A$1:$A$19</definedName>
    <definedName name="Z_4E43814E_6236_47E0_82E3_89BC3CF4ADCB_.wvu.FilterData" localSheetId="7" hidden="1">Danilo!$A$1:$A$19</definedName>
    <definedName name="Z_527DBFB3_F830_471C_A755_D892B2B1A236_.wvu.FilterData" localSheetId="8" hidden="1">Marcos!$A$1:$A$19</definedName>
    <definedName name="Z_5D13117B_1A22_428E_846B_EF3C77E3CE3F_.wvu.FilterData" localSheetId="5" hidden="1">Aelton!$A$1:$A$19</definedName>
    <definedName name="Z_5D13117B_1A22_428E_846B_EF3C77E3CE3F_.wvu.FilterData" localSheetId="6" hidden="1">Leonam!$A$1:$B$19</definedName>
    <definedName name="Z_5E3B61B2_15D5_4C7E_BCEC_255A7B84287A_.wvu.FilterData" localSheetId="5" hidden="1">Aelton!$A$1:$A$19</definedName>
    <definedName name="Z_5E3B61B2_15D5_4C7E_BCEC_255A7B84287A_.wvu.FilterData" localSheetId="9" hidden="1">Alessandro!$A$1:$A$19</definedName>
    <definedName name="Z_5E3B61B2_15D5_4C7E_BCEC_255A7B84287A_.wvu.FilterData" localSheetId="10" hidden="1">Carlos!$A$1:$A$19</definedName>
    <definedName name="Z_5E3B61B2_15D5_4C7E_BCEC_255A7B84287A_.wvu.FilterData" localSheetId="7" hidden="1">Danilo!$A$1:$A$19</definedName>
    <definedName name="Z_5E3B61B2_15D5_4C7E_BCEC_255A7B84287A_.wvu.FilterData" localSheetId="4" hidden="1">Diego!$A$1:$A$20</definedName>
    <definedName name="Z_5E3B61B2_15D5_4C7E_BCEC_255A7B84287A_.wvu.FilterData" localSheetId="6" hidden="1">Leonam!$A$1:$B$19</definedName>
    <definedName name="Z_5E3B61B2_15D5_4C7E_BCEC_255A7B84287A_.wvu.FilterData" localSheetId="2" hidden="1">Leonardo!$A$1:$A$5</definedName>
    <definedName name="Z_5E3B61B2_15D5_4C7E_BCEC_255A7B84287A_.wvu.FilterData" localSheetId="8" hidden="1">Marcos!$A$1:$A$20</definedName>
    <definedName name="Z_5E3B61B2_15D5_4C7E_BCEC_255A7B84287A_.wvu.FilterData" localSheetId="1" hidden="1">Patrícia!$A$1:$A$5</definedName>
    <definedName name="Z_5E3B61B2_15D5_4C7E_BCEC_255A7B84287A_.wvu.FilterData" localSheetId="3" hidden="1">TOTAL!$A$1:$J$19</definedName>
    <definedName name="Z_6192735B_895E_467E_8A7A_A96CA401E8FC_.wvu.FilterData" localSheetId="5" hidden="1">Aelton!$A$1:$A$19</definedName>
    <definedName name="Z_6192735B_895E_467E_8A7A_A96CA401E8FC_.wvu.FilterData" localSheetId="4" hidden="1">Diego!$A$1:$A$19</definedName>
    <definedName name="Z_6192735B_895E_467E_8A7A_A96CA401E8FC_.wvu.FilterData" localSheetId="8" hidden="1">Marcos!$A$1:$A$19</definedName>
    <definedName name="Z_61D1DCE3_0F76_42AD_BA8D_EA23AEA54BEF_.wvu.FilterData" localSheetId="8" hidden="1">Marcos!$A$1:$A$19</definedName>
    <definedName name="Z_63529BB9_7B0C_4CFB_832A_9827D1497A2D_.wvu.FilterData" localSheetId="9" hidden="1">Alessandro!$A$1:$A$19</definedName>
    <definedName name="Z_63529BB9_7B0C_4CFB_832A_9827D1497A2D_.wvu.FilterData" localSheetId="7" hidden="1">Danilo!$A$1:$A$33</definedName>
    <definedName name="Z_65286E0B_C86F_4A74_94F2_F3C1887F39C3_.wvu.FilterData" localSheetId="9" hidden="1">Alessandro!$A$1:$A$19</definedName>
    <definedName name="Z_65286E0B_C86F_4A74_94F2_F3C1887F39C3_.wvu.FilterData" localSheetId="7" hidden="1">Danilo!$A$1:$A$19</definedName>
    <definedName name="Z_65286E0B_C86F_4A74_94F2_F3C1887F39C3_.wvu.FilterData" localSheetId="4" hidden="1">Diego!$A$1:$A$20</definedName>
    <definedName name="Z_65286E0B_C86F_4A74_94F2_F3C1887F39C3_.wvu.FilterData" localSheetId="6" hidden="1">Leonam!$A$1:$B$19</definedName>
    <definedName name="Z_65C2FB55_1D25_4E58_BA73_A7FADBD630D1_.wvu.FilterData" localSheetId="5" hidden="1">Aelton!$A$1:$A$19</definedName>
    <definedName name="Z_65C2FB55_1D25_4E58_BA73_A7FADBD630D1_.wvu.FilterData" localSheetId="7" hidden="1">Danilo!$A$1:$A$19</definedName>
    <definedName name="Z_65C2FB55_1D25_4E58_BA73_A7FADBD630D1_.wvu.FilterData" localSheetId="6" hidden="1">Leonam!$A$1:$B$19</definedName>
    <definedName name="Z_6B6B262E_F738_43C3_94B9_04FDA955C398_.wvu.FilterData" localSheetId="5" hidden="1">Aelton!$A$1:$A$19</definedName>
    <definedName name="Z_6E26ADA7_350E_4245_8C42_D9718EBA06AE_.wvu.FilterData" localSheetId="7" hidden="1">Danilo!$A$1:$A$19</definedName>
    <definedName name="Z_7127A2CF_8838_43D3_998B_5F5427E8950C_.wvu.FilterData" localSheetId="4" hidden="1">Diego!$A$1:$A$19</definedName>
    <definedName name="Z_738B9F68_9A21_4046_A982_E676530BDBAD_.wvu.FilterData" localSheetId="6" hidden="1">Leonam!$A$1:$B$19</definedName>
    <definedName name="Z_746A910F_57F7_4BB6_BAEE_91398E13A270_.wvu.FilterData" localSheetId="4" hidden="1">Diego!$A$1:$A$19</definedName>
    <definedName name="Z_82015759_A7A4_4B45_A07B_67FCECB10C26_.wvu.FilterData" localSheetId="7" hidden="1">Danilo!$A$1:$A$33</definedName>
    <definedName name="Z_82015759_A7A4_4B45_A07B_67FCECB10C26_.wvu.FilterData" localSheetId="8" hidden="1">Marcos!$A$1:$A$19</definedName>
    <definedName name="Z_86039CF8_B158_4D70_9A6F_A10C29CBD68A_.wvu.FilterData" localSheetId="5" hidden="1">Aelton!$A$1:$A$19</definedName>
    <definedName name="Z_86039CF8_B158_4D70_9A6F_A10C29CBD68A_.wvu.FilterData" localSheetId="9" hidden="1">Alessandro!$A$1:$A$19</definedName>
    <definedName name="Z_86039CF8_B158_4D70_9A6F_A10C29CBD68A_.wvu.FilterData" localSheetId="10" hidden="1">Carlos!$A$1:$A$19</definedName>
    <definedName name="Z_86039CF8_B158_4D70_9A6F_A10C29CBD68A_.wvu.FilterData" localSheetId="7" hidden="1">Danilo!$A$1:$A$19</definedName>
    <definedName name="Z_86039CF8_B158_4D70_9A6F_A10C29CBD68A_.wvu.FilterData" localSheetId="4" hidden="1">Diego!$A$1:$A$20</definedName>
    <definedName name="Z_86039CF8_B158_4D70_9A6F_A10C29CBD68A_.wvu.FilterData" localSheetId="6" hidden="1">Leonam!$A$1:$B$19</definedName>
    <definedName name="Z_86039CF8_B158_4D70_9A6F_A10C29CBD68A_.wvu.FilterData" localSheetId="2" hidden="1">Leonardo!$A$1:$A$5</definedName>
    <definedName name="Z_86039CF8_B158_4D70_9A6F_A10C29CBD68A_.wvu.FilterData" localSheetId="8" hidden="1">Marcos!$A$1:$A$20</definedName>
    <definedName name="Z_86039CF8_B158_4D70_9A6F_A10C29CBD68A_.wvu.FilterData" localSheetId="1" hidden="1">Patrícia!$A$1:$A$5</definedName>
    <definedName name="Z_86039CF8_B158_4D70_9A6F_A10C29CBD68A_.wvu.FilterData" localSheetId="3" hidden="1">TOTAL!$A$1:$J$19</definedName>
    <definedName name="Z_8704C1C6_C976_4A60_9DC0_0C1731FA65DF_.wvu.FilterData" localSheetId="7" hidden="1">Danilo!$A$1:$A$19</definedName>
    <definedName name="Z_8704C1C6_C976_4A60_9DC0_0C1731FA65DF_.wvu.FilterData" localSheetId="8" hidden="1">Marcos!$A$1:$A$20</definedName>
    <definedName name="Z_8AAB51A6_A0E3_4A5A_83CE_A375636D0BFE_.wvu.FilterData" localSheetId="5" hidden="1">Aelton!$A$1:$A$19</definedName>
    <definedName name="Z_8B8567AE_2A03_4707_8762_CDE0AA44BA28_.wvu.FilterData" localSheetId="5" hidden="1">Aelton!$A$1:$A$19</definedName>
    <definedName name="Z_8B8567AE_2A03_4707_8762_CDE0AA44BA28_.wvu.FilterData" localSheetId="4" hidden="1">Diego!$A$1:$A$19</definedName>
    <definedName name="Z_8B8567AE_2A03_4707_8762_CDE0AA44BA28_.wvu.FilterData" localSheetId="8" hidden="1">Marcos!$A$1:$A$19</definedName>
    <definedName name="Z_9068F0A4_0C1F_4C4E_91F4_31F0C9C66660_.wvu.FilterData" localSheetId="7" hidden="1">Danilo!$A$1:$A$19</definedName>
    <definedName name="Z_9068F0A4_0C1F_4C4E_91F4_31F0C9C66660_.wvu.FilterData" localSheetId="6" hidden="1">Leonam!$A$1:$B$19</definedName>
    <definedName name="Z_931E1DCD_AE31_4DFC_AEE0_716590C2FB18_.wvu.FilterData" localSheetId="3" hidden="1">TOTAL!$A$1:$A$19</definedName>
    <definedName name="Z_983ADA86_E669_487C_9992_26F9F57FF6A8_.wvu.FilterData" localSheetId="4" hidden="1">Diego!$A$1:$A$19</definedName>
    <definedName name="Z_99535A48_02C6_4675_AEF4_0A1912F5F9DA_.wvu.FilterData" localSheetId="8" hidden="1">Marcos!$A$1:$A$19</definedName>
    <definedName name="Z_9B623083_AA7B_440B_95EA_C33E1AB3D963_.wvu.FilterData" localSheetId="5" hidden="1">Aelton!$A$1:$A$19</definedName>
    <definedName name="Z_9B623083_AA7B_440B_95EA_C33E1AB3D963_.wvu.FilterData" localSheetId="9" hidden="1">Alessandro!$A$1:$A$19</definedName>
    <definedName name="Z_9B623083_AA7B_440B_95EA_C33E1AB3D963_.wvu.FilterData" localSheetId="10" hidden="1">Carlos!$A$1:$A$19</definedName>
    <definedName name="Z_9B623083_AA7B_440B_95EA_C33E1AB3D963_.wvu.FilterData" localSheetId="7" hidden="1">Danilo!$A$1:$A$19</definedName>
    <definedName name="Z_9B623083_AA7B_440B_95EA_C33E1AB3D963_.wvu.FilterData" localSheetId="4" hidden="1">Diego!$A$1:$A$20</definedName>
    <definedName name="Z_9B623083_AA7B_440B_95EA_C33E1AB3D963_.wvu.FilterData" localSheetId="6" hidden="1">Leonam!$A$1:$B$19</definedName>
    <definedName name="Z_9B623083_AA7B_440B_95EA_C33E1AB3D963_.wvu.FilterData" localSheetId="2" hidden="1">Leonardo!$A$1:$A$5</definedName>
    <definedName name="Z_9B623083_AA7B_440B_95EA_C33E1AB3D963_.wvu.FilterData" localSheetId="8" hidden="1">Marcos!$A$1:$A$20</definedName>
    <definedName name="Z_9B623083_AA7B_440B_95EA_C33E1AB3D963_.wvu.FilterData" localSheetId="1" hidden="1">Patrícia!$A$1:$A$5</definedName>
    <definedName name="Z_9B623083_AA7B_440B_95EA_C33E1AB3D963_.wvu.FilterData" localSheetId="3" hidden="1">TOTAL!$A$1:$A$19</definedName>
    <definedName name="Z_9E46E882_42F6_431B_8932_C984FE3CE2F7_.wvu.FilterData" localSheetId="5" hidden="1">Aelton!$A$1:$A$19</definedName>
    <definedName name="Z_9FB24CC8_6AED_4B47_A357_E4CCF7F8A2F3_.wvu.FilterData" localSheetId="8" hidden="1">Marcos!$A$1:$A$19</definedName>
    <definedName name="Z_A08F465F_9EA2_438B_A731_7E6E4488C169_.wvu.FilterData" localSheetId="5" hidden="1">Aelton!$A$1:$A$19</definedName>
    <definedName name="Z_A0DFB63E_D368_43EE_B23A_31A2B6AEBC2E_.wvu.FilterData" localSheetId="8" hidden="1">Marcos!$A$1:$A$20</definedName>
    <definedName name="Z_B3CDE377_BA5D_4E06_91D9_3A48E1959BA5_.wvu.FilterData" localSheetId="5" hidden="1">Aelton!$A$1:$A$19</definedName>
    <definedName name="Z_B3CDE377_BA5D_4E06_91D9_3A48E1959BA5_.wvu.FilterData" localSheetId="9" hidden="1">Alessandro!$A$1:$A$19</definedName>
    <definedName name="Z_B3CDE377_BA5D_4E06_91D9_3A48E1959BA5_.wvu.FilterData" localSheetId="10" hidden="1">Carlos!$A$1:$A$19</definedName>
    <definedName name="Z_B3CDE377_BA5D_4E06_91D9_3A48E1959BA5_.wvu.FilterData" localSheetId="7" hidden="1">Danilo!$A$1:$A$19</definedName>
    <definedName name="Z_B3CDE377_BA5D_4E06_91D9_3A48E1959BA5_.wvu.FilterData" localSheetId="4" hidden="1">Diego!$A$1:$A$20</definedName>
    <definedName name="Z_B3CDE377_BA5D_4E06_91D9_3A48E1959BA5_.wvu.FilterData" localSheetId="6" hidden="1">Leonam!$A$1:$B$19</definedName>
    <definedName name="Z_B3CDE377_BA5D_4E06_91D9_3A48E1959BA5_.wvu.FilterData" localSheetId="2" hidden="1">Leonardo!$A$1:$A$5</definedName>
    <definedName name="Z_B3CDE377_BA5D_4E06_91D9_3A48E1959BA5_.wvu.FilterData" localSheetId="8" hidden="1">Marcos!$A$1:$A$20</definedName>
    <definedName name="Z_B3CDE377_BA5D_4E06_91D9_3A48E1959BA5_.wvu.FilterData" localSheetId="1" hidden="1">Patrícia!$A$1:$A$5</definedName>
    <definedName name="Z_B3CDE377_BA5D_4E06_91D9_3A48E1959BA5_.wvu.FilterData" localSheetId="3" hidden="1">TOTAL!$A$1:$J$19</definedName>
    <definedName name="Z_C1ADD972_3048_4C11_83EA_7D7DA864B713_.wvu.FilterData" localSheetId="5" hidden="1">Aelton!$A$1:$A$19</definedName>
    <definedName name="Z_C1ADD972_3048_4C11_83EA_7D7DA864B713_.wvu.FilterData" localSheetId="4" hidden="1">Diego!$A$1:$A$19</definedName>
    <definedName name="Z_C1ADD972_3048_4C11_83EA_7D7DA864B713_.wvu.FilterData" localSheetId="6" hidden="1">Leonam!$A$1:$B$19</definedName>
    <definedName name="Z_C1ADD972_3048_4C11_83EA_7D7DA864B713_.wvu.FilterData" localSheetId="8" hidden="1">Marcos!$A$1:$A$19</definedName>
    <definedName name="Z_C9005B68_77F0_401C_8512_BE258B93D9F2_.wvu.FilterData" localSheetId="4" hidden="1">Diego!$A$1:$A$19</definedName>
    <definedName name="Z_CD25BA1F_7EDD_4E29_8C83_4BA410D40FAB_.wvu.FilterData" localSheetId="6" hidden="1">Leonam!$A$1:$B$19</definedName>
    <definedName name="Z_CE4DE222_11C2_412F_9CD7_EACF481F4CE0_.wvu.FilterData" localSheetId="8" hidden="1">Marcos!$A$1:$A$19</definedName>
    <definedName name="Z_D04F37C0_316A_467C_A08A_F70CA9ABAACF_.wvu.FilterData" localSheetId="5" hidden="1">Aelton!$A$1:$A$19</definedName>
    <definedName name="Z_D053F25B_24B7_4DEA_9B1C_24248F2011C5_.wvu.FilterData" localSheetId="5" hidden="1">Aelton!$A$1:$A$19</definedName>
    <definedName name="Z_D52625D1_E6F2_417B_8A99_DF0FDA1E26C0_.wvu.FilterData" localSheetId="5" hidden="1">Aelton!$A$1:$A$19</definedName>
    <definedName name="Z_D52625D1_E6F2_417B_8A99_DF0FDA1E26C0_.wvu.FilterData" localSheetId="6" hidden="1">Leonam!$A$1:$B$19</definedName>
    <definedName name="Z_D52625D1_E6F2_417B_8A99_DF0FDA1E26C0_.wvu.FilterData" localSheetId="3" hidden="1">TOTAL!$A$1:$A$19</definedName>
    <definedName name="Z_DC414A74_72F4_4549_81B1_CAD9C736E1BE_.wvu.FilterData" localSheetId="9" hidden="1">Alessandro!$A$1:$A$19</definedName>
    <definedName name="Z_DC414A74_72F4_4549_81B1_CAD9C736E1BE_.wvu.FilterData" localSheetId="4" hidden="1">Diego!$A$1:$A$19</definedName>
    <definedName name="Z_DC414A74_72F4_4549_81B1_CAD9C736E1BE_.wvu.FilterData" localSheetId="6" hidden="1">Leonam!$A$1:$B$19</definedName>
    <definedName name="Z_DCD72475_1C1F_4880_804D_5C91B696BA46_.wvu.FilterData" localSheetId="4" hidden="1">Diego!$A$1:$A$21</definedName>
    <definedName name="Z_E0978B37_608F_4A77_B1C8_D080ABC76CC9_.wvu.FilterData" localSheetId="5" hidden="1">Aelton!$A$1:$A$19</definedName>
    <definedName name="Z_E0978B37_608F_4A77_B1C8_D080ABC76CC9_.wvu.FilterData" localSheetId="7" hidden="1">Danilo!$A$1:$A$33</definedName>
    <definedName name="Z_E0978B37_608F_4A77_B1C8_D080ABC76CC9_.wvu.FilterData" localSheetId="4" hidden="1">Diego!$A$1:$A$19</definedName>
    <definedName name="Z_E0978B37_608F_4A77_B1C8_D080ABC76CC9_.wvu.FilterData" localSheetId="6" hidden="1">Leonam!$A$1:$B$19</definedName>
    <definedName name="Z_E2C6012C_29C5_476E_8662_2FBB90014003_.wvu.FilterData" localSheetId="10" hidden="1">Carlos!$A$1:$A$19</definedName>
    <definedName name="Z_E2C6012C_29C5_476E_8662_2FBB90014003_.wvu.FilterData" localSheetId="7" hidden="1">Danilo!$A$1:$A$33</definedName>
    <definedName name="Z_E2C6012C_29C5_476E_8662_2FBB90014003_.wvu.FilterData" localSheetId="6" hidden="1">Leonam!$A$1:$B$19</definedName>
    <definedName name="Z_E2C6012C_29C5_476E_8662_2FBB90014003_.wvu.FilterData" localSheetId="8" hidden="1">Marcos!$A$1:$A$19</definedName>
    <definedName name="Z_E3841903_5B68_44FD_8F09_58E03D1025C5_.wvu.FilterData" localSheetId="5" hidden="1">Aelton!$A$1:$A$19</definedName>
    <definedName name="Z_E3841903_5B68_44FD_8F09_58E03D1025C5_.wvu.FilterData" localSheetId="9" hidden="1">Alessandro!$A$1:$A$19</definedName>
    <definedName name="Z_E3841903_5B68_44FD_8F09_58E03D1025C5_.wvu.FilterData" localSheetId="10" hidden="1">Carlos!$A$1:$A$19</definedName>
    <definedName name="Z_E3841903_5B68_44FD_8F09_58E03D1025C5_.wvu.FilterData" localSheetId="7" hidden="1">Danilo!$A$1:$A$19</definedName>
    <definedName name="Z_E3841903_5B68_44FD_8F09_58E03D1025C5_.wvu.FilterData" localSheetId="4" hidden="1">Diego!$A$1:$A$20</definedName>
    <definedName name="Z_E3841903_5B68_44FD_8F09_58E03D1025C5_.wvu.FilterData" localSheetId="6" hidden="1">Leonam!$A$1:$B$19</definedName>
    <definedName name="Z_E3841903_5B68_44FD_8F09_58E03D1025C5_.wvu.FilterData" localSheetId="2" hidden="1">Leonardo!$A$1:$A$5</definedName>
    <definedName name="Z_E3841903_5B68_44FD_8F09_58E03D1025C5_.wvu.FilterData" localSheetId="8" hidden="1">Marcos!$A$1:$A$20</definedName>
    <definedName name="Z_E3841903_5B68_44FD_8F09_58E03D1025C5_.wvu.FilterData" localSheetId="1" hidden="1">Patrícia!$A$1:$A$5</definedName>
    <definedName name="Z_E3841903_5B68_44FD_8F09_58E03D1025C5_.wvu.FilterData" localSheetId="3" hidden="1">TOTAL!$A$1:$J$19</definedName>
    <definedName name="Z_E3BDEF0F_8CAB_47D6_8677_524136F6334A_.wvu.FilterData" localSheetId="5" hidden="1">Aelton!$A$1:$A$19</definedName>
    <definedName name="Z_E3BDEF0F_8CAB_47D6_8677_524136F6334A_.wvu.FilterData" localSheetId="8" hidden="1">Marcos!$A$1:$A$19</definedName>
    <definedName name="Z_E6127A77_B885_468A_92FC_C823B559D5F2_.wvu.FilterData" localSheetId="7" hidden="1">Danilo!$A$1:$A$19</definedName>
    <definedName name="Z_E6127A77_B885_468A_92FC_C823B559D5F2_.wvu.FilterData" localSheetId="4" hidden="1">Diego!$A$1:$A$21</definedName>
    <definedName name="Z_E6127A77_B885_468A_92FC_C823B559D5F2_.wvu.FilterData" localSheetId="6" hidden="1">Leonam!$A$1:$B$19</definedName>
    <definedName name="Z_E6127A77_B885_468A_92FC_C823B559D5F2_.wvu.FilterData" localSheetId="8" hidden="1">Marcos!$A$1:$A$19</definedName>
    <definedName name="Z_F2A60CAD_26A4_43CF_98C9_FD13812AEF8A_.wvu.FilterData" localSheetId="8" hidden="1">Marcos!$A$1:$A$20</definedName>
    <definedName name="Z_F2A70F1D_FC6F_4CDB_909A_694615A9BAA7_.wvu.FilterData" localSheetId="6" hidden="1">Leonam!$A$1:$B$19</definedName>
    <definedName name="Z_F44B48C5_2D96_4356_A2C6_F2DC8B6DC04E_.wvu.FilterData" localSheetId="8" hidden="1">Marcos!$A$1:$A$20</definedName>
    <definedName name="Z_F71CAFDA_36CE_423D_B975_028BCF509C4D_.wvu.FilterData" localSheetId="7" hidden="1">Danilo!$A$1:$A$19</definedName>
    <definedName name="Z_F746DF90_E320_4742_9A38_81866CC9E10D_.wvu.FilterData" localSheetId="4" hidden="1">Diego!$A$1:$A$19</definedName>
    <definedName name="Z_FBD30D8A_96B0_4C9D_A760_10CDB4E7B4A2_.wvu.FilterData" localSheetId="7" hidden="1">Danilo!$A$1:$A$19</definedName>
    <definedName name="Z_FBD30D8A_96B0_4C9D_A760_10CDB4E7B4A2_.wvu.FilterData" localSheetId="4" hidden="1">Diego!$A$1:$A$20</definedName>
    <definedName name="Z_FBD30D8A_96B0_4C9D_A760_10CDB4E7B4A2_.wvu.FilterData" localSheetId="6" hidden="1">Leonam!$A$1:$B$19</definedName>
    <definedName name="Z_FBD30D8A_96B0_4C9D_A760_10CDB4E7B4A2_.wvu.FilterData" localSheetId="8" hidden="1">Marcos!$A$1:$A$20</definedName>
    <definedName name="Z_FD0B9DF2_6B06_4ED5_B232_75A8039A17B0_.wvu.FilterData" localSheetId="4" hidden="1">Diego!$A$1:$A$20</definedName>
  </definedNames>
  <calcPr calcId="191029" calcMode="autoNoTable"/>
  <customWorkbookViews>
    <customWorkbookView name="Aelton de Jesus Nunes - Modo de exibição pessoal" guid="{86039CF8-B158-4D70-9A6F-A10C29CBD68A}" mergeInterval="0" personalView="1" maximized="1" xWindow="-8" yWindow="-8" windowWidth="1616" windowHeight="876" activeSheetId="5"/>
    <customWorkbookView name="Danilo Rafael Basilio da Silva - Modo de exibição pessoal" guid="{B3CDE377-BA5D-4E06-91D9-3A48E1959BA5}" mergeInterval="0" personalView="1" maximized="1" xWindow="-8" yWindow="-8" windowWidth="1616" windowHeight="876" activeSheetId="7"/>
    <customWorkbookView name="Marcos Neves de Almeida - Modo de exibição pessoal" guid="{E3841903-5B68-44FD-8F09-58E03D1025C5}" mergeInterval="0" personalView="1" maximized="1" xWindow="-8" yWindow="-8" windowWidth="1616" windowHeight="876" activeSheetId="8"/>
    <customWorkbookView name="Marcelo Lucio Saboia Fonseca - Modo de exibição pessoal" guid="{18A482E0-C8B6-4AA1-9E04-15FA7C9CD5E3}" mergeInterval="0" personalView="1" maximized="1" xWindow="1672" yWindow="-8" windowWidth="1696" windowHeight="1018" activeSheetId="9"/>
    <customWorkbookView name="Carlos da Silva Dias - Modo de exibição pessoal" guid="{C69767F5-CD39-44C1-AD4B-CE19DC8285A6}" mergeInterval="0" personalView="1" maximized="1" xWindow="-8" yWindow="-8" windowWidth="1616" windowHeight="876" activeSheetId="9"/>
    <customWorkbookView name="Patrícia Ferreira Costa Alves - Modo de exibição pessoal" guid="{552DFCCD-1786-4D75-8B10-27DD730384DD}" mergeInterval="0" personalView="1" xWindow="2175" yWindow="114" windowWidth="1440" windowHeight="759" activeSheetId="1"/>
    <customWorkbookView name="Leonam Morrison Monteiro de Oliveira - Modo de exibição pessoal" guid="{9B623083-AA7B-440B-95EA-C33E1AB3D963}" autoUpdate="1" mergeInterval="15" personalView="1" maximized="1" xWindow="-8" yWindow="-8" windowWidth="1616" windowHeight="868" activeSheetId="6"/>
    <customWorkbookView name="Diego Santos de Abreu - Modo de exibição pessoal" guid="{20CB6D8F-C24D-4D4B-A424-AF380F620455}" mergeInterval="0" personalView="1" maximized="1" xWindow="-8" yWindow="-8" windowWidth="1616" windowHeight="876" tabRatio="667" activeSheetId="4"/>
    <customWorkbookView name="Alessandro Borges de Araújo - Modo de exibição pessoal" guid="{3D987F8E-A6EA-454D-9537-6BFC5053CB00}" mergeInterval="0" personalView="1" maximized="1" xWindow="1912" yWindow="-8" windowWidth="1616" windowHeight="876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7" i="5" l="1"/>
  <c r="AR16" i="5"/>
  <c r="AR15" i="5"/>
  <c r="AR14" i="5"/>
  <c r="AR13" i="5"/>
  <c r="AR12" i="5"/>
  <c r="AR11" i="5"/>
  <c r="AR10" i="5"/>
  <c r="AR9" i="5"/>
  <c r="AR8" i="5"/>
  <c r="AR7" i="5"/>
  <c r="AR6" i="5"/>
  <c r="AR5" i="5"/>
  <c r="AR4" i="5"/>
  <c r="AR3" i="5"/>
  <c r="AR2" i="5"/>
  <c r="BD3" i="2" l="1"/>
  <c r="BD2" i="2"/>
  <c r="BD3" i="1"/>
  <c r="BD2" i="1"/>
  <c r="BD17" i="9"/>
  <c r="BD16" i="9"/>
  <c r="BD15" i="9"/>
  <c r="BD14" i="9"/>
  <c r="BD13" i="9"/>
  <c r="BD12" i="9"/>
  <c r="BD11" i="9"/>
  <c r="BD10" i="9"/>
  <c r="BD9" i="9"/>
  <c r="BD8" i="9"/>
  <c r="BD7" i="9"/>
  <c r="BD6" i="9"/>
  <c r="BD5" i="9"/>
  <c r="BD4" i="9"/>
  <c r="BD3" i="9"/>
  <c r="BD2" i="9"/>
  <c r="BD17" i="10"/>
  <c r="BD16" i="10"/>
  <c r="BD15" i="10"/>
  <c r="BD14" i="10"/>
  <c r="BD13" i="10"/>
  <c r="BD12" i="10"/>
  <c r="BD11" i="10"/>
  <c r="BD10" i="10"/>
  <c r="BD9" i="10"/>
  <c r="BD8" i="10"/>
  <c r="BD7" i="10"/>
  <c r="BD6" i="10"/>
  <c r="BD5" i="10"/>
  <c r="BD4" i="10"/>
  <c r="BD3" i="10"/>
  <c r="BD2" i="10"/>
  <c r="BD17" i="8"/>
  <c r="BD16" i="8"/>
  <c r="BD15" i="8"/>
  <c r="BD14" i="8"/>
  <c r="BD13" i="8"/>
  <c r="BD12" i="8"/>
  <c r="BD11" i="8"/>
  <c r="BD10" i="8"/>
  <c r="BD9" i="8"/>
  <c r="BD8" i="8"/>
  <c r="BD7" i="8"/>
  <c r="BD6" i="8"/>
  <c r="BD5" i="8"/>
  <c r="BD4" i="8"/>
  <c r="BD3" i="8"/>
  <c r="BD2" i="8"/>
  <c r="BD17" i="7"/>
  <c r="BD16" i="7"/>
  <c r="BD15" i="7"/>
  <c r="BD14" i="7"/>
  <c r="BD13" i="7"/>
  <c r="BD12" i="7"/>
  <c r="BD11" i="7"/>
  <c r="BD10" i="7"/>
  <c r="BD9" i="7"/>
  <c r="BD8" i="7"/>
  <c r="BD7" i="7"/>
  <c r="BD6" i="7"/>
  <c r="BD5" i="7"/>
  <c r="BD4" i="7"/>
  <c r="BD3" i="7"/>
  <c r="BD2" i="7"/>
  <c r="BD12" i="6"/>
  <c r="BD17" i="6"/>
  <c r="BD16" i="6"/>
  <c r="BD15" i="6"/>
  <c r="BD14" i="6"/>
  <c r="BD13" i="6"/>
  <c r="BD11" i="6"/>
  <c r="BD10" i="6"/>
  <c r="BD9" i="6"/>
  <c r="BD8" i="6"/>
  <c r="BD7" i="6"/>
  <c r="BD6" i="6"/>
  <c r="BD5" i="6"/>
  <c r="BD4" i="6"/>
  <c r="BD3" i="6"/>
  <c r="BD2" i="6"/>
  <c r="BD17" i="5"/>
  <c r="BD16" i="5"/>
  <c r="BD15" i="5"/>
  <c r="BD14" i="5"/>
  <c r="BD13" i="5"/>
  <c r="BD12" i="5"/>
  <c r="BD11" i="5"/>
  <c r="BD10" i="5"/>
  <c r="BD9" i="5"/>
  <c r="BD8" i="5"/>
  <c r="BD7" i="5"/>
  <c r="BD6" i="5"/>
  <c r="BD5" i="5"/>
  <c r="BD4" i="5"/>
  <c r="BD3" i="5"/>
  <c r="BD2" i="5"/>
  <c r="BD17" i="4"/>
  <c r="BD16" i="4"/>
  <c r="BD15" i="4"/>
  <c r="BD14" i="4"/>
  <c r="BD13" i="4"/>
  <c r="BD12" i="4"/>
  <c r="BD11" i="4"/>
  <c r="BD10" i="4"/>
  <c r="BD9" i="4"/>
  <c r="BD8" i="4"/>
  <c r="BD7" i="4"/>
  <c r="BD6" i="4"/>
  <c r="BD5" i="4"/>
  <c r="BD4" i="4"/>
  <c r="BD3" i="4"/>
  <c r="BD2" i="4"/>
  <c r="AX3" i="2"/>
  <c r="AX2" i="2"/>
  <c r="AR3" i="2"/>
  <c r="AR2" i="2"/>
  <c r="AL3" i="2"/>
  <c r="AL2" i="2"/>
  <c r="AF3" i="2"/>
  <c r="AF2" i="2"/>
  <c r="Z3" i="2"/>
  <c r="Z2" i="2"/>
  <c r="T3" i="2"/>
  <c r="T2" i="2"/>
  <c r="N2" i="2"/>
  <c r="N3" i="2"/>
  <c r="H3" i="2"/>
  <c r="H2" i="2"/>
  <c r="AX3" i="1"/>
  <c r="AR3" i="1"/>
  <c r="AL3" i="1"/>
  <c r="AF3" i="1"/>
  <c r="Z3" i="1"/>
  <c r="T3" i="1"/>
  <c r="N3" i="1"/>
  <c r="H3" i="1"/>
  <c r="AX2" i="1"/>
  <c r="AR2" i="1"/>
  <c r="AL2" i="1"/>
  <c r="AF2" i="1"/>
  <c r="Z2" i="1"/>
  <c r="T2" i="1"/>
  <c r="N2" i="1"/>
  <c r="H2" i="1"/>
  <c r="H17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2" i="8"/>
  <c r="AX17" i="9"/>
  <c r="AR17" i="9"/>
  <c r="AL17" i="9"/>
  <c r="AF17" i="9"/>
  <c r="Z17" i="9"/>
  <c r="T17" i="9"/>
  <c r="N17" i="9"/>
  <c r="H17" i="9"/>
  <c r="AX16" i="9"/>
  <c r="AR16" i="9"/>
  <c r="AL16" i="9"/>
  <c r="AF16" i="9"/>
  <c r="Z16" i="9"/>
  <c r="T16" i="9"/>
  <c r="N16" i="9"/>
  <c r="H16" i="9"/>
  <c r="AX15" i="9"/>
  <c r="AR15" i="9"/>
  <c r="AL15" i="9"/>
  <c r="AF15" i="9"/>
  <c r="Z15" i="9"/>
  <c r="T15" i="9"/>
  <c r="N15" i="9"/>
  <c r="H15" i="9"/>
  <c r="AX14" i="9"/>
  <c r="AR14" i="9"/>
  <c r="AL14" i="9"/>
  <c r="AF14" i="9"/>
  <c r="Z14" i="9"/>
  <c r="T14" i="9"/>
  <c r="N14" i="9"/>
  <c r="H14" i="9"/>
  <c r="AX13" i="9"/>
  <c r="AR13" i="9"/>
  <c r="AL13" i="9"/>
  <c r="AF13" i="9"/>
  <c r="Z13" i="9"/>
  <c r="T13" i="9"/>
  <c r="N13" i="9"/>
  <c r="H13" i="9"/>
  <c r="AX12" i="9"/>
  <c r="AR12" i="9"/>
  <c r="AL12" i="9"/>
  <c r="AF12" i="9"/>
  <c r="Z12" i="9"/>
  <c r="T12" i="9"/>
  <c r="N12" i="9"/>
  <c r="H12" i="9"/>
  <c r="AX11" i="9"/>
  <c r="AR11" i="9"/>
  <c r="AL11" i="9"/>
  <c r="AF11" i="9"/>
  <c r="Z11" i="9"/>
  <c r="T11" i="9"/>
  <c r="N11" i="9"/>
  <c r="H11" i="9"/>
  <c r="AX10" i="9"/>
  <c r="AR10" i="9"/>
  <c r="AL10" i="9"/>
  <c r="AF10" i="9"/>
  <c r="Z10" i="9"/>
  <c r="T10" i="9"/>
  <c r="N10" i="9"/>
  <c r="H10" i="9"/>
  <c r="AX9" i="9"/>
  <c r="AR9" i="9"/>
  <c r="AL9" i="9"/>
  <c r="AF9" i="9"/>
  <c r="Z9" i="9"/>
  <c r="T9" i="9"/>
  <c r="N9" i="9"/>
  <c r="H9" i="9"/>
  <c r="AX8" i="9"/>
  <c r="AR8" i="9"/>
  <c r="AL8" i="9"/>
  <c r="AF8" i="9"/>
  <c r="Z8" i="9"/>
  <c r="T8" i="9"/>
  <c r="N8" i="9"/>
  <c r="H8" i="9"/>
  <c r="AX7" i="9"/>
  <c r="AR7" i="9"/>
  <c r="AL7" i="9"/>
  <c r="AF7" i="9"/>
  <c r="Z7" i="9"/>
  <c r="T7" i="9"/>
  <c r="N7" i="9"/>
  <c r="H7" i="9"/>
  <c r="AX6" i="9"/>
  <c r="AR6" i="9"/>
  <c r="AL6" i="9"/>
  <c r="AF6" i="9"/>
  <c r="Z6" i="9"/>
  <c r="T6" i="9"/>
  <c r="N6" i="9"/>
  <c r="H6" i="9"/>
  <c r="AX5" i="9"/>
  <c r="AR5" i="9"/>
  <c r="AL5" i="9"/>
  <c r="AF5" i="9"/>
  <c r="Z5" i="9"/>
  <c r="T5" i="9"/>
  <c r="N5" i="9"/>
  <c r="H5" i="9"/>
  <c r="AX4" i="9"/>
  <c r="AR4" i="9"/>
  <c r="AL4" i="9"/>
  <c r="AF4" i="9"/>
  <c r="Z4" i="9"/>
  <c r="T4" i="9"/>
  <c r="N4" i="9"/>
  <c r="H4" i="9"/>
  <c r="AX3" i="9"/>
  <c r="AR3" i="9"/>
  <c r="AL3" i="9"/>
  <c r="AF3" i="9"/>
  <c r="Z3" i="9"/>
  <c r="T3" i="9"/>
  <c r="N3" i="9"/>
  <c r="H3" i="9"/>
  <c r="AX2" i="9"/>
  <c r="AR2" i="9"/>
  <c r="AL2" i="9"/>
  <c r="AF2" i="9"/>
  <c r="Z2" i="9"/>
  <c r="T2" i="9"/>
  <c r="N2" i="9"/>
  <c r="H2" i="9"/>
  <c r="AX17" i="10"/>
  <c r="AR17" i="10"/>
  <c r="AL17" i="10"/>
  <c r="AF17" i="10"/>
  <c r="Z17" i="10"/>
  <c r="T17" i="10"/>
  <c r="N17" i="10"/>
  <c r="H17" i="10"/>
  <c r="AX16" i="10"/>
  <c r="AR16" i="10"/>
  <c r="AL16" i="10"/>
  <c r="AF16" i="10"/>
  <c r="Z16" i="10"/>
  <c r="T16" i="10"/>
  <c r="N16" i="10"/>
  <c r="H16" i="10"/>
  <c r="AX15" i="10"/>
  <c r="AR15" i="10"/>
  <c r="AL15" i="10"/>
  <c r="AF15" i="10"/>
  <c r="Z15" i="10"/>
  <c r="T15" i="10"/>
  <c r="N15" i="10"/>
  <c r="H15" i="10"/>
  <c r="AX14" i="10"/>
  <c r="AR14" i="10"/>
  <c r="AL14" i="10"/>
  <c r="AF14" i="10"/>
  <c r="Z14" i="10"/>
  <c r="T14" i="10"/>
  <c r="N14" i="10"/>
  <c r="H14" i="10"/>
  <c r="AX13" i="10"/>
  <c r="AR13" i="10"/>
  <c r="AL13" i="10"/>
  <c r="AF13" i="10"/>
  <c r="Z13" i="10"/>
  <c r="T13" i="10"/>
  <c r="N13" i="10"/>
  <c r="H13" i="10"/>
  <c r="AX12" i="10"/>
  <c r="AR12" i="10"/>
  <c r="AL12" i="10"/>
  <c r="AF12" i="10"/>
  <c r="Z12" i="10"/>
  <c r="T12" i="10"/>
  <c r="N12" i="10"/>
  <c r="H12" i="10"/>
  <c r="AX11" i="10"/>
  <c r="AR11" i="10"/>
  <c r="AL11" i="10"/>
  <c r="AF11" i="10"/>
  <c r="Z11" i="10"/>
  <c r="T11" i="10"/>
  <c r="N11" i="10"/>
  <c r="H11" i="10"/>
  <c r="AX10" i="10"/>
  <c r="AR10" i="10"/>
  <c r="AL10" i="10"/>
  <c r="AF10" i="10"/>
  <c r="Z10" i="10"/>
  <c r="T10" i="10"/>
  <c r="N10" i="10"/>
  <c r="H10" i="10"/>
  <c r="AX9" i="10"/>
  <c r="AR9" i="10"/>
  <c r="AL9" i="10"/>
  <c r="AF9" i="10"/>
  <c r="Z9" i="10"/>
  <c r="T9" i="10"/>
  <c r="N9" i="10"/>
  <c r="H9" i="10"/>
  <c r="AX8" i="10"/>
  <c r="AR8" i="10"/>
  <c r="AL8" i="10"/>
  <c r="AF8" i="10"/>
  <c r="Z8" i="10"/>
  <c r="T8" i="10"/>
  <c r="N8" i="10"/>
  <c r="H8" i="10"/>
  <c r="AX7" i="10"/>
  <c r="AR7" i="10"/>
  <c r="AL7" i="10"/>
  <c r="AF7" i="10"/>
  <c r="Z7" i="10"/>
  <c r="T7" i="10"/>
  <c r="N7" i="10"/>
  <c r="H7" i="10"/>
  <c r="AX6" i="10"/>
  <c r="AR6" i="10"/>
  <c r="AL6" i="10"/>
  <c r="AF6" i="10"/>
  <c r="Z6" i="10"/>
  <c r="T6" i="10"/>
  <c r="N6" i="10"/>
  <c r="H6" i="10"/>
  <c r="AX5" i="10"/>
  <c r="AR5" i="10"/>
  <c r="AL5" i="10"/>
  <c r="AF5" i="10"/>
  <c r="Z5" i="10"/>
  <c r="T5" i="10"/>
  <c r="N5" i="10"/>
  <c r="H5" i="10"/>
  <c r="AX4" i="10"/>
  <c r="AR4" i="10"/>
  <c r="AL4" i="10"/>
  <c r="AF4" i="10"/>
  <c r="Z4" i="10"/>
  <c r="T4" i="10"/>
  <c r="N4" i="10"/>
  <c r="H4" i="10"/>
  <c r="AX3" i="10"/>
  <c r="AR3" i="10"/>
  <c r="AL3" i="10"/>
  <c r="AF3" i="10"/>
  <c r="Z3" i="10"/>
  <c r="T3" i="10"/>
  <c r="N3" i="10"/>
  <c r="H3" i="10"/>
  <c r="AX2" i="10"/>
  <c r="AR2" i="10"/>
  <c r="AL2" i="10"/>
  <c r="AF2" i="10"/>
  <c r="Z2" i="10"/>
  <c r="T2" i="10"/>
  <c r="N2" i="10"/>
  <c r="H2" i="10"/>
  <c r="AX17" i="8"/>
  <c r="AR17" i="8"/>
  <c r="AL17" i="8"/>
  <c r="AF17" i="8"/>
  <c r="Z17" i="8"/>
  <c r="T17" i="8"/>
  <c r="N17" i="8"/>
  <c r="AX16" i="8"/>
  <c r="AR16" i="8"/>
  <c r="AL16" i="8"/>
  <c r="AF16" i="8"/>
  <c r="Z16" i="8"/>
  <c r="T16" i="8"/>
  <c r="N16" i="8"/>
  <c r="AX15" i="8"/>
  <c r="AR15" i="8"/>
  <c r="AL15" i="8"/>
  <c r="AF15" i="8"/>
  <c r="Z15" i="8"/>
  <c r="T15" i="8"/>
  <c r="N15" i="8"/>
  <c r="AX14" i="8"/>
  <c r="AR14" i="8"/>
  <c r="AL14" i="8"/>
  <c r="AF14" i="8"/>
  <c r="Z14" i="8"/>
  <c r="T14" i="8"/>
  <c r="N14" i="8"/>
  <c r="AX13" i="8"/>
  <c r="AR13" i="8"/>
  <c r="AL13" i="8"/>
  <c r="AF13" i="8"/>
  <c r="Z13" i="8"/>
  <c r="T13" i="8"/>
  <c r="N13" i="8"/>
  <c r="AX12" i="8"/>
  <c r="AR12" i="8"/>
  <c r="AL12" i="8"/>
  <c r="AF12" i="8"/>
  <c r="Z12" i="8"/>
  <c r="T12" i="8"/>
  <c r="N12" i="8"/>
  <c r="AX11" i="8"/>
  <c r="AR11" i="8"/>
  <c r="AL11" i="8"/>
  <c r="AF11" i="8"/>
  <c r="Z11" i="8"/>
  <c r="T11" i="8"/>
  <c r="N11" i="8"/>
  <c r="AX10" i="8"/>
  <c r="AR10" i="8"/>
  <c r="AL10" i="8"/>
  <c r="AF10" i="8"/>
  <c r="Z10" i="8"/>
  <c r="T10" i="8"/>
  <c r="N10" i="8"/>
  <c r="AX9" i="8"/>
  <c r="AR9" i="8"/>
  <c r="AL9" i="8"/>
  <c r="AF9" i="8"/>
  <c r="Z9" i="8"/>
  <c r="T9" i="8"/>
  <c r="N9" i="8"/>
  <c r="AX8" i="8"/>
  <c r="AR8" i="8"/>
  <c r="AL8" i="8"/>
  <c r="AF8" i="8"/>
  <c r="Z8" i="8"/>
  <c r="T8" i="8"/>
  <c r="N8" i="8"/>
  <c r="AX7" i="8"/>
  <c r="AR7" i="8"/>
  <c r="AL7" i="8"/>
  <c r="AF7" i="8"/>
  <c r="Z7" i="8"/>
  <c r="T7" i="8"/>
  <c r="N7" i="8"/>
  <c r="AX6" i="8"/>
  <c r="AR6" i="8"/>
  <c r="AL6" i="8"/>
  <c r="AF6" i="8"/>
  <c r="Z6" i="8"/>
  <c r="T6" i="8"/>
  <c r="N6" i="8"/>
  <c r="AX5" i="8"/>
  <c r="AR5" i="8"/>
  <c r="AL5" i="8"/>
  <c r="AF5" i="8"/>
  <c r="Z5" i="8"/>
  <c r="T5" i="8"/>
  <c r="N5" i="8"/>
  <c r="AX4" i="8"/>
  <c r="AR4" i="8"/>
  <c r="AL4" i="8"/>
  <c r="AF4" i="8"/>
  <c r="Z4" i="8"/>
  <c r="T4" i="8"/>
  <c r="N4" i="8"/>
  <c r="AX3" i="8"/>
  <c r="AR3" i="8"/>
  <c r="AL3" i="8"/>
  <c r="AF3" i="8"/>
  <c r="Z3" i="8"/>
  <c r="T3" i="8"/>
  <c r="N3" i="8"/>
  <c r="AX2" i="8"/>
  <c r="AR2" i="8"/>
  <c r="AL2" i="8"/>
  <c r="AF2" i="8"/>
  <c r="Z2" i="8"/>
  <c r="T2" i="8"/>
  <c r="N2" i="8"/>
  <c r="AX17" i="7"/>
  <c r="AR17" i="7"/>
  <c r="AL17" i="7"/>
  <c r="AF17" i="7"/>
  <c r="Z17" i="7"/>
  <c r="T17" i="7"/>
  <c r="N17" i="7"/>
  <c r="H17" i="7"/>
  <c r="AX16" i="7"/>
  <c r="AR16" i="7"/>
  <c r="AL16" i="7"/>
  <c r="AF16" i="7"/>
  <c r="Z16" i="7"/>
  <c r="T16" i="7"/>
  <c r="N16" i="7"/>
  <c r="H16" i="7"/>
  <c r="AX15" i="7"/>
  <c r="AR15" i="7"/>
  <c r="AL15" i="7"/>
  <c r="AF15" i="7"/>
  <c r="Z15" i="7"/>
  <c r="T15" i="7"/>
  <c r="N15" i="7"/>
  <c r="H15" i="7"/>
  <c r="AX14" i="7"/>
  <c r="AR14" i="7"/>
  <c r="AL14" i="7"/>
  <c r="AF14" i="7"/>
  <c r="Z14" i="7"/>
  <c r="T14" i="7"/>
  <c r="N14" i="7"/>
  <c r="H14" i="7"/>
  <c r="AX13" i="7"/>
  <c r="AR13" i="7"/>
  <c r="AL13" i="7"/>
  <c r="AF13" i="7"/>
  <c r="Z13" i="7"/>
  <c r="T13" i="7"/>
  <c r="N13" i="7"/>
  <c r="H13" i="7"/>
  <c r="AX12" i="7"/>
  <c r="AR12" i="7"/>
  <c r="AL12" i="7"/>
  <c r="AF12" i="7"/>
  <c r="Z12" i="7"/>
  <c r="T12" i="7"/>
  <c r="N12" i="7"/>
  <c r="H12" i="7"/>
  <c r="AX11" i="7"/>
  <c r="AR11" i="7"/>
  <c r="AL11" i="7"/>
  <c r="AF11" i="7"/>
  <c r="Z11" i="7"/>
  <c r="T11" i="7"/>
  <c r="N11" i="7"/>
  <c r="H11" i="7"/>
  <c r="AX10" i="7"/>
  <c r="AR10" i="7"/>
  <c r="AL10" i="7"/>
  <c r="AF10" i="7"/>
  <c r="Z10" i="7"/>
  <c r="T10" i="7"/>
  <c r="N10" i="7"/>
  <c r="H10" i="7"/>
  <c r="AX9" i="7"/>
  <c r="AR9" i="7"/>
  <c r="AL9" i="7"/>
  <c r="AF9" i="7"/>
  <c r="Z9" i="7"/>
  <c r="T9" i="7"/>
  <c r="N9" i="7"/>
  <c r="H9" i="7"/>
  <c r="AX8" i="7"/>
  <c r="AR8" i="7"/>
  <c r="AL8" i="7"/>
  <c r="AF8" i="7"/>
  <c r="Z8" i="7"/>
  <c r="T8" i="7"/>
  <c r="N8" i="7"/>
  <c r="H8" i="7"/>
  <c r="AX7" i="7"/>
  <c r="AR7" i="7"/>
  <c r="AL7" i="7"/>
  <c r="AF7" i="7"/>
  <c r="Z7" i="7"/>
  <c r="T7" i="7"/>
  <c r="N7" i="7"/>
  <c r="H7" i="7"/>
  <c r="AX6" i="7"/>
  <c r="AR6" i="7"/>
  <c r="AL6" i="7"/>
  <c r="AF6" i="7"/>
  <c r="Z6" i="7"/>
  <c r="T6" i="7"/>
  <c r="N6" i="7"/>
  <c r="H6" i="7"/>
  <c r="AX5" i="7"/>
  <c r="AR5" i="7"/>
  <c r="AL5" i="7"/>
  <c r="AF5" i="7"/>
  <c r="Z5" i="7"/>
  <c r="T5" i="7"/>
  <c r="N5" i="7"/>
  <c r="H5" i="7"/>
  <c r="AX4" i="7"/>
  <c r="AR4" i="7"/>
  <c r="AL4" i="7"/>
  <c r="AF4" i="7"/>
  <c r="Z4" i="7"/>
  <c r="T4" i="7"/>
  <c r="N4" i="7"/>
  <c r="H4" i="7"/>
  <c r="AX3" i="7"/>
  <c r="AR3" i="7"/>
  <c r="AL3" i="7"/>
  <c r="AF3" i="7"/>
  <c r="Z3" i="7"/>
  <c r="T3" i="7"/>
  <c r="N3" i="7"/>
  <c r="H3" i="7"/>
  <c r="AX2" i="7"/>
  <c r="AR2" i="7"/>
  <c r="AL2" i="7"/>
  <c r="AF2" i="7"/>
  <c r="Z2" i="7"/>
  <c r="T2" i="7"/>
  <c r="N2" i="7"/>
  <c r="H2" i="7"/>
  <c r="AX17" i="6"/>
  <c r="AR17" i="6"/>
  <c r="AL17" i="6"/>
  <c r="AF17" i="6"/>
  <c r="Z17" i="6"/>
  <c r="T17" i="6"/>
  <c r="N17" i="6"/>
  <c r="H17" i="6"/>
  <c r="AX16" i="6"/>
  <c r="AR16" i="6"/>
  <c r="AL16" i="6"/>
  <c r="AF16" i="6"/>
  <c r="Z16" i="6"/>
  <c r="T16" i="6"/>
  <c r="N16" i="6"/>
  <c r="H16" i="6"/>
  <c r="AX15" i="6"/>
  <c r="AR15" i="6"/>
  <c r="AL15" i="6"/>
  <c r="AF15" i="6"/>
  <c r="Z15" i="6"/>
  <c r="T15" i="6"/>
  <c r="N15" i="6"/>
  <c r="H15" i="6"/>
  <c r="AX14" i="6"/>
  <c r="AR14" i="6"/>
  <c r="AL14" i="6"/>
  <c r="AF14" i="6"/>
  <c r="Z14" i="6"/>
  <c r="T14" i="6"/>
  <c r="N14" i="6"/>
  <c r="H14" i="6"/>
  <c r="AX13" i="6"/>
  <c r="AR13" i="6"/>
  <c r="AL13" i="6"/>
  <c r="AF13" i="6"/>
  <c r="Z13" i="6"/>
  <c r="T13" i="6"/>
  <c r="N13" i="6"/>
  <c r="H13" i="6"/>
  <c r="AX12" i="6"/>
  <c r="AR12" i="6"/>
  <c r="AL12" i="6"/>
  <c r="AF12" i="6"/>
  <c r="Z12" i="6"/>
  <c r="T12" i="6"/>
  <c r="N12" i="6"/>
  <c r="H12" i="6"/>
  <c r="AX11" i="6"/>
  <c r="AR11" i="6"/>
  <c r="AL11" i="6"/>
  <c r="AF11" i="6"/>
  <c r="Z11" i="6"/>
  <c r="T11" i="6"/>
  <c r="N11" i="6"/>
  <c r="H11" i="6"/>
  <c r="AX10" i="6"/>
  <c r="AR10" i="6"/>
  <c r="AL10" i="6"/>
  <c r="AF10" i="6"/>
  <c r="Z10" i="6"/>
  <c r="T10" i="6"/>
  <c r="N10" i="6"/>
  <c r="H10" i="6"/>
  <c r="AX9" i="6"/>
  <c r="AR9" i="6"/>
  <c r="AL9" i="6"/>
  <c r="AF9" i="6"/>
  <c r="Z9" i="6"/>
  <c r="T9" i="6"/>
  <c r="N9" i="6"/>
  <c r="H9" i="6"/>
  <c r="AX8" i="6"/>
  <c r="AR8" i="6"/>
  <c r="AL8" i="6"/>
  <c r="AF8" i="6"/>
  <c r="Z8" i="6"/>
  <c r="T8" i="6"/>
  <c r="N8" i="6"/>
  <c r="H8" i="6"/>
  <c r="AX7" i="6"/>
  <c r="AR7" i="6"/>
  <c r="AL7" i="6"/>
  <c r="AF7" i="6"/>
  <c r="Z7" i="6"/>
  <c r="T7" i="6"/>
  <c r="N7" i="6"/>
  <c r="H7" i="6"/>
  <c r="AX6" i="6"/>
  <c r="AR6" i="6"/>
  <c r="AL6" i="6"/>
  <c r="AF6" i="6"/>
  <c r="Z6" i="6"/>
  <c r="T6" i="6"/>
  <c r="N6" i="6"/>
  <c r="H6" i="6"/>
  <c r="AX5" i="6"/>
  <c r="AR5" i="6"/>
  <c r="AL5" i="6"/>
  <c r="AF5" i="6"/>
  <c r="Z5" i="6"/>
  <c r="T5" i="6"/>
  <c r="N5" i="6"/>
  <c r="H5" i="6"/>
  <c r="AX4" i="6"/>
  <c r="AR4" i="6"/>
  <c r="AL4" i="6"/>
  <c r="AF4" i="6"/>
  <c r="Z4" i="6"/>
  <c r="T4" i="6"/>
  <c r="N4" i="6"/>
  <c r="H4" i="6"/>
  <c r="AX3" i="6"/>
  <c r="AR3" i="6"/>
  <c r="AL3" i="6"/>
  <c r="AF3" i="6"/>
  <c r="Z3" i="6"/>
  <c r="T3" i="6"/>
  <c r="N3" i="6"/>
  <c r="H3" i="6"/>
  <c r="AX2" i="6"/>
  <c r="AR2" i="6"/>
  <c r="AL2" i="6"/>
  <c r="AF2" i="6"/>
  <c r="Z2" i="6"/>
  <c r="T2" i="6"/>
  <c r="N2" i="6"/>
  <c r="H2" i="6"/>
  <c r="AX17" i="5"/>
  <c r="AL17" i="5"/>
  <c r="AF17" i="5"/>
  <c r="Z17" i="5"/>
  <c r="T17" i="5"/>
  <c r="N17" i="5"/>
  <c r="H17" i="5"/>
  <c r="AX16" i="5"/>
  <c r="AL16" i="5"/>
  <c r="AF16" i="5"/>
  <c r="Z16" i="5"/>
  <c r="T16" i="5"/>
  <c r="N16" i="5"/>
  <c r="H16" i="5"/>
  <c r="AX15" i="5"/>
  <c r="AL15" i="5"/>
  <c r="AF15" i="5"/>
  <c r="Z15" i="5"/>
  <c r="T15" i="5"/>
  <c r="N15" i="5"/>
  <c r="H15" i="5"/>
  <c r="AX14" i="5"/>
  <c r="AL14" i="5"/>
  <c r="AF14" i="5"/>
  <c r="Z14" i="5"/>
  <c r="T14" i="5"/>
  <c r="N14" i="5"/>
  <c r="H14" i="5"/>
  <c r="AX13" i="5"/>
  <c r="AL13" i="5"/>
  <c r="AF13" i="5"/>
  <c r="Z13" i="5"/>
  <c r="T13" i="5"/>
  <c r="N13" i="5"/>
  <c r="H13" i="5"/>
  <c r="AX12" i="5"/>
  <c r="AL12" i="5"/>
  <c r="AF12" i="5"/>
  <c r="Z12" i="5"/>
  <c r="T12" i="5"/>
  <c r="N12" i="5"/>
  <c r="H12" i="5"/>
  <c r="AX11" i="5"/>
  <c r="AL11" i="5"/>
  <c r="AF11" i="5"/>
  <c r="Z11" i="5"/>
  <c r="T11" i="5"/>
  <c r="N11" i="5"/>
  <c r="H11" i="5"/>
  <c r="AX10" i="5"/>
  <c r="AL10" i="5"/>
  <c r="AF10" i="5"/>
  <c r="Z10" i="5"/>
  <c r="T10" i="5"/>
  <c r="N10" i="5"/>
  <c r="H10" i="5"/>
  <c r="AX9" i="5"/>
  <c r="AL9" i="5"/>
  <c r="AF9" i="5"/>
  <c r="Z9" i="5"/>
  <c r="T9" i="5"/>
  <c r="N9" i="5"/>
  <c r="H9" i="5"/>
  <c r="AX8" i="5"/>
  <c r="AL8" i="5"/>
  <c r="AF8" i="5"/>
  <c r="Z8" i="5"/>
  <c r="T8" i="5"/>
  <c r="N8" i="5"/>
  <c r="H8" i="5"/>
  <c r="AX7" i="5"/>
  <c r="AL7" i="5"/>
  <c r="AF7" i="5"/>
  <c r="Z7" i="5"/>
  <c r="T7" i="5"/>
  <c r="N7" i="5"/>
  <c r="H7" i="5"/>
  <c r="AX6" i="5"/>
  <c r="AL6" i="5"/>
  <c r="AF6" i="5"/>
  <c r="Z6" i="5"/>
  <c r="T6" i="5"/>
  <c r="N6" i="5"/>
  <c r="H6" i="5"/>
  <c r="AX5" i="5"/>
  <c r="AL5" i="5"/>
  <c r="AF5" i="5"/>
  <c r="Z5" i="5"/>
  <c r="T5" i="5"/>
  <c r="N5" i="5"/>
  <c r="H5" i="5"/>
  <c r="AX4" i="5"/>
  <c r="AL4" i="5"/>
  <c r="AF4" i="5"/>
  <c r="Z4" i="5"/>
  <c r="T4" i="5"/>
  <c r="N4" i="5"/>
  <c r="H4" i="5"/>
  <c r="AX3" i="5"/>
  <c r="AL3" i="5"/>
  <c r="AF3" i="5"/>
  <c r="Z3" i="5"/>
  <c r="T3" i="5"/>
  <c r="N3" i="5"/>
  <c r="H3" i="5"/>
  <c r="AX2" i="5"/>
  <c r="AL2" i="5"/>
  <c r="AF2" i="5"/>
  <c r="Z2" i="5"/>
  <c r="T2" i="5"/>
  <c r="N2" i="5"/>
  <c r="H2" i="5"/>
  <c r="H2" i="4"/>
  <c r="N2" i="4"/>
  <c r="T2" i="4"/>
  <c r="Z2" i="4"/>
  <c r="AF2" i="4"/>
  <c r="AL2" i="4"/>
  <c r="AR2" i="4"/>
  <c r="AX2" i="4"/>
  <c r="H3" i="4"/>
  <c r="N3" i="4"/>
  <c r="T3" i="4"/>
  <c r="Z3" i="4"/>
  <c r="AF3" i="4"/>
  <c r="AL3" i="4"/>
  <c r="AR3" i="4"/>
  <c r="AX3" i="4"/>
  <c r="H4" i="4"/>
  <c r="N4" i="4"/>
  <c r="T4" i="4"/>
  <c r="Z4" i="4"/>
  <c r="AF4" i="4"/>
  <c r="AL4" i="4"/>
  <c r="AR4" i="4"/>
  <c r="AX4" i="4"/>
  <c r="H5" i="4"/>
  <c r="N5" i="4"/>
  <c r="T5" i="4"/>
  <c r="Z5" i="4"/>
  <c r="AF5" i="4"/>
  <c r="AL5" i="4"/>
  <c r="AR5" i="4"/>
  <c r="AX5" i="4"/>
  <c r="H6" i="4"/>
  <c r="N6" i="4"/>
  <c r="T6" i="4"/>
  <c r="Z6" i="4"/>
  <c r="AF6" i="4"/>
  <c r="AL6" i="4"/>
  <c r="AR6" i="4"/>
  <c r="AX6" i="4"/>
  <c r="H7" i="4"/>
  <c r="N7" i="4"/>
  <c r="T7" i="4"/>
  <c r="Z7" i="4"/>
  <c r="AF7" i="4"/>
  <c r="AL7" i="4"/>
  <c r="AR7" i="4"/>
  <c r="AX7" i="4"/>
  <c r="H8" i="4"/>
  <c r="N8" i="4"/>
  <c r="T8" i="4"/>
  <c r="Z8" i="4"/>
  <c r="AF8" i="4"/>
  <c r="AL8" i="4"/>
  <c r="AR8" i="4"/>
  <c r="AX8" i="4"/>
  <c r="H9" i="4"/>
  <c r="N9" i="4"/>
  <c r="T9" i="4"/>
  <c r="Z9" i="4"/>
  <c r="AF9" i="4"/>
  <c r="AL9" i="4"/>
  <c r="AR9" i="4"/>
  <c r="AX9" i="4"/>
  <c r="H10" i="4"/>
  <c r="N10" i="4"/>
  <c r="T10" i="4"/>
  <c r="Z10" i="4"/>
  <c r="AF10" i="4"/>
  <c r="AL10" i="4"/>
  <c r="AR10" i="4"/>
  <c r="AX10" i="4"/>
  <c r="H11" i="4"/>
  <c r="N11" i="4"/>
  <c r="T11" i="4"/>
  <c r="Z11" i="4"/>
  <c r="AF11" i="4"/>
  <c r="AL11" i="4"/>
  <c r="AR11" i="4"/>
  <c r="AX11" i="4"/>
  <c r="H12" i="4"/>
  <c r="N12" i="4"/>
  <c r="T12" i="4"/>
  <c r="Z12" i="4"/>
  <c r="AF12" i="4"/>
  <c r="AL12" i="4"/>
  <c r="H12" i="3" s="1"/>
  <c r="AR12" i="4"/>
  <c r="AX12" i="4"/>
  <c r="H13" i="4"/>
  <c r="N13" i="4"/>
  <c r="T13" i="4"/>
  <c r="Z13" i="4"/>
  <c r="AF13" i="4"/>
  <c r="AL13" i="4"/>
  <c r="AR13" i="4"/>
  <c r="AX13" i="4"/>
  <c r="H14" i="4"/>
  <c r="N14" i="4"/>
  <c r="T14" i="4"/>
  <c r="Z14" i="4"/>
  <c r="AF14" i="4"/>
  <c r="AL14" i="4"/>
  <c r="AR14" i="4"/>
  <c r="AX14" i="4"/>
  <c r="H15" i="4"/>
  <c r="N15" i="4"/>
  <c r="T15" i="4"/>
  <c r="Z15" i="4"/>
  <c r="AF15" i="4"/>
  <c r="AL15" i="4"/>
  <c r="AR15" i="4"/>
  <c r="AX15" i="4"/>
  <c r="H16" i="4"/>
  <c r="N16" i="4"/>
  <c r="T16" i="4"/>
  <c r="Z16" i="4"/>
  <c r="AF16" i="4"/>
  <c r="AL16" i="4"/>
  <c r="AR16" i="4"/>
  <c r="AX16" i="4"/>
  <c r="H17" i="4"/>
  <c r="N17" i="4"/>
  <c r="T17" i="4"/>
  <c r="Z17" i="4"/>
  <c r="AF17" i="4"/>
  <c r="AL17" i="4"/>
  <c r="AR17" i="4"/>
  <c r="AX17" i="4"/>
  <c r="H11" i="3" l="1"/>
  <c r="I11" i="3"/>
  <c r="I12" i="3"/>
  <c r="G12" i="3"/>
  <c r="G11" i="3"/>
  <c r="J12" i="3"/>
  <c r="J11" i="3"/>
  <c r="E15" i="3"/>
  <c r="C2" i="3"/>
  <c r="K9" i="3"/>
  <c r="K13" i="3"/>
  <c r="K5" i="3"/>
  <c r="K4" i="3"/>
  <c r="K8" i="3"/>
  <c r="K16" i="3"/>
  <c r="K10" i="3"/>
  <c r="K3" i="3"/>
  <c r="K11" i="3"/>
  <c r="K15" i="3"/>
  <c r="K6" i="3"/>
  <c r="K14" i="3"/>
  <c r="K12" i="3"/>
  <c r="F6" i="3"/>
  <c r="K7" i="3"/>
  <c r="D15" i="3"/>
  <c r="K2" i="3"/>
  <c r="K17" i="3"/>
  <c r="D3" i="3"/>
  <c r="D2" i="3"/>
  <c r="I14" i="3"/>
  <c r="I13" i="3"/>
  <c r="F15" i="3"/>
  <c r="H13" i="3"/>
  <c r="J14" i="3"/>
  <c r="H14" i="3"/>
  <c r="F14" i="3"/>
  <c r="D13" i="3"/>
  <c r="D14" i="3"/>
  <c r="G14" i="3"/>
  <c r="C14" i="3"/>
  <c r="G13" i="3"/>
  <c r="C13" i="3"/>
  <c r="J13" i="3"/>
  <c r="F13" i="3"/>
  <c r="E14" i="3"/>
  <c r="E13" i="3"/>
  <c r="F3" i="3"/>
  <c r="E17" i="3"/>
  <c r="E12" i="3"/>
  <c r="E11" i="3"/>
  <c r="E10" i="3"/>
  <c r="E9" i="3"/>
  <c r="E7" i="3"/>
  <c r="E6" i="3"/>
  <c r="E4" i="3"/>
  <c r="E3" i="3"/>
  <c r="H16" i="3"/>
  <c r="H15" i="3"/>
  <c r="H10" i="3"/>
  <c r="H8" i="3"/>
  <c r="H7" i="3"/>
  <c r="H6" i="3"/>
  <c r="H5" i="3"/>
  <c r="H3" i="3"/>
  <c r="H2" i="3"/>
  <c r="G17" i="3"/>
  <c r="C17" i="3"/>
  <c r="C16" i="3"/>
  <c r="C15" i="3"/>
  <c r="F11" i="3"/>
  <c r="C12" i="3"/>
  <c r="C6" i="3"/>
  <c r="C11" i="3"/>
  <c r="E5" i="3"/>
  <c r="E8" i="3"/>
  <c r="E16" i="3"/>
  <c r="E2" i="3"/>
  <c r="H4" i="3"/>
  <c r="H9" i="3"/>
  <c r="H17" i="3"/>
  <c r="D17" i="3"/>
  <c r="D16" i="3"/>
  <c r="I4" i="3"/>
  <c r="I8" i="3"/>
  <c r="I16" i="3"/>
  <c r="J3" i="3"/>
  <c r="J6" i="3"/>
  <c r="F16" i="3"/>
  <c r="F12" i="3"/>
  <c r="F10" i="3"/>
  <c r="F9" i="3"/>
  <c r="F8" i="3"/>
  <c r="F7" i="3"/>
  <c r="F5" i="3"/>
  <c r="F4" i="3"/>
  <c r="F2" i="3"/>
  <c r="C10" i="3"/>
  <c r="C9" i="3"/>
  <c r="C8" i="3"/>
  <c r="C7" i="3"/>
  <c r="C5" i="3"/>
  <c r="C4" i="3"/>
  <c r="J17" i="3"/>
  <c r="J16" i="3"/>
  <c r="J15" i="3"/>
  <c r="J10" i="3"/>
  <c r="J9" i="3"/>
  <c r="J8" i="3"/>
  <c r="J7" i="3"/>
  <c r="J5" i="3"/>
  <c r="J4" i="3"/>
  <c r="I17" i="3"/>
  <c r="I9" i="3"/>
  <c r="I7" i="3"/>
  <c r="I6" i="3"/>
  <c r="I3" i="3"/>
  <c r="I2" i="3"/>
  <c r="D12" i="3"/>
  <c r="D11" i="3"/>
  <c r="D10" i="3"/>
  <c r="D9" i="3"/>
  <c r="D8" i="3"/>
  <c r="D7" i="3"/>
  <c r="D6" i="3"/>
  <c r="D5" i="3"/>
  <c r="D4" i="3"/>
  <c r="I5" i="3"/>
  <c r="I10" i="3"/>
  <c r="I15" i="3"/>
  <c r="G16" i="3"/>
  <c r="G15" i="3"/>
  <c r="G10" i="3"/>
  <c r="G9" i="3"/>
  <c r="G8" i="3"/>
  <c r="G7" i="3"/>
  <c r="G6" i="3"/>
  <c r="G5" i="3"/>
  <c r="G4" i="3"/>
  <c r="G3" i="3"/>
  <c r="G2" i="3"/>
  <c r="F17" i="3"/>
  <c r="C3" i="3"/>
  <c r="J2" i="3"/>
</calcChain>
</file>

<file path=xl/sharedStrings.xml><?xml version="1.0" encoding="utf-8"?>
<sst xmlns="http://schemas.openxmlformats.org/spreadsheetml/2006/main" count="849" uniqueCount="140">
  <si>
    <t>Caixas consultadas em pesquisa de desarquivamento</t>
  </si>
  <si>
    <t>Caixas separadas para classificação</t>
  </si>
  <si>
    <t>Processos/Documentos classificados</t>
  </si>
  <si>
    <t>Caixas separadas para eliminação</t>
  </si>
  <si>
    <t>Caixas inventariadas</t>
  </si>
  <si>
    <t>Processos/documentos inventariados</t>
  </si>
  <si>
    <t>Orientação técnica / atendimentos realizados</t>
  </si>
  <si>
    <t>Caixas remanejadas</t>
  </si>
  <si>
    <t>Documentos administrativos produzidos (Despacho, Nota Técnica, minutas diversas)</t>
  </si>
  <si>
    <t>INDICADORES</t>
  </si>
  <si>
    <t>OBSERVAÇÃO</t>
  </si>
  <si>
    <t xml:space="preserve">OUTRA ATIVIDADE. QUAL? </t>
  </si>
  <si>
    <t>Processos/Documentos listados para eliminação</t>
  </si>
  <si>
    <t>Caixas listadas para eliminação</t>
  </si>
  <si>
    <t>Caixas conferidas</t>
  </si>
  <si>
    <t>TOTAL SEMANA</t>
  </si>
  <si>
    <t>Recebimento de Documentos - Guia de Transferência</t>
  </si>
  <si>
    <t>Retorno de Processos/Documentos Desarquivados</t>
  </si>
  <si>
    <t>Desarquivamento de Processos/Documentos - Saída de Guia Fora</t>
  </si>
  <si>
    <t>Caixas remanejada</t>
  </si>
  <si>
    <t>Fonte</t>
  </si>
  <si>
    <t>SEI</t>
  </si>
  <si>
    <t>CONTAGEM INDIVIDUAL (das caixas abertas para verificação de conteúdo em contexto de pesquisa para desarquivamento)</t>
  </si>
  <si>
    <t>PLANILHA</t>
  </si>
  <si>
    <t>CONTAGEM INDIVIDUAL (das caixas "puxadas" nas estantes como uma pré-seleção para eliminação)</t>
  </si>
  <si>
    <t xml:space="preserve">Caixas listadas para eliminação </t>
  </si>
  <si>
    <t>SEI, E-MAIL, TELEFONE</t>
  </si>
  <si>
    <t>CONTAGEM INDIVIDUAL (de caixas deslocadas visando reorganização temporária ou permanente)</t>
  </si>
  <si>
    <t>CONTAGEM INDIVIDUAL (de caixas para simples conferência de quantitativo ou do conteúdo do espelho em atividades diversas)</t>
  </si>
  <si>
    <t>FONTE</t>
  </si>
  <si>
    <t>SEI (Depachos ou Ofícios assinados na unidade Diarq)</t>
  </si>
  <si>
    <t>CONTAGEM INDIVIDUAL (Caixas abertas para verificação de conteúdo em contexto de pesquisa para desarquivamento)</t>
  </si>
  <si>
    <t>SEI  (Depachos ou Ofícios assinados na unidade Diarq)</t>
  </si>
  <si>
    <t>CONTAGEM INDIVIDUAL (Caixas  "puxadas" nas estantes como uma pré-seleção para classificação)</t>
  </si>
  <si>
    <t>CONTAGEM INDIVIDUAL (Caixas "puxadas" nas estantes como uma pré-seleção para eliminação)</t>
  </si>
  <si>
    <t>CONTAGEM INDIVIDUAL (Caixas deslocadas/movimentadas visando reorganização temporária ou permanente)</t>
  </si>
  <si>
    <t>CONTAGEM INDIVIDUAL (Caixas consultadas para simples 'conferência de quantitativo' ou do 'conteúdo do espelho' em atividades diversas)</t>
  </si>
  <si>
    <t>SEI (Depachos, Ofícios ou outros documentos assinados na unidade Diarq)</t>
  </si>
  <si>
    <t>CONTAGEM INDIVIDUAL (das caixas "puxadas" nas estantes como uma pré-seleção para classificação)</t>
  </si>
  <si>
    <t>Caixas substituídas(trocadas)</t>
  </si>
  <si>
    <t>Substituição de caixas degradadas por novas</t>
  </si>
  <si>
    <t>ENVIANDO 104 PROCESSOS PARA BLOCO A</t>
  </si>
  <si>
    <t>16/03 a 20/03/2026</t>
  </si>
  <si>
    <t>23/03 a 27/03/2026</t>
  </si>
  <si>
    <t>30/03 a 03/04/2026</t>
  </si>
  <si>
    <t>06/04 a 10/04/2026</t>
  </si>
  <si>
    <t>13/04 a 17/04/2026</t>
  </si>
  <si>
    <t>02/03 a 06/03/2026</t>
  </si>
  <si>
    <t>09/03 a 13/03/2026</t>
  </si>
  <si>
    <t>20/04 a 24/04/2026</t>
  </si>
  <si>
    <t>27/04 a 31/04/2026</t>
  </si>
  <si>
    <t xml:space="preserve">TROCA DE CAIXAS DE PLÁSTICO </t>
  </si>
  <si>
    <t xml:space="preserve">trocando as caixas </t>
  </si>
  <si>
    <t>procurando caixas da cgeof/senarc</t>
  </si>
  <si>
    <t xml:space="preserve"> Pesquisa localização de 14 processos vindo da DIPRO mais 1 CD.
Os processos são cópias, ver se existe o original.</t>
  </si>
  <si>
    <r>
      <t xml:space="preserve"> Pesquisa localização de 14 processos vindo da DIPRO mais 1 CD.
Os processos são cópias, ver se existe o original.
</t>
    </r>
    <r>
      <rPr>
        <sz val="11"/>
        <color rgb="FFFF0000"/>
        <rFont val="Aptos Narrow"/>
        <family val="2"/>
        <scheme val="minor"/>
      </rPr>
      <t>Todos os processos cópias, verificamos e existe o original, somente o CD que não possui caixa.
Estes processos cópias foram triturados à pedido da chefe Patrícia.</t>
    </r>
  </si>
  <si>
    <t xml:space="preserve"> 1. Troca de caixa e espelho.
Total 5 caixas.
2. Pesquisa sobre se realmente 3 demandas foram finalizadas.
</t>
  </si>
  <si>
    <t xml:space="preserve"> Relatório - Planilha Controle Desarquivamento 
e Arquivamento.</t>
  </si>
  <si>
    <t>Alimentação de planilha de controle de atividades (Gustavo)</t>
  </si>
  <si>
    <r>
      <t xml:space="preserve">Finalizando planilha de </t>
    </r>
    <r>
      <rPr>
        <b/>
        <sz val="11"/>
        <color rgb="FFFF0000"/>
        <rFont val="Aptos Narrow"/>
        <family val="2"/>
      </rPr>
      <t xml:space="preserve">Demandas </t>
    </r>
    <r>
      <rPr>
        <b/>
        <sz val="11"/>
        <rFont val="Aptos Narrow"/>
        <family val="2"/>
      </rPr>
      <t>2024/2025/</t>
    </r>
    <r>
      <rPr>
        <b/>
        <sz val="14"/>
        <color rgb="FFFF0000"/>
        <rFont val="Aptos Narrow"/>
        <family val="2"/>
      </rPr>
      <t>2026</t>
    </r>
  </si>
  <si>
    <t xml:space="preserve">almoço em comemoração ao aniversario da Patricia, e fomo liberados mais cedo </t>
  </si>
  <si>
    <t xml:space="preserve">ajudando o Danilo em um despacho de arquivamento </t>
  </si>
  <si>
    <t xml:space="preserve"> despacho de arquivamento </t>
  </si>
  <si>
    <t xml:space="preserve">reunião com o Pedro </t>
  </si>
  <si>
    <t>REÚNIÃO COM PEDRO</t>
  </si>
  <si>
    <t>REÚNIÃO PARA ORIENTAÇÕES DE PONTO E SERVIÇOS</t>
  </si>
  <si>
    <t xml:space="preserve">Reunião com pedro </t>
  </si>
  <si>
    <t xml:space="preserve">Orientação do serviço pela parte da manha </t>
  </si>
  <si>
    <t xml:space="preserve">Reunião da equipe pela parte da tarde </t>
  </si>
  <si>
    <t>reunião de equipe</t>
  </si>
  <si>
    <t>Separação de caixas para eliminação sala 4.47</t>
  </si>
  <si>
    <t xml:space="preserve"> 1. Pela manhã, aguardando reunião com a chefe Patrícia e Leonardo.
Reunião cancelada.
2. À tarde reunião com Pedro da CGLA.
Reunião sobre o sistema CGLA.
Obs.: Mas como iniciou perto de 16h eu tive que ir embora pegar minha filha.</t>
  </si>
  <si>
    <t>1. Pela manhã, aguardando reunião com a chefe Patrícia e Leonardo.
Reunião cancelada.
2. À tarde, reunião com a chefe Patrícia e Leonardo.</t>
  </si>
  <si>
    <t xml:space="preserve"> 1. Troca de caixa e espelho.
Total 5 caixas.
2. À tarde fui para o Bloco A, com o a Alessandro, para realocar uma caixa do Esporte que estava na G-15.
Processo no SEI foi finalizado com Despacho com a localização correta.</t>
  </si>
  <si>
    <t>Troca de caixa e espelho.
Total 7 caixas.</t>
  </si>
  <si>
    <t>Troca de caixa e espelho.
Total 10 caixas.</t>
  </si>
  <si>
    <t xml:space="preserve">trocando as caixas e espelho </t>
  </si>
  <si>
    <t>CAIXAS PARA ELIMINAÇÃO</t>
  </si>
  <si>
    <t xml:space="preserve">descendo e subindo caixas do 1 subsolo para o 2 andar </t>
  </si>
  <si>
    <t>ajudando no despacho do processo 71000.009222/2026-83</t>
  </si>
  <si>
    <t xml:space="preserve">arquivamento de processos </t>
  </si>
  <si>
    <t xml:space="preserve">procurando caixas , organizando os pedidos do sei,pegando numeração de caixas dos processos </t>
  </si>
  <si>
    <t xml:space="preserve">orientação sobre as caixas de eliminação </t>
  </si>
  <si>
    <t>Pequisa e desarquivamento de 31 pastas funcionais 71000.022140/2026-24</t>
  </si>
  <si>
    <t>Inventário - 7 caixas</t>
  </si>
  <si>
    <t>Inventário - 4 caixas</t>
  </si>
  <si>
    <t>Pesquisa e busca
Documentos referente ao Plano de Saúde de servidores.</t>
  </si>
  <si>
    <t>REMANGEMENTO DE CAIXAS PARA ELIMINAÇÃO</t>
  </si>
  <si>
    <t xml:space="preserve"> Pesquisa e busca
Documentos referente ao Plano de 
Saúde de servidores.</t>
  </si>
  <si>
    <t>1. Arquivamento DEFNAS.
2.  Pesquisa e busca
Documentos referente ao Plano de 
Saúde de servidores.</t>
  </si>
  <si>
    <r>
      <t xml:space="preserve"> Contagem caixas da LBA - Bloco A sala G-15.
</t>
    </r>
    <r>
      <rPr>
        <b/>
        <u/>
        <sz val="11"/>
        <color theme="1"/>
        <rFont val="Aptos Narrow"/>
        <family val="2"/>
        <scheme val="minor"/>
      </rPr>
      <t>Total: 2.157 caixas</t>
    </r>
    <r>
      <rPr>
        <sz val="11"/>
        <color theme="1"/>
        <rFont val="Aptos Narrow"/>
        <family val="2"/>
        <scheme val="minor"/>
      </rPr>
      <t>.</t>
    </r>
  </si>
  <si>
    <r>
      <t xml:space="preserve">Preenchimento/atualização de cadastro no </t>
    </r>
    <r>
      <rPr>
        <b/>
        <sz val="11"/>
        <color rgb="FFFF0000"/>
        <rFont val="Aptos Narrow"/>
        <family val="2"/>
        <scheme val="minor"/>
      </rPr>
      <t>Sistema CGLA</t>
    </r>
  </si>
  <si>
    <t>Pesquisa e busca
Documentos referente ao Plano de Saúde de servidores. Reúniaõ de equipe com chefia</t>
  </si>
  <si>
    <t>ATESTADO</t>
  </si>
  <si>
    <t>PEGANDO AS PASTAS FUNCIONAIS</t>
  </si>
  <si>
    <t>FERIADO</t>
  </si>
  <si>
    <t>Desarquivadas 23 pastas funcionais.</t>
  </si>
  <si>
    <t>Inventário de caixas da
 CGCEB</t>
  </si>
  <si>
    <t>AJUSTE DO SISTEMA DE GESTAÇÃO DO ARQUIVO DA DIARQ</t>
  </si>
  <si>
    <t xml:space="preserve">GUARDANDO AS CAIXAS DA CGCEB </t>
  </si>
  <si>
    <t xml:space="preserve">PROCURANDO PASTAS FUNCIONAIS </t>
  </si>
  <si>
    <t>CAIXAS INVETARIADAS SNAS/CGCEB</t>
  </si>
  <si>
    <t xml:space="preserve">REMANEJAMENTO DE 52 DESCENDO E 99 CAIXAS SUBINDO SNAS/CGCEB </t>
  </si>
  <si>
    <t>REMANEJAMENTO DE 101 DESCENDO E 49 CAIXAS SUBINDO SNAS/CGCEB</t>
  </si>
  <si>
    <t xml:space="preserve"> 1. Busca pelas caixas da CGCEB e acompanhamento dos carregadores.
2. Pesquisa e busca pastas funcionais COAP.</t>
  </si>
  <si>
    <t>Pesquisa e busca pastas funcionais COAP.</t>
  </si>
  <si>
    <t xml:space="preserve"> Inventário de caixas CGCEB
Total: 8 caixas e
60 processos</t>
  </si>
  <si>
    <t>Inventário de caixas CGCEB
Total: 6 caixas e
39 processos</t>
  </si>
  <si>
    <t>Atestado Médico</t>
  </si>
  <si>
    <t xml:space="preserve">MEXENDO NO NOVO SISTEMA </t>
  </si>
  <si>
    <t>AJUTE NO SISTEMA DE GESTÃO DE DOCUMENTOS</t>
  </si>
  <si>
    <t>ATENDENDO A DEMANDA SEI NUP Nº 71000.027931/2026-41</t>
  </si>
  <si>
    <t>GUARDADANDO PROCESSOS CGRH</t>
  </si>
  <si>
    <t>PROCURANDO CAIXAS DA CGCEB</t>
  </si>
  <si>
    <t>GUARDADANDO PROCESSOS CGCEB</t>
  </si>
  <si>
    <t>REMANEJAMENTO DE 49 DESCENDO E 42 CAIXAS SUBINDO SNAS/CGCEB, ARQUIVAMENTO DE 13 PROCESSOS DA CGRH</t>
  </si>
  <si>
    <t>Inventário de caixas CGCEB
Total: 6 caixas e
 27 processos</t>
  </si>
  <si>
    <t>Procurando e movimentando caixas da CGCEB
92 caixas.</t>
  </si>
  <si>
    <t>Pesquisa e busca
processo 23132.000438/95-22, convênio nº 214/95, SIAFI nº 138116, Fundação de Desporto e
 Lazer de Mato Grosso</t>
  </si>
  <si>
    <t>ORGANIZAÇÃO DAS CAIXAS INVENTARIADAS.</t>
  </si>
  <si>
    <t>RESOLVENDO ASSUNTOS PESSOAIS DURANTE O DIA</t>
  </si>
  <si>
    <t>ELABORAÇÃO DO DESPACHO 37 (SEI N  18519857)</t>
  </si>
  <si>
    <t>AUXILIANDO NO SISTEMA DE UNIFICADO DE ARQUIVAMENTO</t>
  </si>
  <si>
    <t>RECESSO</t>
  </si>
  <si>
    <t>REMANEJAMENTO DE 175 CAIXAS, TENDO EM VISTA DO  ENVIO DE APENAS UM CARREGADOR  PELO SETOR RESPONSAVEL</t>
  </si>
  <si>
    <t>PONTO FACULTATIVO</t>
  </si>
  <si>
    <t xml:space="preserve">FERIADO NACIONAL </t>
  </si>
  <si>
    <t xml:space="preserve"> DOAÇÃO DE SANGUE (ATESTADO)</t>
  </si>
  <si>
    <t>REMANEJAMENTO DE 175 CAIXAS DA SNAS/CGCEB, TENDO EM VISTA DO  ENVIO DE APENAS UM CARREGADOR  PELO SETOR RESPONSAVEL</t>
  </si>
  <si>
    <t>FERIADO
(Aniversário de Brasília)</t>
  </si>
  <si>
    <t>75 CAIXAS ARQUIVADA SNAS/CGCEB</t>
  </si>
  <si>
    <t xml:space="preserve">RECEBIMENTO 25 CAIXAS E ENVIO DE 15 CAIXAS DA FNAS </t>
  </si>
  <si>
    <t xml:space="preserve">REMANEJAMENTO DE 74 DESCENDO E 99 CAIXAS SUBINDO SNAS/CGCEB </t>
  </si>
  <si>
    <t xml:space="preserve">ARQUIVAMENTO DE 48 CAIXAS DO CGCEB , CONFERÊNCIA DE 10 CAIXAS DO FNAS E 1 CAIXAS CONFERIDA COM 5 PROCESSOS DA cgceb  </t>
  </si>
  <si>
    <t>RECEBIMENTO DE 70 CAIXAS SNAS.</t>
  </si>
  <si>
    <t>ARMAZENTO DE 173 CAIXAS SL. 3.71</t>
  </si>
  <si>
    <t>ARMAZENAMENTO 48 CAIXAS SL 3.25</t>
  </si>
  <si>
    <t>Atestado</t>
  </si>
  <si>
    <t>Ajuda no armazenamento de 173 caixas SL. 3.71</t>
  </si>
  <si>
    <t>Ajuda no armazenamento de 48 caixas SL 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</si>
</sst>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b/>
      <sz val="11"/>
      <name val="Aptos Narrow"/>
      <family val="2"/>
    </font>
    <font>
      <b/>
      <sz val="14"/>
      <color rgb="FFFF0000"/>
      <name val="Aptos Narrow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2F2F2"/>
        <b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  <bgColor rgb="FFEDEDE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DDDDDD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textRotation="255" wrapText="1" readingOrder="2"/>
    </xf>
    <xf numFmtId="0" fontId="2" fillId="8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10" fillId="3" borderId="4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6" fontId="0" fillId="0" borderId="12" xfId="0" applyNumberForma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0" fillId="0" borderId="15" xfId="0" applyBorder="1" applyAlignment="1">
      <alignment horizontal="center" vertical="center"/>
    </xf>
    <xf numFmtId="0" fontId="1" fillId="2" borderId="13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0" fontId="1" fillId="10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0" fillId="9" borderId="0" xfId="0" applyFill="1"/>
    <xf numFmtId="0" fontId="1" fillId="11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 wrapText="1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16" fontId="0" fillId="0" borderId="16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16" fontId="2" fillId="13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1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usernames" Target="revisions/userNames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671" Type="http://schemas.openxmlformats.org/officeDocument/2006/relationships/revisionLog" Target="revisionLog114.xml"/><Relationship Id="rId692" Type="http://schemas.openxmlformats.org/officeDocument/2006/relationships/revisionLog" Target="revisionLog135.xml"/><Relationship Id="rId573" Type="http://schemas.openxmlformats.org/officeDocument/2006/relationships/revisionLog" Target="revisionLog6.xml"/><Relationship Id="rId594" Type="http://schemas.openxmlformats.org/officeDocument/2006/relationships/revisionLog" Target="revisionLog43.xml"/><Relationship Id="rId608" Type="http://schemas.openxmlformats.org/officeDocument/2006/relationships/revisionLog" Target="revisionLog57.xml"/><Relationship Id="rId629" Type="http://schemas.openxmlformats.org/officeDocument/2006/relationships/revisionLog" Target="revisionLog63.xml"/><Relationship Id="rId640" Type="http://schemas.openxmlformats.org/officeDocument/2006/relationships/revisionLog" Target="revisionLog74.xml"/><Relationship Id="rId661" Type="http://schemas.openxmlformats.org/officeDocument/2006/relationships/revisionLog" Target="revisionLog104.xml"/><Relationship Id="rId682" Type="http://schemas.openxmlformats.org/officeDocument/2006/relationships/revisionLog" Target="revisionLog125.xml"/><Relationship Id="rId584" Type="http://schemas.openxmlformats.org/officeDocument/2006/relationships/revisionLog" Target="revisionLog33.xml"/><Relationship Id="rId568" Type="http://schemas.openxmlformats.org/officeDocument/2006/relationships/revisionLog" Target="revisionLog2.xml"/><Relationship Id="rId589" Type="http://schemas.openxmlformats.org/officeDocument/2006/relationships/revisionLog" Target="revisionLog38.xml"/><Relationship Id="rId563" Type="http://schemas.openxmlformats.org/officeDocument/2006/relationships/revisionLog" Target="revisionLog84.xml"/><Relationship Id="rId619" Type="http://schemas.openxmlformats.org/officeDocument/2006/relationships/revisionLog" Target="revisionLog17.xml"/><Relationship Id="rId614" Type="http://schemas.openxmlformats.org/officeDocument/2006/relationships/revisionLog" Target="revisionLog12.xml"/><Relationship Id="rId635" Type="http://schemas.openxmlformats.org/officeDocument/2006/relationships/revisionLog" Target="revisionLog69.xml"/><Relationship Id="rId656" Type="http://schemas.openxmlformats.org/officeDocument/2006/relationships/revisionLog" Target="revisionLog99.xml"/><Relationship Id="rId677" Type="http://schemas.openxmlformats.org/officeDocument/2006/relationships/revisionLog" Target="revisionLog120.xml"/><Relationship Id="rId630" Type="http://schemas.openxmlformats.org/officeDocument/2006/relationships/revisionLog" Target="revisionLog64.xml"/><Relationship Id="rId651" Type="http://schemas.openxmlformats.org/officeDocument/2006/relationships/revisionLog" Target="revisionLog94.xml"/><Relationship Id="rId672" Type="http://schemas.openxmlformats.org/officeDocument/2006/relationships/revisionLog" Target="revisionLog115.xml"/><Relationship Id="rId693" Type="http://schemas.openxmlformats.org/officeDocument/2006/relationships/revisionLog" Target="revisionLog136.xml"/><Relationship Id="rId698" Type="http://schemas.openxmlformats.org/officeDocument/2006/relationships/revisionLog" Target="revisionLog141.xml"/><Relationship Id="rId558" Type="http://schemas.openxmlformats.org/officeDocument/2006/relationships/revisionLog" Target="revisionLog79.xml"/><Relationship Id="rId579" Type="http://schemas.openxmlformats.org/officeDocument/2006/relationships/revisionLog" Target="revisionLog28.xml"/><Relationship Id="rId574" Type="http://schemas.openxmlformats.org/officeDocument/2006/relationships/revisionLog" Target="revisionLog25.xml"/><Relationship Id="rId609" Type="http://schemas.openxmlformats.org/officeDocument/2006/relationships/revisionLog" Target="revisionLog58.xml"/><Relationship Id="rId590" Type="http://schemas.openxmlformats.org/officeDocument/2006/relationships/revisionLog" Target="revisionLog39.xml"/><Relationship Id="rId595" Type="http://schemas.openxmlformats.org/officeDocument/2006/relationships/revisionLog" Target="revisionLog44.xml"/><Relationship Id="rId604" Type="http://schemas.openxmlformats.org/officeDocument/2006/relationships/revisionLog" Target="revisionLog53.xml"/><Relationship Id="rId625" Type="http://schemas.openxmlformats.org/officeDocument/2006/relationships/revisionLog" Target="revisionLog23.xml"/><Relationship Id="rId646" Type="http://schemas.openxmlformats.org/officeDocument/2006/relationships/revisionLog" Target="revisionLog89.xml"/><Relationship Id="rId620" Type="http://schemas.openxmlformats.org/officeDocument/2006/relationships/revisionLog" Target="revisionLog18.xml"/><Relationship Id="rId641" Type="http://schemas.openxmlformats.org/officeDocument/2006/relationships/revisionLog" Target="revisionLog75.xml"/><Relationship Id="rId662" Type="http://schemas.openxmlformats.org/officeDocument/2006/relationships/revisionLog" Target="revisionLog105.xml"/><Relationship Id="rId667" Type="http://schemas.openxmlformats.org/officeDocument/2006/relationships/revisionLog" Target="revisionLog110.xml"/><Relationship Id="rId683" Type="http://schemas.openxmlformats.org/officeDocument/2006/relationships/revisionLog" Target="revisionLog126.xml"/><Relationship Id="rId688" Type="http://schemas.openxmlformats.org/officeDocument/2006/relationships/revisionLog" Target="revisionLog131.xml"/><Relationship Id="rId569" Type="http://schemas.openxmlformats.org/officeDocument/2006/relationships/revisionLog" Target="revisionLog3.xml"/><Relationship Id="rId564" Type="http://schemas.openxmlformats.org/officeDocument/2006/relationships/revisionLog" Target="revisionLog85.xml"/><Relationship Id="rId580" Type="http://schemas.openxmlformats.org/officeDocument/2006/relationships/revisionLog" Target="revisionLog29.xml"/><Relationship Id="rId585" Type="http://schemas.openxmlformats.org/officeDocument/2006/relationships/revisionLog" Target="revisionLog34.xml"/><Relationship Id="rId615" Type="http://schemas.openxmlformats.org/officeDocument/2006/relationships/revisionLog" Target="revisionLog13.xml"/><Relationship Id="rId636" Type="http://schemas.openxmlformats.org/officeDocument/2006/relationships/revisionLog" Target="revisionLog70.xml"/><Relationship Id="rId610" Type="http://schemas.openxmlformats.org/officeDocument/2006/relationships/revisionLog" Target="revisionLog59.xml"/><Relationship Id="rId631" Type="http://schemas.openxmlformats.org/officeDocument/2006/relationships/revisionLog" Target="revisionLog65.xml"/><Relationship Id="rId652" Type="http://schemas.openxmlformats.org/officeDocument/2006/relationships/revisionLog" Target="revisionLog95.xml"/><Relationship Id="rId657" Type="http://schemas.openxmlformats.org/officeDocument/2006/relationships/revisionLog" Target="revisionLog100.xml"/><Relationship Id="rId673" Type="http://schemas.openxmlformats.org/officeDocument/2006/relationships/revisionLog" Target="revisionLog116.xml"/><Relationship Id="rId678" Type="http://schemas.openxmlformats.org/officeDocument/2006/relationships/revisionLog" Target="revisionLog121.xml"/><Relationship Id="rId694" Type="http://schemas.openxmlformats.org/officeDocument/2006/relationships/revisionLog" Target="revisionLog137.xml"/><Relationship Id="rId699" Type="http://schemas.openxmlformats.org/officeDocument/2006/relationships/revisionLog" Target="revisionLog142.xml"/><Relationship Id="rId559" Type="http://schemas.openxmlformats.org/officeDocument/2006/relationships/revisionLog" Target="revisionLog80.xml"/><Relationship Id="rId575" Type="http://schemas.openxmlformats.org/officeDocument/2006/relationships/revisionLog" Target="revisionLog26.xml"/><Relationship Id="rId605" Type="http://schemas.openxmlformats.org/officeDocument/2006/relationships/revisionLog" Target="revisionLog54.xml"/><Relationship Id="rId570" Type="http://schemas.openxmlformats.org/officeDocument/2006/relationships/revisionLog" Target="revisionLog4.xml"/><Relationship Id="rId591" Type="http://schemas.openxmlformats.org/officeDocument/2006/relationships/revisionLog" Target="revisionLog40.xml"/><Relationship Id="rId596" Type="http://schemas.openxmlformats.org/officeDocument/2006/relationships/revisionLog" Target="revisionLog45.xml"/><Relationship Id="rId626" Type="http://schemas.openxmlformats.org/officeDocument/2006/relationships/revisionLog" Target="revisionLog60.xml"/><Relationship Id="rId600" Type="http://schemas.openxmlformats.org/officeDocument/2006/relationships/revisionLog" Target="revisionLog49.xml"/><Relationship Id="rId621" Type="http://schemas.openxmlformats.org/officeDocument/2006/relationships/revisionLog" Target="revisionLog19.xml"/><Relationship Id="rId642" Type="http://schemas.openxmlformats.org/officeDocument/2006/relationships/revisionLog" Target="revisionLog76.xml"/><Relationship Id="rId647" Type="http://schemas.openxmlformats.org/officeDocument/2006/relationships/revisionLog" Target="revisionLog90.xml"/><Relationship Id="rId663" Type="http://schemas.openxmlformats.org/officeDocument/2006/relationships/revisionLog" Target="revisionLog106.xml"/><Relationship Id="rId668" Type="http://schemas.openxmlformats.org/officeDocument/2006/relationships/revisionLog" Target="revisionLog111.xml"/><Relationship Id="rId684" Type="http://schemas.openxmlformats.org/officeDocument/2006/relationships/revisionLog" Target="revisionLog127.xml"/><Relationship Id="rId689" Type="http://schemas.openxmlformats.org/officeDocument/2006/relationships/revisionLog" Target="revisionLog132.xml"/><Relationship Id="rId581" Type="http://schemas.openxmlformats.org/officeDocument/2006/relationships/revisionLog" Target="revisionLog30.xml"/><Relationship Id="rId560" Type="http://schemas.openxmlformats.org/officeDocument/2006/relationships/revisionLog" Target="revisionLog81.xml"/><Relationship Id="rId565" Type="http://schemas.openxmlformats.org/officeDocument/2006/relationships/revisionLog" Target="revisionLog86.xml"/><Relationship Id="rId586" Type="http://schemas.openxmlformats.org/officeDocument/2006/relationships/revisionLog" Target="revisionLog35.xml"/><Relationship Id="rId611" Type="http://schemas.openxmlformats.org/officeDocument/2006/relationships/revisionLog" Target="revisionLog9.xml"/><Relationship Id="rId616" Type="http://schemas.openxmlformats.org/officeDocument/2006/relationships/revisionLog" Target="revisionLog14.xml"/><Relationship Id="rId632" Type="http://schemas.openxmlformats.org/officeDocument/2006/relationships/revisionLog" Target="revisionLog66.xml"/><Relationship Id="rId637" Type="http://schemas.openxmlformats.org/officeDocument/2006/relationships/revisionLog" Target="revisionLog71.xml"/><Relationship Id="rId653" Type="http://schemas.openxmlformats.org/officeDocument/2006/relationships/revisionLog" Target="revisionLog96.xml"/><Relationship Id="rId658" Type="http://schemas.openxmlformats.org/officeDocument/2006/relationships/revisionLog" Target="revisionLog101.xml"/><Relationship Id="rId679" Type="http://schemas.openxmlformats.org/officeDocument/2006/relationships/revisionLog" Target="revisionLog122.xml"/><Relationship Id="rId674" Type="http://schemas.openxmlformats.org/officeDocument/2006/relationships/revisionLog" Target="revisionLog117.xml"/><Relationship Id="rId690" Type="http://schemas.openxmlformats.org/officeDocument/2006/relationships/revisionLog" Target="revisionLog133.xml"/><Relationship Id="rId695" Type="http://schemas.openxmlformats.org/officeDocument/2006/relationships/revisionLog" Target="revisionLog138.xml"/><Relationship Id="rId597" Type="http://schemas.openxmlformats.org/officeDocument/2006/relationships/revisionLog" Target="revisionLog46.xml"/><Relationship Id="rId576" Type="http://schemas.openxmlformats.org/officeDocument/2006/relationships/revisionLog" Target="revisionLog27.xml"/><Relationship Id="rId571" Type="http://schemas.openxmlformats.org/officeDocument/2006/relationships/revisionLog" Target="revisionLog24.xml"/><Relationship Id="rId592" Type="http://schemas.openxmlformats.org/officeDocument/2006/relationships/revisionLog" Target="revisionLog41.xml"/><Relationship Id="rId601" Type="http://schemas.openxmlformats.org/officeDocument/2006/relationships/revisionLog" Target="revisionLog50.xml"/><Relationship Id="rId606" Type="http://schemas.openxmlformats.org/officeDocument/2006/relationships/revisionLog" Target="revisionLog55.xml"/><Relationship Id="rId622" Type="http://schemas.openxmlformats.org/officeDocument/2006/relationships/revisionLog" Target="revisionLog20.xml"/><Relationship Id="rId627" Type="http://schemas.openxmlformats.org/officeDocument/2006/relationships/revisionLog" Target="revisionLog61.xml"/><Relationship Id="rId643" Type="http://schemas.openxmlformats.org/officeDocument/2006/relationships/revisionLog" Target="revisionLog77.xml"/><Relationship Id="rId648" Type="http://schemas.openxmlformats.org/officeDocument/2006/relationships/revisionLog" Target="revisionLog91.xml"/><Relationship Id="rId669" Type="http://schemas.openxmlformats.org/officeDocument/2006/relationships/revisionLog" Target="revisionLog112.xml"/><Relationship Id="rId664" Type="http://schemas.openxmlformats.org/officeDocument/2006/relationships/revisionLog" Target="revisionLog107.xml"/><Relationship Id="rId680" Type="http://schemas.openxmlformats.org/officeDocument/2006/relationships/revisionLog" Target="revisionLog123.xml"/><Relationship Id="rId685" Type="http://schemas.openxmlformats.org/officeDocument/2006/relationships/revisionLog" Target="revisionLog128.xml"/><Relationship Id="rId566" Type="http://schemas.openxmlformats.org/officeDocument/2006/relationships/revisionLog" Target="revisionLog87.xml"/><Relationship Id="rId587" Type="http://schemas.openxmlformats.org/officeDocument/2006/relationships/revisionLog" Target="revisionLog36.xml"/><Relationship Id="rId561" Type="http://schemas.openxmlformats.org/officeDocument/2006/relationships/revisionLog" Target="revisionLog82.xml"/><Relationship Id="rId582" Type="http://schemas.openxmlformats.org/officeDocument/2006/relationships/revisionLog" Target="revisionLog31.xml"/><Relationship Id="rId612" Type="http://schemas.openxmlformats.org/officeDocument/2006/relationships/revisionLog" Target="revisionLog10.xml"/><Relationship Id="rId617" Type="http://schemas.openxmlformats.org/officeDocument/2006/relationships/revisionLog" Target="revisionLog15.xml"/><Relationship Id="rId633" Type="http://schemas.openxmlformats.org/officeDocument/2006/relationships/revisionLog" Target="revisionLog67.xml"/><Relationship Id="rId638" Type="http://schemas.openxmlformats.org/officeDocument/2006/relationships/revisionLog" Target="revisionLog72.xml"/><Relationship Id="rId659" Type="http://schemas.openxmlformats.org/officeDocument/2006/relationships/revisionLog" Target="revisionLog102.xml"/><Relationship Id="rId654" Type="http://schemas.openxmlformats.org/officeDocument/2006/relationships/revisionLog" Target="revisionLog97.xml"/><Relationship Id="rId670" Type="http://schemas.openxmlformats.org/officeDocument/2006/relationships/revisionLog" Target="revisionLog113.xml"/><Relationship Id="rId675" Type="http://schemas.openxmlformats.org/officeDocument/2006/relationships/revisionLog" Target="revisionLog118.xml"/><Relationship Id="rId696" Type="http://schemas.openxmlformats.org/officeDocument/2006/relationships/revisionLog" Target="revisionLog139.xml"/><Relationship Id="rId577" Type="http://schemas.openxmlformats.org/officeDocument/2006/relationships/revisionLog" Target="revisionLog7.xml"/><Relationship Id="rId691" Type="http://schemas.openxmlformats.org/officeDocument/2006/relationships/revisionLog" Target="revisionLog134.xml"/><Relationship Id="rId700" Type="http://schemas.openxmlformats.org/officeDocument/2006/relationships/revisionLog" Target="revisionLog143.xml"/><Relationship Id="rId607" Type="http://schemas.openxmlformats.org/officeDocument/2006/relationships/revisionLog" Target="revisionLog56.xml"/><Relationship Id="rId572" Type="http://schemas.openxmlformats.org/officeDocument/2006/relationships/revisionLog" Target="revisionLog5.xml"/><Relationship Id="rId593" Type="http://schemas.openxmlformats.org/officeDocument/2006/relationships/revisionLog" Target="revisionLog42.xml"/><Relationship Id="rId598" Type="http://schemas.openxmlformats.org/officeDocument/2006/relationships/revisionLog" Target="revisionLog47.xml"/><Relationship Id="rId602" Type="http://schemas.openxmlformats.org/officeDocument/2006/relationships/revisionLog" Target="revisionLog51.xml"/><Relationship Id="rId628" Type="http://schemas.openxmlformats.org/officeDocument/2006/relationships/revisionLog" Target="revisionLog62.xml"/><Relationship Id="rId649" Type="http://schemas.openxmlformats.org/officeDocument/2006/relationships/revisionLog" Target="revisionLog92.xml"/><Relationship Id="rId623" Type="http://schemas.openxmlformats.org/officeDocument/2006/relationships/revisionLog" Target="revisionLog21.xml"/><Relationship Id="rId644" Type="http://schemas.openxmlformats.org/officeDocument/2006/relationships/revisionLog" Target="revisionLog78.xml"/><Relationship Id="rId660" Type="http://schemas.openxmlformats.org/officeDocument/2006/relationships/revisionLog" Target="revisionLog103.xml"/><Relationship Id="rId665" Type="http://schemas.openxmlformats.org/officeDocument/2006/relationships/revisionLog" Target="revisionLog108.xml"/><Relationship Id="rId686" Type="http://schemas.openxmlformats.org/officeDocument/2006/relationships/revisionLog" Target="revisionLog129.xml"/><Relationship Id="rId567" Type="http://schemas.openxmlformats.org/officeDocument/2006/relationships/revisionLog" Target="revisionLog1.xml"/><Relationship Id="rId681" Type="http://schemas.openxmlformats.org/officeDocument/2006/relationships/revisionLog" Target="revisionLog124.xml"/><Relationship Id="rId562" Type="http://schemas.openxmlformats.org/officeDocument/2006/relationships/revisionLog" Target="revisionLog83.xml"/><Relationship Id="rId588" Type="http://schemas.openxmlformats.org/officeDocument/2006/relationships/revisionLog" Target="revisionLog37.xml"/><Relationship Id="rId583" Type="http://schemas.openxmlformats.org/officeDocument/2006/relationships/revisionLog" Target="revisionLog32.xml"/><Relationship Id="rId618" Type="http://schemas.openxmlformats.org/officeDocument/2006/relationships/revisionLog" Target="revisionLog16.xml"/><Relationship Id="rId639" Type="http://schemas.openxmlformats.org/officeDocument/2006/relationships/revisionLog" Target="revisionLog73.xml"/><Relationship Id="rId613" Type="http://schemas.openxmlformats.org/officeDocument/2006/relationships/revisionLog" Target="revisionLog11.xml"/><Relationship Id="rId634" Type="http://schemas.openxmlformats.org/officeDocument/2006/relationships/revisionLog" Target="revisionLog68.xml"/><Relationship Id="rId650" Type="http://schemas.openxmlformats.org/officeDocument/2006/relationships/revisionLog" Target="revisionLog93.xml"/><Relationship Id="rId655" Type="http://schemas.openxmlformats.org/officeDocument/2006/relationships/revisionLog" Target="revisionLog98.xml"/><Relationship Id="rId676" Type="http://schemas.openxmlformats.org/officeDocument/2006/relationships/revisionLog" Target="revisionLog119.xml"/><Relationship Id="rId697" Type="http://schemas.openxmlformats.org/officeDocument/2006/relationships/revisionLog" Target="revisionLog140.xml"/><Relationship Id="rId701" Type="http://schemas.openxmlformats.org/officeDocument/2006/relationships/revisionLog" Target="revisionLog144.xml"/><Relationship Id="rId578" Type="http://schemas.openxmlformats.org/officeDocument/2006/relationships/revisionLog" Target="revisionLog8.xml"/><Relationship Id="rId599" Type="http://schemas.openxmlformats.org/officeDocument/2006/relationships/revisionLog" Target="revisionLog48.xml"/><Relationship Id="rId603" Type="http://schemas.openxmlformats.org/officeDocument/2006/relationships/revisionLog" Target="revisionLog52.xml"/><Relationship Id="rId624" Type="http://schemas.openxmlformats.org/officeDocument/2006/relationships/revisionLog" Target="revisionLog22.xml"/><Relationship Id="rId645" Type="http://schemas.openxmlformats.org/officeDocument/2006/relationships/revisionLog" Target="revisionLog88.xml"/><Relationship Id="rId666" Type="http://schemas.openxmlformats.org/officeDocument/2006/relationships/revisionLog" Target="revisionLog109.xml"/><Relationship Id="rId687" Type="http://schemas.openxmlformats.org/officeDocument/2006/relationships/revisionLog" Target="revisionLog130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0E5CFBE2-C8B9-4801-BF0A-61AD87D25F24}" diskRevisions="1" revisionId="17970" version="144">
  <header guid="{6A94C11A-553B-4156-81CC-42E00004D1B4}" dateTime="2026-02-26T07:48:38" maxSheetId="13" userName="Marcos Neves de Almeida" r:id="rId558" minRId="15133" maxRId="1513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111093D-3623-4105-8FD4-B03BFCD54685}" dateTime="2026-02-26T12:23:48" maxSheetId="13" userName="Alessandro Borges de Araújo" r:id="rId559" minRId="15135" maxRId="1513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5D09E51-8484-4AF5-B292-316AF06197B5}" dateTime="2026-03-02T10:36:03" maxSheetId="13" userName="Diego Santos de Abreu" r:id="rId560" minRId="15139" maxRId="1514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D94F14C-DD8C-45F3-ACE2-FA7019B65251}" dateTime="2026-03-02T10:49:28" maxSheetId="13" userName="Alessandro Borges de Araújo" r:id="rId561" minRId="15153" maxRId="1563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87EFED4-0A70-40D3-839E-3D8E2BED3EAF}" dateTime="2026-03-02T10:55:22" maxSheetId="13" userName="Alessandro Borges de Araújo" r:id="rId562" minRId="15650" maxRId="1585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53DCB5C-5D87-4725-8D26-B58FA89799C8}" dateTime="2026-03-02T10:56:15" maxSheetId="13" userName="Alessandro Borges de Araújo" r:id="rId563" minRId="15863" maxRId="1592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C3CEFB4-C172-40C5-9B28-6E69E1C5EECA}" dateTime="2026-03-02T11:13:26" maxSheetId="13" userName="Alessandro Borges de Araújo" r:id="rId564" minRId="15926" maxRId="1614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64FFF19-ED18-4F00-8B9B-1E276B4AED61}" dateTime="2026-03-02T11:18:40" maxSheetId="13" userName="Alessandro Borges de Araújo" r:id="rId565" minRId="16158" maxRId="1634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4842F8F-F323-4D93-8185-A7143F7F3E9A}" dateTime="2026-03-02T11:25:09" maxSheetId="13" userName="Alessandro Borges de Araújo" r:id="rId566" minRId="16358" maxRId="1638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7AE581D-5B65-43B7-8C51-02598E70EF0D}" dateTime="2026-03-02T15:52:09" maxSheetId="13" userName="Alessandro Borges de Araújo" r:id="rId567" minRId="16386" maxRId="1638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9E8297D-41B9-4A98-B33F-D85C4D9ADDB8}" dateTime="2026-03-03T11:17:13" maxSheetId="13" userName="Alessandro Borges de Araújo" r:id="rId568" minRId="16398" maxRId="1641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EA8536A-F8E6-413E-AD89-57009D59EB0F}" dateTime="2026-03-03T11:21:40" maxSheetId="13" userName="Alessandro Borges de Araújo" r:id="rId569" minRId="1642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0FC3E52-755E-4DD2-82FA-B71BB8F67649}" dateTime="2026-03-03T11:32:23" maxSheetId="13" userName="Alessandro Borges de Araújo" r:id="rId570" minRId="1642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88B3B40-6140-4057-B612-E2490FD2C107}" dateTime="2026-03-03T17:18:14" maxSheetId="13" userName="Alessandro Borges de Araújo" r:id="rId57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0F2B0A5-ED4B-401E-A728-81438519DDA2}" dateTime="2026-03-05T15:25:27" maxSheetId="13" userName="Marcos Neves de Almeida" r:id="rId572" minRId="16450" maxRId="1645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6E75137-DA16-427A-8061-7AB25E01E200}" dateTime="2026-03-05T15:25:47" maxSheetId="13" userName="Marcos Neves de Almeida" r:id="rId573" minRId="16464" maxRId="1646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33BBC8A-FA2F-4473-ABCF-4648A4268ED2}" dateTime="2026-03-06T10:51:04" maxSheetId="13" userName="Diego Santos de Abreu" r:id="rId574" minRId="16466" maxRId="164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3CC187E-3539-49B6-BEC9-1D423558AD66}" dateTime="2026-03-06T16:26:25" maxSheetId="13" userName="Alessandro Borges de Araújo" r:id="rId57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E46460B-E80E-453A-96FE-1DE230D0900E}" dateTime="2026-03-09T06:49:13" maxSheetId="13" userName="Marcos Neves de Almeida" r:id="rId576" minRId="16499" maxRId="1650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DF05376-FD30-4377-A07E-4B3B2F7AEC34}" dateTime="2026-03-09T09:12:37" maxSheetId="13" userName="Aelton de Jesus Nunes" r:id="rId577" minRId="16511" maxRId="1651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0B16C98-BAA2-46B4-BBC0-B6207ABDDF29}" dateTime="2026-03-09T10:00:54" maxSheetId="13" userName="Alessandro Borges de Araújo" r:id="rId578" minRId="16530" maxRId="1653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A6CA03B-5EBC-4E44-B352-725990334782}" dateTime="2026-03-09T10:01:02" maxSheetId="13" userName="Leonam Morrison Monteiro de Oliveira" r:id="rId579" minRId="16546" maxRId="1655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8D65166-063E-4E1D-91C9-5C53E5BE5B25}" dateTime="2026-03-09T10:05:35" maxSheetId="13" userName="Leonam Morrison Monteiro de Oliveira" r:id="rId580" minRId="16569" maxRId="1657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3ABA194-CBA3-4946-B269-22C09F7FD340}" dateTime="2026-03-09T10:10:14" maxSheetId="13" userName="Danilo Rafael Basilio da Silva" r:id="rId581" minRId="16571" maxRId="1658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6A2731E-6375-4DC1-8BBE-992A28C785D3}" dateTime="2026-03-10T09:00:53" maxSheetId="13" userName="Leonam Morrison Monteiro de Oliveira" r:id="rId582" minRId="1659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E748C96-5FDA-41D8-A834-F3F01B1FEE2A}" dateTime="2026-03-10T10:29:08" maxSheetId="13" userName="Marcos Neves de Almeida" r:id="rId583" minRId="1659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46EE2C3-1BA9-4BE6-AB40-9B774D13B733}" dateTime="2026-03-12T08:04:54" maxSheetId="13" userName="Diego Santos de Abreu" r:id="rId584" minRId="16608" maxRId="1661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151AAC9-3864-4631-AAA2-54A26D44653A}" dateTime="2026-03-12T08:05:27" maxSheetId="13" userName="Marcos Neves de Almeida" r:id="rId585" minRId="16625" maxRId="1662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7B47E18-45E1-43A1-A276-70F16157D31B}" dateTime="2026-03-12T09:29:46" maxSheetId="13" userName="Leonam Morrison Monteiro de Oliveira" r:id="rId586" minRId="16628" maxRId="1663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03756DF-5E0E-4CC0-8260-FA8DC7238430}" dateTime="2026-03-12T11:04:31" maxSheetId="13" userName="Alessandro Borges de Araújo" r:id="rId58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CAB48F7-BED9-4BAB-B4EA-5E5EAED00DF1}" dateTime="2026-03-13T12:57:15" maxSheetId="13" userName="Alessandro Borges de Araújo" r:id="rId588" minRId="16646" maxRId="1665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6A3511B-781D-4C28-B044-8F7260F8FE94}" dateTime="2026-03-16T09:13:50" maxSheetId="13" userName="Aelton de Jesus Nunes" r:id="rId589" minRId="16661" maxRId="1666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9F5AC94-020B-4166-BA26-72679B9962BD}" dateTime="2026-03-16T09:27:25" maxSheetId="13" userName="Marcos Neves de Almeida" r:id="rId590" minRId="16679" maxRId="1668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8D88547-1A04-49C0-9203-7EA11DDE7357}" dateTime="2026-03-16T09:31:17" maxSheetId="13" userName="Danilo Rafael Basilio da Silva" r:id="rId591" minRId="16693" maxRId="1670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246EA94-A8DF-40F0-BF2E-F76ED2977CB3}" dateTime="2026-03-16T09:32:06" maxSheetId="13" userName="Danilo Rafael Basilio da Silva" r:id="rId592" minRId="1671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A0A0329-5899-4E8E-9D40-F26101CD80B2}" dateTime="2026-03-16T09:32:43" maxSheetId="13" userName="Danilo Rafael Basilio da Silva" r:id="rId593" minRId="16716" maxRId="1672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295F121-6D59-4A76-B204-E3075423435C}" dateTime="2026-03-17T08:28:13" maxSheetId="13" userName="Marcos Neves de Almeida" r:id="rId594" minRId="16721" maxRId="1672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8B79340-6A02-4036-896A-FB3EC8311E3A}" dateTime="2026-03-17T15:39:55" maxSheetId="13" userName="Marcos Neves de Almeida" r:id="rId595" minRId="16733" maxRId="1673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32A19B2-13EE-489E-9C46-55D23C46A298}" dateTime="2026-03-17T16:16:40" maxSheetId="13" userName="Alessandro Borges de Araújo" r:id="rId59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143F3EA-A34C-41DA-BA6F-25B33EF55D3D}" dateTime="2026-03-18T07:25:53" maxSheetId="13" userName="Marcos Neves de Almeida" r:id="rId59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278E1F0-2FF7-4EB1-A006-6273E42C111B}" dateTime="2026-03-18T11:15:51" maxSheetId="13" userName="Leonam Morrison Monteiro de Oliveira" r:id="rId598" minRId="16745" maxRId="1675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BCD5C1B-BD03-4BDF-B0BA-06B2B13A1F8D}" dateTime="2026-03-18T11:47:45" maxSheetId="13" userName="Marcos Neves de Almeida" r:id="rId5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2D1BC58-FBC3-4D67-935E-40011AF93E66}" dateTime="2026-03-18T14:11:19" maxSheetId="13" userName="Leonam Morrison Monteiro de Oliveira" r:id="rId600" minRId="1676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7FA37B2-7C02-415B-A3A3-6886EC264FB0}" dateTime="2026-03-18T15:10:07" maxSheetId="13" userName="Leonam Morrison Monteiro de Oliveira" r:id="rId601" minRId="1676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FF701B6-62DD-45A4-B40B-3A3D693ABD1E}" dateTime="2026-03-19T14:12:36" maxSheetId="13" userName="Marcos Neves de Almeida" r:id="rId602" minRId="16767" maxRId="1677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E736725-EBFE-4175-B11C-6EC7370E9BBE}" dateTime="2026-03-19T14:36:21" maxSheetId="13" userName="Diego Santos de Abreu" r:id="rId603" minRId="16781" maxRId="1679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D297116-B591-43AC-8F9A-61BF5183AE7A}" dateTime="2026-03-19T14:48:57" maxSheetId="13" userName="Leonam Morrison Monteiro de Oliveira" r:id="rId604" minRId="167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AD7F5F7-4FA4-44D8-84D0-D79DBBA1B8CF}" dateTime="2026-03-19T14:50:22" maxSheetId="13" userName="Leonam Morrison Monteiro de Oliveira" r:id="rId605" minRId="1679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872A1EA-AC6C-4494-AA6D-BE0FB5508F3C}" dateTime="2026-03-19T14:50:50" maxSheetId="13" userName="Leonam Morrison Monteiro de Oliveira" r:id="rId606" minRId="1679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AEDCBB0-D0E8-4F77-9196-08FD8581FC04}" dateTime="2026-03-19T15:31:38" maxSheetId="13" userName="Leonam Morrison Monteiro de Oliveira" r:id="rId607" minRId="1679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B970BD9-6571-4427-8ED6-2454C553B25C}" dateTime="2026-03-19T15:32:25" maxSheetId="13" userName="Leonam Morrison Monteiro de Oliveira" r:id="rId608" minRId="16798" maxRId="167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5CE2D15-A474-4ADE-B6AF-BCA64E1126A6}" dateTime="2026-03-19T16:47:47" maxSheetId="13" userName="Alessandro Borges de Araújo" r:id="rId60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2863648-17A5-4C8F-92A1-A4BABF4746FA}" dateTime="2026-03-20T13:05:23" maxSheetId="13" userName="Marcos Neves de Almeida" r:id="rId610" minRId="16810" maxRId="1681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C6D81BD-39AF-4B6A-84E9-A385BBA92CCF}" dateTime="2026-03-23T10:38:23" maxSheetId="13" userName="Danilo Rafael Basilio da Silva" r:id="rId611" minRId="16826" maxRId="1683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43F6256-0C80-46F0-BF42-03FB983D46EB}" dateTime="2026-03-24T11:42:25" maxSheetId="13" userName="Aelton de Jesus Nunes" r:id="rId612" minRId="16831" maxRId="1684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C87457D-4006-4277-B749-43263B06468F}" dateTime="2026-03-26T07:27:01" maxSheetId="13" userName="Marcos Neves de Almeida" r:id="rId613" minRId="16852" maxRId="1685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C340793-BF5D-49A6-8A9E-BEF78FE7FDF7}" dateTime="2026-03-26T07:53:49" maxSheetId="13" userName="Aelton de Jesus Nunes" r:id="rId614" minRId="16866" maxRId="1686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0E51107-5E63-4CEA-B281-5A659441AC68}" dateTime="2026-03-26T07:59:02" maxSheetId="13" userName="Aelton de Jesus Nunes" r:id="rId61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9FCD13F-D5FC-484C-979C-657E7400C4A8}" dateTime="2026-03-27T12:03:48" maxSheetId="13" userName="Marcos Neves de Almeida" r:id="rId616" minRId="16890" maxRId="1689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50CC72E-6B88-4547-B5A0-5C4E91306E4E}" dateTime="2026-04-01T08:43:52" maxSheetId="13" userName="Aelton de Jesus Nunes" r:id="rId617" minRId="16903" maxRId="1690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EBA3689-5308-43A2-B377-56FFB796EC7B}" dateTime="2026-04-01T10:31:20" maxSheetId="13" userName="Marcos Neves de Almeida" r:id="rId61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86CA6D6-8D7A-4532-8799-3DC35FA34EE4}" dateTime="2026-04-01T10:34:01" maxSheetId="13" userName="Marcos Neves de Almeida" r:id="rId619" minRId="16930" maxRId="169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181C204-36EF-44FE-BC8B-19B27450D641}" dateTime="2026-04-01T10:45:03" maxSheetId="13" userName="Diego Santos de Abreu" r:id="rId620" minRId="16934" maxRId="1694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3B36450-62EF-425C-AA00-F74A45011B3A}" dateTime="2026-04-01T10:45:25" maxSheetId="13" userName="Diego Santos de Abreu" r:id="rId621" minRId="1695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2F2329D-859A-4684-9B8C-F9DC352087FC}" dateTime="2026-04-01T10:48:55" maxSheetId="13" userName="Leonam Morrison Monteiro de Oliveira" r:id="rId622" minRId="16959" maxRId="1696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26D4CF6-63CC-4C0F-A1CF-DC5FD75D2737}" dateTime="2026-04-01T11:17:10" maxSheetId="13" userName="Danilo Rafael Basilio da Silva" r:id="rId623" minRId="16977" maxRId="1698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AB13561-3FC9-48E6-8921-43945D051D40}" dateTime="2026-04-01T11:17:34" maxSheetId="13" userName="Alessandro Borges de Araújo" r:id="rId624" minRId="16982" maxRId="1699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8306BED-D7C6-433D-83FA-62D796835706}" dateTime="2026-04-02T14:03:12" maxSheetId="13" userName="Marcos Neves de Almeida" r:id="rId625" minRId="1699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1B7AFF5-6F41-463D-B9BB-11735FB4C08A}" dateTime="2026-04-06T09:04:09" maxSheetId="13" userName="Marcos Neves de Almeida" r:id="rId626" minRId="17007" maxRId="1700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E7779C6-4898-44C2-B284-D74884F35711}" dateTime="2026-04-06T13:32:46" maxSheetId="13" userName="Marcos Neves de Almeida" r:id="rId627" minRId="17009" maxRId="1701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9500E5E-98FB-4B02-BF6C-4AC507736325}" dateTime="2026-04-07T09:31:28" maxSheetId="13" userName="Aelton de Jesus Nunes" r:id="rId628" minRId="17011" maxRId="1701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1DE8F27-0967-4167-80DD-50E28D0485FB}" dateTime="2026-04-07T09:54:28" maxSheetId="13" userName="Danilo Rafael Basilio da Silva" r:id="rId629" minRId="17029" maxRId="170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9AEFFA2-C9BE-4FCC-A1EE-40C273E81184}" dateTime="2026-04-07T15:49:40" maxSheetId="13" userName="Marcos Neves de Almeida" r:id="rId630" minRId="17034" maxRId="170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A764355-8675-486E-A8D1-6B3BA51BC02D}" dateTime="2026-04-07T17:54:03" maxSheetId="13" userName="Alessandro Borges de Araújo" r:id="rId631" minRId="17047" maxRId="1704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502ED56-3DCD-433C-9D5D-582C0E27E925}" dateTime="2026-04-08T08:27:01" maxSheetId="13" userName="Diego Santos de Abreu" r:id="rId632" minRId="17049" maxRId="1705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0C115C5-4FFA-4059-A417-8B8A0092745A}" dateTime="2026-04-08T14:36:50" maxSheetId="13" userName="Marcos Neves de Almeida" r:id="rId633" minRId="17066" maxRId="1706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FCDB47A-0359-4298-9795-FB132B503CE4}" dateTime="2026-04-09T09:56:10" maxSheetId="13" userName="Marcos Neves de Almeida" r:id="rId634" minRId="17080" maxRId="1708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8127961-6F89-45CE-81BC-E92999457EE1}" dateTime="2026-04-09T09:57:46" maxSheetId="13" userName="Marcos Neves de Almeida" r:id="rId635" minRId="1708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0BCF8CF-AE1C-4A70-B513-A391A777028D}" dateTime="2026-04-09T14:16:08" maxSheetId="13" userName="Marcos Neves de Almeida" r:id="rId636" minRId="17085" maxRId="1708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FEC11A5-A398-422F-AFE3-E644ABFDB172}" dateTime="2026-04-10T13:41:36" maxSheetId="13" userName="Marcos Neves de Almeida" r:id="rId637" minRId="17088" maxRId="1709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57DA4D9-C6C4-44D9-9CA3-917B07442C51}" dateTime="2026-04-13T10:01:15" maxSheetId="13" userName="Aelton de Jesus Nunes" r:id="rId638" minRId="17091" maxRId="170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43588B8-F202-43B1-A747-5F9109B9E68E}" dateTime="2026-04-13T10:21:14" maxSheetId="13" userName="Leonam Morrison Monteiro de Oliveira" r:id="rId639" minRId="17110" maxRId="1711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1566518-F578-4009-8634-FBFD891B896F}" dateTime="2026-04-13T11:03:11" maxSheetId="13" userName="Leonam Morrison Monteiro de Oliveira" r:id="rId640" minRId="17129" maxRId="171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858D451-B7AB-4AE0-B581-C44ADFD32B50}" dateTime="2026-04-13T11:26:24" maxSheetId="13" userName="Danilo Rafael Basilio da Silva" r:id="rId641" minRId="17134" maxRId="1714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A4E2B57-61D8-4724-A6C6-06F87CD82283}" dateTime="2026-04-13T11:26:38" maxSheetId="13" userName="Danilo Rafael Basilio da Silva" r:id="rId642" minRId="1714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44216CD-1BD9-409B-A442-FB0502F5B303}" dateTime="2026-04-13T14:57:42" maxSheetId="13" userName="Alessandro Borges de Araújo" r:id="rId643" minRId="17142" maxRId="1715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1E95542-5D84-4E32-99FC-08351D40F6E5}" dateTime="2026-04-13T15:18:14" maxSheetId="13" userName="Marcos Neves de Almeida" r:id="rId644" minRId="17152" maxRId="1715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D640143-C88E-4EB3-B4B3-F4EE1FD64966}" dateTime="2026-04-13T15:25:53" maxSheetId="13" userName="Alessandro Borges de Araújo" r:id="rId645" minRId="17165" maxRId="1717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3BBC0B2-4FFC-4350-B899-7A9CA914D6CA}" dateTime="2026-04-13T15:26:12" maxSheetId="13" userName="Alessandro Borges de Araújo" r:id="rId64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C333926-1C3B-499D-90EE-24F11E4CFFA1}" dateTime="2026-04-13T15:39:02" maxSheetId="13" userName="Alessandro Borges de Araújo" r:id="rId647" minRId="17176" maxRId="1718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3158FCC-4EF2-4841-9978-FCFDA18A4A60}" dateTime="2026-04-13T15:46:16" maxSheetId="13" userName="Alessandro Borges de Araújo" r:id="rId648" minRId="17185" maxRId="171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546F4A7-5104-4E66-9941-44BD703D678F}" dateTime="2026-04-14T07:17:21" maxSheetId="13" userName="Marcos Neves de Almeida" r:id="rId64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A8342E7-904C-4AB7-AEF8-643E898C3F50}" dateTime="2026-04-14T15:05:36" maxSheetId="13" userName="Diego Santos de Abreu" r:id="rId650" minRId="17200" maxRId="1720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B6C06DD-369E-4097-90B5-C38D02BE1D2B}" dateTime="2026-04-14T15:05:45" maxSheetId="13" userName="Marcos Neves de Almeida" r:id="rId651" minRId="17215" maxRId="1721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04F3224-34F4-4F8E-99AA-671DFB71F258}" dateTime="2026-04-14T15:06:36" maxSheetId="13" userName="Diego Santos de Abreu" r:id="rId652" minRId="1722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3B7830C-A122-4D71-8CB9-085122B2B69A}" dateTime="2026-04-14T15:25:46" maxSheetId="13" userName="Diego Santos de Abreu" r:id="rId653" minRId="1723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AC29AF7-C2A8-4BC5-A97C-6A353EB64632}" dateTime="2026-04-15T15:27:33" maxSheetId="13" userName="Marcos Neves de Almeida" r:id="rId654" minRId="17231" maxRId="172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379BE59-7FC2-4141-AE06-B81DE92EF1C2}" dateTime="2026-04-16T15:05:10" maxSheetId="13" userName="Marcos Neves de Almeida" r:id="rId655" minRId="17234" maxRId="172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26BF465-FB1D-44FF-AF8B-6787EB644293}" dateTime="2026-04-22T07:11:49" maxSheetId="13" userName="Marcos Neves de Almeida" r:id="rId656" minRId="1723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09F1DA3-9E7E-479D-AA10-987AB43442B6}" dateTime="2026-04-22T09:07:18" maxSheetId="13" userName="Aelton de Jesus Nunes" r:id="rId657" minRId="17248" maxRId="1727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CAAF743-ECBE-402E-9B58-EF61C33553F7}" dateTime="2026-04-22T09:07:41" maxSheetId="13" userName="Aelton de Jesus Nunes" r:id="rId65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8883CA1-C72A-4E86-AC7D-CE7178AB0FF5}" dateTime="2026-04-22T09:18:02" maxSheetId="13" userName="Diego Santos de Abreu" r:id="rId659" minRId="17292" maxRId="172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0BB4CC1-3837-40A5-984F-EF4CA128A05F}" dateTime="2026-04-22T09:18:20" maxSheetId="13" userName="Diego Santos de Abreu" r:id="rId660" minRId="1730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E0AA9A6-06C2-4732-BE82-7A62F5839A34}" dateTime="2026-04-22T09:19:27" maxSheetId="13" userName="Aelton de Jesus Nunes" r:id="rId6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FC37C20-2FC1-4DE5-AD7A-A16A2340FB21}" dateTime="2026-04-22T10:35:28" maxSheetId="13" userName="Alessandro Borges de Araújo" r:id="rId662" minRId="17316" maxRId="1735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2E81DB0-5FD4-4414-BE1F-29685ED421BB}" dateTime="2026-04-22T10:58:34" maxSheetId="13" userName="Danilo Rafael Basilio da Silva" r:id="rId663" minRId="17352" maxRId="173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42047EB-BF80-4C97-9225-271CE51B3CE5}" dateTime="2026-04-22T11:02:07" maxSheetId="13" userName="Danilo Rafael Basilio da Silva" r:id="rId664" minRId="1736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2F61BD2-FA52-4AEE-ADA2-FDCD89372F63}" dateTime="2026-04-22T15:53:59" maxSheetId="13" userName="Alessandro Borges de Araújo" r:id="rId665" minRId="17363" maxRId="173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3D25B0D-5606-4BE8-9F45-51C3AFBF4622}" dateTime="2026-04-22T16:08:15" maxSheetId="13" userName="Danilo Rafael Basilio da Silva" r:id="rId666" minRId="17405" maxRId="1740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A39C9A3-F192-4043-BB4A-63ABF24AC9F7}" dateTime="2026-04-22T16:11:56" maxSheetId="13" userName="Danilo Rafael Basilio da Silva" r:id="rId667" minRId="17419" maxRId="1742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7B7C7A8-BD28-49A8-9BE5-7908D5883412}" dateTime="2026-04-22T16:24:53" maxSheetId="13" userName="Alessandro Borges de Araújo" r:id="rId668" minRId="1742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925A7C8-C05E-47A9-93EE-D78BBE874CB4}" dateTime="2026-04-22T16:35:03" maxSheetId="13" userName="Alessandro Borges de Araújo" r:id="rId669" minRId="17424" maxRId="1743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BA4FCDF-660C-44D4-9A2D-7F9F7BDBE612}" dateTime="2026-04-23T07:24:18" maxSheetId="13" userName="Marcos Neves de Almeida" r:id="rId670" minRId="17442" maxRId="174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8781634-C65D-4A05-8DD7-DD65AEE95003}" dateTime="2026-04-23T07:25:32" maxSheetId="13" userName="Marcos Neves de Almeida" r:id="rId671" minRId="1745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DE14FE5-180D-4B3C-AC23-51AC0D5C5FB6}" dateTime="2026-04-23T08:05:33" maxSheetId="13" userName="Marcos Neves de Almeida" r:id="rId672" minRId="17456" maxRId="1745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A50867E-BBD9-4F2F-89EF-F45D359EA3BF}" dateTime="2026-04-23T09:06:30" maxSheetId="13" userName="Marcos Neves de Almeida" r:id="rId673" minRId="1745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B450011-252C-4E5C-838F-4E967A6697E9}" dateTime="2026-04-23T14:31:57" maxSheetId="13" userName="Marcos Neves de Almeida" r:id="rId674" minRId="17459" maxRId="174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2381507-A67B-469B-B8A5-5D3ECB72DE2B}" dateTime="2026-04-24T14:29:02" maxSheetId="13" userName="Marcos Neves de Almeida" r:id="rId675" minRId="17462" maxRId="1746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9727AAD-01CF-49F0-80CD-2DCE22475072}" dateTime="2026-04-27T09:28:58" maxSheetId="13" userName="Aelton de Jesus Nunes" r:id="rId676" minRId="17465" maxRId="1746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395554B-19C0-4FA0-A140-95D4F01D975B}" dateTime="2026-04-27T09:51:34" maxSheetId="13" userName="Alessandro Borges de Araújo" r:id="rId67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FD4700D-7F22-4180-BC83-3D548C608596}" dateTime="2026-04-27T10:26:42" maxSheetId="13" userName="Alessandro Borges de Araújo" r:id="rId67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32B8B62-CD55-45C1-BC9F-AE5C5059045A}" dateTime="2026-04-27T10:41:32" maxSheetId="13" userName="Danilo Rafael Basilio da Silva" r:id="rId679" minRId="17500" maxRId="1750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5F34D79-62BE-4A00-8FAB-F808A3BF98D2}" dateTime="2026-04-27T10:46:12" maxSheetId="13" userName="Danilo Rafael Basilio da Silva" r:id="rId680" minRId="17512" maxRId="1751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2605B94-90B9-406B-8D76-7CDAB5975453}" dateTime="2026-04-27T10:46:35" maxSheetId="13" userName="Danilo Rafael Basilio da Silva" r:id="rId681" minRId="17514" maxRId="1751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6CFACEE-81BD-4F6E-BF07-32C62D77BCF2}" dateTime="2026-04-27T12:39:15" maxSheetId="13" userName="Alessandro Borges de Araújo" r:id="rId682" minRId="17518" maxRId="1753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E683A9C-9FF6-451A-8B86-1405BB6ED724}" dateTime="2026-04-27T15:16:22" maxSheetId="13" userName="Marcos Neves de Almeida" r:id="rId683" minRId="17541" maxRId="175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E839750-BFF7-4A8C-8469-92C267D1FDBD}" dateTime="2026-04-28T09:38:09" maxSheetId="13" userName="Diego Santos de Abreu" r:id="rId684" minRId="17555" maxRId="175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C069C98-029C-4B4E-B63F-C261B7349B1A}" dateTime="2026-04-28T11:43:40" maxSheetId="13" userName="Alessandro Borges de Araújo" r:id="rId685" minRId="17572" maxRId="1760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CFA0415-AA01-4F59-BCEA-D025DFDC8E86}" dateTime="2026-04-28T11:44:32" maxSheetId="13" userName="Alessandro Borges de Araújo" r:id="rId686" minRId="17614" maxRId="1770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9B25197-E8E9-482A-9420-4F9A83A0429F}" dateTime="2026-04-28T12:38:20" maxSheetId="13" userName="Alessandro Borges de Araújo" r:id="rId687" minRId="17710" maxRId="1771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807F781-05A2-4CCD-A3C0-8F11CB316E4D}" dateTime="2026-04-28T13:54:06" maxSheetId="13" userName="Marcos Neves de Almeida" r:id="rId688" minRId="17714" maxRId="1771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08F1886-DAB9-419B-B080-EE5A51A0942D}" dateTime="2026-04-28T15:01:34" maxSheetId="13" userName="Marcos Neves de Almeida" r:id="rId6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5E147A0-FBE8-4990-B689-2FFCB5B1E9FA}" dateTime="2026-04-28T15:15:27" maxSheetId="13" userName="Marcos Neves de Almeida" r:id="rId690" minRId="17729" maxRId="1773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C1EB55C-B35B-4FF9-B9C0-5DA8DAEF6D36}" dateTime="2026-04-29T13:56:11" maxSheetId="13" userName="Marcos Neves de Almeida" r:id="rId691" minRId="17731" maxRId="1773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B50B4AD6-DF0A-41AA-9345-10DF80F8C624}" dateTime="2026-04-30T10:32:35" maxSheetId="13" userName="Marcos Neves de Almeida" r:id="rId692" minRId="17734" maxRId="177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EB22012-D481-4D7E-A68C-B868B97EF59E}" dateTime="2026-04-30T10:50:01" maxSheetId="13" userName="Marcos Neves de Almeida" r:id="rId693" minRId="17737" maxRId="1773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B165D3A-777C-494C-9142-3DAD9AB5055C}" dateTime="2026-05-04T11:45:42" maxSheetId="13" userName="Danilo Rafael Basilio da Silva" r:id="rId694" minRId="17740" maxRId="1774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E310113-1A8F-42BF-81A8-E8A18309BD2E}" dateTime="2026-05-04T15:02:34" maxSheetId="13" userName="Marcos Neves de Almeida" r:id="rId69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968D8B3-1E57-48EC-A333-65B1FE865A00}" dateTime="2026-05-05T09:53:43" maxSheetId="13" userName="Alessandro Borges de Araújo" r:id="rId696" minRId="17768" maxRId="1785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200CB6CD-D308-4E69-B8B2-824A5330BADC}" dateTime="2026-05-05T10:03:01" maxSheetId="13" userName="Alessandro Borges de Araújo" r:id="rId697" minRId="17864" maxRId="1788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9FF30F9-F3DC-4D07-B1FC-BE5B05B05878}" dateTime="2026-05-05T10:12:14" maxSheetId="13" userName="Alessandro Borges de Araújo" r:id="rId698" minRId="17890" maxRId="1793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7D69365-9A09-4C73-9E08-50869908195B}" dateTime="2026-05-05T10:14:30" maxSheetId="13" userName="Alessandro Borges de Araújo" r:id="rId6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031F1AF-356C-4657-B0F1-15ECD157057D}" dateTime="2026-05-06T10:00:05" maxSheetId="13" userName="Alessandro Borges de Araújo" r:id="rId700" minRId="1795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E5CFBE2-C8B9-4801-BF0A-61AD87D25F24}" dateTime="2026-05-11T09:38:29" maxSheetId="13" userName="Aelton de Jesus Nunes" r:id="rId70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86" sId="3">
    <nc r="D2">
      <f>Diego!N2+Aelton!N2+Leonam!N2+Danilo!N2+Marcos!N2+Alessandro!AL2+Carlos!N2</f>
    </nc>
  </rcc>
  <rcc rId="16387" sId="3">
    <nc r="D3">
      <f>Diego!N3+Aelton!N3+Leonam!N3+Danilo!N3+Marcos!N3+Alessandro!AL3+Carlos!N3</f>
    </nc>
  </rcc>
  <rfmt sheetId="3" sqref="F15:F17" start="0" length="2147483647">
    <dxf>
      <font>
        <b val="0"/>
      </font>
    </dxf>
  </rfmt>
  <rfmt sheetId="3" sqref="F15:F17" start="0" length="2147483647">
    <dxf>
      <font>
        <sz val="11"/>
      </font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98" sId="5">
    <oc r="AR2">
      <f>SUM(AM2:AQ2)</f>
    </oc>
    <nc r="AR2">
      <f>SUM(AM2:AQ2)</f>
    </nc>
  </rcc>
  <rfmt sheetId="5" sqref="AR2">
    <dxf>
      <numFmt numFmtId="0" formatCode="General"/>
    </dxf>
  </rfmt>
  <rcc rId="16399" sId="3">
    <nc r="D15">
      <f>Diego!N15+Aelton!N15+Leonam!N15+Danilo!N15+Marcos!N15+Alessandro!N15+Carlos!N15</f>
    </nc>
  </rcc>
  <rcc rId="16400" sId="8">
    <nc r="AX18">
      <f>SUM(AS18:AW18)</f>
    </nc>
  </rcc>
  <rcc rId="16401" sId="3">
    <oc r="K2">
      <f>Diego!AY2+Aelton!AY2+Leonam!AY2+Danilo!AY2+Marcos!AY2+Alessandro!AY2</f>
    </oc>
    <nc r="K2">
      <f>Diego!BD2+Aelton!BD2+Leonam!BD2+Danilo!BD2+Marcos!BD2+Alessandro!BD2+Carlos!BD2</f>
    </nc>
  </rcc>
  <rcc rId="16402" sId="10">
    <nc r="BC2">
      <v>1</v>
    </nc>
  </rcc>
  <rcc rId="16403" sId="3" odxf="1" dxf="1">
    <oc r="K3">
      <f>Diego!AY3+Aelton!AY3+Leonam!AY3+Danilo!AY3+Marcos!AY3+Alessandro!AY3</f>
    </oc>
    <nc r="K3">
      <f>Diego!BD3+Aelton!BD3+Leonam!BD3+Danilo!BD3+Marcos!BD3+Alessandro!BD3+Carlos!BD3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6404" sId="3">
    <oc r="K4">
      <f>Diego!AY4+Aelton!AY4+Leonam!AY4+Danilo!AY4+Marcos!AY4+Alessandro!AY4</f>
    </oc>
    <nc r="K4">
      <f>Diego!BD4+Aelton!BD4+Leonam!BD4+Danilo!BD4+Marcos!BD4+Alessandro!BD4+Carlos!BD4</f>
    </nc>
  </rcc>
  <rcc rId="16405" sId="3" odxf="1" dxf="1">
    <oc r="K5">
      <f>Diego!AY5+Aelton!AY5+Leonam!AY5+Danilo!AY5+Marcos!AY5+Alessandro!AY5</f>
    </oc>
    <nc r="K5">
      <f>Diego!BD5+Aelton!BD5+Leonam!BD5+Danilo!BD5+Marcos!BD5+Alessandro!BD5+Carlos!BD5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6406" sId="3">
    <oc r="K6">
      <f>Diego!AY6+Aelton!AY6+Leonam!AY6+Danilo!AY6+Marcos!AY6+Alessandro!AY6</f>
    </oc>
    <nc r="K6">
      <f>Diego!BD6+Aelton!BD6+Leonam!BD6+Danilo!BD6+Marcos!BD6+Alessandro!BD6+Carlos!BD6</f>
    </nc>
  </rcc>
  <rcc rId="16407" sId="3" odxf="1" dxf="1">
    <oc r="K7">
      <f>Diego!AY7+Aelton!AY7+Leonam!AY7+Danilo!AY7+Marcos!AY7+Alessandro!AY7</f>
    </oc>
    <nc r="K7">
      <f>Diego!BD7+Aelton!BD7+Leonam!BD7+Danilo!BD7+Marcos!BD7+Alessandro!BD7+Carlos!BD7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6408" sId="3">
    <oc r="K8">
      <f>Diego!AY8+Aelton!AY8+Leonam!AY8+Danilo!AY8+Marcos!AY8+Alessandro!AY8</f>
    </oc>
    <nc r="K8">
      <f>Diego!BD8+Aelton!BD8+Leonam!BD8+Danilo!BD8+Marcos!BD8+Alessandro!BD8+Carlos!BD8</f>
    </nc>
  </rcc>
  <rcc rId="16409" sId="3" odxf="1" dxf="1">
    <oc r="K9">
      <f>Diego!AY9+Aelton!AY9+Leonam!AY9+Danilo!AY9+Marcos!AY9+Alessandro!AY9</f>
    </oc>
    <nc r="K9">
      <f>Diego!BD9+Aelton!BD9+Leonam!BD9+Danilo!BD9+Marcos!BD9+Alessandro!BD9+Carlos!BD9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6410" sId="3">
    <oc r="K10">
      <f>Diego!AY10+Aelton!AY10+Leonam!AY10+Danilo!AY10+Marcos!AY10+Alessandro!AY10</f>
    </oc>
    <nc r="K10">
      <f>Diego!BD10+Aelton!BD10+Leonam!BD10+Danilo!BD10+Marcos!BD10+Alessandro!BD10+Carlos!BD10</f>
    </nc>
  </rcc>
  <rcc rId="16411" sId="3" odxf="1" dxf="1">
    <oc r="K11">
      <f>Diego!AY11+Aelton!AY11+Leonam!AY11+Danilo!AY11+Marcos!AY11+Alessandro!AY11</f>
    </oc>
    <nc r="K11">
      <f>Diego!BD11+Aelton!BD11+Leonam!BD11+Danilo!BD11+Marcos!BD11+Alessandro!BD11+Carlos!BD11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6412" sId="3">
    <oc r="K12">
      <f>Diego!AY12+Aelton!AY12+Leonam!AY12+Danilo!AY12+Marcos!AY12+Alessandro!AY12</f>
    </oc>
    <nc r="K12">
      <f>Diego!BD12+Aelton!BD12+Leonam!BD12+Danilo!BD12+Marcos!BD12+Alessandro!BD12+Carlos!BD12</f>
    </nc>
  </rcc>
  <rcc rId="16413" sId="3" odxf="1" dxf="1">
    <oc r="K13">
      <f>Diego!AY13+Aelton!AY13+Leonam!AY13+Danilo!AY13+Marcos!AY13+Alessandro!AY13+Patrícia!AY2+Leonardo!AY2</f>
    </oc>
    <nc r="K13">
      <f>Diego!BD13+Aelton!BD13+Leonam!BD13+Danilo!BD13+Marcos!BD13+Alessandro!BD13+Carlos!BD13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6414" sId="3">
    <oc r="K14">
      <f>Diego!AY14+Aelton!AY14+Leonam!AY14+Danilo!AY14+Marcos!AY14+Alessandro!AY14+Patrícia!AY3+Leonardo!AY3</f>
    </oc>
    <nc r="K14">
      <f>Diego!BD14+Aelton!BD14+Leonam!BD14+Danilo!BD14+Marcos!BD14+Alessandro!BD14+Carlos!BD14</f>
    </nc>
  </rcc>
  <rcc rId="16415" sId="3" odxf="1" dxf="1">
    <oc r="K15">
      <f>Diego!AY15+Aelton!AY15+Leonam!AY15+Danilo!AY15+Marcos!AY15+Alessandro!AY15</f>
    </oc>
    <nc r="K15">
      <f>Diego!BD15+Aelton!BD15+Leonam!BD15+Danilo!BD15+Marcos!BD15+Alessandro!BD15+Carlos!BD15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6416" sId="3">
    <oc r="K16">
      <f>Diego!AY16+Aelton!AY16+Leonam!AY16+Danilo!AY16+Marcos!AY16+Alessandro!AY16</f>
    </oc>
    <nc r="K16">
      <f>Diego!BD16+Aelton!BD16+Leonam!BD16+Danilo!BD16+Marcos!BD16+Alessandro!BD16+Carlos!BD16</f>
    </nc>
  </rcc>
  <rcc rId="16417" sId="3" odxf="1" dxf="1">
    <oc r="K17">
      <f>Diego!AY17+Aelton!AY17+Leonam!AY17+Danilo!AY17+Marcos!AY17+Alessandro!AY17</f>
    </oc>
    <nc r="K17">
      <f>Diego!BD17+Aelton!BD17+Leonam!BD17+Danilo!BD17+Marcos!BD17+Alessandro!BD17+Carlos!BD17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fmt sheetId="3" sqref="K3">
    <dxf>
      <fill>
        <patternFill>
          <bgColor theme="0"/>
        </patternFill>
      </fill>
    </dxf>
  </rfmt>
  <rfmt sheetId="3" sqref="K5">
    <dxf>
      <fill>
        <patternFill>
          <bgColor theme="0"/>
        </patternFill>
      </fill>
    </dxf>
  </rfmt>
  <rfmt sheetId="3" sqref="K7">
    <dxf>
      <fill>
        <patternFill>
          <bgColor theme="0"/>
        </patternFill>
      </fill>
    </dxf>
  </rfmt>
  <rfmt sheetId="3" sqref="K9">
    <dxf>
      <fill>
        <patternFill>
          <bgColor theme="0"/>
        </patternFill>
      </fill>
    </dxf>
  </rfmt>
  <rfmt sheetId="3" sqref="K11">
    <dxf>
      <fill>
        <patternFill>
          <bgColor theme="0"/>
        </patternFill>
      </fill>
    </dxf>
  </rfmt>
  <rfmt sheetId="3" sqref="K13">
    <dxf>
      <fill>
        <patternFill>
          <bgColor theme="0"/>
        </patternFill>
      </fill>
    </dxf>
  </rfmt>
  <rfmt sheetId="3" sqref="K15">
    <dxf>
      <fill>
        <patternFill>
          <bgColor theme="0"/>
        </patternFill>
      </fill>
    </dxf>
  </rfmt>
  <rfmt sheetId="3" sqref="K17">
    <dxf>
      <fill>
        <patternFill>
          <bgColor theme="0"/>
        </patternFill>
      </fill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28" sId="8">
    <oc r="AX18">
      <f>SUM(AS18:AW18)</f>
    </oc>
    <nc r="AX18"/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29" sId="10">
    <oc r="BC2">
      <v>1</v>
    </oc>
    <nc r="BC2"/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50" sId="8">
    <nc r="E18" t="inlineStr">
      <is>
        <t xml:space="preserve">TROCA DE CAIXAS DE PLÁSTICO </t>
      </is>
    </nc>
  </rcc>
  <rcc rId="16451" sId="8">
    <nc r="F18" t="inlineStr">
      <is>
        <t xml:space="preserve">TROCA DE CAIXAS DE PLÁSTICO </t>
      </is>
    </nc>
  </rcc>
  <rcc rId="16452" sId="8">
    <nc r="E17">
      <v>10</v>
    </nc>
  </rcc>
  <rcc rId="16453" sId="8">
    <nc r="F17">
      <v>8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64" sId="8">
    <nc r="C18" t="inlineStr">
      <is>
        <t xml:space="preserve">TROCA DE CAIXAS DE PLÁSTICO </t>
      </is>
    </nc>
  </rcc>
  <rcc rId="16465" sId="8">
    <nc r="C17">
      <v>8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2" start="0" length="0">
    <dxf>
      <border outline="0">
        <left/>
      </border>
    </dxf>
  </rfmt>
  <rfmt sheetId="5" sqref="C3" start="0" length="0">
    <dxf>
      <border outline="0">
        <left/>
      </border>
    </dxf>
  </rfmt>
  <rfmt sheetId="5" sqref="C4" start="0" length="0">
    <dxf>
      <border outline="0">
        <left/>
      </border>
    </dxf>
  </rfmt>
  <rfmt sheetId="5" sqref="C5" start="0" length="0">
    <dxf>
      <border outline="0">
        <left/>
      </border>
    </dxf>
  </rfmt>
  <rfmt sheetId="5" sqref="C6" start="0" length="0">
    <dxf>
      <border outline="0">
        <left/>
      </border>
    </dxf>
  </rfmt>
  <rfmt sheetId="5" sqref="C7" start="0" length="0">
    <dxf>
      <border outline="0">
        <left/>
      </border>
    </dxf>
  </rfmt>
  <rfmt sheetId="5" sqref="C8" start="0" length="0">
    <dxf>
      <border outline="0">
        <left/>
      </border>
    </dxf>
  </rfmt>
  <rfmt sheetId="5" sqref="C9" start="0" length="0">
    <dxf>
      <border outline="0">
        <left/>
      </border>
    </dxf>
  </rfmt>
  <rfmt sheetId="5" sqref="C10" start="0" length="0">
    <dxf>
      <border outline="0">
        <left/>
      </border>
    </dxf>
  </rfmt>
  <rfmt sheetId="5" sqref="C11" start="0" length="0">
    <dxf>
      <border outline="0">
        <left/>
      </border>
    </dxf>
  </rfmt>
  <rfmt sheetId="5" sqref="C12" start="0" length="0">
    <dxf>
      <border outline="0">
        <left/>
      </border>
    </dxf>
  </rfmt>
  <rfmt sheetId="5" sqref="C13" start="0" length="0">
    <dxf>
      <border outline="0">
        <left/>
      </border>
    </dxf>
  </rfmt>
  <rfmt sheetId="5" sqref="C14" start="0" length="0">
    <dxf>
      <border outline="0">
        <left/>
      </border>
    </dxf>
  </rfmt>
  <rfmt sheetId="5" sqref="C15" start="0" length="0">
    <dxf>
      <border outline="0">
        <left/>
      </border>
    </dxf>
  </rfmt>
  <rfmt sheetId="5" sqref="C16" start="0" length="0">
    <dxf>
      <border outline="0">
        <left/>
      </border>
    </dxf>
  </rfmt>
  <rfmt sheetId="5" sqref="C17" start="0" length="0">
    <dxf>
      <border outline="0">
        <left/>
        <bottom/>
      </border>
    </dxf>
  </rfmt>
  <rfmt sheetId="5" sqref="D17" start="0" length="0">
    <dxf>
      <border outline="0">
        <bottom/>
      </border>
    </dxf>
  </rfmt>
  <rfmt sheetId="5" sqref="E17" start="0" length="0">
    <dxf>
      <border outline="0">
        <bottom/>
      </border>
    </dxf>
  </rfmt>
  <rfmt sheetId="5" sqref="F17" start="0" length="0">
    <dxf>
      <border outline="0">
        <bottom/>
      </border>
    </dxf>
  </rfmt>
  <rfmt sheetId="5" sqref="G17" start="0" length="0">
    <dxf>
      <border outline="0">
        <bottom/>
      </border>
    </dxf>
  </rfmt>
  <rcc rId="16511" sId="5">
    <nc r="C18" t="inlineStr">
      <is>
        <t xml:space="preserve"> Pesquisa localização de 14 processos vindo da DIPRO mais 1 CD.
Os processos são cópias, ver se existe o original.</t>
      </is>
    </nc>
  </rcc>
  <rcc rId="16512" sId="5">
    <nc r="E4">
      <v>1</v>
    </nc>
  </rcc>
  <rcc rId="16513" sId="5">
    <nc r="E13">
      <v>1</v>
    </nc>
  </rcc>
  <rcc rId="16514" sId="5">
    <nc r="G13">
      <v>1</v>
    </nc>
  </rcc>
  <rcc rId="16515" sId="5">
    <nc r="F17">
      <v>5</v>
    </nc>
  </rcc>
  <rcc rId="16516" sId="5">
    <nc r="D18" t="inlineStr">
      <is>
        <t xml:space="preserve"> Pesquisa localização de 14 processos vindo da DIPRO mais 1 CD.
Os processos são cópias, ver se existe o original.</t>
      </is>
    </nc>
  </rcc>
  <rcc rId="16517" sId="5">
    <nc r="E18" t="inlineStr">
      <is>
        <r>
          <t xml:space="preserve"> Pesquisa localização de 14 processos vindo da DIPRO mais 1 CD.
Os processos são cópias, ver se existe o original.
</t>
        </r>
        <r>
          <rPr>
            <sz val="11"/>
            <color rgb="FFFF0000"/>
            <rFont val="Aptos Narrow"/>
            <family val="2"/>
          </rPr>
          <t>Todos os processos cópias, verificamos e existe o original, somente o CD que não possui caixa.
Estes processos cópias foram triturados à pedido da chefe Patrícia.</t>
        </r>
      </is>
    </nc>
  </rcc>
  <rcc rId="16518" sId="5">
    <nc r="F18" t="inlineStr">
      <is>
        <t xml:space="preserve"> 1. Troca de caixa e espelho.
Total 5 caixas.
2. Pesquisa sobre se realmente 3 demandas foram finalizadas.
</t>
      </is>
    </nc>
  </rcc>
  <rcc rId="16519" sId="5">
    <nc r="G18" t="inlineStr">
      <is>
        <t xml:space="preserve"> Relatório - Planilha Controle Desarquivamento 
e Arquivamento.</t>
      </is>
    </nc>
  </rcc>
  <rfmt sheetId="5" sqref="D19" start="0" length="0">
    <dxf>
      <alignment wrapText="0"/>
    </dxf>
  </rfmt>
  <rfmt sheetId="5" sqref="E19" start="0" length="0">
    <dxf>
      <alignment wrapText="0"/>
    </dxf>
  </rfmt>
  <rfmt sheetId="5" sqref="F19" start="0" length="0">
    <dxf>
      <alignment wrapText="0"/>
    </dxf>
  </rfmt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30" sId="10" xfDxf="1" dxf="1">
    <nc r="D18" t="inlineStr">
      <is>
        <t>Alimentação de planilha de controle de atividades (Gustavo)</t>
      </is>
    </nc>
    <ndxf>
      <font>
        <b/>
      </font>
      <alignment horizontal="center" vertical="center" wrapText="1"/>
    </ndxf>
  </rcc>
  <rfmt sheetId="10" xfDxf="1" sqref="E18" start="0" length="0">
    <dxf>
      <font>
        <b/>
      </font>
      <alignment horizontal="center" vertical="center" wrapText="1"/>
    </dxf>
  </rfmt>
  <rfmt sheetId="10" xfDxf="1" sqref="F18" start="0" length="0">
    <dxf>
      <font>
        <b/>
      </font>
      <alignment horizontal="center" vertical="center" wrapText="1"/>
    </dxf>
  </rfmt>
  <rfmt sheetId="10" xfDxf="1" sqref="G18" start="0" length="0">
    <dxf>
      <font>
        <b/>
      </font>
      <alignment horizontal="center" vertical="center" wrapText="1"/>
    </dxf>
  </rfmt>
  <rm rId="16531" sheetId="10" source="D18" destination="C18" sourceSheetId="10">
    <rfmt sheetId="10" sqref="C18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 wrapText="1"/>
      </dxf>
    </rfmt>
  </rm>
  <rfmt sheetId="10" sqref="D18" start="0" length="0">
    <dxf>
      <font>
        <b/>
        <sz val="11"/>
        <color theme="1"/>
        <name val="Aptos Narrow"/>
        <family val="2"/>
        <scheme val="minor"/>
      </font>
      <alignment wrapText="1"/>
    </dxf>
  </rfmt>
  <rcc rId="16532" sId="10">
    <nc r="D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533" sId="10">
    <nc r="E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534" sId="10">
    <nc r="F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535" sId="10">
    <nc r="G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26" sId="7">
    <nc r="O9">
      <v>7</v>
    </nc>
  </rcc>
  <rcc rId="16827" sId="7">
    <nc r="P9">
      <v>7</v>
    </nc>
  </rcc>
  <rcc rId="16828" sId="7">
    <nc r="Q9">
      <v>5</v>
    </nc>
  </rcc>
  <rcc rId="16829" sId="7">
    <nc r="R9">
      <v>7</v>
    </nc>
  </rcc>
  <rcc rId="16830" sId="7">
    <nc r="S19" t="inlineStr">
      <is>
        <t>Pequisa e desarquivamento de 31 pastas funcionais 71000.022140/2026-24</t>
      </is>
    </nc>
  </rcc>
  <rfmt sheetId="7" sqref="S19">
    <dxf>
      <alignment wrapText="1"/>
    </dxf>
  </rfmt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O2" start="0" length="0">
    <dxf>
      <border outline="0">
        <left/>
        <top/>
      </border>
    </dxf>
  </rfmt>
  <rfmt sheetId="5" sqref="P2" start="0" length="0">
    <dxf>
      <border outline="0">
        <top/>
      </border>
    </dxf>
  </rfmt>
  <rfmt sheetId="5" sqref="Q2" start="0" length="0">
    <dxf>
      <border outline="0">
        <top/>
      </border>
    </dxf>
  </rfmt>
  <rfmt sheetId="5" sqref="R2" start="0" length="0">
    <dxf>
      <border outline="0">
        <top/>
      </border>
    </dxf>
  </rfmt>
  <rfmt sheetId="5" sqref="S2" start="0" length="0">
    <dxf>
      <border outline="0">
        <right/>
        <top/>
      </border>
    </dxf>
  </rfmt>
  <rfmt sheetId="5" sqref="O3" start="0" length="0">
    <dxf>
      <border outline="0">
        <left/>
      </border>
    </dxf>
  </rfmt>
  <rfmt sheetId="5" sqref="S3" start="0" length="0">
    <dxf>
      <border outline="0">
        <right/>
      </border>
    </dxf>
  </rfmt>
  <rfmt sheetId="5" sqref="O4" start="0" length="0">
    <dxf>
      <border outline="0">
        <left/>
      </border>
    </dxf>
  </rfmt>
  <rfmt sheetId="5" sqref="S4" start="0" length="0">
    <dxf>
      <border outline="0">
        <right/>
      </border>
    </dxf>
  </rfmt>
  <rfmt sheetId="5" sqref="O5" start="0" length="0">
    <dxf>
      <border outline="0">
        <left/>
      </border>
    </dxf>
  </rfmt>
  <rfmt sheetId="5" sqref="S5" start="0" length="0">
    <dxf>
      <border outline="0">
        <right/>
      </border>
    </dxf>
  </rfmt>
  <rfmt sheetId="5" sqref="O6" start="0" length="0">
    <dxf>
      <border outline="0">
        <left/>
      </border>
    </dxf>
  </rfmt>
  <rfmt sheetId="5" sqref="S6" start="0" length="0">
    <dxf>
      <border outline="0">
        <right/>
      </border>
    </dxf>
  </rfmt>
  <rfmt sheetId="5" sqref="O7" start="0" length="0">
    <dxf>
      <border outline="0">
        <left/>
      </border>
    </dxf>
  </rfmt>
  <rfmt sheetId="5" sqref="S7" start="0" length="0">
    <dxf>
      <border outline="0">
        <right/>
      </border>
    </dxf>
  </rfmt>
  <rfmt sheetId="5" sqref="O8" start="0" length="0">
    <dxf>
      <border outline="0">
        <left/>
      </border>
    </dxf>
  </rfmt>
  <rfmt sheetId="5" sqref="S8" start="0" length="0">
    <dxf>
      <border outline="0">
        <right/>
      </border>
    </dxf>
  </rfmt>
  <rfmt sheetId="5" sqref="O9" start="0" length="0">
    <dxf>
      <border outline="0">
        <left/>
      </border>
    </dxf>
  </rfmt>
  <rfmt sheetId="5" sqref="S9" start="0" length="0">
    <dxf>
      <border outline="0">
        <right/>
      </border>
    </dxf>
  </rfmt>
  <rfmt sheetId="5" sqref="O10" start="0" length="0">
    <dxf>
      <border outline="0">
        <left/>
      </border>
    </dxf>
  </rfmt>
  <rfmt sheetId="5" sqref="S10" start="0" length="0">
    <dxf>
      <border outline="0">
        <right/>
      </border>
    </dxf>
  </rfmt>
  <rcc rId="16831" sId="5" odxf="1" dxf="1">
    <nc r="O11">
      <v>7</v>
    </nc>
    <odxf>
      <border outline="0">
        <left style="thin">
          <color indexed="64"/>
        </left>
      </border>
    </odxf>
    <ndxf>
      <border outline="0">
        <left/>
      </border>
    </ndxf>
  </rcc>
  <rfmt sheetId="5" sqref="S11" start="0" length="0">
    <dxf>
      <border outline="0">
        <right/>
      </border>
    </dxf>
  </rfmt>
  <rfmt sheetId="5" sqref="O12" start="0" length="0">
    <dxf>
      <border outline="0">
        <left/>
      </border>
    </dxf>
  </rfmt>
  <rfmt sheetId="5" sqref="S12" start="0" length="0">
    <dxf>
      <border outline="0">
        <right/>
      </border>
    </dxf>
  </rfmt>
  <rfmt sheetId="5" sqref="O13" start="0" length="0">
    <dxf>
      <border outline="0">
        <left/>
      </border>
    </dxf>
  </rfmt>
  <rfmt sheetId="5" sqref="S13" start="0" length="0">
    <dxf>
      <border outline="0">
        <right/>
      </border>
    </dxf>
  </rfmt>
  <rfmt sheetId="5" sqref="O14" start="0" length="0">
    <dxf>
      <border outline="0">
        <left/>
      </border>
    </dxf>
  </rfmt>
  <rfmt sheetId="5" sqref="S14" start="0" length="0">
    <dxf>
      <border outline="0">
        <right/>
      </border>
    </dxf>
  </rfmt>
  <rfmt sheetId="5" sqref="O15" start="0" length="0">
    <dxf>
      <border outline="0">
        <left/>
      </border>
    </dxf>
  </rfmt>
  <rfmt sheetId="5" sqref="S15" start="0" length="0">
    <dxf>
      <border outline="0">
        <right/>
      </border>
    </dxf>
  </rfmt>
  <rfmt sheetId="5" sqref="O16" start="0" length="0">
    <dxf>
      <border outline="0">
        <left/>
      </border>
    </dxf>
  </rfmt>
  <rfmt sheetId="5" sqref="S16" start="0" length="0">
    <dxf>
      <border outline="0">
        <right/>
      </border>
    </dxf>
  </rfmt>
  <rfmt sheetId="5" sqref="O17" start="0" length="0">
    <dxf>
      <border outline="0">
        <left/>
        <bottom/>
      </border>
    </dxf>
  </rfmt>
  <rfmt sheetId="5" sqref="P17" start="0" length="0">
    <dxf>
      <border outline="0">
        <bottom/>
      </border>
    </dxf>
  </rfmt>
  <rfmt sheetId="5" sqref="Q17" start="0" length="0">
    <dxf>
      <border outline="0">
        <bottom/>
      </border>
    </dxf>
  </rfmt>
  <rfmt sheetId="5" sqref="R17" start="0" length="0">
    <dxf>
      <border outline="0">
        <bottom/>
      </border>
    </dxf>
  </rfmt>
  <rfmt sheetId="5" sqref="S17" start="0" length="0">
    <dxf>
      <border outline="0">
        <right/>
        <bottom/>
      </border>
    </dxf>
  </rfmt>
  <rcc rId="16832" sId="5" odxf="1" dxf="1">
    <nc r="O18" t="inlineStr">
      <is>
        <t>Inventário - 7 caixas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P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Q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R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S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6833" sId="5">
    <nc r="P2">
      <v>1</v>
    </nc>
  </rcc>
  <rcc rId="16834" sId="5">
    <nc r="P11">
      <v>7</v>
    </nc>
  </rcc>
  <rcc rId="16835" sId="5">
    <nc r="Q11">
      <v>4</v>
    </nc>
  </rcc>
  <rcc rId="16836" sId="5">
    <nc r="R11">
      <v>7</v>
    </nc>
  </rcc>
  <rcc rId="16837" sId="5">
    <nc r="Q13">
      <v>1</v>
    </nc>
  </rcc>
  <rcc rId="16838" sId="5">
    <nc r="P18" t="inlineStr">
      <is>
        <t>Inventário - 7 caixas</t>
      </is>
    </nc>
  </rcc>
  <rcc rId="16839" sId="5">
    <nc r="Q18" t="inlineStr">
      <is>
        <t>Inventário - 4 caixas</t>
      </is>
    </nc>
  </rcc>
  <rcc rId="16840" sId="5">
    <nc r="R18" t="inlineStr">
      <is>
        <t>Inventário - 7 caixas</t>
      </is>
    </nc>
  </rcc>
  <rcc rId="16841" sId="5">
    <nc r="S18" t="inlineStr">
      <is>
        <t>Pesquisa e busca
Documentos referente ao Plano de Saúde de servidores.</t>
      </is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52" sId="8" odxf="1" dxf="1">
    <nc r="S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853" sId="8" odxf="1" dxf="1">
    <nc r="U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854" sId="8" odxf="1" dxf="1">
    <nc r="V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855" sId="8" odxf="1" dxf="1">
    <nc r="W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66" sId="5">
    <nc r="O15">
      <v>49</v>
    </nc>
  </rcc>
  <rcc rId="16867" sId="5">
    <nc r="P15">
      <v>50</v>
    </nc>
  </rcc>
  <rcc rId="16868" sId="5">
    <nc r="Q15">
      <v>26</v>
    </nc>
  </rcc>
  <rcc rId="16869" sId="5">
    <nc r="R15">
      <v>50</v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90" sId="8" odxf="1" dxf="1">
    <nc r="X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891" sId="8">
    <nc r="Y18" t="inlineStr">
      <is>
        <t>REMANGEMENTO DE CAIXAS PARA ELIMINAÇÃO</t>
      </is>
    </nc>
  </rcc>
  <rcc rId="16892" sId="8">
    <nc r="Y15">
      <v>52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U2" start="0" length="0">
    <dxf>
      <alignment wrapText="1" readingOrder="0"/>
    </dxf>
  </rfmt>
  <rfmt sheetId="5" sqref="V2" start="0" length="0">
    <dxf>
      <alignment wrapText="1" readingOrder="0"/>
    </dxf>
  </rfmt>
  <rfmt sheetId="5" sqref="W2" start="0" length="0">
    <dxf>
      <alignment wrapText="1" readingOrder="0"/>
    </dxf>
  </rfmt>
  <rfmt sheetId="5" sqref="X2" start="0" length="0">
    <dxf>
      <alignment wrapText="1" readingOrder="0"/>
    </dxf>
  </rfmt>
  <rfmt sheetId="5" sqref="Y2" start="0" length="0">
    <dxf>
      <alignment wrapText="1" readingOrder="0"/>
    </dxf>
  </rfmt>
  <rfmt sheetId="5" sqref="U3" start="0" length="0">
    <dxf>
      <alignment wrapText="1" readingOrder="0"/>
    </dxf>
  </rfmt>
  <rfmt sheetId="5" sqref="V3" start="0" length="0">
    <dxf>
      <alignment wrapText="1" readingOrder="0"/>
    </dxf>
  </rfmt>
  <rfmt sheetId="5" sqref="W3" start="0" length="0">
    <dxf>
      <alignment wrapText="1" readingOrder="0"/>
    </dxf>
  </rfmt>
  <rfmt sheetId="5" sqref="X3" start="0" length="0">
    <dxf>
      <alignment wrapText="1" readingOrder="0"/>
    </dxf>
  </rfmt>
  <rfmt sheetId="5" sqref="Y3" start="0" length="0">
    <dxf>
      <alignment wrapText="1" readingOrder="0"/>
    </dxf>
  </rfmt>
  <rfmt sheetId="5" sqref="U4" start="0" length="0">
    <dxf>
      <alignment wrapText="1" readingOrder="0"/>
    </dxf>
  </rfmt>
  <rfmt sheetId="5" sqref="V4" start="0" length="0">
    <dxf>
      <alignment wrapText="1" readingOrder="0"/>
    </dxf>
  </rfmt>
  <rfmt sheetId="5" sqref="W4" start="0" length="0">
    <dxf>
      <alignment wrapText="1" readingOrder="0"/>
    </dxf>
  </rfmt>
  <rfmt sheetId="5" sqref="X4" start="0" length="0">
    <dxf>
      <alignment wrapText="1" readingOrder="0"/>
    </dxf>
  </rfmt>
  <rfmt sheetId="5" sqref="Y4" start="0" length="0">
    <dxf>
      <alignment wrapText="1" readingOrder="0"/>
    </dxf>
  </rfmt>
  <rfmt sheetId="5" sqref="U5" start="0" length="0">
    <dxf>
      <alignment wrapText="1" readingOrder="0"/>
    </dxf>
  </rfmt>
  <rfmt sheetId="5" sqref="V5" start="0" length="0">
    <dxf>
      <alignment wrapText="1" readingOrder="0"/>
    </dxf>
  </rfmt>
  <rfmt sheetId="5" sqref="W5" start="0" length="0">
    <dxf>
      <alignment wrapText="1" readingOrder="0"/>
    </dxf>
  </rfmt>
  <rfmt sheetId="5" sqref="X5" start="0" length="0">
    <dxf>
      <alignment wrapText="1" readingOrder="0"/>
    </dxf>
  </rfmt>
  <rfmt sheetId="5" sqref="Y5" start="0" length="0">
    <dxf>
      <alignment wrapText="1" readingOrder="0"/>
    </dxf>
  </rfmt>
  <rfmt sheetId="5" sqref="U6" start="0" length="0">
    <dxf>
      <alignment wrapText="1" readingOrder="0"/>
    </dxf>
  </rfmt>
  <rfmt sheetId="5" sqref="V6" start="0" length="0">
    <dxf>
      <alignment wrapText="1" readingOrder="0"/>
    </dxf>
  </rfmt>
  <rfmt sheetId="5" sqref="W6" start="0" length="0">
    <dxf>
      <alignment wrapText="1" readingOrder="0"/>
    </dxf>
  </rfmt>
  <rfmt sheetId="5" sqref="X6" start="0" length="0">
    <dxf>
      <alignment wrapText="1" readingOrder="0"/>
    </dxf>
  </rfmt>
  <rfmt sheetId="5" sqref="Y6" start="0" length="0">
    <dxf>
      <alignment wrapText="1" readingOrder="0"/>
    </dxf>
  </rfmt>
  <rfmt sheetId="5" sqref="U7" start="0" length="0">
    <dxf>
      <alignment wrapText="1" readingOrder="0"/>
    </dxf>
  </rfmt>
  <rfmt sheetId="5" sqref="V7" start="0" length="0">
    <dxf>
      <alignment wrapText="1" readingOrder="0"/>
    </dxf>
  </rfmt>
  <rfmt sheetId="5" sqref="W7" start="0" length="0">
    <dxf>
      <alignment wrapText="1" readingOrder="0"/>
    </dxf>
  </rfmt>
  <rfmt sheetId="5" sqref="X7" start="0" length="0">
    <dxf>
      <alignment wrapText="1" readingOrder="0"/>
    </dxf>
  </rfmt>
  <rfmt sheetId="5" sqref="Y7" start="0" length="0">
    <dxf>
      <alignment wrapText="1" readingOrder="0"/>
    </dxf>
  </rfmt>
  <rfmt sheetId="5" sqref="U8" start="0" length="0">
    <dxf>
      <alignment wrapText="1" readingOrder="0"/>
    </dxf>
  </rfmt>
  <rfmt sheetId="5" sqref="V8" start="0" length="0">
    <dxf>
      <alignment wrapText="1" readingOrder="0"/>
    </dxf>
  </rfmt>
  <rfmt sheetId="5" sqref="W8" start="0" length="0">
    <dxf>
      <alignment wrapText="1" readingOrder="0"/>
    </dxf>
  </rfmt>
  <rfmt sheetId="5" sqref="X8" start="0" length="0">
    <dxf>
      <alignment wrapText="1" readingOrder="0"/>
    </dxf>
  </rfmt>
  <rfmt sheetId="5" sqref="Y8" start="0" length="0">
    <dxf>
      <alignment wrapText="1" readingOrder="0"/>
    </dxf>
  </rfmt>
  <rfmt sheetId="5" sqref="U9" start="0" length="0">
    <dxf>
      <alignment wrapText="1" readingOrder="0"/>
    </dxf>
  </rfmt>
  <rfmt sheetId="5" sqref="V9" start="0" length="0">
    <dxf>
      <alignment wrapText="1" readingOrder="0"/>
    </dxf>
  </rfmt>
  <rfmt sheetId="5" sqref="W9" start="0" length="0">
    <dxf>
      <alignment wrapText="1" readingOrder="0"/>
    </dxf>
  </rfmt>
  <rfmt sheetId="5" sqref="X9" start="0" length="0">
    <dxf>
      <alignment wrapText="1" readingOrder="0"/>
    </dxf>
  </rfmt>
  <rfmt sheetId="5" sqref="Y9" start="0" length="0">
    <dxf>
      <alignment wrapText="1" readingOrder="0"/>
    </dxf>
  </rfmt>
  <rfmt sheetId="5" sqref="U10" start="0" length="0">
    <dxf>
      <alignment wrapText="1" readingOrder="0"/>
    </dxf>
  </rfmt>
  <rfmt sheetId="5" sqref="V10" start="0" length="0">
    <dxf>
      <alignment wrapText="1" readingOrder="0"/>
    </dxf>
  </rfmt>
  <rfmt sheetId="5" sqref="W10" start="0" length="0">
    <dxf>
      <alignment wrapText="1" readingOrder="0"/>
    </dxf>
  </rfmt>
  <rfmt sheetId="5" sqref="X10" start="0" length="0">
    <dxf>
      <alignment wrapText="1" readingOrder="0"/>
    </dxf>
  </rfmt>
  <rfmt sheetId="5" sqref="Y10" start="0" length="0">
    <dxf>
      <alignment wrapText="1" readingOrder="0"/>
    </dxf>
  </rfmt>
  <rfmt sheetId="5" sqref="U11" start="0" length="0">
    <dxf>
      <alignment wrapText="1" readingOrder="0"/>
    </dxf>
  </rfmt>
  <rfmt sheetId="5" sqref="V11" start="0" length="0">
    <dxf>
      <alignment wrapText="1" readingOrder="0"/>
    </dxf>
  </rfmt>
  <rfmt sheetId="5" sqref="W11" start="0" length="0">
    <dxf>
      <alignment wrapText="1" readingOrder="0"/>
    </dxf>
  </rfmt>
  <rfmt sheetId="5" sqref="X11" start="0" length="0">
    <dxf>
      <alignment wrapText="1" readingOrder="0"/>
    </dxf>
  </rfmt>
  <rfmt sheetId="5" sqref="Y11" start="0" length="0">
    <dxf>
      <alignment wrapText="1" readingOrder="0"/>
    </dxf>
  </rfmt>
  <rfmt sheetId="5" sqref="U12" start="0" length="0">
    <dxf>
      <alignment wrapText="1" readingOrder="0"/>
    </dxf>
  </rfmt>
  <rfmt sheetId="5" sqref="V12" start="0" length="0">
    <dxf>
      <alignment wrapText="1" readingOrder="0"/>
    </dxf>
  </rfmt>
  <rfmt sheetId="5" sqref="W12" start="0" length="0">
    <dxf>
      <alignment wrapText="1" readingOrder="0"/>
    </dxf>
  </rfmt>
  <rfmt sheetId="5" sqref="X12" start="0" length="0">
    <dxf>
      <alignment wrapText="1" readingOrder="0"/>
    </dxf>
  </rfmt>
  <rfmt sheetId="5" sqref="Y12" start="0" length="0">
    <dxf>
      <alignment wrapText="1" readingOrder="0"/>
    </dxf>
  </rfmt>
  <rfmt sheetId="5" sqref="U13" start="0" length="0">
    <dxf>
      <alignment wrapText="1" readingOrder="0"/>
    </dxf>
  </rfmt>
  <rfmt sheetId="5" sqref="V13" start="0" length="0">
    <dxf>
      <alignment wrapText="1" readingOrder="0"/>
    </dxf>
  </rfmt>
  <rfmt sheetId="5" sqref="W13" start="0" length="0">
    <dxf>
      <alignment wrapText="1" readingOrder="0"/>
    </dxf>
  </rfmt>
  <rfmt sheetId="5" sqref="X13" start="0" length="0">
    <dxf>
      <alignment wrapText="1" readingOrder="0"/>
    </dxf>
  </rfmt>
  <rfmt sheetId="5" sqref="Y13" start="0" length="0">
    <dxf>
      <alignment wrapText="1" readingOrder="0"/>
    </dxf>
  </rfmt>
  <rfmt sheetId="5" sqref="U14" start="0" length="0">
    <dxf>
      <alignment wrapText="1" readingOrder="0"/>
    </dxf>
  </rfmt>
  <rfmt sheetId="5" sqref="V14" start="0" length="0">
    <dxf>
      <alignment wrapText="1" readingOrder="0"/>
    </dxf>
  </rfmt>
  <rfmt sheetId="5" sqref="W14" start="0" length="0">
    <dxf>
      <alignment wrapText="1" readingOrder="0"/>
    </dxf>
  </rfmt>
  <rfmt sheetId="5" sqref="X14" start="0" length="0">
    <dxf>
      <alignment wrapText="1" readingOrder="0"/>
    </dxf>
  </rfmt>
  <rfmt sheetId="5" sqref="Y14" start="0" length="0">
    <dxf>
      <alignment wrapText="1" readingOrder="0"/>
    </dxf>
  </rfmt>
  <rfmt sheetId="5" sqref="U15" start="0" length="0">
    <dxf>
      <alignment wrapText="1" readingOrder="0"/>
    </dxf>
  </rfmt>
  <rfmt sheetId="5" sqref="V15" start="0" length="0">
    <dxf>
      <alignment wrapText="1" readingOrder="0"/>
    </dxf>
  </rfmt>
  <rfmt sheetId="5" sqref="W15" start="0" length="0">
    <dxf>
      <alignment wrapText="1" readingOrder="0"/>
    </dxf>
  </rfmt>
  <rfmt sheetId="5" sqref="X15" start="0" length="0">
    <dxf>
      <alignment wrapText="1" readingOrder="0"/>
    </dxf>
  </rfmt>
  <rfmt sheetId="5" sqref="Y15" start="0" length="0">
    <dxf>
      <alignment wrapText="1" readingOrder="0"/>
    </dxf>
  </rfmt>
  <rfmt sheetId="5" sqref="U16" start="0" length="0">
    <dxf>
      <alignment wrapText="1" readingOrder="0"/>
    </dxf>
  </rfmt>
  <rfmt sheetId="5" sqref="V16" start="0" length="0">
    <dxf>
      <alignment wrapText="1" readingOrder="0"/>
    </dxf>
  </rfmt>
  <rfmt sheetId="5" sqref="W16" start="0" length="0">
    <dxf>
      <alignment wrapText="1" readingOrder="0"/>
    </dxf>
  </rfmt>
  <rfmt sheetId="5" sqref="X16" start="0" length="0">
    <dxf>
      <alignment wrapText="1" readingOrder="0"/>
    </dxf>
  </rfmt>
  <rfmt sheetId="5" sqref="Y16" start="0" length="0">
    <dxf>
      <alignment wrapText="1" readingOrder="0"/>
    </dxf>
  </rfmt>
  <rfmt sheetId="5" sqref="U17" start="0" length="0">
    <dxf>
      <alignment wrapText="1" readingOrder="0"/>
      <border outline="0">
        <bottom/>
      </border>
    </dxf>
  </rfmt>
  <rfmt sheetId="5" sqref="V17" start="0" length="0">
    <dxf>
      <alignment wrapText="1" readingOrder="0"/>
      <border outline="0">
        <bottom/>
      </border>
    </dxf>
  </rfmt>
  <rfmt sheetId="5" sqref="W17" start="0" length="0">
    <dxf>
      <alignment wrapText="1" readingOrder="0"/>
      <border outline="0">
        <bottom/>
      </border>
    </dxf>
  </rfmt>
  <rfmt sheetId="5" sqref="X17" start="0" length="0">
    <dxf>
      <alignment wrapText="1" readingOrder="0"/>
      <border outline="0">
        <bottom/>
      </border>
    </dxf>
  </rfmt>
  <rfmt sheetId="5" sqref="Y17" start="0" length="0">
    <dxf>
      <alignment wrapText="1" readingOrder="0"/>
      <border outline="0">
        <bottom/>
      </border>
    </dxf>
  </rfmt>
  <rcc rId="16903" sId="5">
    <nc r="U18" t="inlineStr">
      <is>
        <t xml:space="preserve"> Pesquisa e busca
Documentos referente ao Plano de 
Saúde de servidores.</t>
      </is>
    </nc>
  </rcc>
  <rfmt sheetId="5" sqref="W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X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6904" sId="5">
    <nc r="V4">
      <v>7</v>
    </nc>
  </rcc>
  <rcc rId="16905" sId="5">
    <nc r="V13">
      <v>1</v>
    </nc>
  </rcc>
  <rcc rId="16906" sId="5">
    <nc r="V18" t="inlineStr">
      <is>
        <t>1. Arquivamento DEFNAS.
2.  Pesquisa e busca
Documentos referente ao Plano de 
Saúde de servidores.</t>
      </is>
    </nc>
  </rcc>
  <rcc rId="16907" sId="5" odxf="1" dxf="1">
    <nc r="W18" t="inlineStr">
      <is>
        <t>Pesquisa e busca
Documentos referente ao Plano de Saúde de servidores.</t>
      </is>
    </nc>
    <ndxf>
      <border outline="0">
        <left/>
        <right/>
        <top/>
        <bottom/>
      </border>
    </ndxf>
  </rcc>
  <rcc rId="16908" sId="5" odxf="1" dxf="1">
    <nc r="X18" t="inlineStr">
      <is>
        <t>Pesquisa e busca
Documentos referente ao Plano de Saúde de servidores.</t>
      </is>
    </nc>
    <ndxf>
      <border outline="0">
        <left/>
        <right/>
        <top/>
        <bottom/>
      </border>
    </ndxf>
  </rcc>
  <rcc rId="16909" sId="5">
    <nc r="Y18" t="inlineStr">
      <is>
        <r>
          <t xml:space="preserve"> Contagem caixas da LBA - Bloco A sala G-15.
</t>
        </r>
        <r>
          <rPr>
            <b/>
            <u/>
            <sz val="11"/>
            <color theme="1"/>
            <rFont val="Aptos Narrow"/>
          </rPr>
          <t>Total: 2.157 caixas</t>
        </r>
        <r>
          <rPr>
            <sz val="11"/>
            <color theme="1"/>
            <rFont val="Aptos Narrow"/>
            <family val="2"/>
          </rPr>
          <t>.</t>
        </r>
      </is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30" sId="8">
    <nc r="AC18" t="inlineStr">
      <is>
        <t>REMANGEMENTO DE CAIXAS PARA ELIMINAÇÃO</t>
      </is>
    </nc>
  </rcc>
  <rcc rId="16931" sId="8">
    <nc r="AC15">
      <v>52</v>
    </nc>
  </rcc>
  <rfmt sheetId="8" sqref="AA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6932" sId="8" odxf="1" dxf="1">
    <nc r="AB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933" sId="8">
    <nc r="AA18" t="inlineStr">
      <is>
        <t>Pesquisa e busca
Documentos referente ao Plano de Saúde de servidores. Reúniaõ de equipe com chefia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34" sId="4" odxf="1" dxf="1">
    <nc r="S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935" sId="4" odxf="1" dxf="1">
    <nc r="U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936" sId="4" odxf="1" dxf="1">
    <nc r="V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937" sId="4" odxf="1" dxf="1">
    <nc r="W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938" sId="4">
    <nc r="X18" t="inlineStr">
      <is>
        <t>ATESTADO</t>
      </is>
    </nc>
  </rcc>
  <rcc rId="16939" sId="4">
    <nc r="Y18" t="inlineStr">
      <is>
        <t>ATESTADO</t>
      </is>
    </nc>
  </rcc>
  <rcc rId="16940" sId="4">
    <nc r="AA18" t="inlineStr">
      <is>
        <t>PEGANDO AS PASTAS FUNCIONAIS</t>
      </is>
    </nc>
  </rcc>
  <rcc rId="16941" sId="4">
    <nc r="AB18" t="inlineStr">
      <is>
        <t>PEGANDO AS PASTAS FUNCIONAIS</t>
      </is>
    </nc>
  </rcc>
  <rcc rId="16942" sId="4">
    <nc r="AA15">
      <v>10</v>
    </nc>
  </rcc>
  <rcc rId="16943" sId="4">
    <nc r="AB15">
      <v>10</v>
    </nc>
  </rcc>
  <rcc rId="16944" sId="4" odxf="1" dxf="1">
    <nc r="AA19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945" sId="4" odxf="1" dxf="1">
    <nc r="AB19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946" sId="4">
    <nc r="AC18" t="inlineStr">
      <is>
        <t>PEGANDO AS PASTAS FUNCIONAIS</t>
      </is>
    </nc>
  </rcc>
  <rcc rId="16947" sId="4">
    <nc r="AC13">
      <v>1</v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TOTAL!$A$1:$A$19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58" sId="4" odxf="1" dxf="1">
    <nc r="R19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59" sId="6">
    <nc r="U18" t="inlineStr">
      <is>
        <t xml:space="preserve">MECHENDO NO NOVO SISTEMA </t>
      </is>
    </nc>
  </rcc>
  <rcc rId="16960" sId="6">
    <nc r="V18" t="inlineStr">
      <is>
        <t xml:space="preserve">MECHENDO NO NOVO SISTEMA </t>
      </is>
    </nc>
  </rcc>
  <rcc rId="16961" sId="6">
    <nc r="X18" t="inlineStr">
      <is>
        <t xml:space="preserve">MECHENDO NO NOVO SISTEMA </t>
      </is>
    </nc>
  </rcc>
  <rcc rId="16962" sId="6">
    <nc r="Y18" t="inlineStr">
      <is>
        <t xml:space="preserve">MECHENDO NO NOVO SISTEMA </t>
      </is>
    </nc>
  </rcc>
  <rcc rId="16963" sId="6">
    <nc r="W18" t="inlineStr">
      <is>
        <t>ATESTADO</t>
      </is>
    </nc>
  </rcc>
  <rcc rId="16964" sId="6">
    <nc r="AA18" t="inlineStr">
      <is>
        <t xml:space="preserve">MECHENDO NO NOVO SISTEMA </t>
      </is>
    </nc>
  </rcc>
  <rcc rId="16965" sId="6" odxf="1" dxf="1">
    <nc r="AB18" t="inlineStr">
      <is>
        <t xml:space="preserve">MECHENDO NO NOVO SISTEMA </t>
      </is>
    </nc>
    <odxf>
      <alignment wrapText="0"/>
    </odxf>
    <ndxf>
      <alignment wrapText="1"/>
    </ndxf>
  </rcc>
  <rcc rId="16966" sId="6">
    <nc r="AC18" t="inlineStr">
      <is>
        <t xml:space="preserve">MECHENDO NO NOVO SISTEMA </t>
      </is>
    </nc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Leonardo!$A$1:$A$5</formula>
    <oldFormula>Leonardo!$A$1:$A$5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77" sId="7">
    <nc r="U18" t="inlineStr">
      <is>
        <t xml:space="preserve"> Pesquisa e busca
Documentos referente ao Plano de 
Saúde de servidores.</t>
      </is>
    </nc>
  </rcc>
  <rcc rId="16978" sId="7">
    <nc r="V18" t="inlineStr">
      <is>
        <t>1. Arquivamento DEFNAS.
2.  Pesquisa e busca
Documentos referente ao Plano de 
Saúde de servidores.</t>
      </is>
    </nc>
  </rcc>
  <rcc rId="16979" sId="7">
    <nc r="W18" t="inlineStr">
      <is>
        <t>Pesquisa e busca
Documentos referente ao Plano de Saúde de servidores.</t>
      </is>
    </nc>
  </rcc>
  <rcc rId="16980" sId="7">
    <nc r="X18" t="inlineStr">
      <is>
        <t>Pesquisa e busca
Documentos referente ao Plano de Saúde de servidores.</t>
      </is>
    </nc>
  </rcc>
  <rcc rId="16981" sId="7">
    <nc r="Y18" t="inlineStr">
      <is>
        <t>Pesquisa e busca
Documentos referente ao Plano de Saúde de servidores.</t>
      </is>
    </nc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82" sId="10">
    <nc r="O11">
      <v>2</v>
    </nc>
  </rcc>
  <rcc rId="16983" sId="10">
    <nc r="P11">
      <v>11</v>
    </nc>
  </rcc>
  <rcc rId="16984" sId="10">
    <nc r="Q11">
      <v>2</v>
    </nc>
  </rcc>
  <rcc rId="16985" sId="10">
    <nc r="R11">
      <v>7</v>
    </nc>
  </rcc>
  <rcc rId="16986" sId="10">
    <nc r="S11">
      <v>8</v>
    </nc>
  </rcc>
  <rcc rId="16987" sId="10">
    <nc r="U11">
      <v>2</v>
    </nc>
  </rcc>
  <rcc rId="16988" sId="10">
    <nc r="V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989" sId="10">
    <nc r="W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990" sId="10">
    <nc r="X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991" sId="10">
    <nc r="U18" t="inlineStr">
      <is>
        <t>Alimentação de planilha de controle de atividades (Gustavo)</t>
      </is>
    </nc>
  </rcc>
  <rcc rId="16992" sId="10">
    <nc r="AB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nc>
  </rcc>
  <rcc rId="16993" sId="10">
    <nc r="AA18" t="inlineStr">
      <is>
        <t>Alimentação de planilha de controle de atividades (Gustavo)</t>
      </is>
    </nc>
  </rcc>
  <rcc rId="16994" sId="10">
    <nc r="AB2">
      <v>1</v>
    </nc>
  </rcc>
  <rcc rId="16995" sId="10">
    <nc r="AB3">
      <v>3</v>
    </nc>
  </rcc>
  <rfmt sheetId="5" sqref="U17:Y17" start="0" length="0">
    <dxf>
      <border>
        <bottom style="thin">
          <color indexed="64"/>
        </bottom>
      </border>
    </dxf>
  </rfmt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96" sId="8">
    <nc r="AE18" t="inlineStr">
      <is>
        <t>FERIADO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66" sId="4">
    <nc r="C17">
      <v>10</v>
    </nc>
  </rcc>
  <rcc rId="16467" sId="4">
    <nc r="D17">
      <v>10</v>
    </nc>
  </rcc>
  <rcc rId="16468" sId="4">
    <nc r="E17">
      <v>10</v>
    </nc>
  </rcc>
  <rcc rId="16469" sId="4">
    <nc r="F17">
      <v>10</v>
    </nc>
  </rcc>
  <rcc rId="16470" sId="4">
    <nc r="C18" t="inlineStr">
      <is>
        <t xml:space="preserve">trocando as caixas </t>
      </is>
    </nc>
  </rcc>
  <rcc rId="16471" sId="4">
    <nc r="D18" t="inlineStr">
      <is>
        <t xml:space="preserve">trocando as caixas </t>
      </is>
    </nc>
  </rcc>
  <rcc rId="16472" sId="4">
    <nc r="E18" t="inlineStr">
      <is>
        <t xml:space="preserve">trocando as caixas </t>
      </is>
    </nc>
  </rcc>
  <rcc rId="16473" sId="4">
    <nc r="F18" t="inlineStr">
      <is>
        <t xml:space="preserve">trocando as caixas </t>
      </is>
    </nc>
  </rcc>
  <rcc rId="16474" sId="4">
    <nc r="G18" t="inlineStr">
      <is>
        <t xml:space="preserve">trocando as caixas </t>
      </is>
    </nc>
  </rcc>
  <rcc rId="16475" sId="4">
    <nc r="G17">
      <v>10</v>
    </nc>
  </rcc>
  <rcc rId="16476" sId="4">
    <nc r="E19" t="inlineStr">
      <is>
        <t>procurando caixas da cgeof/senarc</t>
      </is>
    </nc>
  </rcc>
  <rcc rId="16477" sId="4">
    <nc r="F19" t="inlineStr">
      <is>
        <t>procurando caixas da cgeof/senarc</t>
      </is>
    </nc>
  </rcc>
  <rcc rId="16478" sId="4">
    <nc r="D19" t="inlineStr">
      <is>
        <t>procurando caixas da cgeof/senarc</t>
      </is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499" sId="8">
    <nc r="G18" t="inlineStr">
      <is>
        <t xml:space="preserve">TROCA DE CAIXAS DE PLÁSTICO </t>
      </is>
    </nc>
  </rcc>
  <rcc rId="16500" sId="8">
    <nc r="G17">
      <v>9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46" sId="6" odxf="1" dxf="1">
    <nc r="C17">
      <v>10</v>
    </nc>
    <odxf>
      <border outline="0">
        <left/>
      </border>
    </odxf>
    <ndxf>
      <border outline="0">
        <left style="thin">
          <color indexed="64"/>
        </left>
      </border>
    </ndxf>
  </rcc>
  <rcc rId="16547" sId="6">
    <nc r="D17">
      <v>10</v>
    </nc>
  </rcc>
  <rcc rId="16548" sId="6">
    <nc r="E17">
      <v>10</v>
    </nc>
  </rcc>
  <rcc rId="16549" sId="6">
    <nc r="F17">
      <v>10</v>
    </nc>
  </rcc>
  <rcc rId="16550" sId="6" odxf="1" dxf="1">
    <nc r="G17">
      <v>10</v>
    </nc>
    <odxf>
      <border outline="0">
        <right/>
      </border>
    </odxf>
    <ndxf>
      <border outline="0">
        <right style="thin">
          <color indexed="64"/>
        </right>
      </border>
    </ndxf>
  </rcc>
  <rcc rId="16551" sId="6">
    <nc r="C18" t="inlineStr">
      <is>
        <t xml:space="preserve">trocando as caixas </t>
      </is>
    </nc>
  </rcc>
  <rcc rId="16552" sId="6">
    <nc r="D18" t="inlineStr">
      <is>
        <t xml:space="preserve">trocando as caixas </t>
      </is>
    </nc>
  </rcc>
  <rcc rId="16553" sId="6">
    <nc r="E18" t="inlineStr">
      <is>
        <t xml:space="preserve">trocando as caixas </t>
      </is>
    </nc>
  </rcc>
  <rcc rId="16554" sId="6">
    <nc r="F18" t="inlineStr">
      <is>
        <t xml:space="preserve">trocando as caixas </t>
      </is>
    </nc>
  </rcc>
  <rcc rId="16555" sId="6">
    <nc r="G18" t="inlineStr">
      <is>
        <t xml:space="preserve">trocando as caixas </t>
      </is>
    </nc>
  </rcc>
  <rfmt sheetId="6" sqref="C19" start="0" length="0">
    <dxf>
      <alignment wrapText="1"/>
    </dxf>
  </rfmt>
  <rcc rId="16556" sId="6" odxf="1" dxf="1">
    <nc r="D19" t="inlineStr">
      <is>
        <t>procurando caixas da cgeof/senarc</t>
      </is>
    </nc>
    <odxf>
      <alignment wrapText="0"/>
    </odxf>
    <ndxf>
      <alignment wrapText="1"/>
    </ndxf>
  </rcc>
  <rcc rId="16557" sId="6" odxf="1" dxf="1">
    <nc r="E19" t="inlineStr">
      <is>
        <t>procurando caixas da cgeof/senarc</t>
      </is>
    </nc>
    <odxf>
      <alignment wrapText="0"/>
    </odxf>
    <ndxf>
      <alignment wrapText="1"/>
    </ndxf>
  </rcc>
  <rcc rId="16558" sId="6">
    <nc r="F19" t="inlineStr">
      <is>
        <t>procurando caixas da cgeof/senarc</t>
      </is>
    </nc>
  </rcc>
  <rfmt sheetId="6" sqref="G19" start="0" length="0">
    <dxf>
      <alignment wrapText="1"/>
    </dxf>
  </rfmt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Leonardo!$A$1:$A$5</formula>
    <oldFormula>Leonardo!$A$1:$A$5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69" sId="6">
    <nc r="G19" t="inlineStr">
      <is>
        <t xml:space="preserve">almoço em comemoração ao aniversario da Patricia, e fomo liberados mais cedo </t>
      </is>
    </nc>
  </rcc>
  <rcc rId="16570" sId="6">
    <oc r="F19" t="inlineStr">
      <is>
        <t>procurando caixas da cgeof/senarc</t>
      </is>
    </oc>
    <nc r="F19" t="inlineStr">
      <is>
        <t xml:space="preserve">ajudando o Danilo em um despacho de arquivamento </t>
      </is>
    </nc>
  </rcc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71" sId="7" odxf="1" dxf="1">
    <nc r="C17">
      <v>10</v>
    </nc>
    <odxf>
      <border outline="0">
        <left/>
      </border>
    </odxf>
    <ndxf>
      <border outline="0">
        <left style="thin">
          <color indexed="64"/>
        </left>
      </border>
    </ndxf>
  </rcc>
  <rcc rId="16572" sId="7">
    <nc r="D17">
      <v>10</v>
    </nc>
  </rcc>
  <rcc rId="16573" sId="7">
    <nc r="E17">
      <v>10</v>
    </nc>
  </rcc>
  <rcc rId="16574" sId="7">
    <nc r="F17">
      <v>10</v>
    </nc>
  </rcc>
  <rcc rId="16575" sId="7" odxf="1" dxf="1">
    <nc r="G17">
      <v>10</v>
    </nc>
    <odxf>
      <border outline="0">
        <right/>
      </border>
    </odxf>
    <ndxf>
      <border outline="0">
        <right style="thin">
          <color indexed="64"/>
        </right>
      </border>
    </ndxf>
  </rcc>
  <rcc rId="16576" sId="7">
    <nc r="C18" t="inlineStr">
      <is>
        <t xml:space="preserve">trocando as caixas </t>
      </is>
    </nc>
  </rcc>
  <rcc rId="16577" sId="7">
    <nc r="D18" t="inlineStr">
      <is>
        <t xml:space="preserve">trocando as caixas </t>
      </is>
    </nc>
  </rcc>
  <rcc rId="16578" sId="7">
    <nc r="E18" t="inlineStr">
      <is>
        <t xml:space="preserve">trocando as caixas </t>
      </is>
    </nc>
  </rcc>
  <rcc rId="16579" sId="7">
    <nc r="F18" t="inlineStr">
      <is>
        <t xml:space="preserve">trocando as caixas </t>
      </is>
    </nc>
  </rcc>
  <rcc rId="16580" sId="7">
    <nc r="G18" t="inlineStr">
      <is>
        <t xml:space="preserve">trocando as caixas </t>
      </is>
    </nc>
  </rcc>
  <rfmt sheetId="7" sqref="C19" start="0" length="0">
    <dxf>
      <alignment wrapText="1"/>
    </dxf>
  </rfmt>
  <rcc rId="16581" sId="7" odxf="1" dxf="1">
    <nc r="D19" t="inlineStr">
      <is>
        <t>procurando caixas da cgeof/senarc</t>
      </is>
    </nc>
    <odxf>
      <alignment wrapText="0"/>
    </odxf>
    <ndxf>
      <alignment wrapText="1"/>
    </ndxf>
  </rcc>
  <rcc rId="16582" sId="7" odxf="1" dxf="1">
    <nc r="E19" t="inlineStr">
      <is>
        <t>procurando caixas da cgeof/senarc</t>
      </is>
    </nc>
    <odxf>
      <alignment wrapText="0"/>
    </odxf>
    <ndxf>
      <alignment wrapText="1"/>
    </ndxf>
  </rcc>
  <rcc rId="16583" sId="7" odxf="1" dxf="1">
    <nc r="G19" t="inlineStr">
      <is>
        <t xml:space="preserve">almoço em comemoração ao aniversario da Patricia, e fomo liberados mais cedo </t>
      </is>
    </nc>
    <odxf>
      <alignment wrapText="0"/>
    </odxf>
    <ndxf>
      <alignment wrapText="1"/>
    </ndxf>
  </rcc>
  <rcc rId="16584" sId="7">
    <nc r="F19" t="inlineStr">
      <is>
        <t xml:space="preserve"> despacho de arquivamento </t>
      </is>
    </nc>
  </rcc>
  <rcc rId="16585" sId="7">
    <nc r="F13">
      <v>1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TOTAL!$A$1:$A$19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596" sId="6">
    <nc r="I18" t="inlineStr">
      <is>
        <t xml:space="preserve">reunião com o Pedro 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xfDxf="1" sqref="I18" start="0" length="0">
    <dxf>
      <alignment horizontal="center" vertical="center" wrapText="1"/>
    </dxf>
  </rfmt>
  <rcc rId="16597" sId="8">
    <nc r="I18" t="inlineStr">
      <is>
        <t>REÚNIÃO COM PEDRO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08" sId="4">
    <nc r="I18" t="inlineStr">
      <is>
        <t xml:space="preserve">Reunião com pedro </t>
      </is>
    </nc>
  </rcc>
  <rcc rId="16609" sId="4">
    <nc r="J18" t="inlineStr">
      <is>
        <t xml:space="preserve">Orientação do serviço pela parte da manha </t>
      </is>
    </nc>
  </rcc>
  <rcc rId="16610" sId="4">
    <nc r="J19" t="inlineStr">
      <is>
        <t xml:space="preserve">Reunião da equipe pela parte da tarde </t>
      </is>
    </nc>
  </rcc>
  <rcc rId="16611" sId="4">
    <nc r="K18" t="inlineStr">
      <is>
        <t xml:space="preserve">trocando as caixas </t>
      </is>
    </nc>
  </rcc>
  <rcc rId="16612" sId="4">
    <nc r="L18" t="inlineStr">
      <is>
        <t xml:space="preserve">trocando as caixas </t>
      </is>
    </nc>
  </rcc>
  <rcc rId="16613" sId="4" odxf="1" dxf="1">
    <nc r="K17">
      <v>10</v>
    </nc>
    <odxf>
      <border outline="0">
        <right/>
      </border>
    </odxf>
    <ndxf>
      <border outline="0">
        <right style="thin">
          <color indexed="64"/>
        </right>
      </border>
    </ndxf>
  </rcc>
  <rcc rId="16614" sId="4" odxf="1" dxf="1">
    <nc r="L17">
      <v>10</v>
    </nc>
    <odxf>
      <border outline="0">
        <right/>
      </border>
    </odxf>
    <ndxf>
      <border outline="0">
        <right style="thin">
          <color indexed="64"/>
        </right>
      </border>
    </ndxf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TOTAL!$A$1:$A$19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25" sId="8">
    <nc r="K18" t="inlineStr">
      <is>
        <t xml:space="preserve">TROCA DE CAIXAS DE PLÁSTICO </t>
      </is>
    </nc>
  </rcc>
  <rcc rId="16626" sId="8">
    <nc r="K17">
      <v>11</v>
    </nc>
  </rcc>
  <rcc rId="16627" sId="8">
    <nc r="J18" t="inlineStr">
      <is>
        <t>REÚNIÃO PARA ORIENTAÇÕES DE PONTO E SERVIÇOS</t>
      </is>
    </nc>
  </rcc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28" sId="6">
    <nc r="J18" t="inlineStr">
      <is>
        <t>reunião de equipe</t>
      </is>
    </nc>
  </rcc>
  <rcc rId="16629" sId="6">
    <nc r="J17">
      <v>5</v>
    </nc>
  </rcc>
  <rcc rId="16630" sId="6">
    <nc r="K17">
      <v>10</v>
    </nc>
  </rcc>
  <rcc rId="16631" sId="6">
    <nc r="L17">
      <v>10</v>
    </nc>
  </rcc>
  <rcc rId="16632" sId="6">
    <nc r="K18" t="inlineStr">
      <is>
        <t xml:space="preserve">trocando as caixas </t>
      </is>
    </nc>
  </rcc>
  <rcc rId="16633" sId="6">
    <nc r="L18" t="inlineStr">
      <is>
        <t xml:space="preserve">trocando as caixas </t>
      </is>
    </nc>
  </rcc>
  <rcc rId="16634" sId="6">
    <nc r="I17">
      <v>5</v>
    </nc>
  </rcc>
  <rfmt sheetId="6" sqref="I19" start="0" length="0">
    <dxf>
      <alignment wrapText="1"/>
    </dxf>
  </rfmt>
  <rcc rId="16635" sId="6">
    <nc r="I19" t="inlineStr">
      <is>
        <t xml:space="preserve">trocando as caixas </t>
      </is>
    </nc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Leonardo!$A$1:$A$5</formula>
    <oldFormula>Leonardo!$A$1:$A$5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17:G17" start="0" length="0">
    <dxf>
      <border>
        <bottom style="thin">
          <color indexed="64"/>
        </bottom>
      </border>
    </dxf>
  </rfmt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46" sId="10">
    <nc r="I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647" sId="10">
    <nc r="J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648" sId="10">
    <nc r="K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cc rId="16649" sId="10">
    <nc r="L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</rcc>
  <rfmt sheetId="10" sqref="N18" start="0" length="0">
    <dxf>
      <font>
        <b/>
        <sz val="11"/>
        <color theme="1"/>
        <name val="Aptos Narrow"/>
        <family val="2"/>
        <scheme val="minor"/>
      </font>
      <alignment wrapText="1"/>
    </dxf>
  </rfmt>
  <rcc rId="16650" sId="10">
    <nc r="M18" t="inlineStr">
      <is>
        <t>Separação de caixas para eliminação sala 4.47</t>
      </is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L5" start="0" length="0">
    <dxf>
      <font>
        <b val="0"/>
        <sz val="11"/>
        <color theme="1"/>
        <name val="Aptos Narrow"/>
        <family val="2"/>
        <scheme val="minor"/>
      </font>
    </dxf>
  </rfmt>
  <rfmt sheetId="5" sqref="L6" start="0" length="0">
    <dxf>
      <font>
        <b val="0"/>
        <sz val="11"/>
        <color theme="1"/>
        <name val="Aptos Narrow"/>
        <family val="2"/>
        <scheme val="minor"/>
      </font>
    </dxf>
  </rfmt>
  <rfmt sheetId="5" sqref="I17" start="0" length="0">
    <dxf>
      <border outline="0">
        <bottom/>
      </border>
    </dxf>
  </rfmt>
  <rfmt sheetId="5" sqref="J17" start="0" length="0">
    <dxf>
      <border outline="0">
        <bottom/>
      </border>
    </dxf>
  </rfmt>
  <rcc rId="16661" sId="5" odxf="1" dxf="1">
    <nc r="K17">
      <v>5</v>
    </nc>
    <odxf>
      <border outline="0">
        <bottom style="thin">
          <color indexed="64"/>
        </bottom>
      </border>
    </odxf>
    <ndxf>
      <border outline="0">
        <bottom/>
      </border>
    </ndxf>
  </rcc>
  <rcc rId="16662" sId="5" odxf="1" dxf="1">
    <nc r="L17">
      <v>7</v>
    </nc>
    <odxf>
      <border outline="0">
        <bottom style="thin">
          <color indexed="64"/>
        </bottom>
      </border>
    </odxf>
    <ndxf>
      <border outline="0">
        <bottom/>
      </border>
    </ndxf>
  </rcc>
  <rcc rId="16663" sId="5" odxf="1" dxf="1">
    <nc r="M17">
      <v>10</v>
    </nc>
    <odxf>
      <border outline="0">
        <bottom style="thin">
          <color indexed="64"/>
        </bottom>
      </border>
    </odxf>
    <ndxf>
      <border outline="0">
        <bottom/>
      </border>
    </ndxf>
  </rcc>
  <rcc rId="16664" sId="5">
    <nc r="I18" t="inlineStr">
      <is>
        <t xml:space="preserve"> 1. Pela manhã, aguardando reunião com a chefe Patrícia e Leonardo.
Reunião cancelada.
2. À tarde reunião com Pedro da CGLA.
Reunião sobre o sistema CGLA.
Obs.: Mas como iniciou perto de 16h eu tive que ir embora pegar minha filha.</t>
      </is>
    </nc>
  </rcc>
  <rcc rId="16665" sId="5">
    <nc r="J18" t="inlineStr">
      <is>
        <t>1. Pela manhã, aguardando reunião com a chefe Patrícia e Leonardo.
Reunião cancelada.
2. À tarde, reunião com a chefe Patrícia e Leonardo.</t>
      </is>
    </nc>
  </rcc>
  <rcc rId="16666" sId="5">
    <nc r="K18" t="inlineStr">
      <is>
        <t xml:space="preserve"> 1. Troca de caixa e espelho.
Total 5 caixas.
2. À tarde fui para o Bloco A, com o a Alessandro, para realocar uma caixa do Esporte que estava na G-15.
Processo no SEI foi finalizado com Despacho com a localização correta.</t>
      </is>
    </nc>
  </rcc>
  <rcc rId="16667" sId="5" odxf="1" dxf="1">
    <nc r="L18" t="inlineStr">
      <is>
        <t>Troca de caixa e espelho.
Total 7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668" sId="5" odxf="1" dxf="1">
    <nc r="M18" t="inlineStr">
      <is>
        <t>Troca de caixa e espelho.
Total 10 caixas.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79" sId="8">
    <nc r="L18" t="inlineStr">
      <is>
        <t xml:space="preserve">TROCA DE CAIXAS DE PLÁSTICO </t>
      </is>
    </nc>
  </rcc>
  <rcc rId="16680" sId="8">
    <nc r="M18" t="inlineStr">
      <is>
        <t xml:space="preserve">TROCA DE CAIXAS DE PLÁSTICO </t>
      </is>
    </nc>
  </rcc>
  <rcc rId="16681" sId="8">
    <nc r="L17">
      <v>10</v>
    </nc>
  </rcc>
  <rcc rId="16682" sId="8">
    <nc r="M17">
      <v>12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93" sId="7">
    <nc r="I18" t="inlineStr">
      <is>
        <t xml:space="preserve">reunião com o Pedro </t>
      </is>
    </nc>
  </rcc>
  <rcc rId="16694" sId="7">
    <nc r="J18" t="inlineStr">
      <is>
        <t>reunião de equipe</t>
      </is>
    </nc>
  </rcc>
  <rcc rId="16695" sId="7">
    <nc r="K18" t="inlineStr">
      <is>
        <t xml:space="preserve">trocando as caixas </t>
      </is>
    </nc>
  </rcc>
  <rcc rId="16696" sId="7">
    <nc r="L18" t="inlineStr">
      <is>
        <t xml:space="preserve">trocando as caixas </t>
      </is>
    </nc>
  </rcc>
  <rcc rId="16697" sId="7" odxf="1" dxf="1">
    <nc r="I19" t="inlineStr">
      <is>
        <t xml:space="preserve">trocando as caixas </t>
      </is>
    </nc>
    <odxf>
      <alignment wrapText="0"/>
    </odxf>
    <ndxf>
      <alignment wrapText="1"/>
    </ndxf>
  </rcc>
  <rcc rId="16698" sId="7">
    <nc r="M18" t="inlineStr">
      <is>
        <t>trocando as caixas</t>
      </is>
    </nc>
  </rcc>
  <rcc rId="16699" sId="7" odxf="1" dxf="1">
    <nc r="J19" t="inlineStr">
      <is>
        <t xml:space="preserve">trocando as caixas </t>
      </is>
    </nc>
    <ndxf>
      <alignment wrapText="1"/>
    </ndxf>
  </rcc>
  <rcc rId="16700" sId="7">
    <nc r="J17">
      <v>4</v>
    </nc>
  </rcc>
  <rcc rId="16701" sId="7">
    <nc r="K17">
      <v>7</v>
    </nc>
  </rcc>
  <rcc rId="16702" sId="7">
    <nc r="L17">
      <v>7</v>
    </nc>
  </rcc>
  <rcc rId="16703" sId="7">
    <nc r="M17">
      <v>7</v>
    </nc>
  </rcc>
  <rcc rId="16704" sId="7">
    <nc r="I17">
      <v>5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TOTAL!$A$1:$A$19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15" sId="7">
    <oc r="I17">
      <v>5</v>
    </oc>
    <nc r="I17">
      <v>3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16" sId="7">
    <oc r="K18" t="inlineStr">
      <is>
        <t xml:space="preserve">trocando as caixas </t>
      </is>
    </oc>
    <nc r="K18" t="inlineStr">
      <is>
        <t xml:space="preserve">trocando as caixas e espelho </t>
      </is>
    </nc>
  </rcc>
  <rcc rId="16717" sId="7">
    <oc r="L18" t="inlineStr">
      <is>
        <t xml:space="preserve">trocando as caixas </t>
      </is>
    </oc>
    <nc r="L18" t="inlineStr">
      <is>
        <t xml:space="preserve">trocando as caixas e espelho </t>
      </is>
    </nc>
  </rcc>
  <rcc rId="16718" sId="7">
    <oc r="M18" t="inlineStr">
      <is>
        <t>trocando as caixas</t>
      </is>
    </oc>
    <nc r="M18" t="inlineStr">
      <is>
        <t xml:space="preserve">trocando as caixas e espelho </t>
      </is>
    </nc>
  </rcc>
  <rcc rId="16719" sId="7">
    <oc r="I19" t="inlineStr">
      <is>
        <t xml:space="preserve">trocando as caixas </t>
      </is>
    </oc>
    <nc r="I19" t="inlineStr">
      <is>
        <t xml:space="preserve">trocando as caixas e espelho </t>
      </is>
    </nc>
  </rcc>
  <rcc rId="16720" sId="7">
    <oc r="J19" t="inlineStr">
      <is>
        <t xml:space="preserve">trocando as caixas </t>
      </is>
    </oc>
    <nc r="J19" t="inlineStr">
      <is>
        <t xml:space="preserve">trocando as caixas e espelho </t>
      </is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21" sId="8">
    <nc r="O9">
      <v>7</v>
    </nc>
  </rcc>
  <rcc rId="16722" sId="8">
    <nc r="O18" t="inlineStr">
      <is>
        <t>CAIXAS PARA ELIMINAÇÃO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33" sId="8">
    <nc r="P9">
      <v>8</v>
    </nc>
  </rcc>
  <rcc rId="16734" sId="8">
    <nc r="P18" t="inlineStr">
      <is>
        <t>CAIXAS PARA ELIMINAÇÃO</t>
      </is>
    </nc>
  </rcc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I17:M17" start="0" length="0">
    <dxf>
      <border>
        <bottom style="thin">
          <color indexed="64"/>
        </bottom>
      </border>
    </dxf>
  </rfmt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45" sId="6">
    <nc r="P8">
      <v>11</v>
    </nc>
  </rcc>
  <rcc rId="16746" sId="6">
    <nc r="P4">
      <v>5</v>
    </nc>
  </rcc>
  <rcc rId="16747" sId="6">
    <nc r="Q8">
      <v>6</v>
    </nc>
  </rcc>
  <rcc rId="16748" sId="6">
    <nc r="O9">
      <v>7</v>
    </nc>
  </rcc>
  <rcc rId="16749" sId="6">
    <nc r="P9">
      <v>7</v>
    </nc>
  </rcc>
  <rcc rId="16750" sId="6">
    <nc r="Q9">
      <v>4</v>
    </nc>
  </rcc>
  <rcc rId="16751" sId="6">
    <nc r="P10">
      <v>16</v>
    </nc>
  </rcc>
  <rcc rId="16752" sId="6">
    <nc r="Q10">
      <v>8</v>
    </nc>
  </rcc>
  <rcc rId="16753" sId="6">
    <nc r="P15">
      <v>11</v>
    </nc>
  </rcc>
  <rcc rId="16754" sId="6">
    <nc r="Q15">
      <v>6</v>
    </nc>
  </rcc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65" sId="6">
    <nc r="Q18" t="inlineStr">
      <is>
        <t xml:space="preserve">descendo e subindo caixas do 1 subsolo para o 2 andar </t>
      </is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66" sId="6">
    <nc r="Q19" t="inlineStr">
      <is>
        <t>ajudando no despacho do processo 71000.009222/2026-83</t>
      </is>
    </nc>
  </rcc>
  <rfmt sheetId="6" sqref="Q19">
    <dxf>
      <alignment wrapText="1"/>
    </dxf>
  </rfmt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67" sId="8">
    <nc r="Q9">
      <v>4</v>
    </nc>
  </rcc>
  <rcc rId="16768" sId="8">
    <nc r="Q18" t="inlineStr">
      <is>
        <t>CAIXAS PARA ELIMINAÇÃO</t>
      </is>
    </nc>
  </rcc>
  <rcc rId="16769" sId="8">
    <nc r="R9">
      <v>7</v>
    </nc>
  </rcc>
  <rcc rId="16770" sId="8">
    <nc r="R18" t="inlineStr">
      <is>
        <t>CAIXAS PARA ELIMINAÇÃO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81" sId="4" odxf="1" dxf="1">
    <nc r="M17">
      <v>10</v>
    </nc>
    <odxf>
      <border outline="0">
        <right/>
      </border>
    </odxf>
    <ndxf>
      <border outline="0">
        <right style="thin">
          <color indexed="64"/>
        </right>
      </border>
    </ndxf>
  </rcc>
  <rcc rId="16782" sId="4">
    <nc r="M18" t="inlineStr">
      <is>
        <t xml:space="preserve">trocando as caixas </t>
      </is>
    </nc>
  </rcc>
  <rcc rId="16783" sId="4">
    <nc r="O11">
      <v>8</v>
    </nc>
  </rcc>
  <rcc rId="16784" sId="4">
    <nc r="P11">
      <v>6</v>
    </nc>
  </rcc>
  <rcc rId="16785" sId="4">
    <nc r="Q18" t="inlineStr">
      <is>
        <t xml:space="preserve">arquivamento de processos </t>
      </is>
    </nc>
  </rcc>
  <rcc rId="16786" sId="4">
    <nc r="Q19" t="inlineStr">
      <is>
        <t xml:space="preserve">procurando caixas , organizando os pedidos do sei,pegando numeração de caixas dos processos </t>
      </is>
    </nc>
  </rcc>
  <rcc rId="16787" sId="4">
    <nc r="Q20" t="inlineStr">
      <is>
        <t xml:space="preserve">orientação sobre as caixas de eliminação </t>
      </is>
    </nc>
  </rcc>
  <rfmt sheetId="4" sqref="Q20">
    <dxf>
      <alignment wrapText="1"/>
    </dxf>
  </rfmt>
  <rcc rId="16788" sId="4">
    <nc r="O15">
      <v>49</v>
    </nc>
  </rcc>
  <rcc rId="16789" sId="4">
    <nc r="P15">
      <v>50</v>
    </nc>
  </rcc>
  <rcc rId="16790" sId="4">
    <nc r="Q15">
      <v>26</v>
    </nc>
  </rcc>
  <rcc rId="16791" sId="4">
    <nc r="Q4">
      <v>22</v>
    </nc>
  </rcc>
  <rcc rId="16792" sId="4">
    <nc r="R15">
      <v>50</v>
    </nc>
  </rcc>
  <rm rId="16793" sheetId="4" source="M15" destination="M14" sourceSheetId="4">
    <undo index="65535" exp="area" dr="I14:M14" r="N14" sId="4"/>
    <rfmt sheetId="4" sqref="M14" start="0" length="0">
      <dxf>
        <alignment horizontal="center" vertical="center"/>
      </dxf>
    </rfmt>
  </rm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4" sId="6">
    <nc r="R18" t="inlineStr">
      <is>
        <t xml:space="preserve">descendo e subindo caixas do 1 subsolo para o 2 andar </t>
      </is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5" sId="6">
    <nc r="O15">
      <v>10</v>
    </nc>
  </rc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6" sId="6">
    <nc r="R15">
      <v>10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7" sId="6">
    <nc r="R10">
      <v>16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98" sId="6">
    <nc r="R9">
      <v>7</v>
    </nc>
  </rcc>
  <rcc rId="16799" sId="6">
    <nc r="R8">
      <v>7</v>
    </nc>
  </rcc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10" sId="8">
    <nc r="O15">
      <v>49</v>
    </nc>
  </rcc>
  <rcc rId="16811" sId="8">
    <nc r="P15">
      <v>50</v>
    </nc>
  </rcc>
  <rcc rId="16812" sId="8">
    <nc r="Q15">
      <v>26</v>
    </nc>
  </rcc>
  <rcc rId="16813" sId="8">
    <nc r="R15">
      <v>50</v>
    </nc>
  </rcc>
  <rcc rId="16814" sId="8" odxf="1" dxf="1">
    <nc r="Q19" t="inlineStr">
      <is>
        <t xml:space="preserve">procurando caixas , organizando os pedidos do sei,pegando numeração de caixas dos processos </t>
      </is>
    </nc>
    <odxf>
      <alignment wrapText="0"/>
    </odxf>
    <ndxf>
      <alignment wrapText="1"/>
    </ndxf>
  </rcc>
  <rcc rId="16815" sId="8" odxf="1" dxf="1">
    <nc r="Q20" t="inlineStr">
      <is>
        <t xml:space="preserve">orientação sobre as caixas de eliminação </t>
      </is>
    </nc>
    <odxf>
      <alignment wrapText="0"/>
    </odxf>
    <ndxf>
      <alignment wrapText="1"/>
    </ndxf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07" sId="8">
    <nc r="AD11">
      <v>8</v>
    </nc>
  </rcc>
  <rcc rId="17008" sId="8">
    <nc r="AD18" t="inlineStr">
      <is>
        <t>CAIXAS INVETARIADAS</t>
      </is>
    </nc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09" sId="8">
    <nc r="AG18" t="inlineStr">
      <is>
        <t>REMANEJAMENTO DE 52 DESCENDO E 99 CAIXAS SUBINDO</t>
      </is>
    </nc>
  </rcc>
  <rcc rId="17010" sId="8">
    <nc r="AG15">
      <v>151</v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A2" start="0" length="0">
    <dxf>
      <border outline="0">
        <left/>
      </border>
    </dxf>
  </rfmt>
  <rcc rId="17011" sId="5">
    <nc r="AD2">
      <v>23</v>
    </nc>
  </rcc>
  <rfmt sheetId="5" sqref="AE2" start="0" length="0">
    <dxf>
      <border outline="0">
        <right/>
      </border>
    </dxf>
  </rfmt>
  <rfmt sheetId="5" sqref="AA3" start="0" length="0">
    <dxf>
      <border outline="0">
        <left/>
      </border>
    </dxf>
  </rfmt>
  <rfmt sheetId="5" sqref="AE3" start="0" length="0">
    <dxf>
      <border outline="0">
        <right/>
      </border>
    </dxf>
  </rfmt>
  <rfmt sheetId="5" sqref="AA4" start="0" length="0">
    <dxf>
      <border outline="0">
        <left/>
      </border>
    </dxf>
  </rfmt>
  <rfmt sheetId="5" sqref="AE4" start="0" length="0">
    <dxf>
      <border outline="0">
        <right/>
      </border>
    </dxf>
  </rfmt>
  <rfmt sheetId="5" sqref="AA5" start="0" length="0">
    <dxf>
      <border outline="0">
        <left/>
      </border>
    </dxf>
  </rfmt>
  <rfmt sheetId="5" sqref="AE5" start="0" length="0">
    <dxf>
      <border outline="0">
        <right/>
      </border>
    </dxf>
  </rfmt>
  <rfmt sheetId="5" sqref="AA6" start="0" length="0">
    <dxf>
      <border outline="0">
        <left/>
      </border>
    </dxf>
  </rfmt>
  <rfmt sheetId="5" sqref="AE6" start="0" length="0">
    <dxf>
      <border outline="0">
        <right/>
      </border>
    </dxf>
  </rfmt>
  <rfmt sheetId="5" sqref="AA7" start="0" length="0">
    <dxf>
      <border outline="0">
        <left/>
      </border>
    </dxf>
  </rfmt>
  <rfmt sheetId="5" sqref="AE7" start="0" length="0">
    <dxf>
      <border outline="0">
        <right/>
      </border>
    </dxf>
  </rfmt>
  <rfmt sheetId="5" sqref="AA8" start="0" length="0">
    <dxf>
      <border outline="0">
        <left/>
      </border>
    </dxf>
  </rfmt>
  <rfmt sheetId="5" sqref="AE8" start="0" length="0">
    <dxf>
      <border outline="0">
        <right/>
      </border>
    </dxf>
  </rfmt>
  <rfmt sheetId="5" sqref="AA9" start="0" length="0">
    <dxf>
      <border outline="0">
        <left/>
      </border>
    </dxf>
  </rfmt>
  <rfmt sheetId="5" sqref="AE9" start="0" length="0">
    <dxf>
      <border outline="0">
        <right/>
      </border>
    </dxf>
  </rfmt>
  <rfmt sheetId="5" sqref="AA10" start="0" length="0">
    <dxf>
      <border outline="0">
        <left/>
      </border>
    </dxf>
  </rfmt>
  <rfmt sheetId="5" sqref="AE10" start="0" length="0">
    <dxf>
      <border outline="0">
        <right/>
      </border>
    </dxf>
  </rfmt>
  <rfmt sheetId="5" sqref="AA11" start="0" length="0">
    <dxf>
      <border outline="0">
        <left/>
      </border>
    </dxf>
  </rfmt>
  <rcc rId="17012" sId="5" odxf="1" dxf="1">
    <nc r="AE11">
      <v>8</v>
    </nc>
    <odxf>
      <border outline="0">
        <right style="thin">
          <color indexed="64"/>
        </right>
      </border>
    </odxf>
    <ndxf>
      <border outline="0">
        <right/>
      </border>
    </ndxf>
  </rcc>
  <rfmt sheetId="5" sqref="AA12" start="0" length="0">
    <dxf>
      <border outline="0">
        <left/>
      </border>
    </dxf>
  </rfmt>
  <rcc rId="17013" sId="5" odxf="1" dxf="1">
    <nc r="AE12">
      <v>44</v>
    </nc>
    <odxf>
      <border outline="0">
        <right style="thin">
          <color indexed="64"/>
        </right>
      </border>
    </odxf>
    <ndxf>
      <border outline="0">
        <right/>
      </border>
    </ndxf>
  </rcc>
  <rfmt sheetId="5" sqref="AA13" start="0" length="0">
    <dxf>
      <border outline="0">
        <left/>
      </border>
    </dxf>
  </rfmt>
  <rfmt sheetId="5" sqref="AE13" start="0" length="0">
    <dxf>
      <border outline="0">
        <right/>
      </border>
    </dxf>
  </rfmt>
  <rfmt sheetId="5" sqref="AA14" start="0" length="0">
    <dxf>
      <border outline="0">
        <left/>
      </border>
    </dxf>
  </rfmt>
  <rfmt sheetId="5" sqref="AE14" start="0" length="0">
    <dxf>
      <border outline="0">
        <right/>
      </border>
    </dxf>
  </rfmt>
  <rfmt sheetId="5" sqref="AA15" start="0" length="0">
    <dxf>
      <border outline="0">
        <left/>
      </border>
    </dxf>
  </rfmt>
  <rfmt sheetId="5" sqref="AE15" start="0" length="0">
    <dxf>
      <border outline="0">
        <right/>
      </border>
    </dxf>
  </rfmt>
  <rfmt sheetId="5" sqref="AA16" start="0" length="0">
    <dxf>
      <border outline="0">
        <left/>
      </border>
    </dxf>
  </rfmt>
  <rfmt sheetId="5" sqref="AE16" start="0" length="0">
    <dxf>
      <border outline="0">
        <right/>
      </border>
    </dxf>
  </rfmt>
  <rfmt sheetId="5" sqref="AA17" start="0" length="0">
    <dxf>
      <border outline="0">
        <left/>
        <bottom/>
      </border>
    </dxf>
  </rfmt>
  <rfmt sheetId="5" sqref="AB17" start="0" length="0">
    <dxf>
      <border outline="0">
        <bottom/>
      </border>
    </dxf>
  </rfmt>
  <rfmt sheetId="5" sqref="AC17" start="0" length="0">
    <dxf>
      <border outline="0">
        <bottom/>
      </border>
    </dxf>
  </rfmt>
  <rfmt sheetId="5" sqref="AD17" start="0" length="0">
    <dxf>
      <border outline="0">
        <bottom/>
      </border>
    </dxf>
  </rfmt>
  <rfmt sheetId="5" sqref="AE17" start="0" length="0">
    <dxf>
      <border outline="0">
        <right/>
        <bottom/>
      </border>
    </dxf>
  </rfmt>
  <rcc rId="17014" sId="5" odxf="1" dxf="1">
    <nc r="AA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15" sId="5" odxf="1" dxf="1">
    <nc r="AB18" t="inlineStr">
      <is>
        <t>Pesquisa e busca
Documentos referente ao Plano de Saúde de servidores.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16" sId="5" odxf="1" dxf="1">
    <nc r="AC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17" sId="5" odxf="1" dxf="1">
    <nc r="AD18" t="inlineStr">
      <is>
        <t>Desarquivadas 23 pastas funcionais.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18" sId="5">
    <nc r="AE18" t="inlineStr">
      <is>
        <t>Inventário de caixas da
 CGCEB</t>
      </is>
    </nc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29" sId="7" odxf="1" dxf="1">
    <nc r="AA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30" sId="7" odxf="1" dxf="1">
    <nc r="AB18" t="inlineStr">
      <is>
        <t>Pesquisa e busca
Documentos referente ao Plano de Saúde de servidores.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31" sId="7" odxf="1" dxf="1">
    <nc r="AC18" t="inlineStr">
      <is>
        <t>Pesquisa e busca
Documentos referente ao Plano de Saúde de servidores.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32" sId="7" odxf="1" dxf="1">
    <nc r="AD18" t="inlineStr">
      <is>
        <t>Desarquivadas 23 pastas funcionais.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33" sId="7">
    <nc r="AE18" t="inlineStr">
      <is>
        <t>AJUSTE DO SISTEMA DE GESTAÇÃO DO ARQUIVO DA DIARQ</t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34" sId="8">
    <nc r="AG11">
      <v>3</v>
    </nc>
  </rcc>
  <rcc rId="17035" sId="8">
    <nc r="AH11">
      <v>7</v>
    </nc>
  </rcc>
  <rcc rId="17036" sId="8">
    <nc r="AH18" t="inlineStr">
      <is>
        <t>CAIXAS INVETARIADAS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47" sId="5">
    <oc r="AE12">
      <v>44</v>
    </oc>
    <nc r="AE12"/>
  </rcc>
  <rcc rId="17048" sId="5">
    <nc r="AD12">
      <v>44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49" sId="4" odxf="1" dxf="1">
    <nc r="AD18" t="inlineStr">
      <is>
        <t>Desarquivadas 23 pastas funcionais.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50" sId="4">
    <nc r="AE18" t="inlineStr">
      <is>
        <t>Inventário de caixas da
 CGCEB</t>
      </is>
    </nc>
  </rcc>
  <rcc rId="17051" sId="4">
    <nc r="AE11">
      <v>7</v>
    </nc>
  </rcc>
  <rcc rId="17052" sId="4">
    <nc r="AG18" t="inlineStr">
      <is>
        <t>Inventário de caixas da
 CGCEB</t>
      </is>
    </nc>
  </rcc>
  <rcc rId="17053" sId="4">
    <nc r="AG11">
      <v>2</v>
    </nc>
  </rcc>
  <rcc rId="17054" sId="4">
    <nc r="AG19" t="inlineStr">
      <is>
        <t xml:space="preserve">GUARDANDO AS CAIXAS DA CGCEB </t>
      </is>
    </nc>
  </rcc>
  <rfmt sheetId="4" sqref="AG19">
    <dxf>
      <alignment wrapText="1"/>
    </dxf>
  </rfmt>
  <rcc rId="17055" sId="4">
    <nc r="AH19" t="inlineStr">
      <is>
        <t xml:space="preserve">PROCURANDO PASTAS FUNCIONAIS </t>
      </is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66" sId="8">
    <nc r="AI11">
      <v>8</v>
    </nc>
  </rcc>
  <rcc rId="17067" sId="8">
    <oc r="AH18" t="inlineStr">
      <is>
        <t>CAIXAS INVETARIADAS</t>
      </is>
    </oc>
    <nc r="AH18" t="inlineStr">
      <is>
        <t>CAIXAS INVETARIADAS SNAS/CGCEB</t>
      </is>
    </nc>
  </rcc>
  <rcc rId="17068" sId="8">
    <nc r="AI18" t="inlineStr">
      <is>
        <t>CAIXAS INVETARIADAS SNAS/CGCEB</t>
      </is>
    </nc>
  </rcc>
  <rcc rId="17069" sId="8">
    <oc r="AD18" t="inlineStr">
      <is>
        <t>CAIXAS INVETARIADAS</t>
      </is>
    </oc>
    <nc r="AD18" t="inlineStr">
      <is>
        <t>CAIXAS INVETARIADAS SNAS/CGCEB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80" sId="8">
    <nc r="AD12">
      <v>37</v>
    </nc>
  </rcc>
  <rcc rId="17081" sId="8">
    <nc r="AG12">
      <v>20</v>
    </nc>
  </rcc>
  <rcc rId="17082" sId="8">
    <nc r="AH12">
      <v>62</v>
    </nc>
  </rcc>
  <rcc rId="17083" sId="8">
    <nc r="AI12">
      <v>45</v>
    </nc>
  </rcc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84" sId="8">
    <oc r="AG12">
      <v>20</v>
    </oc>
    <nc r="AG12">
      <v>24</v>
    </nc>
  </rcc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85" sId="8">
    <nc r="AJ12">
      <v>49</v>
    </nc>
  </rcc>
  <rcc rId="17086" sId="8">
    <nc r="AJ11">
      <v>6</v>
    </nc>
  </rcc>
  <rcc rId="17087" sId="8">
    <nc r="AJ18" t="inlineStr">
      <is>
        <t>CAIXAS INVETARIADAS SNAS/CGCEB</t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88" sId="8">
    <oc r="AG18" t="inlineStr">
      <is>
        <t>REMANEJAMENTO DE 52 DESCENDO E 99 CAIXAS SUBINDO</t>
      </is>
    </oc>
    <nc r="AG18" t="inlineStr">
      <is>
        <t xml:space="preserve">REMANEJAMENTO DE 52 DESCENDO E 99 CAIXAS SUBINDO SNAS/CGCEB </t>
      </is>
    </nc>
  </rcc>
  <rcc rId="17089" sId="8">
    <nc r="AK15">
      <v>150</v>
    </nc>
  </rcc>
  <rcc rId="17090" sId="8">
    <nc r="AK18" t="inlineStr">
      <is>
        <t>REMANEJAMENTO DE 101 DESCENDO E 49 CAIXAS SUBINDO SNAS/CGCEB</t>
      </is>
    </nc>
  </rcc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091" sId="5">
    <nc r="AI11">
      <v>8</v>
    </nc>
  </rcc>
  <rcc rId="17092" sId="5">
    <nc r="AJ11">
      <v>6</v>
    </nc>
  </rcc>
  <rcc rId="17093" sId="5">
    <nc r="AI12">
      <v>60</v>
    </nc>
  </rcc>
  <rcc rId="17094" sId="5">
    <nc r="AJ12">
      <v>39</v>
    </nc>
  </rcc>
  <rfmt sheetId="5" sqref="AG17" start="0" length="0">
    <dxf>
      <border outline="0">
        <bottom/>
      </border>
    </dxf>
  </rfmt>
  <rfmt sheetId="5" sqref="AH17" start="0" length="0">
    <dxf>
      <border outline="0">
        <bottom/>
      </border>
    </dxf>
  </rfmt>
  <rfmt sheetId="5" sqref="AI17" start="0" length="0">
    <dxf>
      <border outline="0">
        <bottom/>
      </border>
    </dxf>
  </rfmt>
  <rfmt sheetId="5" sqref="AJ17" start="0" length="0">
    <dxf>
      <border outline="0">
        <bottom/>
      </border>
    </dxf>
  </rfmt>
  <rfmt sheetId="5" sqref="AK17" start="0" length="0">
    <dxf>
      <border outline="0">
        <bottom/>
      </border>
    </dxf>
  </rfmt>
  <rcc rId="17095" sId="5">
    <nc r="AG18" t="inlineStr">
      <is>
        <t xml:space="preserve"> 1. Busca pelas caixas da CGCEB e acompanhamento dos carregadores.
2. Pesquisa e busca pastas funcionais COAP.</t>
      </is>
    </nc>
  </rcc>
  <rcc rId="17096" sId="5" odxf="1" dxf="1">
    <nc r="AH18" t="inlineStr">
      <is>
        <t>Pesquisa e busca pastas funcionais COAP.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97" sId="5" odxf="1" dxf="1">
    <nc r="AI18" t="inlineStr">
      <is>
        <t xml:space="preserve"> Inventário de caixas CGCEB
Total: 8 caixas e
60 processos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98" sId="5" odxf="1" dxf="1">
    <nc r="AJ18" t="inlineStr">
      <is>
        <t>Inventário de caixas CGCEB
Total: 6 caixas e
39 processos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099" sId="5" odxf="1" dxf="1">
    <nc r="AK18" t="inlineStr">
      <is>
        <t>Atestado Médico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10" sId="6">
    <oc r="U18" t="inlineStr">
      <is>
        <t xml:space="preserve">MECHENDO NO NOVO SISTEMA </t>
      </is>
    </oc>
    <nc r="U18" t="inlineStr">
      <is>
        <t xml:space="preserve">MEXENDO NO NOVO SISTEMA </t>
      </is>
    </nc>
  </rcc>
  <rcc rId="17111" sId="6">
    <oc r="V18" t="inlineStr">
      <is>
        <t xml:space="preserve">MECHENDO NO NOVO SISTEMA </t>
      </is>
    </oc>
    <nc r="V18" t="inlineStr">
      <is>
        <t xml:space="preserve">MEXENDO NO NOVO SISTEMA </t>
      </is>
    </nc>
  </rcc>
  <rcc rId="17112" sId="6">
    <oc r="X18" t="inlineStr">
      <is>
        <t xml:space="preserve">MECHENDO NO NOVO SISTEMA </t>
      </is>
    </oc>
    <nc r="X18" t="inlineStr">
      <is>
        <t xml:space="preserve">MEXENDO NO NOVO SISTEMA </t>
      </is>
    </nc>
  </rcc>
  <rcc rId="17113" sId="6">
    <oc r="Y18" t="inlineStr">
      <is>
        <t xml:space="preserve">MECHENDO NO NOVO SISTEMA </t>
      </is>
    </oc>
    <nc r="Y18" t="inlineStr">
      <is>
        <t xml:space="preserve">MEXENDO NO NOVO SISTEMA </t>
      </is>
    </nc>
  </rcc>
  <rcc rId="17114" sId="6">
    <oc r="AA18" t="inlineStr">
      <is>
        <t xml:space="preserve">MECHENDO NO NOVO SISTEMA </t>
      </is>
    </oc>
    <nc r="AA18" t="inlineStr">
      <is>
        <t xml:space="preserve">MEXENDO NO NOVO SISTEMA </t>
      </is>
    </nc>
  </rcc>
  <rcc rId="17115" sId="6">
    <oc r="AB18" t="inlineStr">
      <is>
        <t xml:space="preserve">MECHENDO NO NOVO SISTEMA </t>
      </is>
    </oc>
    <nc r="AB18" t="inlineStr">
      <is>
        <t xml:space="preserve">MEXENDO NO NOVO SISTEMA </t>
      </is>
    </nc>
  </rcc>
  <rcc rId="17116" sId="6">
    <oc r="AC18" t="inlineStr">
      <is>
        <t xml:space="preserve">MECHENDO NO NOVO SISTEMA </t>
      </is>
    </oc>
    <nc r="AC18" t="inlineStr">
      <is>
        <t xml:space="preserve">MEXENDO NO NOVO SISTEMA </t>
      </is>
    </nc>
  </rcc>
  <rcc rId="17117" sId="6">
    <nc r="AD18" t="inlineStr">
      <is>
        <t xml:space="preserve">MEXENDO NO NOVO SISTEMA </t>
      </is>
    </nc>
  </rcc>
  <rcc rId="17118" sId="6">
    <nc r="AE18" t="inlineStr">
      <is>
        <t xml:space="preserve">MEXENDO NO NOVO SISTEMA </t>
      </is>
    </nc>
  </rcc>
  <rcv guid="{9B623083-AA7B-440B-95EA-C33E1AB3D963}" action="delete"/>
  <rdn rId="0" localSheetId="1" customView="1" name="Z_9B623083_AA7B_440B_95EA_C33E1AB3D963_.wvu.FilterData" hidden="1" oldHidden="1">
    <formula>Patrícia!$A$1:$A$5</formula>
    <oldFormula>Patrícia!$A$1:$A$5</oldFormula>
  </rdn>
  <rdn rId="0" localSheetId="2" customView="1" name="Z_9B623083_AA7B_440B_95EA_C33E1AB3D963_.wvu.FilterData" hidden="1" oldHidden="1">
    <formula>Leonardo!$A$1:$A$5</formula>
    <oldFormula>Leonardo!$A$1:$A$5</oldFormula>
  </rdn>
  <rdn rId="0" localSheetId="3" customView="1" name="Z_9B623083_AA7B_440B_95EA_C33E1AB3D963_.wvu.FilterData" hidden="1" oldHidden="1">
    <formula>TOTAL!$A$1:$A$19</formula>
    <oldFormula>TOTAL!$A$1:$A$19</oldFormula>
  </rdn>
  <rdn rId="0" localSheetId="4" customView="1" name="Z_9B623083_AA7B_440B_95EA_C33E1AB3D963_.wvu.FilterData" hidden="1" oldHidden="1">
    <formula>Diego!$A$1:$A$20</formula>
    <oldFormula>Diego!$A$1:$A$20</oldFormula>
  </rdn>
  <rdn rId="0" localSheetId="5" customView="1" name="Z_9B623083_AA7B_440B_95EA_C33E1AB3D963_.wvu.FilterData" hidden="1" oldHidden="1">
    <formula>Aelton!$A$1:$A$19</formula>
    <oldFormula>Aelton!$A$1:$A$19</oldFormula>
  </rdn>
  <rdn rId="0" localSheetId="6" customView="1" name="Z_9B623083_AA7B_440B_95EA_C33E1AB3D963_.wvu.FilterData" hidden="1" oldHidden="1">
    <formula>Leonam!$A$1:$B$19</formula>
    <oldFormula>Leonam!$A$1:$B$19</oldFormula>
  </rdn>
  <rdn rId="0" localSheetId="7" customView="1" name="Z_9B623083_AA7B_440B_95EA_C33E1AB3D963_.wvu.FilterData" hidden="1" oldHidden="1">
    <formula>Danilo!$A$1:$A$19</formula>
    <oldFormula>Danilo!$A$1:$A$19</oldFormula>
  </rdn>
  <rdn rId="0" localSheetId="8" customView="1" name="Z_9B623083_AA7B_440B_95EA_C33E1AB3D963_.wvu.FilterData" hidden="1" oldHidden="1">
    <formula>Marcos!$A$1:$A$20</formula>
    <oldFormula>Marcos!$A$1:$A$20</oldFormula>
  </rdn>
  <rdn rId="0" localSheetId="10" customView="1" name="Z_9B623083_AA7B_440B_95EA_C33E1AB3D963_.wvu.FilterData" hidden="1" oldHidden="1">
    <formula>Alessandro!$A$1:$A$19</formula>
    <oldFormula>Alessandro!$A$1:$A$19</oldFormula>
  </rdn>
  <rdn rId="0" localSheetId="9" customView="1" name="Z_9B623083_AA7B_440B_95EA_C33E1AB3D963_.wvu.FilterData" hidden="1" oldHidden="1">
    <formula>Carlos!$A$1:$A$19</formula>
    <oldFormula>Carlos!$A$1:$A$19</oldFormula>
  </rdn>
  <rcv guid="{9B623083-AA7B-440B-95EA-C33E1AB3D963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29" sId="6">
    <nc r="AG18" t="inlineStr">
      <is>
        <t xml:space="preserve">MEXENDO NO NOVO SISTEMA </t>
      </is>
    </nc>
  </rcc>
  <rcc rId="17130" sId="6">
    <nc r="AH18" t="inlineStr">
      <is>
        <t xml:space="preserve">MEXENDO NO NOVO SISTEMA </t>
      </is>
    </nc>
  </rcc>
  <rcc rId="17131" sId="6">
    <nc r="AI18" t="inlineStr">
      <is>
        <t xml:space="preserve">MEXENDO NO NOVO SISTEMA </t>
      </is>
    </nc>
  </rcc>
  <rcc rId="17132" sId="6">
    <nc r="AJ18" t="inlineStr">
      <is>
        <t xml:space="preserve">MEXENDO NO NOVO SISTEMA </t>
      </is>
    </nc>
  </rcc>
  <rcc rId="17133" sId="6">
    <nc r="AK18" t="inlineStr">
      <is>
        <t xml:space="preserve">MEXENDO NO NOVO SISTEMA </t>
      </is>
    </nc>
  </rcc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34" sId="7">
    <nc r="AH11">
      <v>9</v>
    </nc>
  </rcc>
  <rcc rId="17135" sId="7">
    <nc r="AI11">
      <v>7</v>
    </nc>
  </rcc>
  <rcc rId="17136" sId="7">
    <nc r="AJ11">
      <v>6</v>
    </nc>
  </rcc>
  <rcc rId="17137" sId="7">
    <nc r="AG18" t="inlineStr">
      <is>
        <t>AJUTE NO SISTEMA DE GESTÃO DE DOCUMENTOS</t>
      </is>
    </nc>
  </rcc>
  <rfmt sheetId="7" sqref="AG18">
    <dxf>
      <alignment wrapText="1"/>
    </dxf>
  </rfmt>
  <rcc rId="17138" sId="7">
    <nc r="AK13">
      <v>1</v>
    </nc>
  </rcc>
  <rcc rId="17139" sId="7">
    <nc r="AK2">
      <v>2</v>
    </nc>
  </rcc>
  <rcc rId="17140" sId="7">
    <nc r="AK18" t="inlineStr">
      <is>
        <t>ATENDENDO A DEMANDA SEI Nº 71000.027931/2026-41</t>
      </is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41" sId="7">
    <oc r="AK18" t="inlineStr">
      <is>
        <t>ATENDENDO A DEMANDA SEI Nº 71000.027931/2026-41</t>
      </is>
    </oc>
    <nc r="AK18" t="inlineStr">
      <is>
        <t>ATENDENDO A DEMANDA SEI NUP Nº 71000.027931/2026-41</t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42" sId="10">
    <nc r="AC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nc>
  </rcc>
  <rcc rId="17143" sId="10">
    <nc r="AD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nc>
  </rcc>
  <rcc rId="17144" sId="10" odxf="1" dxf="1">
    <nc r="AG18" t="inlineStr">
      <is>
        <t>Pesquisa e busca pastas funcionais COAP.</t>
      </is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145" sId="10">
    <nc r="AG3">
      <v>6</v>
    </nc>
  </rcc>
  <rcc rId="17146" sId="10">
    <nc r="AH18" t="inlineStr">
      <is>
        <t>Alimentação de planilha de controle de atividades (Gustavo)</t>
      </is>
    </nc>
  </rcc>
  <rcc rId="17147" sId="10">
    <nc r="AK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nc>
  </rcc>
  <rcc rId="17148" sId="10" odxf="1" dxf="1">
    <nc r="AI18" t="inlineStr">
      <is>
        <t>Pesquisa e busca pastas funcionais COAP.</t>
      </is>
    </nc>
    <odxf>
      <font>
        <b/>
      </font>
      <border outline="0">
        <left/>
        <right/>
        <top/>
        <bottom/>
      </border>
    </odxf>
    <ndxf>
      <font>
        <b val="0"/>
        <sz val="11"/>
        <color theme="1"/>
        <name val="Aptos Narrow"/>
        <family val="2"/>
        <scheme val="minor"/>
      </font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149" sId="10">
    <nc r="AI2">
      <v>1</v>
    </nc>
  </rcc>
  <rcc rId="17150" sId="10">
    <nc r="AI13">
      <v>1</v>
    </nc>
  </rcc>
  <rcc rId="17151" sId="10">
    <nc r="AJ13">
      <v>1</v>
    </nc>
  </rcc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52" sId="8" odxf="1" dxf="1">
    <nc r="AM18" t="inlineStr">
      <is>
        <t>CAIXAS INVETARIADAS SNAS/CGCEB</t>
      </is>
    </nc>
    <odxf>
      <alignment wrapText="0"/>
    </odxf>
    <ndxf>
      <alignment wrapText="1"/>
    </ndxf>
  </rcc>
  <rcc rId="17153" sId="8">
    <nc r="AM12">
      <v>41</v>
    </nc>
  </rcc>
  <rcc rId="17154" sId="8">
    <nc r="AM11">
      <v>8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TOTAL!$A$1:$A$19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33" sId="8">
    <nc r="AT15">
      <v>70</v>
    </nc>
  </rcc>
  <rcc rId="15134" sId="8">
    <nc r="AT18" t="inlineStr">
      <is>
        <t>ARQUIVAMENTO DE CAIXAS CGPC</t>
      </is>
    </nc>
  </rcc>
  <rfmt sheetId="8" sqref="AT18">
    <dxf>
      <alignment wrapText="1"/>
    </dxf>
  </rfmt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35" sId="10">
    <nc r="AS16">
      <v>5</v>
    </nc>
  </rcc>
  <rcc rId="15136" sId="10" odxf="1" dxf="1">
    <nc r="AT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5137" sId="10" odxf="1" dxf="1">
    <nc r="AU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5138" sId="10" odxf="1" dxf="1">
    <nc r="AV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39" sId="4">
    <nc r="AV18" t="inlineStr">
      <is>
        <t xml:space="preserve">trocando caixas </t>
      </is>
    </nc>
  </rcc>
  <rcc rId="15140" sId="4">
    <nc r="AW18" t="inlineStr">
      <is>
        <t xml:space="preserve">trocando caixas </t>
      </is>
    </nc>
  </rcc>
  <rcc rId="15141" sId="4">
    <nc r="AW2">
      <v>1</v>
    </nc>
  </rcc>
  <rcc rId="15142" sId="4">
    <nc r="AW13">
      <v>1</v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153" sId="4">
    <oc r="C18" t="inlineStr">
      <is>
        <t>1. Conferência 2 Guias
 de Transferência.</t>
      </is>
    </oc>
    <nc r="C18"/>
  </rcc>
  <rcc rId="15154" sId="4">
    <oc r="D18" t="inlineStr">
      <is>
        <t>TROCA DE CAIXAS</t>
      </is>
    </oc>
    <nc r="D18"/>
  </rcc>
  <rcc rId="15155" sId="4">
    <oc r="E18" t="inlineStr">
      <is>
        <t>TROCA DE CAIXAS</t>
      </is>
    </oc>
    <nc r="E18"/>
  </rcc>
  <rcc rId="15156" sId="4">
    <oc r="F18" t="inlineStr">
      <is>
        <t>1. Desarquivamento de 70 caixas 
do DEFNAS e Recebimento de 79.</t>
      </is>
    </oc>
    <nc r="F18"/>
  </rcc>
  <rcc rId="15157" sId="4">
    <oc r="G18" t="inlineStr">
      <is>
        <t>Conferência Guia de 
Transferência.</t>
      </is>
    </oc>
    <nc r="G18"/>
  </rcc>
  <rcc rId="15158" sId="4">
    <oc r="I18" t="inlineStr">
      <is>
        <t>TROCA DE CAIXAS</t>
      </is>
    </oc>
    <nc r="I18"/>
  </rcc>
  <rcc rId="15159" sId="4">
    <oc r="J18" t="inlineStr">
      <is>
        <t>TROCA DE CAIXAS</t>
      </is>
    </oc>
    <nc r="J18"/>
  </rcc>
  <rcc rId="15160" sId="4">
    <oc r="K18" t="inlineStr">
      <is>
        <t>TROCA DE CAIXAS</t>
      </is>
    </oc>
    <nc r="K18"/>
  </rcc>
  <rcc rId="15161" sId="4">
    <oc r="L18" t="inlineStr">
      <is>
        <t xml:space="preserve">ARQUIVAMENTO DE 70 CAIXAS  </t>
      </is>
    </oc>
    <nc r="L18"/>
  </rcc>
  <rcc rId="15162" sId="4">
    <oc r="M18" t="inlineStr">
      <is>
        <t>TROCA DE CAIXAS</t>
      </is>
    </oc>
    <nc r="M18"/>
  </rcc>
  <rcc rId="15163" sId="4">
    <oc r="O18" t="inlineStr">
      <is>
        <t>TROCA DE CAIXAS</t>
      </is>
    </oc>
    <nc r="O18"/>
  </rcc>
  <rcc rId="15164" sId="4">
    <oc r="P18" t="inlineStr">
      <is>
        <t>TROCA DE CAIXAS</t>
      </is>
    </oc>
    <nc r="P18"/>
  </rcc>
  <rcc rId="15165" sId="4">
    <oc r="Q18" t="inlineStr">
      <is>
        <t>TROCA DE CAIXAS</t>
      </is>
    </oc>
    <nc r="Q18"/>
  </rcc>
  <rcc rId="15166" sId="4">
    <oc r="R18" t="inlineStr">
      <is>
        <t>TROCA DE CAIXAS</t>
      </is>
    </oc>
    <nc r="R18"/>
  </rcc>
  <rcc rId="15167" sId="4">
    <oc r="S18" t="inlineStr">
      <is>
        <t>TROCA DE CAIXAS</t>
      </is>
    </oc>
    <nc r="S18"/>
  </rcc>
  <rcc rId="15168" sId="4">
    <oc r="V18" t="inlineStr">
      <is>
        <t>RECEBIMENTO DE 70 CAIXAS DA CGPC</t>
      </is>
    </oc>
    <nc r="V18"/>
  </rcc>
  <rcc rId="15169" sId="4">
    <oc r="AA18" t="inlineStr">
      <is>
        <t>Reunião pela parte da manha</t>
      </is>
    </oc>
    <nc r="AA18"/>
  </rcc>
  <rcc rId="15170" sId="4">
    <oc r="AB18" t="inlineStr">
      <is>
        <t>RECEBIMENTO DE 70 CAIXAS DA CGPC</t>
      </is>
    </oc>
    <nc r="AB18"/>
  </rcc>
  <rcc rId="15171" sId="4">
    <oc r="AC18" t="inlineStr">
      <is>
        <t>CARREGANDO 70 CAIXAS  PARA CGPC</t>
      </is>
    </oc>
    <nc r="AC18"/>
  </rcc>
  <rcc rId="15172" sId="4">
    <oc r="AD18" t="inlineStr">
      <is>
        <t xml:space="preserve">TROCANDO ESPELHO DE CAIXAS </t>
      </is>
    </oc>
    <nc r="AD18"/>
  </rcc>
  <rcc rId="15173" sId="4">
    <oc r="AE18" t="inlineStr">
      <is>
        <t xml:space="preserve">TROCANDO ESPELHO DE CAIXAS </t>
      </is>
    </oc>
    <nc r="AE18"/>
  </rcc>
  <rcc rId="15174" sId="4">
    <oc r="AG18" t="inlineStr">
      <is>
        <t>FAZENDO  ESPELHOS NOVOS DAS CAIXAS DA CGPC</t>
      </is>
    </oc>
    <nc r="AG18"/>
  </rcc>
  <rcc rId="15175" sId="4">
    <oc r="AH18" t="inlineStr">
      <is>
        <t xml:space="preserve">trocando caixas </t>
      </is>
    </oc>
    <nc r="AH18"/>
  </rcc>
  <rcc rId="15176" sId="4">
    <oc r="AI18" t="inlineStr">
      <is>
        <t xml:space="preserve">trocando caixas </t>
      </is>
    </oc>
    <nc r="AI18"/>
  </rcc>
  <rcc rId="15177" sId="4">
    <oc r="AJ18" t="inlineStr">
      <is>
        <t xml:space="preserve">trocando caixas </t>
      </is>
    </oc>
    <nc r="AJ18"/>
  </rcc>
  <rcc rId="15178" sId="4">
    <oc r="AK18" t="inlineStr">
      <is>
        <t>trocando caixas</t>
      </is>
    </oc>
    <nc r="AK18"/>
  </rcc>
  <rcc rId="15179" sId="4">
    <oc r="AO18" t="inlineStr">
      <is>
        <t xml:space="preserve">recebendo pedido de processos </t>
      </is>
    </oc>
    <nc r="AO18"/>
  </rcc>
  <rcc rId="15180" sId="4">
    <oc r="AQ18" t="inlineStr">
      <is>
        <t>CONFERENCIA DE CAIXAS DA CGPC</t>
      </is>
    </oc>
    <nc r="AQ18"/>
  </rcc>
  <rcc rId="15181" sId="4">
    <oc r="AS18" t="inlineStr">
      <is>
        <t>CONFERENCIA DE CAIXAS DA CGPC</t>
      </is>
    </oc>
    <nc r="AS18"/>
  </rcc>
  <rcc rId="15182" sId="4">
    <oc r="AT18" t="inlineStr">
      <is>
        <t>CONFERENCIA DE CAIXAS DA CGPC</t>
      </is>
    </oc>
    <nc r="AT18"/>
  </rcc>
  <rcc rId="15183" sId="4">
    <oc r="AU18" t="inlineStr">
      <is>
        <t xml:space="preserve">GUARDANDO AS 70 CAIXAS </t>
      </is>
    </oc>
    <nc r="AU18"/>
  </rcc>
  <rcc rId="15184" sId="4">
    <oc r="C19" t="inlineStr">
      <is>
        <t>OLHANDO OS PEDIDOS DE PROCESSO NO SEI</t>
      </is>
    </oc>
    <nc r="C19"/>
  </rcc>
  <rcc rId="15185" sId="4">
    <oc r="D19" t="inlineStr">
      <is>
        <t>OLHANDO OS PEDIDOS DE PROCESSO NO SEI</t>
      </is>
    </oc>
    <nc r="D19"/>
  </rcc>
  <rcc rId="15186" sId="4">
    <oc r="E19" t="inlineStr">
      <is>
        <t>OLHANDO OS PEDIDOS DE PROCESSO NO SEI</t>
      </is>
    </oc>
    <nc r="E19"/>
  </rcc>
  <rcc rId="15187" sId="4">
    <oc r="F19" t="inlineStr">
      <is>
        <t>OLHANDO OS PEDIDOS DE PROCESSO NO SEI</t>
      </is>
    </oc>
    <nc r="F19"/>
  </rcc>
  <rcc rId="15188" sId="4">
    <oc r="G19" t="inlineStr">
      <is>
        <t>OLHANDO OS PEDIDOS DE PROCESSO NO SEI</t>
      </is>
    </oc>
    <nc r="G19"/>
  </rcc>
  <rcc rId="15189" sId="4">
    <oc r="I19" t="inlineStr">
      <is>
        <t>OLHANDO OS PEDIDOS DE PROCESSO NO SEI</t>
      </is>
    </oc>
    <nc r="I19"/>
  </rcc>
  <rcc rId="15190" sId="4">
    <oc r="J19" t="inlineStr">
      <is>
        <t>OLHANDO OS PEDIDOS DE PROCESSO NO SEI</t>
      </is>
    </oc>
    <nc r="J19"/>
  </rcc>
  <rcc rId="15191" sId="4">
    <oc r="K19" t="inlineStr">
      <is>
        <t>FAZENDO PESQUISA DE PROCESSOS</t>
      </is>
    </oc>
    <nc r="K19"/>
  </rcc>
  <rcc rId="15192" sId="4">
    <oc r="L19" t="inlineStr">
      <is>
        <t>OLHANDO OS PEDIDOS DE PROCESSO NO SEI</t>
      </is>
    </oc>
    <nc r="L19"/>
  </rcc>
  <rcc rId="15193" sId="4">
    <oc r="M19" t="inlineStr">
      <is>
        <t>OLHANDO OS PEDIDOS DE PROCESSO NO SEI</t>
      </is>
    </oc>
    <nc r="M19"/>
  </rcc>
  <rcc rId="15194" sId="4">
    <oc r="P19" t="inlineStr">
      <is>
        <t>FAZENDO ESPELHOS</t>
      </is>
    </oc>
    <nc r="P19"/>
  </rcc>
  <rcc rId="15195" sId="4">
    <oc r="Q19" t="inlineStr">
      <is>
        <t>FAZENDO ESPELHOS</t>
      </is>
    </oc>
    <nc r="Q19"/>
  </rcc>
  <rcc rId="15196" sId="4">
    <oc r="R19" t="inlineStr">
      <is>
        <t>FAZENDO ESPELHOS</t>
      </is>
    </oc>
    <nc r="R19"/>
  </rcc>
  <rcc rId="15197" sId="4">
    <oc r="S19" t="inlineStr">
      <is>
        <t>FAZENDO ESPELHOS</t>
      </is>
    </oc>
    <nc r="S19"/>
  </rcc>
  <rcc rId="15198" sId="4">
    <oc r="V19" t="inlineStr">
      <is>
        <t>ENVIANDO 70 CAIXAS PARA O MONTES</t>
      </is>
    </oc>
    <nc r="V19"/>
  </rcc>
  <rcc rId="15199" sId="4">
    <oc r="W19" t="inlineStr">
      <is>
        <t>CONFERENCIA DE 10 CAIXAS DA CGPC</t>
      </is>
    </oc>
    <nc r="W19"/>
  </rcc>
  <rcc rId="15200" sId="4">
    <oc r="X19" t="inlineStr">
      <is>
        <t>CONFERENCIA DE 10 CAIXAS DA CGPC</t>
      </is>
    </oc>
    <nc r="X19"/>
  </rcc>
  <rcc rId="15201" sId="4">
    <oc r="AA19" t="inlineStr">
      <is>
        <t>Reunião pela parte da tarde</t>
      </is>
    </oc>
    <nc r="AA19"/>
  </rcc>
  <rcc rId="15202" sId="4">
    <oc r="AC19" t="inlineStr">
      <is>
        <t>DESCARREGANDO 70 CAIXAS  DA CGPC</t>
      </is>
    </oc>
    <nc r="AC19"/>
  </rcc>
  <rcc rId="15203" sId="4">
    <oc r="AD19" t="inlineStr">
      <is>
        <t xml:space="preserve">TROCANDO ESPELHO DE CAIXAS </t>
      </is>
    </oc>
    <nc r="AD19"/>
  </rcc>
  <rcc rId="15204" sId="4">
    <oc r="AE19" t="inlineStr">
      <is>
        <t xml:space="preserve">TROCANDO ESPELHO DE CAIXAS </t>
      </is>
    </oc>
    <nc r="AE19"/>
  </rcc>
  <rcc rId="15205" sId="4">
    <oc r="V20" t="inlineStr">
      <is>
        <t>ENVIANDO 104 PROCESSOS PARA BLOCO A</t>
      </is>
    </oc>
    <nc r="V20"/>
  </rcc>
  <rcc rId="15206" sId="5">
    <oc r="C18" t="inlineStr">
      <is>
        <t>1. Conferência 2 Guias
 de Transferência.</t>
      </is>
    </oc>
    <nc r="C18"/>
  </rcc>
  <rcc rId="15207" sId="5">
    <oc r="D18" t="inlineStr">
      <is>
        <t>1. Documento produzido:
Folha de Ponto e Termo de 
Cancelamento.</t>
      </is>
    </oc>
    <nc r="D18"/>
  </rcc>
  <rcc rId="15208" sId="5">
    <oc r="F18" t="inlineStr">
      <is>
        <t>1. Desarquivamento de 70 caixas 
do DEFNAS e Recebimento de 79.</t>
      </is>
    </oc>
    <nc r="F18"/>
  </rcc>
  <rcc rId="15209" sId="5">
    <oc r="G18" t="inlineStr">
      <is>
        <t>Conferência Guia de 
Transferência.</t>
      </is>
    </oc>
    <nc r="G18"/>
  </rcc>
  <rcc rId="15210" sId="5">
    <oc r="I18" t="inlineStr">
      <is>
        <t>1. Alimentação planilha Guias
 de Transferência.</t>
      </is>
    </oc>
    <nc r="I18"/>
  </rcc>
  <rcc rId="15211" sId="5">
    <oc r="J18" t="inlineStr">
      <is>
        <t>1. Conferência 
10 caixas 
DEFNAS.
2. Pesquisa de processos - solictação do 
e-mail da CONJUR:
44000.001801/2007-42
44006.002300/2001-38
44006.0047/2000-21</t>
      </is>
    </oc>
    <nc r="J18"/>
  </rcc>
  <rcc rId="15212" sId="5">
    <oc r="K18" t="inlineStr">
      <is>
        <t xml:space="preserve"> 1. Pesquisa e busca processo
58000.002183/2009-24</t>
      </is>
    </oc>
    <nc r="K18"/>
  </rcc>
  <rcc rId="15213" sId="5">
    <oc r="L18" t="inlineStr">
      <is>
        <t>1. Arquivamento e movimentação 
70 caixas da DEFNAS.</t>
      </is>
    </oc>
    <nc r="L18"/>
  </rcc>
  <rcc rId="15214" sId="5">
    <oc r="M18" t="inlineStr">
      <is>
        <t>1. Orientação a CGP/MESP
para Arquivamento, via telefone.</t>
      </is>
    </oc>
    <nc r="M18"/>
  </rcc>
  <rcc rId="15215" sId="5">
    <oc r="O18" t="inlineStr">
      <is>
        <t>Troca de caixa e espelho.
Total 10 caixas.</t>
      </is>
    </oc>
    <nc r="O18"/>
  </rcc>
  <rcc rId="15216" sId="5">
    <oc r="P18" t="inlineStr">
      <is>
        <t>Troca de caixa e espelho.
Total 10 caixas.</t>
      </is>
    </oc>
    <nc r="P18"/>
  </rcc>
  <rcc rId="15217" sId="5">
    <oc r="Q18" t="inlineStr">
      <is>
        <t>Troca de caixa e espelho.
Total 10 caixas.</t>
      </is>
    </oc>
    <nc r="Q18"/>
  </rcc>
  <rcc rId="15218" sId="5">
    <oc r="R18" t="inlineStr">
      <is>
        <t>Troca de caixa e espelho.
Total 10 caixas.</t>
      </is>
    </oc>
    <nc r="R18"/>
  </rcc>
  <rcc rId="15219" sId="5">
    <oc r="S18" t="inlineStr">
      <is>
        <t>Troca de caixa e espelho.
Total 10 caixas.</t>
      </is>
    </oc>
    <nc r="S18"/>
  </rcc>
  <rcc rId="15220" sId="5">
    <oc r="U18" t="inlineStr">
      <is>
        <t>Preparação do envio das 70 caixas
para o DEFNAS.</t>
      </is>
    </oc>
    <nc r="U18"/>
  </rcc>
  <rcc rId="15221" sId="5">
    <oc r="V18" t="inlineStr">
      <is>
        <t xml:space="preserve"> 1. Desarquivamento
70 caixas do DEFNAS.
2. Recebimento:
70 caixas do DEFNAS.</t>
      </is>
    </oc>
    <nc r="V18"/>
  </rcc>
  <rcc rId="15222" sId="5">
    <oc r="W18" t="inlineStr">
      <is>
        <t>1. Conferência 10 caixas da DEFNAS.
2. Pesquisa e busca
processo 58000.003896/2007-43.</t>
      </is>
    </oc>
    <nc r="W18"/>
  </rcc>
  <rcc rId="15223" sId="5">
    <oc r="X18" t="inlineStr">
      <is>
        <t>1. Conferência 5 caixas da DEFNAS.</t>
      </is>
    </oc>
    <nc r="X18"/>
  </rcc>
  <rcc rId="15224" sId="5">
    <oc r="Y18" t="inlineStr">
      <is>
        <t xml:space="preserve">1.  Documento produzido:
Orientação para arquivamento para o kalleber.santos da COSEG.
2. Documento produzido:
planilha CGLA 
71000.006023/2026-13.
3. Conferência 2 caixas da DEFNAS.
</t>
      </is>
    </oc>
    <nc r="Y18"/>
  </rcc>
  <rcc rId="15225" sId="5">
    <oc r="AA18" t="inlineStr">
      <is>
        <t>1. Guarda das 70 caixas do DEFNAS.
2. Reunião: Apresentação do novo chefe  (Leonardo) do Arquivo.</t>
      </is>
    </oc>
    <nc r="AA18"/>
  </rcc>
  <rcc rId="15226" sId="5">
    <oc r="AC18" t="inlineStr">
      <is>
        <t>1. Desarquivamento
70 caixas do DEFNAS.
2. Recebimento:
70 caixas do DEFNAS.
3. Reunião sobre reforma da nossa sala 24.32 e não ter home office, trabalhar presencial.</t>
      </is>
    </oc>
    <nc r="AC18"/>
  </rcc>
  <rcc rId="15227" sId="5">
    <oc r="AD18" t="inlineStr">
      <is>
        <t>Pesquisa e busca por 
pasta funcional
Albano Soares Martins Junior</t>
      </is>
    </oc>
    <nc r="AD18"/>
  </rcc>
  <rcc rId="15228" sId="5">
    <oc r="AE18" t="inlineStr">
      <is>
        <t>Pesquisa e busca por 
pasta funcional
Albano Soares Martins Junior</t>
      </is>
    </oc>
    <nc r="AE18"/>
  </rcc>
  <rcc rId="15229" sId="5">
    <oc r="AG18" t="inlineStr">
      <is>
        <t xml:space="preserve"> 1. Pesquisa e busca por 
pasta funcional
Albano Soares Martins  Junior.
2. Desarquivamento processo de nomeação de Albano Soares Martins Junior.</t>
      </is>
    </oc>
    <nc r="AG18"/>
  </rcc>
  <rcc rId="15230" sId="5">
    <oc r="AH18" t="inlineStr">
      <is>
        <t xml:space="preserve">Arquivamento de Pastas Funcionais e documentos de 
Dyleny Teixeira Alves da Silva.
 </t>
      </is>
    </oc>
    <nc r="AH18"/>
  </rcc>
  <rcc rId="15231" sId="5">
    <oc r="AI18" t="inlineStr">
      <is>
        <t xml:space="preserve">Arquivamento de Pasta funcionais 
e 1 processo de 
Mariana Aparecida Lima Neves
e
Marcos Roberto dos Santos Barbosa.
</t>
      </is>
    </oc>
    <nc r="AI18"/>
  </rcc>
  <rcc rId="15232" sId="5">
    <oc r="AM18" t="inlineStr">
      <is>
        <t>Ponto Facultativo
Carnaval</t>
      </is>
    </oc>
    <nc r="AM18"/>
  </rcc>
  <rcc rId="15233" sId="5">
    <oc r="AN18" t="inlineStr">
      <is>
        <t>Feriado de Carnaval</t>
      </is>
    </oc>
    <nc r="AN18"/>
  </rcc>
  <rcc rId="15234" sId="5">
    <oc r="AO18" t="inlineStr">
      <is>
        <t xml:space="preserve"> 1. Pesquisa e busca
processo 71001.057163/2008-68</t>
      </is>
    </oc>
    <nc r="AO18"/>
  </rcc>
  <rcc rId="15235" sId="5">
    <oc r="AP18" t="inlineStr">
      <is>
        <t>1. Desarquivamento
70 caixas do DEFNAS.
Caixas: 3251 a 3320.
2. Recebimento:
70 caixas do DEFNAS.
Caixas: 3181 a 3250.</t>
      </is>
    </oc>
    <nc r="AP18"/>
  </rcc>
  <rcc rId="15236" sId="5">
    <oc r="AQ18" t="inlineStr">
      <is>
        <t>Conferência 6 caixas da
 DEFNAS.</t>
      </is>
    </oc>
    <nc r="AQ18"/>
  </rcc>
  <rcc rId="15237" sId="6">
    <oc r="C18" t="inlineStr">
      <is>
        <t>TROCANDO  CAIXAS E OS ESPELHOS</t>
      </is>
    </oc>
    <nc r="C18"/>
  </rcc>
  <rcc rId="15238" sId="6">
    <oc r="D18" t="inlineStr">
      <is>
        <t>TROCANDO  CAIXAS E OS ESPELHOS</t>
      </is>
    </oc>
    <nc r="D18"/>
  </rcc>
  <rcc rId="15239" sId="6">
    <oc r="E18" t="inlineStr">
      <is>
        <t>TROCANDO  CAIXAS E OS ESPELHOS</t>
      </is>
    </oc>
    <nc r="E18"/>
  </rcc>
  <rcc rId="15240" sId="6">
    <oc r="F18" t="inlineStr">
      <is>
        <t>TROCA DE CAIXAS E ESPELHOS</t>
      </is>
    </oc>
    <nc r="F18"/>
  </rcc>
  <rcc rId="15241" sId="6">
    <oc r="G18" t="inlineStr">
      <is>
        <t>CONFERÊNCIA DE 12 CAIXAS CGPCO</t>
      </is>
    </oc>
    <nc r="G18"/>
  </rcc>
  <rcc rId="15242" sId="6">
    <oc r="I18" t="inlineStr">
      <is>
        <t>TROCANDO  CAIXAS E OS ESPELHOS</t>
      </is>
    </oc>
    <nc r="I18"/>
  </rcc>
  <rcc rId="15243" sId="6">
    <oc r="J18" t="inlineStr">
      <is>
        <t>TROCANDO  CAIXAS E OS ESPELHOS</t>
      </is>
    </oc>
    <nc r="J18"/>
  </rcc>
  <rcc rId="15244" sId="6">
    <oc r="K18" t="inlineStr">
      <is>
        <t>TROCANDO  CAIXAS E OS ESPELHOS</t>
      </is>
    </oc>
    <nc r="K18"/>
  </rcc>
  <rcc rId="15245" sId="6">
    <oc r="L18" t="inlineStr">
      <is>
        <t>MONITORAMENTO DA LIMPEZA DA SALA G15 (BL A)</t>
      </is>
    </oc>
    <nc r="L18"/>
  </rcc>
  <rcc rId="15246" sId="6">
    <oc r="M18" t="inlineStr">
      <is>
        <t>TROCANDO  CAIXAS E OS ESPELHOS</t>
      </is>
    </oc>
    <nc r="M18"/>
  </rcc>
  <rcc rId="15247" sId="6">
    <oc r="O18" t="inlineStr">
      <is>
        <t>TROCANDO  CAIXAS E OS ESPELHOS</t>
      </is>
    </oc>
    <nc r="O18"/>
  </rcc>
  <rcc rId="15248" sId="6">
    <oc r="P18" t="inlineStr">
      <is>
        <t>TROCANDO  CAIXAS E OS ESPELHOS</t>
      </is>
    </oc>
    <nc r="P18"/>
  </rcc>
  <rcc rId="15249" sId="6">
    <oc r="Q18" t="inlineStr">
      <is>
        <t>TROCANDO  CAIXAS E OS ESPELHOS</t>
      </is>
    </oc>
    <nc r="Q18"/>
  </rcc>
  <rcc rId="15250" sId="6">
    <oc r="R18" t="inlineStr">
      <is>
        <t>TROCANDO  CAIXAS E OS ESPELHOS</t>
      </is>
    </oc>
    <nc r="R18"/>
  </rcc>
  <rcc rId="15251" sId="6">
    <oc r="S18" t="inlineStr">
      <is>
        <t>TROCANDO  CAIXAS E OS ESPELHOS</t>
      </is>
    </oc>
    <nc r="S18"/>
  </rcc>
  <rcc rId="15252" sId="6">
    <oc r="U18" t="inlineStr">
      <is>
        <t>TROCA DE CAIXAS</t>
      </is>
    </oc>
    <nc r="U18"/>
  </rcc>
  <rcc rId="15253" sId="6">
    <oc r="V18" t="inlineStr">
      <is>
        <t xml:space="preserve">1 - RECEBIMENTO DE 70 CAIXAS DA CGPC              
2 - ENVIANDO 70 CAIXAS PARA O MONTES
</t>
      </is>
    </oc>
    <nc r="V18"/>
  </rcc>
  <rcc rId="15254" sId="6">
    <oc r="W18" t="inlineStr">
      <is>
        <t>CONFERÊNCIA DE CAIXAS DFSNAS</t>
      </is>
    </oc>
    <nc r="W18"/>
  </rcc>
  <rcc rId="15255" sId="6">
    <oc r="X18" t="inlineStr">
      <is>
        <t>CONFERÊNCIA DE CAIXAS DFSNAS</t>
      </is>
    </oc>
    <nc r="X18"/>
  </rcc>
  <rcc rId="15256" sId="6">
    <oc r="Y18" t="inlineStr">
      <is>
        <t>MONITORAMENTO DA LIMPEZA DA SALA G15/ G7 (BL A)</t>
      </is>
    </oc>
    <nc r="Y18"/>
  </rcc>
  <rcc rId="15257" sId="6">
    <oc r="AA18" t="inlineStr">
      <is>
        <t>Reunião pela parte da manha</t>
      </is>
    </oc>
    <nc r="AA18"/>
  </rcc>
  <rcc rId="15258" sId="6">
    <oc r="AC18" t="inlineStr">
      <is>
        <t>1. Desarquivamento
70 caixas do DEFNAS.
2. Recebimento:
70 caixas do DEFNAS.
3. Reunião sobre reforma da nossa sala 24.32 e não ter home office, trabalhar presencial.</t>
      </is>
    </oc>
    <nc r="AC18"/>
  </rcc>
  <rcc rId="15259" sId="6">
    <oc r="AD18" t="inlineStr">
      <is>
        <t>Pesquisa e busca por 
pasta funcional
Albano Soares Martins Junior</t>
      </is>
    </oc>
    <nc r="AD18"/>
  </rcc>
  <rcc rId="15260" sId="6">
    <oc r="AE18" t="inlineStr">
      <is>
        <t>Pesquisa e busca por 
pasta funcional
Albano Soares Martins Junior</t>
      </is>
    </oc>
    <nc r="AE18"/>
  </rcc>
  <rcc rId="15261" sId="6">
    <oc r="AG18" t="inlineStr">
      <is>
        <t>entrega da
pasta funcional
Albano Soares Martins Junior</t>
      </is>
    </oc>
    <nc r="AG18"/>
  </rcc>
  <rcc rId="15262" sId="6">
    <oc r="AH18" t="inlineStr">
      <is>
        <t>arquivamento de pasta funcionais</t>
      </is>
    </oc>
    <nc r="AH18"/>
  </rcc>
  <rcc rId="15263" sId="6">
    <oc r="AI18" t="inlineStr">
      <is>
        <t>arquivamento de pasta funcionais</t>
      </is>
    </oc>
    <nc r="AI18"/>
  </rcc>
  <rcc rId="15264" sId="6">
    <oc r="AJ18" t="inlineStr">
      <is>
        <t>TROCANDO  CAIXAS E OS ESPELHOS</t>
      </is>
    </oc>
    <nc r="AJ18"/>
  </rcc>
  <rcc rId="15265" sId="6">
    <oc r="AK18" t="inlineStr">
      <is>
        <t>TROCANDO  CAIXAS E OS ESPELHOS</t>
      </is>
    </oc>
    <nc r="AK18"/>
  </rcc>
  <rcc rId="15266" sId="6">
    <oc r="AO18" t="inlineStr">
      <is>
        <t>ATESTADO</t>
      </is>
    </oc>
    <nc r="AO18"/>
  </rcc>
  <rcc rId="15267" sId="6">
    <oc r="AP18" t="inlineStr">
      <is>
        <t>RECEBIMENTO DE 70 CAIXAS DA CGPC E ENVIO DE 70 CAIXAS DA CGPC</t>
      </is>
    </oc>
    <nc r="AP18"/>
  </rcc>
  <rcc rId="15268" sId="6">
    <oc r="AQ18" t="inlineStr">
      <is>
        <t>CONFERENCIA DE CAIXAS DA CGPC</t>
      </is>
    </oc>
    <nc r="AQ18"/>
  </rcc>
  <rcc rId="15269" sId="6">
    <oc r="F19" t="inlineStr">
      <is>
        <t>RECEBIMENTO DE 70 CAIXAS CGPCO</t>
      </is>
    </oc>
    <nc r="F19"/>
  </rcc>
  <rcc rId="15270" sId="6">
    <oc r="K19" t="inlineStr">
      <is>
        <r>
          <t>PESQUISA E DESARQUIVAMENTO DO PROCESSO</t>
        </r>
        <r>
          <rPr>
            <b/>
            <sz val="11"/>
            <color theme="1"/>
            <rFont val="Aptos Narrow"/>
            <family val="2"/>
          </rPr>
          <t xml:space="preserve"> 58000.002183/2009-24</t>
        </r>
        <r>
          <rPr>
            <sz val="11"/>
            <color theme="1"/>
            <rFont val="Aptos Narrow"/>
            <family val="2"/>
          </rPr>
          <t xml:space="preserve"> NO BLOCO 'A'</t>
        </r>
      </is>
    </oc>
    <nc r="K19"/>
  </rcc>
  <rcc rId="15271" sId="6">
    <oc r="L19" t="inlineStr">
      <is>
        <t>RECEBIMENTO DE PROCESSO (BL A)</t>
      </is>
    </oc>
    <nc r="L19"/>
  </rcc>
  <rcc rId="15272" sId="6">
    <oc r="V19" t="inlineStr">
      <is>
        <t>ENVIANDO 104 PROCESSOS PARA BLOCO A</t>
      </is>
    </oc>
    <nc r="V19"/>
  </rcc>
  <rcc rId="15273" sId="6">
    <oc r="Y19" t="inlineStr">
      <is>
        <t xml:space="preserve">ARQUIVANDO PROCESSO DE 104 VOLUMES NO BLOCO A </t>
      </is>
    </oc>
    <nc r="Y19"/>
  </rcc>
  <rcc rId="15274" sId="6">
    <oc r="AA19" t="inlineStr">
      <is>
        <t>Reunião pela parte da tarde</t>
      </is>
    </oc>
    <nc r="AA19"/>
  </rcc>
  <rcc rId="15275" sId="7">
    <oc r="C18" t="inlineStr">
      <is>
        <t>AUSENCIA JUSTIFICADA</t>
      </is>
    </oc>
    <nc r="C18"/>
  </rcc>
  <rcc rId="15276" sId="7">
    <oc r="D18" t="inlineStr">
      <is>
        <t>AUSENCIA JUSTIFICADA</t>
      </is>
    </oc>
    <nc r="D18"/>
  </rcc>
  <rcc rId="15277" sId="7">
    <oc r="E18" t="inlineStr">
      <is>
        <t>TROCA DE CAIXAS E ESPELHOS</t>
      </is>
    </oc>
    <nc r="E18"/>
  </rcc>
  <rcc rId="15278" sId="7">
    <oc r="F18" t="inlineStr">
      <is>
        <t>TROCA DE CAIXAS E ESPELHOS</t>
      </is>
    </oc>
    <nc r="F18"/>
  </rcc>
  <rcc rId="15279" sId="7">
    <oc r="G18" t="inlineStr">
      <is>
        <t>CONFERÊNCIA DE 12 CAIXAS CGPCO</t>
      </is>
    </oc>
    <nc r="G18"/>
  </rcc>
  <rcc rId="15280" sId="7">
    <oc r="I18" t="inlineStr">
      <is>
        <t>TROCA DE CAIXAS E ESPELHOS</t>
      </is>
    </oc>
    <nc r="I18"/>
  </rcc>
  <rcc rId="15281" sId="7">
    <oc r="J18" t="inlineStr">
      <is>
        <t>TROCA DE CAIXAS E ESPELHOS</t>
      </is>
    </oc>
    <nc r="J18"/>
  </rcc>
  <rcc rId="15282" sId="7">
    <oc r="K18" t="inlineStr">
      <is>
        <t>TROCA DE CAIXAS E ESPELHOS</t>
      </is>
    </oc>
    <nc r="K18"/>
  </rcc>
  <rcc rId="15283" sId="7">
    <oc r="L18" t="inlineStr">
      <is>
        <t>MONITORAMENTO DA LIMPEZA DA SALA G15/ G7 (BL A)</t>
      </is>
    </oc>
    <nc r="L18"/>
  </rcc>
  <rcc rId="15284" sId="7">
    <oc r="M18" t="inlineStr">
      <is>
        <t>TROCA DE CAIXAS E ESPELHOS</t>
      </is>
    </oc>
    <nc r="M18"/>
  </rcc>
  <rcc rId="15285" sId="7">
    <oc r="O18" t="inlineStr">
      <is>
        <t>TROCA DE CAIXAS E ESPELHOS</t>
      </is>
    </oc>
    <nc r="O18"/>
  </rcc>
  <rcc rId="15286" sId="7">
    <oc r="P18" t="inlineStr">
      <is>
        <t>TROCA DE CAIXAS E ESPELHOS</t>
      </is>
    </oc>
    <nc r="P18"/>
  </rcc>
  <rcc rId="15287" sId="7">
    <oc r="Q18" t="inlineStr">
      <is>
        <t>TROCA DE CAIXAS E ESPELHOS</t>
      </is>
    </oc>
    <nc r="Q18"/>
  </rcc>
  <rcc rId="15288" sId="7">
    <oc r="R18" t="inlineStr">
      <is>
        <t>TROCA DE CAIXAS E ESPELHOS</t>
      </is>
    </oc>
    <nc r="R18"/>
  </rcc>
  <rcc rId="15289" sId="7">
    <oc r="S18" t="inlineStr">
      <is>
        <t>TROCA DE CAIXAS E ESPELHOS</t>
      </is>
    </oc>
    <nc r="S18"/>
  </rcc>
  <rcc rId="15290" sId="7">
    <oc r="U18" t="inlineStr">
      <is>
        <t xml:space="preserve">Vistórias das salas G15/G7/G17 BLOCO A. Pesquisando desarquivamento </t>
      </is>
    </oc>
    <nc r="U18"/>
  </rcc>
  <rcc rId="15291" sId="7">
    <oc r="V18" t="inlineStr">
      <is>
        <t>Informações prestadas dos dislizantes bloco A. Recebimento de 104 volumes no BLOCO A</t>
      </is>
    </oc>
    <nc r="V18"/>
  </rcc>
  <rcc rId="15292" sId="7">
    <oc r="X18" t="inlineStr">
      <is>
        <t xml:space="preserve">Caixas separadas, referente aos 104 volumes.Entrega de 07 volumes na dipro para digitalizar  </t>
      </is>
    </oc>
    <nc r="X18"/>
  </rcc>
  <rcc rId="15293" sId="7">
    <oc r="Y18" t="inlineStr">
      <is>
        <t>Caixas separadas, referente aos 104 volumes</t>
      </is>
    </oc>
    <nc r="Y18"/>
  </rcc>
  <rcc rId="15294" sId="7">
    <oc r="AA18" t="inlineStr">
      <is>
        <t>Reunião pela parte da manha</t>
      </is>
    </oc>
    <nc r="AA18"/>
  </rcc>
  <rcc rId="15295" sId="7">
    <oc r="AC18" t="inlineStr">
      <is>
        <t>1. Desarquivamento
70 caixas do DEFNAS.
2. Recebimento:
70 caixas do DEFNAS.
3. Reunião sobre reforma da nossa sala 24.32 e não ter home office, trabalhar presencial.</t>
      </is>
    </oc>
    <nc r="AC18"/>
  </rcc>
  <rcc rId="15296" sId="7">
    <oc r="AD18" t="inlineStr">
      <is>
        <t>Pesquisa e busca por 
pasta funcional
Albano Soares Martins Junior</t>
      </is>
    </oc>
    <nc r="AD18"/>
  </rcc>
  <rcc rId="15297" sId="7">
    <oc r="AE18" t="inlineStr">
      <is>
        <t>Pesquisa e busca por 
pasta funcional
Albano Soares Martins Junior</t>
      </is>
    </oc>
    <nc r="AE18"/>
  </rcc>
  <rcc rId="15298" sId="7">
    <oc r="AH18" t="inlineStr">
      <is>
        <t>arquivamento de pasta funcionais</t>
      </is>
    </oc>
    <nc r="AH18"/>
  </rcc>
  <rcc rId="15299" sId="7">
    <oc r="AI18" t="inlineStr">
      <is>
        <t>1.arquivamento de pasta funcionais.           2.TROCANDO  CAIXAS E OS ESPELHOS</t>
      </is>
    </oc>
    <nc r="AI18"/>
  </rcc>
  <rcc rId="15300" sId="7">
    <oc r="AJ18" t="inlineStr">
      <is>
        <t>TROCANDO  CAIXAS E OS ESPELHOS</t>
      </is>
    </oc>
    <nc r="AJ18"/>
  </rcc>
  <rcc rId="15301" sId="7">
    <oc r="AK18" t="inlineStr">
      <is>
        <t>TROCANDO  CAIXAS E OS ESPELHOS</t>
      </is>
    </oc>
    <nc r="AK18"/>
  </rcc>
  <rcc rId="15302" sId="7">
    <oc r="AO18" t="inlineStr">
      <is>
        <t xml:space="preserve">recebendo pedido de processos </t>
      </is>
    </oc>
    <nc r="AO18"/>
  </rcc>
  <rcc rId="15303" sId="7">
    <oc r="AP18" t="inlineStr">
      <is>
        <t>RECEBIMENTO DE 70 CAIXAS DA CGPC E ENVIO DE 70 CAIXAS DA CGPC</t>
      </is>
    </oc>
    <nc r="AP18"/>
  </rcc>
  <rcc rId="15304" sId="7">
    <oc r="AQ18" t="inlineStr">
      <is>
        <t>CONFERENCIA DE CAIXAS DA CGPC</t>
      </is>
    </oc>
    <nc r="AQ18"/>
  </rcc>
  <rcc rId="15305" sId="7">
    <oc r="F19" t="inlineStr">
      <is>
        <t>RECEBIMENTO DE 70 CAIXAS CGPCO</t>
      </is>
    </oc>
    <nc r="F19"/>
  </rcc>
  <rcc rId="15306" sId="7">
    <oc r="K19" t="inlineStr">
      <is>
        <r>
          <t>PESQUISA E DESARQUIVAMENTO DO PROCESSO</t>
        </r>
        <r>
          <rPr>
            <b/>
            <sz val="11"/>
            <color theme="1"/>
            <rFont val="Aptos Narrow"/>
            <family val="2"/>
          </rPr>
          <t xml:space="preserve"> 58000.002183/2009-24</t>
        </r>
        <r>
          <rPr>
            <sz val="11"/>
            <color theme="1"/>
            <rFont val="Aptos Narrow"/>
            <family val="2"/>
          </rPr>
          <t xml:space="preserve"> NO BLOCO 'A'</t>
        </r>
      </is>
    </oc>
    <nc r="K19"/>
  </rcc>
  <rcc rId="15307" sId="7">
    <oc r="L19" t="inlineStr">
      <is>
        <t>RECEBIMENTO DE PROCESSO (BL A)</t>
      </is>
    </oc>
    <nc r="L19"/>
  </rcc>
  <rcc rId="15308" sId="8">
    <oc r="C18" t="inlineStr">
      <is>
        <t>TROCA DE CAIXAS</t>
      </is>
    </oc>
    <nc r="C18"/>
  </rcc>
  <rcc rId="15309" sId="8">
    <oc r="D18" t="inlineStr">
      <is>
        <t>TROCA DE CAIXAS</t>
      </is>
    </oc>
    <nc r="D18"/>
  </rcc>
  <rcc rId="15310" sId="8">
    <oc r="E18" t="inlineStr">
      <is>
        <t>TROCA DE CAIXAS</t>
      </is>
    </oc>
    <nc r="E18"/>
  </rcc>
  <rcc rId="15311" sId="8">
    <oc r="F18" t="inlineStr">
      <is>
        <t>1. Desarquivamento de 70 caixas 
do DEFNAS e Recebimento de 79.</t>
      </is>
    </oc>
    <nc r="F18"/>
  </rcc>
  <rcc rId="15312" sId="8">
    <oc r="G18" t="inlineStr">
      <is>
        <t>TROCA DE CAIXAS</t>
      </is>
    </oc>
    <nc r="G18"/>
  </rcc>
  <rcc rId="15313" sId="8">
    <oc r="I18" t="inlineStr">
      <is>
        <t>TROCA DE CAIXAS</t>
      </is>
    </oc>
    <nc r="I18"/>
  </rcc>
  <rcc rId="15314" sId="8">
    <oc r="J18" t="inlineStr">
      <is>
        <t>TROCA DE CAIXAS</t>
      </is>
    </oc>
    <nc r="J18"/>
  </rcc>
  <rcc rId="15315" sId="8">
    <oc r="K18" t="inlineStr">
      <is>
        <t>TROCA DE CAIXAS</t>
      </is>
    </oc>
    <nc r="K18"/>
  </rcc>
  <rcc rId="15316" sId="8">
    <oc r="L18" t="inlineStr">
      <is>
        <t xml:space="preserve">ARQUIVAMENTO DE 70 CAIXAS  </t>
      </is>
    </oc>
    <nc r="L18"/>
  </rcc>
  <rcc rId="15317" sId="8">
    <oc r="M18" t="inlineStr">
      <is>
        <t>TROCA DE CAIXAS</t>
      </is>
    </oc>
    <nc r="M18"/>
  </rcc>
  <rcc rId="15318" sId="8">
    <oc r="O18" t="inlineStr">
      <is>
        <t>TROCA DE CAIXAS</t>
      </is>
    </oc>
    <nc r="O18"/>
  </rcc>
  <rcc rId="15319" sId="8">
    <oc r="P18" t="inlineStr">
      <is>
        <t>TROCA DE CAIXAS</t>
      </is>
    </oc>
    <nc r="P18"/>
  </rcc>
  <rcc rId="15320" sId="8">
    <oc r="Q18" t="inlineStr">
      <is>
        <t>TROCA DE CAIXAS</t>
      </is>
    </oc>
    <nc r="Q18"/>
  </rcc>
  <rcc rId="15321" sId="8">
    <oc r="R18" t="inlineStr">
      <is>
        <t>TROCA DE CAIXAS</t>
      </is>
    </oc>
    <nc r="R18"/>
  </rcc>
  <rcc rId="15322" sId="8">
    <oc r="S18" t="inlineStr">
      <is>
        <t>TROCA DE CAIXAS</t>
      </is>
    </oc>
    <nc r="S18"/>
  </rcc>
  <rcc rId="15323" sId="8">
    <oc r="U18" t="inlineStr">
      <is>
        <t>TROCA DE CAIXAS</t>
      </is>
    </oc>
    <nc r="U18"/>
  </rcc>
  <rcc rId="15324" sId="8">
    <oc r="V18" t="inlineStr">
      <is>
        <t>RECEBIMENTO DE 70 CAIXAS DA CGPC</t>
      </is>
    </oc>
    <nc r="V18"/>
  </rcc>
  <rcc rId="15325" sId="8">
    <oc r="W18" t="inlineStr">
      <is>
        <t>CONFERÊNCIA DE CAIXAS DFSNAS</t>
      </is>
    </oc>
    <nc r="W18"/>
  </rcc>
  <rcc rId="15326" sId="8">
    <oc r="X18" t="inlineStr">
      <is>
        <t>CONFERÊNCIA DE CAIXAS DFSNAS</t>
      </is>
    </oc>
    <nc r="X18"/>
  </rcc>
  <rcc rId="15327" sId="8">
    <oc r="Y18" t="inlineStr">
      <is>
        <t>TROCA DE CAIXAS</t>
      </is>
    </oc>
    <nc r="Y18"/>
  </rcc>
  <rcc rId="15328" sId="8">
    <oc r="AA18" t="inlineStr">
      <is>
        <t>Reunião pela parte da manha</t>
      </is>
    </oc>
    <nc r="AA18"/>
  </rcc>
  <rcc rId="15329" sId="8">
    <oc r="AB18" t="inlineStr">
      <is>
        <t>RECEBIMENTO DE 70 CAIXAS DA CGPC</t>
      </is>
    </oc>
    <nc r="AB18"/>
  </rcc>
  <rcc rId="15330" sId="8">
    <oc r="AC18" t="inlineStr">
      <is>
        <t>CARREGANDO 70 CAIXAS  PARA CGPC</t>
      </is>
    </oc>
    <nc r="AC18"/>
  </rcc>
  <rcc rId="15331" sId="8">
    <oc r="AD18" t="inlineStr">
      <is>
        <t xml:space="preserve">TROCANDO ESPELHO DE CAIXAS </t>
      </is>
    </oc>
    <nc r="AD18"/>
  </rcc>
  <rcc rId="15332" sId="8">
    <oc r="AE18" t="inlineStr">
      <is>
        <t xml:space="preserve">TROCANDO ESPELHO DE CAIXAS </t>
      </is>
    </oc>
    <nc r="AE18"/>
  </rcc>
  <rcc rId="15333" sId="8">
    <oc r="AG18" t="inlineStr">
      <is>
        <t>FAZENDO  ESPELHOS NOVOS DAS CAIXAS DA CGPC</t>
      </is>
    </oc>
    <nc r="AG18"/>
  </rcc>
  <rcc rId="15334" sId="8">
    <oc r="AH18" t="inlineStr">
      <is>
        <t xml:space="preserve">trocando caixas </t>
      </is>
    </oc>
    <nc r="AH18"/>
  </rcc>
  <rcc rId="15335" sId="8">
    <oc r="AI18" t="inlineStr">
      <is>
        <t xml:space="preserve">trocando caixas </t>
      </is>
    </oc>
    <nc r="AI18"/>
  </rcc>
  <rcc rId="15336" sId="8">
    <oc r="AJ18" t="inlineStr">
      <is>
        <t xml:space="preserve">trocando caixas </t>
      </is>
    </oc>
    <nc r="AJ18"/>
  </rcc>
  <rcc rId="15337" sId="8">
    <oc r="AK18" t="inlineStr">
      <is>
        <t>trocando caixas</t>
      </is>
    </oc>
    <nc r="AK18"/>
  </rcc>
  <rcc rId="15338" sId="8">
    <oc r="AO18" t="inlineStr">
      <is>
        <t xml:space="preserve">recebendo pedido de processos </t>
      </is>
    </oc>
    <nc r="AO18"/>
  </rcc>
  <rcc rId="15339" sId="8">
    <oc r="AP18" t="inlineStr">
      <is>
        <t>RECEBIMENTO DE 70 CAIXAS DA CGPC E ENVIO DE 70 CAIXAS DA CGPC</t>
      </is>
    </oc>
    <nc r="AP18"/>
  </rcc>
  <rcc rId="15340" sId="8">
    <oc r="AQ18" t="inlineStr">
      <is>
        <t>CONFERENCIA DE CAIXAS DA CGPC</t>
      </is>
    </oc>
    <nc r="AQ18"/>
  </rcc>
  <rcc rId="15341" sId="8">
    <oc r="AS18" t="inlineStr">
      <is>
        <t>CONFERENCIA DE CAIXAS DA CGPC</t>
      </is>
    </oc>
    <nc r="AS18"/>
  </rcc>
  <rcc rId="15342" sId="8">
    <oc r="AT18" t="inlineStr">
      <is>
        <t>ARQUIVAMENTO DE CAIXAS CGPC</t>
      </is>
    </oc>
    <nc r="AT18"/>
  </rcc>
  <rcc rId="15343" sId="8">
    <oc r="V19" t="inlineStr">
      <is>
        <t>ENVIANDO 70 CAIXAS PARA O MONTES</t>
      </is>
    </oc>
    <nc r="V19"/>
  </rcc>
  <rcc rId="15344" sId="8">
    <oc r="AA19" t="inlineStr">
      <is>
        <t>Reunião pela parte da tarde</t>
      </is>
    </oc>
    <nc r="AA19"/>
  </rcc>
  <rcc rId="15345" sId="8">
    <oc r="AC19" t="inlineStr">
      <is>
        <t>DESCARREGANDO 70 CAIXAS  DA CGPC</t>
      </is>
    </oc>
    <nc r="AC19"/>
  </rcc>
  <rcc rId="15346" sId="8">
    <oc r="AD19" t="inlineStr">
      <is>
        <t xml:space="preserve">TROCANDO ESPELHO DE CAIXAS </t>
      </is>
    </oc>
    <nc r="AD19"/>
  </rcc>
  <rcc rId="15347" sId="8">
    <oc r="AE19" t="inlineStr">
      <is>
        <t xml:space="preserve">TROCANDO ESPELHO DE CAIXAS </t>
      </is>
    </oc>
    <nc r="AE19"/>
  </rcc>
  <rcc rId="15348" sId="10">
    <oc r="C18" t="inlineStr">
      <is>
        <t>Transcrição dos processos SEI (Diarq) para Excel</t>
      </is>
    </oc>
    <nc r="C18"/>
  </rcc>
  <rcc rId="15349" sId="10">
    <oc r="D18" t="inlineStr">
      <is>
        <t>Transcrição dos processos SEI (Diarq) para Excel</t>
      </is>
    </oc>
    <nc r="D18"/>
  </rcc>
  <rcc rId="15350" sId="10">
    <oc r="E18" t="inlineStr">
      <is>
        <t>Transcrição dos processos SEI (Diarq) para Excel</t>
      </is>
    </oc>
    <nc r="E18"/>
  </rcc>
  <rcc rId="15351" sId="10">
    <oc r="F18" t="inlineStr">
      <is>
        <t>Transcrição dos processos SEI (Diarq) para Excel</t>
      </is>
    </oc>
    <nc r="F18"/>
  </rcc>
  <rcc rId="15352" sId="10">
    <oc r="G18" t="inlineStr">
      <is>
        <t>Transcrição dos processos SEI (Diarq) para Excel</t>
      </is>
    </oc>
    <nc r="G18"/>
  </rcc>
  <rcc rId="15353" sId="10">
    <oc r="I18" t="inlineStr">
      <is>
        <t>Transcrição dos processos SEI (Diarq) para Excel</t>
      </is>
    </oc>
    <nc r="I18"/>
  </rcc>
  <rcc rId="15354" sId="10">
    <oc r="J18" t="inlineStr">
      <is>
        <t>Transcrição dos processos SEI (Diarq) para Excel</t>
      </is>
    </oc>
    <nc r="J18"/>
  </rcc>
  <rcc rId="15355" sId="10">
    <oc r="K18" t="inlineStr">
      <is>
        <t>Transcrição dos processos SEI (Diarq) para Excel</t>
      </is>
    </oc>
    <nc r="K18"/>
  </rcc>
  <rcc rId="15356" sId="10">
    <oc r="L18" t="inlineStr">
      <is>
        <t>Transcrição dos processos SEI (Diarq) para Excel</t>
      </is>
    </oc>
    <nc r="L18"/>
  </rcc>
  <rcc rId="15357" sId="10">
    <oc r="M18" t="inlineStr">
      <is>
        <t>Transcrição dos processos SEI (Diarq) para Excel</t>
      </is>
    </oc>
    <nc r="M18"/>
  </rcc>
  <rcc rId="15358" sId="10">
    <oc r="O18" t="inlineStr">
      <is>
        <t>Transcrição dos processos SEI (Diarq) para Excel</t>
      </is>
    </oc>
    <nc r="O18"/>
  </rcc>
  <rcc rId="15359" sId="10">
    <oc r="P18" t="inlineStr">
      <is>
        <t>Transcrição dos processos SEI (Diarq) para Excel</t>
      </is>
    </oc>
    <nc r="P18"/>
  </rcc>
  <rcc rId="15360" sId="10">
    <oc r="Q18" t="inlineStr">
      <is>
        <t>Transcrição dos processos SEI (Diarq) para Excel</t>
      </is>
    </oc>
    <nc r="Q18"/>
  </rcc>
  <rcc rId="15361" sId="10">
    <oc r="R18" t="inlineStr">
      <is>
        <t>Transcrição dos processos SEI (Diarq) para Excel</t>
      </is>
    </oc>
    <nc r="R18"/>
  </rcc>
  <rcc rId="15362" sId="10">
    <oc r="S18" t="inlineStr">
      <is>
        <t>Transcrição dos processos SEI (Diarq) para Excel</t>
      </is>
    </oc>
    <nc r="S18"/>
  </rcc>
  <rcc rId="15363" sId="10">
    <oc r="U18" t="inlineStr">
      <is>
        <t>Transcrição dos processos SEI (Diarq) para Excel</t>
      </is>
    </oc>
    <nc r="U18"/>
  </rcc>
  <rcc rId="15364" sId="10">
    <oc r="V18" t="inlineStr">
      <is>
        <t>Alimentação de planilha de controle de atividades (Gustavo)</t>
      </is>
    </oc>
    <nc r="V18"/>
  </rcc>
  <rcc rId="15365" sId="10">
    <oc r="W18" t="inlineStr">
      <is>
        <r>
          <t xml:space="preserve">Alimentação de planilha de controle de atividades (Gustavo)
*******
</t>
        </r>
        <r>
          <rPr>
            <b/>
            <sz val="11"/>
            <color rgb="FFFF0000"/>
            <rFont val="Aptos Narrow"/>
            <family val="2"/>
          </rPr>
          <t>Consulta/exame (atestado vespertino)</t>
        </r>
        <r>
          <rPr>
            <b/>
            <sz val="11"/>
            <color theme="1"/>
            <rFont val="Aptos Narrow"/>
            <family val="2"/>
          </rPr>
          <t xml:space="preserve">
</t>
        </r>
      </is>
    </oc>
    <nc r="W18"/>
  </rcc>
  <rcc rId="15366" sId="10">
    <oc r="X18" t="inlineStr">
      <is>
        <t>Conferência de Caixas DEFNAS/DAP</t>
      </is>
    </oc>
    <nc r="X18"/>
  </rcc>
  <rcc rId="15367" sId="10">
    <oc r="Y18" t="inlineStr">
      <is>
        <t>Conferência de Caixas DEFNAS/DAP</t>
      </is>
    </oc>
    <nc r="Y18"/>
  </rcc>
  <rcc rId="15368" sId="10">
    <oc r="AA18" t="inlineStr">
      <is>
        <t>Alimentação de planilha de controle de atividades (Gustavo)</t>
      </is>
    </oc>
    <nc r="AA18"/>
  </rcc>
  <rcc rId="15369" sId="10">
    <oc r="AB18" t="inlineStr">
      <is>
        <t>Alimentação de planilha de controle de atividades (Gustavo)</t>
      </is>
    </oc>
    <nc r="AB18"/>
  </rcc>
  <rcc rId="15370" sId="10">
    <oc r="AC18" t="inlineStr">
      <is>
        <t>Recebimento de 70 caixas DEFNAS/DAP</t>
      </is>
    </oc>
    <nc r="AC18"/>
  </rcc>
  <rcc rId="15371" sId="10">
    <oc r="AD18" t="inlineStr">
      <is>
        <t>Conferência de Caixas DEFNAS/DAP</t>
      </is>
    </oc>
    <nc r="AD18"/>
  </rcc>
  <rcc rId="15372" sId="10">
    <oc r="AE18" t="inlineStr">
      <is>
        <t>Conferência de Caixas DEFNAS/DAP</t>
      </is>
    </oc>
    <nc r="AE18"/>
  </rcc>
  <rcc rId="15373" sId="10">
    <oc r="AG18" t="inlineStr">
      <is>
        <t>Alimentação de planilha de controle de atividades (Gustavo)</t>
      </is>
    </oc>
    <nc r="AG18"/>
  </rcc>
  <rcc rId="15374" sId="10">
    <oc r="AH18" t="inlineStr">
      <is>
        <r>
          <t xml:space="preserve">Preenchimento do Sistema </t>
        </r>
        <r>
          <rPr>
            <b/>
            <sz val="11"/>
            <color rgb="FFFF0000"/>
            <rFont val="Aptos Narrow"/>
            <family val="2"/>
          </rPr>
          <t>Gestão CGLA</t>
        </r>
      </is>
    </oc>
    <nc r="AH18"/>
  </rcc>
  <rcc rId="15375" sId="10">
    <oc r="AI18" t="inlineStr">
      <is>
        <r>
          <t xml:space="preserve">Acompanhamento  do Sistema </t>
        </r>
        <r>
          <rPr>
            <b/>
            <sz val="11"/>
            <color rgb="FFFF0000"/>
            <rFont val="Aptos Narrow"/>
            <family val="2"/>
          </rPr>
          <t>Gestão CGLA</t>
        </r>
      </is>
    </oc>
    <nc r="AI18"/>
  </rcc>
  <rcc rId="15376" sId="10">
    <oc r="AJ18" t="inlineStr">
      <is>
        <r>
          <t xml:space="preserve">Acompanhamento  do Sistema </t>
        </r>
        <r>
          <rPr>
            <b/>
            <sz val="11"/>
            <color rgb="FFFF0000"/>
            <rFont val="Aptos Narrow"/>
            <family val="2"/>
          </rPr>
          <t>Gestão CGLA</t>
        </r>
      </is>
    </oc>
    <nc r="AJ18"/>
  </rcc>
  <rcc rId="15377" sId="10">
    <oc r="AK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AK18"/>
  </rcc>
  <rcc rId="15378" sId="10">
    <oc r="AQ18" t="inlineStr">
      <is>
        <t>Alimentação de planilha de controle de atividades (Gustavo)</t>
      </is>
    </oc>
    <nc r="AQ18"/>
  </rcc>
  <rcc rId="15379" sId="10">
    <oc r="AT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AT18"/>
  </rcc>
  <rcc rId="15380" sId="10">
    <oc r="AU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AU18"/>
  </rcc>
  <rcc rId="15381" sId="10">
    <oc r="AV18" t="inlineStr">
      <is>
        <r>
          <t xml:space="preserve">Atualização de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AV18"/>
  </rcc>
  <rcc rId="15382" sId="4" numFmtId="21">
    <oc r="C1">
      <v>45662</v>
    </oc>
    <nc r="C1">
      <v>46083</v>
    </nc>
  </rcc>
  <rcc rId="15383" sId="4" numFmtId="21">
    <oc r="D1">
      <v>45663</v>
    </oc>
    <nc r="D1">
      <v>46084</v>
    </nc>
  </rcc>
  <rcc rId="15384" sId="4" numFmtId="21">
    <oc r="E1">
      <v>45664</v>
    </oc>
    <nc r="E1">
      <v>46085</v>
    </nc>
  </rcc>
  <rcc rId="15385" sId="4" numFmtId="21">
    <oc r="F1">
      <v>45665</v>
    </oc>
    <nc r="F1">
      <v>46086</v>
    </nc>
  </rcc>
  <rcc rId="15386" sId="4" numFmtId="21">
    <oc r="G1">
      <v>45666</v>
    </oc>
    <nc r="G1">
      <v>46087</v>
    </nc>
  </rcc>
  <rcc rId="15387" sId="4" numFmtId="21">
    <oc r="I1">
      <v>45669</v>
    </oc>
    <nc r="I1">
      <v>46090</v>
    </nc>
  </rcc>
  <rcc rId="15388" sId="4" numFmtId="21">
    <oc r="J1">
      <v>45670</v>
    </oc>
    <nc r="J1">
      <v>46091</v>
    </nc>
  </rcc>
  <rcc rId="15389" sId="4" numFmtId="21">
    <oc r="K1">
      <v>45671</v>
    </oc>
    <nc r="K1">
      <v>46092</v>
    </nc>
  </rcc>
  <rcc rId="15390" sId="4" numFmtId="21">
    <oc r="L1">
      <v>45672</v>
    </oc>
    <nc r="L1">
      <v>46093</v>
    </nc>
  </rcc>
  <rcc rId="15391" sId="4" numFmtId="21">
    <oc r="M1">
      <v>45673</v>
    </oc>
    <nc r="M1">
      <v>46094</v>
    </nc>
  </rcc>
  <rcc rId="15392" sId="4" numFmtId="21">
    <oc r="O1">
      <v>45676</v>
    </oc>
    <nc r="O1">
      <v>46097</v>
    </nc>
  </rcc>
  <rcc rId="15393" sId="4" numFmtId="21">
    <oc r="P1">
      <v>45677</v>
    </oc>
    <nc r="P1">
      <v>46098</v>
    </nc>
  </rcc>
  <rcc rId="15394" sId="4" numFmtId="21">
    <oc r="Q1">
      <v>45678</v>
    </oc>
    <nc r="Q1">
      <v>46099</v>
    </nc>
  </rcc>
  <rcc rId="15395" sId="4" numFmtId="21">
    <oc r="R1">
      <v>45679</v>
    </oc>
    <nc r="R1">
      <v>46100</v>
    </nc>
  </rcc>
  <rcc rId="15396" sId="4" numFmtId="21">
    <oc r="S1">
      <v>45680</v>
    </oc>
    <nc r="S1">
      <v>46101</v>
    </nc>
  </rcc>
  <rcc rId="15397" sId="4" numFmtId="21">
    <oc r="U1">
      <v>45683</v>
    </oc>
    <nc r="U1">
      <v>46104</v>
    </nc>
  </rcc>
  <rcc rId="15398" sId="4" numFmtId="21">
    <oc r="V1">
      <v>45684</v>
    </oc>
    <nc r="V1">
      <v>46105</v>
    </nc>
  </rcc>
  <rcc rId="15399" sId="4" numFmtId="21">
    <oc r="W1">
      <v>45685</v>
    </oc>
    <nc r="W1">
      <v>46106</v>
    </nc>
  </rcc>
  <rcc rId="15400" sId="4" numFmtId="21">
    <oc r="X1">
      <v>45686</v>
    </oc>
    <nc r="X1">
      <v>46107</v>
    </nc>
  </rcc>
  <rcc rId="15401" sId="4" numFmtId="21">
    <oc r="Y1">
      <v>45687</v>
    </oc>
    <nc r="Y1">
      <v>46108</v>
    </nc>
  </rcc>
  <rcc rId="15402" sId="4" numFmtId="21">
    <oc r="AA1">
      <v>45690</v>
    </oc>
    <nc r="AA1">
      <v>46111</v>
    </nc>
  </rcc>
  <rcc rId="15403" sId="4" numFmtId="21">
    <oc r="AB1">
      <v>45691</v>
    </oc>
    <nc r="AB1">
      <v>46112</v>
    </nc>
  </rcc>
  <rcc rId="15404" sId="4" numFmtId="21">
    <oc r="AC1">
      <v>45692</v>
    </oc>
    <nc r="AC1">
      <v>46113</v>
    </nc>
  </rcc>
  <rcc rId="15405" sId="4" numFmtId="21">
    <oc r="AD1">
      <v>45693</v>
    </oc>
    <nc r="AD1">
      <v>46114</v>
    </nc>
  </rcc>
  <rcc rId="15406" sId="4" numFmtId="21">
    <oc r="AE1">
      <v>45694</v>
    </oc>
    <nc r="AE1">
      <v>46115</v>
    </nc>
  </rcc>
  <rcc rId="15407" sId="4" numFmtId="21">
    <oc r="AG1">
      <v>45697</v>
    </oc>
    <nc r="AG1">
      <v>46118</v>
    </nc>
  </rcc>
  <rcc rId="15408" sId="4" numFmtId="21">
    <oc r="AH1">
      <v>45698</v>
    </oc>
    <nc r="AH1">
      <v>46119</v>
    </nc>
  </rcc>
  <rcc rId="15409" sId="4" numFmtId="21">
    <oc r="AI1">
      <v>45699</v>
    </oc>
    <nc r="AI1">
      <v>46120</v>
    </nc>
  </rcc>
  <rcc rId="15410" sId="4" numFmtId="21">
    <oc r="AJ1">
      <v>45700</v>
    </oc>
    <nc r="AJ1">
      <v>46121</v>
    </nc>
  </rcc>
  <rcc rId="15411" sId="4" numFmtId="21">
    <oc r="AK1">
      <v>45701</v>
    </oc>
    <nc r="AK1">
      <v>46122</v>
    </nc>
  </rcc>
  <rcc rId="15412" sId="4" numFmtId="21">
    <oc r="AM1">
      <v>45704</v>
    </oc>
    <nc r="AM1">
      <v>46125</v>
    </nc>
  </rcc>
  <rcc rId="15413" sId="4" numFmtId="21">
    <oc r="AN1">
      <v>45705</v>
    </oc>
    <nc r="AN1">
      <v>46126</v>
    </nc>
  </rcc>
  <rcc rId="15414" sId="4" numFmtId="21">
    <oc r="AO1">
      <v>45706</v>
    </oc>
    <nc r="AO1">
      <v>46127</v>
    </nc>
  </rcc>
  <rcc rId="15415" sId="4" numFmtId="21">
    <oc r="AP1">
      <v>45707</v>
    </oc>
    <nc r="AP1">
      <v>46128</v>
    </nc>
  </rcc>
  <rcc rId="15416" sId="4" numFmtId="21">
    <oc r="AQ1">
      <v>45708</v>
    </oc>
    <nc r="AQ1">
      <v>46129</v>
    </nc>
  </rcc>
  <rcc rId="15417" sId="4" numFmtId="21">
    <oc r="AS1">
      <v>45711</v>
    </oc>
    <nc r="AS1">
      <v>46132</v>
    </nc>
  </rcc>
  <rcc rId="15418" sId="4" numFmtId="21">
    <oc r="AT1">
      <v>45712</v>
    </oc>
    <nc r="AT1">
      <v>46133</v>
    </nc>
  </rcc>
  <rcc rId="15419" sId="4" numFmtId="21">
    <oc r="AU1">
      <v>45713</v>
    </oc>
    <nc r="AU1">
      <v>46134</v>
    </nc>
  </rcc>
  <rcc rId="15420" sId="4" numFmtId="21">
    <oc r="AV1">
      <v>45714</v>
    </oc>
    <nc r="AV1">
      <v>46135</v>
    </nc>
  </rcc>
  <rcc rId="15421" sId="4" numFmtId="21">
    <oc r="AW1">
      <v>45715</v>
    </oc>
    <nc r="AW1">
      <v>46136</v>
    </nc>
  </rcc>
  <rcc rId="15422" sId="4" odxf="1" dxf="1" numFmtId="21">
    <nc r="AY1">
      <v>46139</v>
    </nc>
    <odxf>
      <numFmt numFmtId="0" formatCode="General"/>
    </odxf>
    <ndxf>
      <numFmt numFmtId="21" formatCode="dd/mmm"/>
    </ndxf>
  </rcc>
  <rcc rId="15423" sId="4" odxf="1" dxf="1" numFmtId="21">
    <nc r="AZ1">
      <v>46140</v>
    </nc>
    <odxf>
      <numFmt numFmtId="0" formatCode="General"/>
    </odxf>
    <ndxf>
      <numFmt numFmtId="21" formatCode="dd/mmm"/>
    </ndxf>
  </rcc>
  <rcc rId="15424" sId="4" odxf="1" dxf="1" numFmtId="21">
    <nc r="BA1">
      <v>46141</v>
    </nc>
    <odxf>
      <numFmt numFmtId="0" formatCode="General"/>
    </odxf>
    <ndxf>
      <numFmt numFmtId="21" formatCode="dd/mmm"/>
    </ndxf>
  </rcc>
  <rcc rId="15425" sId="4" odxf="1" dxf="1" numFmtId="21">
    <nc r="BB1">
      <v>46142</v>
    </nc>
    <odxf>
      <numFmt numFmtId="0" formatCode="General"/>
    </odxf>
    <ndxf>
      <numFmt numFmtId="21" formatCode="dd/mmm"/>
    </ndxf>
  </rcc>
  <rcc rId="15426" sId="4" odxf="1" dxf="1" numFmtId="21">
    <nc r="BC1">
      <v>46143</v>
    </nc>
    <odxf>
      <numFmt numFmtId="0" formatCode="General"/>
    </odxf>
    <ndxf>
      <numFmt numFmtId="21" formatCode="dd/mmm"/>
    </ndxf>
  </rcc>
  <rcc rId="15427" sId="4" odxf="1" dxf="1">
    <nc r="BD1" t="inlineStr">
      <is>
        <t>TOTAL SEMANA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4" sqref="BD2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3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4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5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6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7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8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9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0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1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2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3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4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5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6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dxf>
  </rfmt>
  <rfmt sheetId="4" sqref="BD17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rfmt>
  <rfmt sheetId="4" sqref="AX1:BD1" start="0" length="0">
    <dxf>
      <border>
        <top style="thin">
          <color indexed="64"/>
        </top>
      </border>
    </dxf>
  </rfmt>
  <rfmt sheetId="4" sqref="AX17:BD17" start="0" length="0">
    <dxf>
      <border>
        <bottom style="thin">
          <color indexed="64"/>
        </bottom>
      </border>
    </dxf>
  </rfmt>
  <rfmt sheetId="4" sqref="AW1:BD1" start="0" length="0">
    <dxf>
      <border>
        <bottom style="thin">
          <color indexed="64"/>
        </bottom>
      </border>
    </dxf>
  </rfmt>
  <rfmt sheetId="4" sqref="AW1:BD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5428" sId="4">
    <nc r="BD2">
      <f>SUM(AY2:BC2)</f>
    </nc>
  </rcc>
  <rcc rId="15429" sId="4">
    <nc r="BD3">
      <f>SUM(AY3:BC3)</f>
    </nc>
  </rcc>
  <rcc rId="15430" sId="4">
    <nc r="BD4">
      <f>SUM(AY4:BC4)</f>
    </nc>
  </rcc>
  <rcc rId="15431" sId="4">
    <nc r="BD5">
      <f>SUM(AY5:BC5)</f>
    </nc>
  </rcc>
  <rcc rId="15432" sId="4">
    <nc r="BD6">
      <f>SUM(AY6:BC6)</f>
    </nc>
  </rcc>
  <rcc rId="15433" sId="4">
    <nc r="BD7">
      <f>SUM(AY7:BC7)</f>
    </nc>
  </rcc>
  <rcc rId="15434" sId="4">
    <nc r="BD8">
      <f>SUM(AY8:BC8)</f>
    </nc>
  </rcc>
  <rcc rId="15435" sId="4">
    <nc r="BD9">
      <f>SUM(AY9:BC9)</f>
    </nc>
  </rcc>
  <rcc rId="15436" sId="4">
    <nc r="BD10">
      <f>SUM(AY10:BC10)</f>
    </nc>
  </rcc>
  <rcc rId="15437" sId="4">
    <nc r="BD11">
      <f>SUM(AY11:BC11)</f>
    </nc>
  </rcc>
  <rcc rId="15438" sId="4">
    <nc r="BD12">
      <f>SUM(AY12:BC12)</f>
    </nc>
  </rcc>
  <rcc rId="15439" sId="4">
    <nc r="BD13">
      <f>SUM(AY13:BC13)</f>
    </nc>
  </rcc>
  <rcc rId="15440" sId="4">
    <nc r="BD14">
      <f>SUM(AY14:BC14)</f>
    </nc>
  </rcc>
  <rcc rId="15441" sId="4">
    <nc r="BD15">
      <f>SUM(AY15:BC15)</f>
    </nc>
  </rcc>
  <rcc rId="15442" sId="4">
    <nc r="BD16">
      <f>SUM(AY16:BC16)</f>
    </nc>
  </rcc>
  <rcc rId="15443" sId="4" odxf="1" dxf="1">
    <nc r="BD17">
      <f>SUM(AY17:BC17)</f>
    </nc>
    <ndxf>
      <border outline="0">
        <bottom/>
      </border>
    </ndxf>
  </rcc>
  <rfmt sheetId="4" sqref="BD17" start="0" length="0">
    <dxf>
      <border>
        <bottom style="thin">
          <color indexed="64"/>
        </bottom>
      </border>
    </dxf>
  </rfmt>
  <rcc rId="15444" sId="4">
    <oc r="F2">
      <v>1</v>
    </oc>
    <nc r="F2"/>
  </rcc>
  <rcc rId="15445" sId="4">
    <oc r="C5">
      <v>1</v>
    </oc>
    <nc r="C5"/>
  </rcc>
  <rcc rId="15446" sId="4">
    <oc r="G5">
      <v>1</v>
    </oc>
    <nc r="G5"/>
  </rcc>
  <rcc rId="15447" sId="4">
    <oc r="D13">
      <v>2</v>
    </oc>
    <nc r="D13"/>
  </rcc>
  <rcc rId="15448" sId="4">
    <oc r="F15">
      <v>149</v>
    </oc>
    <nc r="F15"/>
  </rcc>
  <rcc rId="15449" sId="4">
    <oc r="C16">
      <v>2</v>
    </oc>
    <nc r="C16"/>
  </rcc>
  <rcc rId="15450" sId="4">
    <oc r="G16">
      <v>9</v>
    </oc>
    <nc r="G16"/>
  </rcc>
  <rcc rId="15451" sId="4">
    <oc r="C17">
      <v>10</v>
    </oc>
    <nc r="C17"/>
  </rcc>
  <rcc rId="15452" sId="4">
    <oc r="D17">
      <v>10</v>
    </oc>
    <nc r="D17"/>
  </rcc>
  <rcc rId="15453" sId="4">
    <oc r="E17">
      <v>10</v>
    </oc>
    <nc r="E17"/>
  </rcc>
  <rcc rId="15454" sId="4">
    <oc r="K4">
      <v>1</v>
    </oc>
    <nc r="K4"/>
  </rcc>
  <rcc rId="15455" sId="4">
    <oc r="I13">
      <v>1</v>
    </oc>
    <nc r="I13"/>
  </rcc>
  <rcc rId="15456" sId="4">
    <oc r="K13">
      <v>1</v>
    </oc>
    <nc r="K13"/>
  </rcc>
  <rcc rId="15457" sId="4">
    <oc r="L13">
      <v>1</v>
    </oc>
    <nc r="L13"/>
  </rcc>
  <rcc rId="15458" sId="4">
    <oc r="I14">
      <v>1</v>
    </oc>
    <nc r="I14"/>
  </rcc>
  <rcc rId="15459" sId="4">
    <oc r="L15">
      <v>70</v>
    </oc>
    <nc r="L15"/>
  </rcc>
  <rcc rId="15460" sId="4">
    <oc r="I17">
      <v>10</v>
    </oc>
    <nc r="I17"/>
  </rcc>
  <rcc rId="15461" sId="4">
    <oc r="J17">
      <v>10</v>
    </oc>
    <nc r="J17"/>
  </rcc>
  <rcc rId="15462" sId="4">
    <oc r="K17">
      <v>10</v>
    </oc>
    <nc r="K17"/>
  </rcc>
  <rcc rId="15463" sId="4">
    <oc r="M17">
      <v>10</v>
    </oc>
    <nc r="M17"/>
  </rcc>
  <rcc rId="15464" sId="4">
    <oc r="O2">
      <v>1</v>
    </oc>
    <nc r="O2"/>
  </rcc>
  <rcc rId="15465" sId="4">
    <oc r="O13">
      <v>1</v>
    </oc>
    <nc r="O13"/>
  </rcc>
  <rcc rId="15466" sId="4">
    <oc r="P14">
      <v>1</v>
    </oc>
    <nc r="P14"/>
  </rcc>
  <rcc rId="15467" sId="4">
    <oc r="O17">
      <v>5</v>
    </oc>
    <nc r="O17"/>
  </rcc>
  <rcc rId="15468" sId="4">
    <oc r="P17">
      <v>6</v>
    </oc>
    <nc r="P17"/>
  </rcc>
  <rcc rId="15469" sId="4">
    <oc r="Q17">
      <v>10</v>
    </oc>
    <nc r="Q17"/>
  </rcc>
  <rcc rId="15470" sId="4">
    <oc r="R17">
      <v>10</v>
    </oc>
    <nc r="R17"/>
  </rcc>
  <rcc rId="15471" sId="4">
    <oc r="S17">
      <v>8</v>
    </oc>
    <nc r="S17"/>
  </rcc>
  <rcc rId="15472" sId="4">
    <oc r="X2">
      <v>5</v>
    </oc>
    <nc r="X2"/>
  </rcc>
  <rcc rId="15473" sId="4">
    <oc r="Y2">
      <v>1</v>
    </oc>
    <nc r="Y2"/>
  </rcc>
  <rcc rId="15474" sId="4">
    <oc r="Y3">
      <v>3</v>
    </oc>
    <nc r="Y3"/>
  </rcc>
  <rcc rId="15475" sId="4">
    <oc r="U4">
      <v>1</v>
    </oc>
    <nc r="U4"/>
  </rcc>
  <rcc rId="15476" sId="4">
    <oc r="U13">
      <v>1</v>
    </oc>
    <nc r="U13"/>
  </rcc>
  <rcc rId="15477" sId="4">
    <oc r="Y13">
      <v>1</v>
    </oc>
    <nc r="Y13"/>
  </rcc>
  <rcc rId="15478" sId="4">
    <oc r="U15">
      <v>70</v>
    </oc>
    <nc r="U15"/>
  </rcc>
  <rcc rId="15479" sId="4">
    <oc r="Y15">
      <v>14</v>
    </oc>
    <nc r="Y15"/>
  </rcc>
  <rcc rId="15480" sId="4">
    <oc r="W16">
      <v>10</v>
    </oc>
    <nc r="W16"/>
  </rcc>
  <rcc rId="15481" sId="4">
    <oc r="X16">
      <v>10</v>
    </oc>
    <nc r="X16"/>
  </rcc>
  <rcc rId="15482" sId="4">
    <oc r="AB15">
      <v>70</v>
    </oc>
    <nc r="AB15"/>
  </rcc>
  <rcc rId="15483" sId="4">
    <oc r="AC15">
      <v>70</v>
    </oc>
    <nc r="AC15"/>
  </rcc>
  <rcc rId="15484" sId="4">
    <oc r="AK2">
      <v>4</v>
    </oc>
    <nc r="AK2"/>
  </rcc>
  <rcc rId="15485" sId="4">
    <oc r="AH15">
      <v>70</v>
    </oc>
    <nc r="AH15"/>
  </rcc>
  <rcc rId="15486" sId="4">
    <oc r="AI15">
      <v>70</v>
    </oc>
    <nc r="AI15"/>
  </rcc>
  <rcc rId="15487" sId="4">
    <oc r="AM2" t="inlineStr">
      <is>
        <t>RECESSO</t>
      </is>
    </oc>
    <nc r="AM2"/>
  </rcc>
  <rcc rId="15488" sId="4">
    <oc r="AN2" t="inlineStr">
      <is>
        <t>CARNAVAL</t>
      </is>
    </oc>
    <nc r="AN2"/>
  </rcc>
  <rcc rId="15489" sId="4">
    <oc r="AN3" t="inlineStr">
      <is>
        <t>CARNAVAL</t>
      </is>
    </oc>
    <nc r="AN3"/>
  </rcc>
  <rcc rId="15490" sId="4">
    <oc r="AP3">
      <v>2</v>
    </oc>
    <nc r="AP3"/>
  </rcc>
  <rcc rId="15491" sId="4">
    <oc r="AM4" t="inlineStr">
      <is>
        <t>RECESSO</t>
      </is>
    </oc>
    <nc r="AM4"/>
  </rcc>
  <rcc rId="15492" sId="4">
    <oc r="AN4" t="inlineStr">
      <is>
        <t>CARNAVAL</t>
      </is>
    </oc>
    <nc r="AN4"/>
  </rcc>
  <rcc rId="15493" sId="4">
    <oc r="AM5" t="inlineStr">
      <is>
        <t>RECESSO</t>
      </is>
    </oc>
    <nc r="AM5"/>
  </rcc>
  <rcc rId="15494" sId="4">
    <oc r="AN5" t="inlineStr">
      <is>
        <t>CARNAVAL</t>
      </is>
    </oc>
    <nc r="AN5"/>
  </rcc>
  <rcc rId="15495" sId="4">
    <oc r="AM6" t="inlineStr">
      <is>
        <t>RECESSO</t>
      </is>
    </oc>
    <nc r="AM6"/>
  </rcc>
  <rcc rId="15496" sId="4">
    <oc r="AN6" t="inlineStr">
      <is>
        <t>CARNAVAL</t>
      </is>
    </oc>
    <nc r="AN6"/>
  </rcc>
  <rcc rId="15497" sId="4">
    <oc r="AM7" t="inlineStr">
      <is>
        <t>RECESSO</t>
      </is>
    </oc>
    <nc r="AM7"/>
  </rcc>
  <rcc rId="15498" sId="4">
    <oc r="AN7" t="inlineStr">
      <is>
        <t>CARNAVAL</t>
      </is>
    </oc>
    <nc r="AN7"/>
  </rcc>
  <rcc rId="15499" sId="4">
    <oc r="AM8" t="inlineStr">
      <is>
        <t>RECESSO</t>
      </is>
    </oc>
    <nc r="AM8"/>
  </rcc>
  <rcc rId="15500" sId="4">
    <oc r="AN8" t="inlineStr">
      <is>
        <t>CARNAVAL</t>
      </is>
    </oc>
    <nc r="AN8"/>
  </rcc>
  <rcc rId="15501" sId="4">
    <oc r="AM9" t="inlineStr">
      <is>
        <t>RECESSO</t>
      </is>
    </oc>
    <nc r="AM9"/>
  </rcc>
  <rcc rId="15502" sId="4">
    <oc r="AN9" t="inlineStr">
      <is>
        <t>CARNAVAL</t>
      </is>
    </oc>
    <nc r="AN9"/>
  </rcc>
  <rcc rId="15503" sId="4">
    <oc r="AM10" t="inlineStr">
      <is>
        <t>RECESSO</t>
      </is>
    </oc>
    <nc r="AM10"/>
  </rcc>
  <rcc rId="15504" sId="4">
    <oc r="AN10" t="inlineStr">
      <is>
        <t>CARNAVAL</t>
      </is>
    </oc>
    <nc r="AN10"/>
  </rcc>
  <rcc rId="15505" sId="4">
    <oc r="AM11" t="inlineStr">
      <is>
        <t>RECESSO</t>
      </is>
    </oc>
    <nc r="AM11"/>
  </rcc>
  <rcc rId="15506" sId="4">
    <oc r="AN11" t="inlineStr">
      <is>
        <t>CARNAVAL</t>
      </is>
    </oc>
    <nc r="AN11"/>
  </rcc>
  <rcc rId="15507" sId="4">
    <oc r="AM12" t="inlineStr">
      <is>
        <t>RECESSO</t>
      </is>
    </oc>
    <nc r="AM12"/>
  </rcc>
  <rcc rId="15508" sId="4">
    <oc r="AN12" t="inlineStr">
      <is>
        <t>CARNAVAL</t>
      </is>
    </oc>
    <nc r="AN12"/>
  </rcc>
  <rcc rId="15509" sId="4">
    <oc r="AM13" t="inlineStr">
      <is>
        <t>RECESSO</t>
      </is>
    </oc>
    <nc r="AM13"/>
  </rcc>
  <rcc rId="15510" sId="4">
    <oc r="AN13" t="inlineStr">
      <is>
        <t>CARNAVAL</t>
      </is>
    </oc>
    <nc r="AN13"/>
  </rcc>
  <rcc rId="15511" sId="4">
    <oc r="AM14" t="inlineStr">
      <is>
        <t>RECESSO</t>
      </is>
    </oc>
    <nc r="AM14"/>
  </rcc>
  <rcc rId="15512" sId="4">
    <oc r="AN14" t="inlineStr">
      <is>
        <t>CARNAVAL</t>
      </is>
    </oc>
    <nc r="AN14"/>
  </rcc>
  <rcc rId="15513" sId="4">
    <oc r="AM15" t="inlineStr">
      <is>
        <t>RECESSO</t>
      </is>
    </oc>
    <nc r="AM15"/>
  </rcc>
  <rcc rId="15514" sId="4">
    <oc r="AN15" t="inlineStr">
      <is>
        <t>CARNAVAL</t>
      </is>
    </oc>
    <nc r="AN15"/>
  </rcc>
  <rcc rId="15515" sId="4">
    <oc r="AP15">
      <v>140</v>
    </oc>
    <nc r="AP15"/>
  </rcc>
  <rcc rId="15516" sId="4">
    <oc r="AM16" t="inlineStr">
      <is>
        <t>RECESSO</t>
      </is>
    </oc>
    <nc r="AM16"/>
  </rcc>
  <rcc rId="15517" sId="4">
    <oc r="AN16" t="inlineStr">
      <is>
        <t>CARNAVAL</t>
      </is>
    </oc>
    <nc r="AN16"/>
  </rcc>
  <rcc rId="15518" sId="4">
    <oc r="AM17" t="inlineStr">
      <is>
        <t>RECESSO</t>
      </is>
    </oc>
    <nc r="AM17"/>
  </rcc>
  <rcc rId="15519" sId="4">
    <oc r="AN17" t="inlineStr">
      <is>
        <t>CARNAVAL</t>
      </is>
    </oc>
    <nc r="AN17"/>
  </rcc>
  <rfmt sheetId="4" sqref="AM2:AN17" start="0" length="2147483647">
    <dxf>
      <font>
        <b val="0"/>
      </font>
    </dxf>
  </rfmt>
  <rcc rId="15520" sId="4">
    <oc r="AM3" t="inlineStr">
      <is>
        <t>RECESSO</t>
      </is>
    </oc>
    <nc r="AM3"/>
  </rcc>
  <rcc rId="15521" sId="4">
    <oc r="AU15">
      <v>70</v>
    </oc>
    <nc r="AU15"/>
  </rcc>
  <rcc rId="15522" sId="5" odxf="1" dxf="1" numFmtId="21">
    <oc r="C1">
      <v>45662</v>
    </oc>
    <nc r="C1">
      <v>46083</v>
    </nc>
    <odxf>
      <border outline="0">
        <left style="thin">
          <color indexed="64"/>
        </left>
      </border>
    </odxf>
    <ndxf>
      <border outline="0">
        <left/>
      </border>
    </ndxf>
  </rcc>
  <rcc rId="15523" sId="5" numFmtId="21">
    <oc r="D1">
      <v>45663</v>
    </oc>
    <nc r="D1">
      <v>46084</v>
    </nc>
  </rcc>
  <rcc rId="15524" sId="5" numFmtId="21">
    <oc r="E1">
      <v>45664</v>
    </oc>
    <nc r="E1">
      <v>46085</v>
    </nc>
  </rcc>
  <rcc rId="15525" sId="5" numFmtId="21">
    <oc r="F1">
      <v>45665</v>
    </oc>
    <nc r="F1">
      <v>46086</v>
    </nc>
  </rcc>
  <rcc rId="15526" sId="5" numFmtId="21">
    <oc r="G1">
      <v>45666</v>
    </oc>
    <nc r="G1">
      <v>46087</v>
    </nc>
  </rcc>
  <rcc rId="15527" sId="5" numFmtId="21">
    <oc r="I1">
      <v>45669</v>
    </oc>
    <nc r="I1">
      <v>46090</v>
    </nc>
  </rcc>
  <rcc rId="15528" sId="5" numFmtId="21">
    <oc r="J1">
      <v>45670</v>
    </oc>
    <nc r="J1">
      <v>46091</v>
    </nc>
  </rcc>
  <rcc rId="15529" sId="5" numFmtId="21">
    <oc r="K1">
      <v>45671</v>
    </oc>
    <nc r="K1">
      <v>46092</v>
    </nc>
  </rcc>
  <rcc rId="15530" sId="5" numFmtId="21">
    <oc r="L1">
      <v>45672</v>
    </oc>
    <nc r="L1">
      <v>46093</v>
    </nc>
  </rcc>
  <rcc rId="15531" sId="5" numFmtId="21">
    <oc r="M1">
      <v>45673</v>
    </oc>
    <nc r="M1">
      <v>46094</v>
    </nc>
  </rcc>
  <rcc rId="15532" sId="5" numFmtId="21">
    <oc r="O1">
      <v>45676</v>
    </oc>
    <nc r="O1">
      <v>46097</v>
    </nc>
  </rcc>
  <rcc rId="15533" sId="5" numFmtId="21">
    <oc r="P1">
      <v>45677</v>
    </oc>
    <nc r="P1">
      <v>46098</v>
    </nc>
  </rcc>
  <rcc rId="15534" sId="5" numFmtId="21">
    <oc r="Q1">
      <v>45678</v>
    </oc>
    <nc r="Q1">
      <v>46099</v>
    </nc>
  </rcc>
  <rcc rId="15535" sId="5" numFmtId="21">
    <oc r="R1">
      <v>45679</v>
    </oc>
    <nc r="R1">
      <v>46100</v>
    </nc>
  </rcc>
  <rcc rId="15536" sId="5" numFmtId="21">
    <oc r="S1">
      <v>45680</v>
    </oc>
    <nc r="S1">
      <v>46101</v>
    </nc>
  </rcc>
  <rcc rId="15537" sId="5" numFmtId="21">
    <oc r="U1">
      <v>45683</v>
    </oc>
    <nc r="U1">
      <v>46104</v>
    </nc>
  </rcc>
  <rcc rId="15538" sId="5" numFmtId="21">
    <oc r="V1">
      <v>45684</v>
    </oc>
    <nc r="V1">
      <v>46105</v>
    </nc>
  </rcc>
  <rcc rId="15539" sId="5" numFmtId="21">
    <oc r="W1">
      <v>45685</v>
    </oc>
    <nc r="W1">
      <v>46106</v>
    </nc>
  </rcc>
  <rcc rId="15540" sId="5" numFmtId="21">
    <oc r="X1">
      <v>45686</v>
    </oc>
    <nc r="X1">
      <v>46107</v>
    </nc>
  </rcc>
  <rcc rId="15541" sId="5" numFmtId="21">
    <oc r="Y1">
      <v>45687</v>
    </oc>
    <nc r="Y1">
      <v>46108</v>
    </nc>
  </rcc>
  <rcc rId="15542" sId="5" odxf="1" dxf="1" numFmtId="21">
    <oc r="AA1">
      <v>45690</v>
    </oc>
    <nc r="AA1">
      <v>46111</v>
    </nc>
    <odxf>
      <border outline="0">
        <left style="thin">
          <color indexed="64"/>
        </left>
      </border>
    </odxf>
    <ndxf>
      <border outline="0">
        <left/>
      </border>
    </ndxf>
  </rcc>
  <rcc rId="15543" sId="5" numFmtId="21">
    <oc r="AB1">
      <v>45691</v>
    </oc>
    <nc r="AB1">
      <v>46112</v>
    </nc>
  </rcc>
  <rcc rId="15544" sId="5" numFmtId="21">
    <oc r="AC1">
      <v>45692</v>
    </oc>
    <nc r="AC1">
      <v>46113</v>
    </nc>
  </rcc>
  <rcc rId="15545" sId="5" numFmtId="21">
    <oc r="AD1">
      <v>45693</v>
    </oc>
    <nc r="AD1">
      <v>46114</v>
    </nc>
  </rcc>
  <rcc rId="15546" sId="5" odxf="1" dxf="1" numFmtId="21">
    <oc r="AE1">
      <v>45694</v>
    </oc>
    <nc r="AE1">
      <v>46115</v>
    </nc>
    <odxf>
      <border outline="0">
        <right style="thin">
          <color indexed="64"/>
        </right>
      </border>
    </odxf>
    <ndxf>
      <border outline="0">
        <right/>
      </border>
    </ndxf>
  </rcc>
  <rcc rId="15547" sId="5" numFmtId="21">
    <oc r="AG1">
      <v>45697</v>
    </oc>
    <nc r="AG1">
      <v>46118</v>
    </nc>
  </rcc>
  <rcc rId="15548" sId="5" numFmtId="21">
    <oc r="AH1">
      <v>45698</v>
    </oc>
    <nc r="AH1">
      <v>46119</v>
    </nc>
  </rcc>
  <rcc rId="15549" sId="5" numFmtId="21">
    <oc r="AI1">
      <v>45699</v>
    </oc>
    <nc r="AI1">
      <v>46120</v>
    </nc>
  </rcc>
  <rcc rId="15550" sId="5" numFmtId="21">
    <oc r="AJ1">
      <v>45700</v>
    </oc>
    <nc r="AJ1">
      <v>46121</v>
    </nc>
  </rcc>
  <rcc rId="15551" sId="5" numFmtId="21">
    <oc r="AK1">
      <v>45701</v>
    </oc>
    <nc r="AK1">
      <v>46122</v>
    </nc>
  </rcc>
  <rcc rId="15552" sId="5" numFmtId="21">
    <oc r="AM1">
      <v>45704</v>
    </oc>
    <nc r="AM1">
      <v>46125</v>
    </nc>
  </rcc>
  <rcc rId="15553" sId="5" numFmtId="21">
    <oc r="AN1">
      <v>45705</v>
    </oc>
    <nc r="AN1">
      <v>46126</v>
    </nc>
  </rcc>
  <rcc rId="15554" sId="5" numFmtId="21">
    <oc r="AO1">
      <v>45706</v>
    </oc>
    <nc r="AO1">
      <v>46127</v>
    </nc>
  </rcc>
  <rcc rId="15555" sId="5" numFmtId="21">
    <oc r="AP1">
      <v>45707</v>
    </oc>
    <nc r="AP1">
      <v>46128</v>
    </nc>
  </rcc>
  <rcc rId="15556" sId="5" numFmtId="21">
    <oc r="AQ1">
      <v>45708</v>
    </oc>
    <nc r="AQ1">
      <v>46129</v>
    </nc>
  </rcc>
  <rcc rId="15557" sId="5" numFmtId="21">
    <oc r="AS1">
      <v>45711</v>
    </oc>
    <nc r="AS1">
      <v>46132</v>
    </nc>
  </rcc>
  <rcc rId="15558" sId="5" numFmtId="21">
    <oc r="AT1">
      <v>45712</v>
    </oc>
    <nc r="AT1">
      <v>46133</v>
    </nc>
  </rcc>
  <rcc rId="15559" sId="5" numFmtId="21">
    <oc r="AU1">
      <v>45713</v>
    </oc>
    <nc r="AU1">
      <v>46134</v>
    </nc>
  </rcc>
  <rcc rId="15560" sId="5" numFmtId="21">
    <oc r="AV1">
      <v>45714</v>
    </oc>
    <nc r="AV1">
      <v>46135</v>
    </nc>
  </rcc>
  <rcc rId="15561" sId="5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cc rId="15562" sId="5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563" sId="5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564" sId="5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565" sId="5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566" sId="5" odxf="1" dxf="1" numFmtId="21">
    <nc r="BC1">
      <v>46143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5567" sId="5">
    <oc r="F2">
      <v>1</v>
    </oc>
    <nc r="F2"/>
  </rcc>
  <rcc rId="15568" sId="5">
    <oc r="C5">
      <v>1</v>
    </oc>
    <nc r="C5"/>
  </rcc>
  <rcc rId="15569" sId="5">
    <oc r="G5">
      <v>1</v>
    </oc>
    <nc r="G5"/>
  </rcc>
  <rcc rId="15570" sId="5">
    <oc r="D13">
      <v>2</v>
    </oc>
    <nc r="D13"/>
  </rcc>
  <rcc rId="15571" sId="5">
    <oc r="F15">
      <v>149</v>
    </oc>
    <nc r="F15"/>
  </rcc>
  <rcc rId="15572" sId="5">
    <oc r="C16">
      <v>2</v>
    </oc>
    <nc r="C16"/>
  </rcc>
  <rcc rId="15573" sId="5">
    <oc r="G16">
      <v>9</v>
    </oc>
    <nc r="G16"/>
  </rcc>
  <rcc rId="15574" sId="5">
    <oc r="C17">
      <v>5</v>
    </oc>
    <nc r="C17"/>
  </rcc>
  <rcc rId="15575" sId="5">
    <oc r="D17">
      <v>10</v>
    </oc>
    <nc r="D17"/>
  </rcc>
  <rcc rId="15576" sId="5">
    <oc r="E17">
      <v>10</v>
    </oc>
    <nc r="E17"/>
  </rcc>
  <rcc rId="15577" sId="5">
    <oc r="K2">
      <v>1</v>
    </oc>
    <nc r="K2"/>
  </rcc>
  <rcc rId="15578" sId="5">
    <oc r="I4">
      <v>1</v>
    </oc>
    <nc r="I4"/>
  </rcc>
  <rcc rId="15579" sId="5">
    <oc r="L4">
      <v>1</v>
    </oc>
    <nc r="L4"/>
  </rcc>
  <rcc rId="15580" sId="5">
    <oc r="M4">
      <v>2</v>
    </oc>
    <nc r="M4"/>
  </rcc>
  <rcc rId="15581" sId="5">
    <oc r="J13">
      <v>2</v>
    </oc>
    <nc r="J13"/>
  </rcc>
  <rcc rId="15582" sId="5">
    <oc r="K13">
      <v>1</v>
    </oc>
    <nc r="K13"/>
  </rcc>
  <rcc rId="15583" sId="5">
    <oc r="L13">
      <v>1</v>
    </oc>
    <nc r="L13"/>
  </rcc>
  <rcc rId="15584" sId="5">
    <oc r="M14">
      <v>1</v>
    </oc>
    <nc r="M14"/>
  </rcc>
  <rcc rId="15585" sId="5">
    <oc r="L15">
      <v>70</v>
    </oc>
    <nc r="L15"/>
  </rcc>
  <rcc rId="15586" sId="5">
    <oc r="J16">
      <v>10</v>
    </oc>
    <nc r="J16"/>
  </rcc>
  <rcc rId="15587" sId="5">
    <oc r="O13">
      <v>1</v>
    </oc>
    <nc r="O13"/>
  </rcc>
  <rcc rId="15588" sId="5">
    <oc r="O14">
      <v>1</v>
    </oc>
    <nc r="O14"/>
  </rcc>
  <rcc rId="15589" sId="5">
    <oc r="O17">
      <v>10</v>
    </oc>
    <nc r="O17"/>
  </rcc>
  <rcc rId="15590" sId="5">
    <oc r="P17">
      <v>10</v>
    </oc>
    <nc r="P17"/>
  </rcc>
  <rcc rId="15591" sId="5">
    <oc r="Q17">
      <v>10</v>
    </oc>
    <nc r="Q17"/>
  </rcc>
  <rcc rId="15592" sId="5">
    <oc r="R17">
      <v>10</v>
    </oc>
    <nc r="R17"/>
  </rcc>
  <rcc rId="15593" sId="5">
    <oc r="S17">
      <v>10</v>
    </oc>
    <nc r="S17"/>
  </rcc>
  <rcc rId="15594" sId="5">
    <oc r="V2">
      <v>2</v>
    </oc>
    <nc r="V2"/>
  </rcc>
  <rcc rId="15595" sId="5">
    <oc r="U13">
      <v>2</v>
    </oc>
    <nc r="U13"/>
  </rcc>
  <rcc rId="15596" sId="5">
    <oc r="X13">
      <v>2</v>
    </oc>
    <nc r="X13"/>
  </rcc>
  <rcc rId="15597" sId="5">
    <oc r="Y13">
      <v>2</v>
    </oc>
    <nc r="Y13"/>
  </rcc>
  <rcc rId="15598" sId="5">
    <oc r="U15">
      <v>70</v>
    </oc>
    <nc r="U15"/>
  </rcc>
  <rcc rId="15599" sId="5">
    <oc r="V15">
      <v>140</v>
    </oc>
    <nc r="V15"/>
  </rcc>
  <rcc rId="15600" sId="5">
    <oc r="W16">
      <v>10</v>
    </oc>
    <nc r="W16"/>
  </rcc>
  <rcc rId="15601" sId="5">
    <oc r="X16">
      <v>5</v>
    </oc>
    <nc r="X16"/>
  </rcc>
  <rcc rId="15602" sId="5">
    <oc r="Y16">
      <v>2</v>
    </oc>
    <nc r="Y16"/>
  </rcc>
  <rcc rId="15603" sId="5">
    <oc r="AB13">
      <v>1</v>
    </oc>
    <nc r="AB13"/>
  </rcc>
  <rcc rId="15604" sId="5">
    <oc r="AD13">
      <v>2</v>
    </oc>
    <nc r="AD13"/>
  </rcc>
  <rcc rId="15605" sId="5">
    <oc r="AA15">
      <v>70</v>
    </oc>
    <nc r="AA15"/>
  </rcc>
  <rcc rId="15606" sId="5">
    <oc r="AC15">
      <v>140</v>
    </oc>
    <nc r="AC15"/>
  </rcc>
  <rcc rId="15607" sId="5">
    <oc r="AB17">
      <v>10</v>
    </oc>
    <nc r="AB17"/>
  </rcc>
  <rcc rId="15608" sId="5">
    <oc r="AG2">
      <v>1</v>
    </oc>
    <nc r="AG2"/>
  </rcc>
  <rcc rId="15609" sId="5">
    <oc r="AJ2">
      <v>6</v>
    </oc>
    <nc r="AJ2"/>
  </rcc>
  <rcc rId="15610" sId="5">
    <oc r="AH4">
      <v>4</v>
    </oc>
    <nc r="AH4"/>
  </rcc>
  <rcc rId="15611" sId="5">
    <oc r="AI4">
      <v>4</v>
    </oc>
    <nc r="AI4"/>
  </rcc>
  <rcc rId="15612" sId="5">
    <oc r="AG13">
      <v>1</v>
    </oc>
    <nc r="AG13"/>
  </rcc>
  <rcc rId="15613" sId="5">
    <oc r="AH13">
      <v>1</v>
    </oc>
    <nc r="AH13"/>
  </rcc>
  <rcc rId="15614" sId="5">
    <oc r="AI13">
      <v>2</v>
    </oc>
    <nc r="AI13"/>
  </rcc>
  <rcc rId="15615" sId="5">
    <oc r="AJ13">
      <v>1</v>
    </oc>
    <nc r="AJ13"/>
  </rcc>
  <rcc rId="15616" sId="5">
    <oc r="AK13">
      <v>1</v>
    </oc>
    <nc r="AK13"/>
  </rcc>
  <rcc rId="15617" sId="5">
    <oc r="AK17">
      <v>7</v>
    </oc>
    <nc r="AK17"/>
  </rcc>
  <rfmt sheetId="5" sqref="AG17:AK17" start="0" length="0">
    <dxf>
      <border>
        <bottom style="thin">
          <color indexed="64"/>
        </bottom>
      </border>
    </dxf>
  </rfmt>
  <rcc rId="15618" sId="5">
    <oc r="AO2">
      <v>1</v>
    </oc>
    <nc r="AO2"/>
  </rcc>
  <rcc rId="15619" sId="5">
    <oc r="AP2">
      <v>1</v>
    </oc>
    <nc r="AP2"/>
  </rcc>
  <rcc rId="15620" sId="5">
    <oc r="AO13">
      <v>1</v>
    </oc>
    <nc r="AO13"/>
  </rcc>
  <rcc rId="15621" sId="5">
    <oc r="AP15">
      <v>140</v>
    </oc>
    <nc r="AP15"/>
  </rcc>
  <rcc rId="15622" sId="5">
    <oc r="AQ16">
      <v>6</v>
    </oc>
    <nc r="AQ16"/>
  </rcc>
  <rfmt sheetId="5" sqref="AM2:AQ17">
    <dxf>
      <fill>
        <patternFill>
          <bgColor theme="0"/>
        </patternFill>
      </fill>
    </dxf>
  </rfmt>
  <rfmt sheetId="5" sqref="AM17:AQ17" start="0" length="0">
    <dxf>
      <border>
        <bottom style="thin">
          <color indexed="64"/>
        </bottom>
      </border>
    </dxf>
  </rfmt>
  <rfmt sheetId="5" sqref="AM2:AM17" start="0" length="0">
    <dxf>
      <border>
        <left/>
      </border>
    </dxf>
  </rfmt>
  <rfmt sheetId="5" sqref="AM2:AQ2" start="0" length="0">
    <dxf>
      <border>
        <top/>
      </border>
    </dxf>
  </rfmt>
  <rfmt sheetId="5" sqref="AQ2:AQ17" start="0" length="0">
    <dxf>
      <border>
        <right/>
      </border>
    </dxf>
  </rfmt>
  <rfmt sheetId="5" sqref="AM17:AQ17" start="0" length="0">
    <dxf>
      <border>
        <bottom/>
      </border>
    </dxf>
  </rfmt>
  <rfmt sheetId="5" sqref="AM2:AQ17">
    <dxf>
      <border>
        <left/>
        <right/>
        <top/>
        <bottom/>
        <vertical/>
        <horizontal/>
      </border>
    </dxf>
  </rfmt>
  <rfmt sheetId="5" sqref="AM1:AQ1" start="0" length="0">
    <dxf>
      <border>
        <bottom style="thin">
          <color indexed="64"/>
        </bottom>
      </border>
    </dxf>
  </rfmt>
  <rfmt sheetId="5" sqref="AM1:AQ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5" sqref="AM1:AM17" start="0" length="0">
    <dxf>
      <border>
        <left style="thin">
          <color indexed="64"/>
        </left>
      </border>
    </dxf>
  </rfmt>
  <rfmt sheetId="5" sqref="AQ1:AQ17" start="0" length="0">
    <dxf>
      <border>
        <right style="thin">
          <color indexed="64"/>
        </right>
      </border>
    </dxf>
  </rfmt>
  <rfmt sheetId="5" sqref="AM17:AQ17" start="0" length="0">
    <dxf>
      <border>
        <bottom style="thin">
          <color indexed="64"/>
        </bottom>
      </border>
    </dxf>
  </rfmt>
  <rfmt sheetId="5" sqref="AM18:AO18">
    <dxf>
      <fill>
        <patternFill>
          <bgColor theme="0"/>
        </patternFill>
      </fill>
    </dxf>
  </rfmt>
  <rfmt sheetId="5" sqref="AM18" start="0" length="0">
    <dxf>
      <border>
        <left/>
      </border>
    </dxf>
  </rfmt>
  <rfmt sheetId="5" sqref="AM18:AO18" start="0" length="0">
    <dxf>
      <border>
        <top/>
      </border>
    </dxf>
  </rfmt>
  <rfmt sheetId="5" sqref="AM18:AO18" start="0" length="0">
    <dxf>
      <border>
        <bottom/>
      </border>
    </dxf>
  </rfmt>
  <rfmt sheetId="5" sqref="AM18:AO18">
    <dxf>
      <border>
        <left/>
        <right/>
        <vertical/>
      </border>
    </dxf>
  </rfmt>
  <rfmt sheetId="5" sqref="AM1:AM17" start="0" length="0">
    <dxf>
      <border>
        <left/>
      </border>
    </dxf>
  </rfmt>
  <rfmt sheetId="5" sqref="AM1:AQ1" start="0" length="0">
    <dxf>
      <border>
        <top/>
      </border>
    </dxf>
  </rfmt>
  <rfmt sheetId="5" sqref="AQ1:AQ17" start="0" length="0">
    <dxf>
      <border>
        <right/>
      </border>
    </dxf>
  </rfmt>
  <rfmt sheetId="5" sqref="AM17:AQ17" start="0" length="0">
    <dxf>
      <border>
        <bottom/>
      </border>
    </dxf>
  </rfmt>
  <rfmt sheetId="5" sqref="AM1:AQ17">
    <dxf>
      <border>
        <left/>
        <right/>
        <top/>
        <bottom/>
        <vertical/>
        <horizontal/>
      </border>
    </dxf>
  </rfmt>
  <rfmt sheetId="5" sqref="AM1:AM17" start="0" length="0">
    <dxf>
      <border>
        <left style="thin">
          <color indexed="64"/>
        </left>
      </border>
    </dxf>
  </rfmt>
  <rfmt sheetId="5" sqref="AM1:AQ1" start="0" length="0">
    <dxf>
      <border>
        <top style="thin">
          <color indexed="64"/>
        </top>
      </border>
    </dxf>
  </rfmt>
  <rfmt sheetId="5" sqref="AQ1:AQ17" start="0" length="0">
    <dxf>
      <border>
        <right style="thin">
          <color indexed="64"/>
        </right>
      </border>
    </dxf>
  </rfmt>
  <rfmt sheetId="5" sqref="AM17:AQ17" start="0" length="0">
    <dxf>
      <border>
        <bottom style="thin">
          <color indexed="64"/>
        </bottom>
      </border>
    </dxf>
  </rfmt>
  <rfmt sheetId="5" sqref="AM1:AQ1" start="0" length="0">
    <dxf>
      <border>
        <bottom style="thin">
          <color indexed="64"/>
        </bottom>
      </border>
    </dxf>
  </rfmt>
  <rfmt sheetId="5" sqref="AM1:AQ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5" sqref="BD1:BD17" start="0" length="0">
    <dxf>
      <border>
        <right style="thin">
          <color indexed="64"/>
        </right>
      </border>
    </dxf>
  </rfmt>
  <rfmt sheetId="5" sqref="AY17:BD17" start="0" length="0">
    <dxf>
      <border>
        <bottom style="thin">
          <color indexed="64"/>
        </bottom>
      </border>
    </dxf>
  </rfmt>
  <rfmt sheetId="5" sqref="BD1:BD17" start="0" length="0">
    <dxf>
      <border>
        <left style="thin">
          <color indexed="64"/>
        </left>
      </border>
    </dxf>
  </rfmt>
  <rcc rId="15623" sId="5">
    <nc r="BD1" t="inlineStr">
      <is>
        <t>TOTAL SEMANA</t>
      </is>
    </nc>
  </rcc>
  <rfmt sheetId="5" sqref="BD2" start="0" length="0">
    <dxf>
      <fill>
        <patternFill patternType="solid">
          <bgColor theme="0" tint="-0.14999847407452621"/>
        </patternFill>
      </fill>
    </dxf>
  </rfmt>
  <rfmt sheetId="5" sqref="BD3" start="0" length="0">
    <dxf>
      <fill>
        <patternFill patternType="solid">
          <bgColor theme="0" tint="-0.14999847407452621"/>
        </patternFill>
      </fill>
    </dxf>
  </rfmt>
  <rfmt sheetId="5" sqref="BD4" start="0" length="0">
    <dxf>
      <fill>
        <patternFill patternType="solid">
          <bgColor theme="0" tint="-0.14999847407452621"/>
        </patternFill>
      </fill>
    </dxf>
  </rfmt>
  <rfmt sheetId="5" sqref="BD5" start="0" length="0">
    <dxf>
      <fill>
        <patternFill patternType="solid">
          <bgColor theme="0" tint="-0.14999847407452621"/>
        </patternFill>
      </fill>
    </dxf>
  </rfmt>
  <rfmt sheetId="5" sqref="BD6" start="0" length="0">
    <dxf>
      <fill>
        <patternFill patternType="solid">
          <bgColor theme="0" tint="-0.14999847407452621"/>
        </patternFill>
      </fill>
    </dxf>
  </rfmt>
  <rfmt sheetId="5" sqref="BD7" start="0" length="0">
    <dxf>
      <fill>
        <patternFill patternType="solid">
          <bgColor theme="0" tint="-0.14999847407452621"/>
        </patternFill>
      </fill>
    </dxf>
  </rfmt>
  <rfmt sheetId="5" sqref="BD8" start="0" length="0">
    <dxf>
      <fill>
        <patternFill patternType="solid">
          <bgColor theme="0" tint="-0.14999847407452621"/>
        </patternFill>
      </fill>
    </dxf>
  </rfmt>
  <rfmt sheetId="5" sqref="BD9" start="0" length="0">
    <dxf>
      <fill>
        <patternFill patternType="solid">
          <bgColor theme="0" tint="-0.14999847407452621"/>
        </patternFill>
      </fill>
    </dxf>
  </rfmt>
  <rfmt sheetId="5" sqref="BD10" start="0" length="0">
    <dxf>
      <fill>
        <patternFill patternType="solid">
          <bgColor theme="0" tint="-0.14999847407452621"/>
        </patternFill>
      </fill>
    </dxf>
  </rfmt>
  <rfmt sheetId="5" sqref="BD11" start="0" length="0">
    <dxf>
      <fill>
        <patternFill patternType="solid">
          <bgColor theme="0" tint="-0.14999847407452621"/>
        </patternFill>
      </fill>
    </dxf>
  </rfmt>
  <rfmt sheetId="5" sqref="BD12" start="0" length="0">
    <dxf>
      <fill>
        <patternFill patternType="solid">
          <bgColor theme="0" tint="-0.14999847407452621"/>
        </patternFill>
      </fill>
    </dxf>
  </rfmt>
  <rfmt sheetId="5" sqref="BD13" start="0" length="0">
    <dxf>
      <fill>
        <patternFill patternType="solid">
          <bgColor theme="0" tint="-0.14999847407452621"/>
        </patternFill>
      </fill>
    </dxf>
  </rfmt>
  <rfmt sheetId="5" sqref="BD14" start="0" length="0">
    <dxf>
      <fill>
        <patternFill patternType="solid">
          <bgColor theme="0" tint="-0.14999847407452621"/>
        </patternFill>
      </fill>
    </dxf>
  </rfmt>
  <rfmt sheetId="5" sqref="BD15" start="0" length="0">
    <dxf>
      <fill>
        <patternFill patternType="solid">
          <bgColor theme="0" tint="-0.14999847407452621"/>
        </patternFill>
      </fill>
    </dxf>
  </rfmt>
  <rfmt sheetId="5" sqref="BD16" start="0" length="0">
    <dxf>
      <fill>
        <patternFill patternType="solid">
          <bgColor theme="0" tint="-0.14999847407452621"/>
        </patternFill>
      </fill>
    </dxf>
  </rfmt>
  <rfmt sheetId="5" sqref="BD17" start="0" length="0">
    <dxf>
      <fill>
        <patternFill patternType="solid">
          <bgColor theme="0" tint="-0.14999847407452621"/>
        </patternFill>
      </fill>
    </dxf>
  </rfmt>
  <rcc rId="15624" sId="5">
    <nc r="BD2">
      <f>SUM(AY2:BC2)</f>
    </nc>
  </rcc>
  <rcc rId="15625" sId="5">
    <nc r="BD3">
      <f>SUM(AY3:BC3)</f>
    </nc>
  </rcc>
  <rcc rId="15626" sId="5">
    <nc r="BD4">
      <f>SUM(AY4:BC4)</f>
    </nc>
  </rcc>
  <rcc rId="15627" sId="5">
    <nc r="BD5">
      <f>SUM(AY5:BC5)</f>
    </nc>
  </rcc>
  <rcc rId="15628" sId="5">
    <nc r="BD6">
      <f>SUM(AY6:BC6)</f>
    </nc>
  </rcc>
  <rcc rId="15629" sId="5">
    <nc r="BD7">
      <f>SUM(AY7:BC7)</f>
    </nc>
  </rcc>
  <rcc rId="15630" sId="5">
    <nc r="BD8">
      <f>SUM(AY8:BC8)</f>
    </nc>
  </rcc>
  <rcc rId="15631" sId="5">
    <nc r="BD9">
      <f>SUM(AY9:BC9)</f>
    </nc>
  </rcc>
  <rcc rId="15632" sId="5">
    <nc r="BD10">
      <f>SUM(AY10:BC10)</f>
    </nc>
  </rcc>
  <rcc rId="15633" sId="5">
    <nc r="BD11">
      <f>SUM(AY11:BC11)</f>
    </nc>
  </rcc>
  <rcc rId="15634" sId="5">
    <nc r="BD12">
      <f>SUM(AY12:BC12)</f>
    </nc>
  </rcc>
  <rcc rId="15635" sId="5">
    <nc r="BD13">
      <f>SUM(AY13:BC13)</f>
    </nc>
  </rcc>
  <rcc rId="15636" sId="5">
    <nc r="BD14">
      <f>SUM(AY14:BC14)</f>
    </nc>
  </rcc>
  <rcc rId="15637" sId="5">
    <nc r="BD15">
      <f>SUM(AY15:BC15)</f>
    </nc>
  </rcc>
  <rcc rId="15638" sId="5">
    <nc r="BD16">
      <f>SUM(AY16:BC16)</f>
    </nc>
  </rcc>
  <rcc rId="15639" sId="5" odxf="1" dxf="1">
    <nc r="BD17">
      <f>SUM(AY17:BC17)</f>
    </nc>
    <ndxf>
      <border outline="0">
        <bottom/>
      </border>
    </ndxf>
  </rcc>
  <rfmt sheetId="5" sqref="BD17" start="0" length="0">
    <dxf>
      <border>
        <bottom style="thin">
          <color indexed="64"/>
        </bottom>
      </border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650" sId="6" numFmtId="21">
    <oc r="C1">
      <v>45662</v>
    </oc>
    <nc r="C1">
      <v>46083</v>
    </nc>
  </rcc>
  <rcc rId="15651" sId="6" numFmtId="21">
    <oc r="D1">
      <v>45663</v>
    </oc>
    <nc r="D1">
      <v>46084</v>
    </nc>
  </rcc>
  <rcc rId="15652" sId="6" numFmtId="21">
    <oc r="E1">
      <v>45664</v>
    </oc>
    <nc r="E1">
      <v>46085</v>
    </nc>
  </rcc>
  <rcc rId="15653" sId="6" numFmtId="21">
    <oc r="F1">
      <v>45665</v>
    </oc>
    <nc r="F1">
      <v>46086</v>
    </nc>
  </rcc>
  <rcc rId="15654" sId="6" numFmtId="21">
    <oc r="G1">
      <v>45666</v>
    </oc>
    <nc r="G1">
      <v>46087</v>
    </nc>
  </rcc>
  <rcc rId="15655" sId="6" numFmtId="21">
    <oc r="I1">
      <v>45669</v>
    </oc>
    <nc r="I1">
      <v>46090</v>
    </nc>
  </rcc>
  <rcc rId="15656" sId="6" numFmtId="21">
    <oc r="J1">
      <v>45670</v>
    </oc>
    <nc r="J1">
      <v>46091</v>
    </nc>
  </rcc>
  <rcc rId="15657" sId="6" numFmtId="21">
    <oc r="K1">
      <v>45671</v>
    </oc>
    <nc r="K1">
      <v>46092</v>
    </nc>
  </rcc>
  <rcc rId="15658" sId="6" numFmtId="21">
    <oc r="L1">
      <v>45672</v>
    </oc>
    <nc r="L1">
      <v>46093</v>
    </nc>
  </rcc>
  <rcc rId="15659" sId="6" numFmtId="21">
    <oc r="M1">
      <v>45673</v>
    </oc>
    <nc r="M1">
      <v>46094</v>
    </nc>
  </rcc>
  <rcc rId="15660" sId="6" numFmtId="21">
    <oc r="O1">
      <v>45676</v>
    </oc>
    <nc r="O1">
      <v>46097</v>
    </nc>
  </rcc>
  <rcc rId="15661" sId="6" numFmtId="21">
    <oc r="P1">
      <v>45677</v>
    </oc>
    <nc r="P1">
      <v>46098</v>
    </nc>
  </rcc>
  <rcc rId="15662" sId="6" numFmtId="21">
    <oc r="Q1">
      <v>45678</v>
    </oc>
    <nc r="Q1">
      <v>46099</v>
    </nc>
  </rcc>
  <rcc rId="15663" sId="6" numFmtId="21">
    <oc r="R1">
      <v>45679</v>
    </oc>
    <nc r="R1">
      <v>46100</v>
    </nc>
  </rcc>
  <rcc rId="15664" sId="6" numFmtId="21">
    <oc r="S1">
      <v>45680</v>
    </oc>
    <nc r="S1">
      <v>46101</v>
    </nc>
  </rcc>
  <rcc rId="15665" sId="6" numFmtId="21">
    <oc r="U1">
      <v>45683</v>
    </oc>
    <nc r="U1">
      <v>46104</v>
    </nc>
  </rcc>
  <rcc rId="15666" sId="6" numFmtId="21">
    <oc r="V1">
      <v>45684</v>
    </oc>
    <nc r="V1">
      <v>46105</v>
    </nc>
  </rcc>
  <rcc rId="15667" sId="6" numFmtId="21">
    <oc r="W1">
      <v>45685</v>
    </oc>
    <nc r="W1">
      <v>46106</v>
    </nc>
  </rcc>
  <rcc rId="15668" sId="6" numFmtId="21">
    <oc r="X1">
      <v>45686</v>
    </oc>
    <nc r="X1">
      <v>46107</v>
    </nc>
  </rcc>
  <rcc rId="15669" sId="6" numFmtId="21">
    <oc r="Y1">
      <v>45687</v>
    </oc>
    <nc r="Y1">
      <v>46108</v>
    </nc>
  </rcc>
  <rcc rId="15670" sId="6" odxf="1" dxf="1" numFmtId="21">
    <oc r="AA1">
      <v>45690</v>
    </oc>
    <nc r="AA1">
      <v>46111</v>
    </nc>
    <odxf>
      <border outline="0">
        <left style="thin">
          <color indexed="64"/>
        </left>
      </border>
    </odxf>
    <ndxf>
      <border outline="0">
        <left/>
      </border>
    </ndxf>
  </rcc>
  <rcc rId="15671" sId="6" numFmtId="21">
    <oc r="AB1">
      <v>45691</v>
    </oc>
    <nc r="AB1">
      <v>46112</v>
    </nc>
  </rcc>
  <rcc rId="15672" sId="6" numFmtId="21">
    <oc r="AC1">
      <v>45692</v>
    </oc>
    <nc r="AC1">
      <v>46113</v>
    </nc>
  </rcc>
  <rcc rId="15673" sId="6" numFmtId="21">
    <oc r="AD1">
      <v>45693</v>
    </oc>
    <nc r="AD1">
      <v>46114</v>
    </nc>
  </rcc>
  <rcc rId="15674" sId="6" odxf="1" dxf="1" numFmtId="21">
    <oc r="AE1">
      <v>45694</v>
    </oc>
    <nc r="AE1">
      <v>46115</v>
    </nc>
    <odxf>
      <border outline="0">
        <right style="thin">
          <color indexed="64"/>
        </right>
      </border>
    </odxf>
    <ndxf>
      <border outline="0">
        <right/>
      </border>
    </ndxf>
  </rcc>
  <rcc rId="15675" sId="6" numFmtId="21">
    <oc r="AG1">
      <v>45697</v>
    </oc>
    <nc r="AG1">
      <v>46118</v>
    </nc>
  </rcc>
  <rcc rId="15676" sId="6" numFmtId="21">
    <oc r="AH1">
      <v>45698</v>
    </oc>
    <nc r="AH1">
      <v>46119</v>
    </nc>
  </rcc>
  <rcc rId="15677" sId="6" numFmtId="21">
    <oc r="AI1">
      <v>45699</v>
    </oc>
    <nc r="AI1">
      <v>46120</v>
    </nc>
  </rcc>
  <rcc rId="15678" sId="6" numFmtId="21">
    <oc r="AJ1">
      <v>45700</v>
    </oc>
    <nc r="AJ1">
      <v>46121</v>
    </nc>
  </rcc>
  <rcc rId="15679" sId="6" numFmtId="21">
    <oc r="AK1">
      <v>45701</v>
    </oc>
    <nc r="AK1">
      <v>46122</v>
    </nc>
  </rcc>
  <rfmt sheetId="6" sqref="AL1" start="0" length="0">
    <dxf>
      <border outline="0">
        <right/>
      </border>
    </dxf>
  </rfmt>
  <rcc rId="15680" sId="6" odxf="1" dxf="1" numFmtId="21">
    <oc r="AM1">
      <v>45704</v>
    </oc>
    <nc r="AM1">
      <v>46125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681" sId="6" odxf="1" dxf="1" numFmtId="21">
    <oc r="AN1">
      <v>45705</v>
    </oc>
    <nc r="AN1">
      <v>46126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682" sId="6" odxf="1" dxf="1" numFmtId="21">
    <oc r="AO1">
      <v>45706</v>
    </oc>
    <nc r="AO1">
      <v>46127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683" sId="6" odxf="1" dxf="1" numFmtId="21">
    <oc r="AP1">
      <v>45707</v>
    </oc>
    <nc r="AP1">
      <v>46128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684" sId="6" odxf="1" dxf="1" numFmtId="21">
    <oc r="AQ1">
      <v>45708</v>
    </oc>
    <nc r="AQ1">
      <v>46129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fmt sheetId="6" sqref="AR1" start="0" length="0">
    <dxf>
      <border outline="0">
        <left/>
      </border>
    </dxf>
  </rfmt>
  <rcc rId="15685" sId="6" numFmtId="21">
    <oc r="AS1">
      <v>45711</v>
    </oc>
    <nc r="AS1">
      <v>46132</v>
    </nc>
  </rcc>
  <rcc rId="15686" sId="6" numFmtId="21">
    <oc r="AT1">
      <v>45712</v>
    </oc>
    <nc r="AT1">
      <v>46133</v>
    </nc>
  </rcc>
  <rcc rId="15687" sId="6" numFmtId="21">
    <oc r="AU1">
      <v>45713</v>
    </oc>
    <nc r="AU1">
      <v>46134</v>
    </nc>
  </rcc>
  <rcc rId="15688" sId="6" numFmtId="21">
    <oc r="AV1">
      <v>45714</v>
    </oc>
    <nc r="AV1">
      <v>46135</v>
    </nc>
  </rcc>
  <rcc rId="15689" sId="6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cc rId="15690" sId="6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691" sId="6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692" sId="6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693" sId="6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694" sId="6" odxf="1" dxf="1" numFmtId="21">
    <nc r="BC1">
      <v>46143</v>
    </nc>
    <odxf>
      <numFmt numFmtId="0" formatCode="General"/>
      <border outline="0">
        <left/>
        <top/>
        <bottom/>
      </border>
    </odxf>
    <ndxf>
      <numFmt numFmtId="21" formatCode="dd/mmm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6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6" sqref="BD1:BD17" start="0" length="0">
    <dxf>
      <border>
        <right style="thin">
          <color indexed="64"/>
        </right>
      </border>
    </dxf>
  </rfmt>
  <rfmt sheetId="6" sqref="AY17:BD17" start="0" length="0">
    <dxf>
      <border>
        <bottom style="thin">
          <color indexed="64"/>
        </bottom>
      </border>
    </dxf>
  </rfmt>
  <rfmt sheetId="6" sqref="BD1:BD17" start="0" length="0">
    <dxf>
      <border>
        <left style="thin">
          <color indexed="64"/>
        </left>
      </border>
    </dxf>
  </rfmt>
  <rcc rId="15695" sId="6">
    <nc r="BD1" t="inlineStr">
      <is>
        <t>TOTAL SEMANA</t>
      </is>
    </nc>
  </rcc>
  <rfmt sheetId="6" sqref="BD2" start="0" length="0">
    <dxf>
      <fill>
        <patternFill patternType="solid">
          <bgColor theme="0" tint="-0.14999847407452621"/>
        </patternFill>
      </fill>
    </dxf>
  </rfmt>
  <rfmt sheetId="6" sqref="BD3" start="0" length="0">
    <dxf>
      <fill>
        <patternFill patternType="solid">
          <bgColor theme="0" tint="-0.14999847407452621"/>
        </patternFill>
      </fill>
    </dxf>
  </rfmt>
  <rfmt sheetId="6" sqref="BD4" start="0" length="0">
    <dxf>
      <fill>
        <patternFill patternType="solid">
          <bgColor theme="0" tint="-0.14999847407452621"/>
        </patternFill>
      </fill>
    </dxf>
  </rfmt>
  <rfmt sheetId="6" sqref="BD5" start="0" length="0">
    <dxf>
      <fill>
        <patternFill patternType="solid">
          <bgColor theme="0" tint="-0.14999847407452621"/>
        </patternFill>
      </fill>
    </dxf>
  </rfmt>
  <rfmt sheetId="6" sqref="BD6" start="0" length="0">
    <dxf>
      <fill>
        <patternFill patternType="solid">
          <bgColor theme="0" tint="-0.14999847407452621"/>
        </patternFill>
      </fill>
    </dxf>
  </rfmt>
  <rfmt sheetId="6" sqref="BD7" start="0" length="0">
    <dxf>
      <fill>
        <patternFill patternType="solid">
          <bgColor theme="0" tint="-0.14999847407452621"/>
        </patternFill>
      </fill>
    </dxf>
  </rfmt>
  <rfmt sheetId="6" sqref="BD8" start="0" length="0">
    <dxf>
      <fill>
        <patternFill patternType="solid">
          <bgColor theme="0" tint="-0.14999847407452621"/>
        </patternFill>
      </fill>
    </dxf>
  </rfmt>
  <rfmt sheetId="6" sqref="BD9" start="0" length="0">
    <dxf>
      <fill>
        <patternFill patternType="solid">
          <bgColor theme="0" tint="-0.14999847407452621"/>
        </patternFill>
      </fill>
    </dxf>
  </rfmt>
  <rfmt sheetId="6" sqref="BD10" start="0" length="0">
    <dxf>
      <fill>
        <patternFill patternType="solid">
          <bgColor theme="0" tint="-0.14999847407452621"/>
        </patternFill>
      </fill>
    </dxf>
  </rfmt>
  <rfmt sheetId="6" sqref="BD11" start="0" length="0">
    <dxf>
      <fill>
        <patternFill patternType="solid">
          <bgColor theme="0" tint="-0.14999847407452621"/>
        </patternFill>
      </fill>
    </dxf>
  </rfmt>
  <rfmt sheetId="6" sqref="BD12" start="0" length="0">
    <dxf>
      <fill>
        <patternFill patternType="solid">
          <bgColor theme="0" tint="-0.14999847407452621"/>
        </patternFill>
      </fill>
    </dxf>
  </rfmt>
  <rfmt sheetId="6" sqref="BD13" start="0" length="0">
    <dxf>
      <fill>
        <patternFill patternType="solid">
          <bgColor theme="0" tint="-0.14999847407452621"/>
        </patternFill>
      </fill>
    </dxf>
  </rfmt>
  <rfmt sheetId="6" sqref="BD14" start="0" length="0">
    <dxf>
      <fill>
        <patternFill patternType="solid">
          <bgColor theme="0" tint="-0.14999847407452621"/>
        </patternFill>
      </fill>
    </dxf>
  </rfmt>
  <rfmt sheetId="6" sqref="BD15" start="0" length="0">
    <dxf>
      <fill>
        <patternFill patternType="solid">
          <bgColor theme="0" tint="-0.14999847407452621"/>
        </patternFill>
      </fill>
    </dxf>
  </rfmt>
  <rfmt sheetId="6" sqref="BD16" start="0" length="0">
    <dxf>
      <fill>
        <patternFill patternType="solid">
          <bgColor theme="0" tint="-0.14999847407452621"/>
        </patternFill>
      </fill>
    </dxf>
  </rfmt>
  <rfmt sheetId="6" sqref="BD17" start="0" length="0">
    <dxf>
      <fill>
        <patternFill patternType="solid">
          <bgColor theme="0" tint="-0.14999847407452621"/>
        </patternFill>
      </fill>
    </dxf>
  </rfmt>
  <rcc rId="15696" sId="6">
    <nc r="BD2">
      <f>SUM(AY2:BC2)</f>
    </nc>
  </rcc>
  <rcc rId="15697" sId="6">
    <nc r="BD3">
      <f>SUM(AY3:BC3)</f>
    </nc>
  </rcc>
  <rcc rId="15698" sId="6">
    <nc r="BD4">
      <f>SUM(AY4:BC4)</f>
    </nc>
  </rcc>
  <rcc rId="15699" sId="6">
    <nc r="BD5">
      <f>SUM(AY5:BC5)</f>
    </nc>
  </rcc>
  <rcc rId="15700" sId="6">
    <nc r="BD6">
      <f>SUM(AY6:BC6)</f>
    </nc>
  </rcc>
  <rcc rId="15701" sId="6">
    <nc r="BD7">
      <f>SUM(AY7:BC7)</f>
    </nc>
  </rcc>
  <rcc rId="15702" sId="6">
    <nc r="BD8">
      <f>SUM(AY8:BC8)</f>
    </nc>
  </rcc>
  <rcc rId="15703" sId="6">
    <nc r="BD9">
      <f>SUM(AY9:BC9)</f>
    </nc>
  </rcc>
  <rcc rId="15704" sId="6">
    <nc r="BD10">
      <f>SUM(AY10:BC10)</f>
    </nc>
  </rcc>
  <rcc rId="15705" sId="6">
    <nc r="BD11">
      <f>SUM(AY11:BC11)</f>
    </nc>
  </rcc>
  <rcc rId="15706" sId="6">
    <nc r="BD13">
      <f>SUM(AY13:BC13)</f>
    </nc>
  </rcc>
  <rcc rId="15707" sId="6">
    <nc r="BD14">
      <f>SUM(AY14:BC14)</f>
    </nc>
  </rcc>
  <rcc rId="15708" sId="6">
    <nc r="BD15">
      <f>SUM(AY15:BC15)</f>
    </nc>
  </rcc>
  <rcc rId="15709" sId="6">
    <nc r="BD16">
      <f>SUM(AY16:BC16)</f>
    </nc>
  </rcc>
  <rcc rId="15710" sId="6">
    <nc r="BD17">
      <f>SUM(AY17:BC17)</f>
    </nc>
  </rcc>
  <rcc rId="15711" sId="6">
    <nc r="BD12">
      <f>SUM(AY12:BC12)</f>
    </nc>
  </rcc>
  <rcc rId="15712" sId="6">
    <oc r="AM2" t="inlineStr">
      <is>
        <t>RECESSO</t>
      </is>
    </oc>
    <nc r="AM2"/>
  </rcc>
  <rcc rId="15713" sId="6">
    <oc r="AN2" t="inlineStr">
      <is>
        <t>CARNAVAL</t>
      </is>
    </oc>
    <nc r="AN2"/>
  </rcc>
  <rcc rId="15714" sId="6">
    <oc r="AM3" t="inlineStr">
      <is>
        <t>RECESSO</t>
      </is>
    </oc>
    <nc r="AM3"/>
  </rcc>
  <rcc rId="15715" sId="6">
    <oc r="AN3" t="inlineStr">
      <is>
        <t>CARNAVAL</t>
      </is>
    </oc>
    <nc r="AN3"/>
  </rcc>
  <rcc rId="15716" sId="6">
    <oc r="AM4" t="inlineStr">
      <is>
        <t>RECESSO</t>
      </is>
    </oc>
    <nc r="AM4"/>
  </rcc>
  <rcc rId="15717" sId="6">
    <oc r="AN4" t="inlineStr">
      <is>
        <t>CARNAVAL</t>
      </is>
    </oc>
    <nc r="AN4"/>
  </rcc>
  <rcc rId="15718" sId="6">
    <oc r="AM5" t="inlineStr">
      <is>
        <t>RECESSO</t>
      </is>
    </oc>
    <nc r="AM5"/>
  </rcc>
  <rcc rId="15719" sId="6">
    <oc r="AN5" t="inlineStr">
      <is>
        <t>CARNAVAL</t>
      </is>
    </oc>
    <nc r="AN5"/>
  </rcc>
  <rcc rId="15720" sId="6">
    <oc r="AM6" t="inlineStr">
      <is>
        <t>RECESSO</t>
      </is>
    </oc>
    <nc r="AM6"/>
  </rcc>
  <rcc rId="15721" sId="6">
    <oc r="AN6" t="inlineStr">
      <is>
        <t>CARNAVAL</t>
      </is>
    </oc>
    <nc r="AN6"/>
  </rcc>
  <rcc rId="15722" sId="6">
    <oc r="AM7" t="inlineStr">
      <is>
        <t>RECESSO</t>
      </is>
    </oc>
    <nc r="AM7"/>
  </rcc>
  <rcc rId="15723" sId="6">
    <oc r="AN7" t="inlineStr">
      <is>
        <t>CARNAVAL</t>
      </is>
    </oc>
    <nc r="AN7"/>
  </rcc>
  <rcc rId="15724" sId="6">
    <oc r="AM8" t="inlineStr">
      <is>
        <t>RECESSO</t>
      </is>
    </oc>
    <nc r="AM8"/>
  </rcc>
  <rcc rId="15725" sId="6">
    <oc r="AN8" t="inlineStr">
      <is>
        <t>CARNAVAL</t>
      </is>
    </oc>
    <nc r="AN8"/>
  </rcc>
  <rcc rId="15726" sId="6">
    <oc r="AM9" t="inlineStr">
      <is>
        <t>RECESSO</t>
      </is>
    </oc>
    <nc r="AM9"/>
  </rcc>
  <rcc rId="15727" sId="6">
    <oc r="AN9" t="inlineStr">
      <is>
        <t>CARNAVAL</t>
      </is>
    </oc>
    <nc r="AN9"/>
  </rcc>
  <rcc rId="15728" sId="6">
    <oc r="AM10" t="inlineStr">
      <is>
        <t>RECESSO</t>
      </is>
    </oc>
    <nc r="AM10"/>
  </rcc>
  <rcc rId="15729" sId="6">
    <oc r="AN10" t="inlineStr">
      <is>
        <t>CARNAVAL</t>
      </is>
    </oc>
    <nc r="AN10"/>
  </rcc>
  <rcc rId="15730" sId="6">
    <oc r="AM11" t="inlineStr">
      <is>
        <t>RECESSO</t>
      </is>
    </oc>
    <nc r="AM11"/>
  </rcc>
  <rcc rId="15731" sId="6">
    <oc r="AN11" t="inlineStr">
      <is>
        <t>CARNAVAL</t>
      </is>
    </oc>
    <nc r="AN11"/>
  </rcc>
  <rcc rId="15732" sId="6">
    <oc r="AM12" t="inlineStr">
      <is>
        <t>RECESSO</t>
      </is>
    </oc>
    <nc r="AM12"/>
  </rcc>
  <rcc rId="15733" sId="6">
    <oc r="AN12" t="inlineStr">
      <is>
        <t>CARNAVAL</t>
      </is>
    </oc>
    <nc r="AN12"/>
  </rcc>
  <rcc rId="15734" sId="6">
    <oc r="AM13" t="inlineStr">
      <is>
        <t>RECESSO</t>
      </is>
    </oc>
    <nc r="AM13"/>
  </rcc>
  <rcc rId="15735" sId="6">
    <oc r="AN13" t="inlineStr">
      <is>
        <t>CARNAVAL</t>
      </is>
    </oc>
    <nc r="AN13"/>
  </rcc>
  <rcc rId="15736" sId="6">
    <oc r="AM14" t="inlineStr">
      <is>
        <t>RECESSO</t>
      </is>
    </oc>
    <nc r="AM14"/>
  </rcc>
  <rcc rId="15737" sId="6">
    <oc r="AN14" t="inlineStr">
      <is>
        <t>CARNAVAL</t>
      </is>
    </oc>
    <nc r="AN14"/>
  </rcc>
  <rcc rId="15738" sId="6">
    <oc r="AM15" t="inlineStr">
      <is>
        <t>RECESSO</t>
      </is>
    </oc>
    <nc r="AM15"/>
  </rcc>
  <rcc rId="15739" sId="6">
    <oc r="AN15" t="inlineStr">
      <is>
        <t>CARNAVAL</t>
      </is>
    </oc>
    <nc r="AN15"/>
  </rcc>
  <rcc rId="15740" sId="6">
    <oc r="AP15">
      <v>140</v>
    </oc>
    <nc r="AP15"/>
  </rcc>
  <rcc rId="15741" sId="6">
    <oc r="AM16" t="inlineStr">
      <is>
        <t>RECESSO</t>
      </is>
    </oc>
    <nc r="AM16"/>
  </rcc>
  <rcc rId="15742" sId="6">
    <oc r="AN16" t="inlineStr">
      <is>
        <t>CARNAVAL</t>
      </is>
    </oc>
    <nc r="AN16"/>
  </rcc>
  <rcc rId="15743" sId="6">
    <oc r="AQ16">
      <v>8</v>
    </oc>
    <nc r="AQ16"/>
  </rcc>
  <rcc rId="15744" sId="6">
    <oc r="AM17" t="inlineStr">
      <is>
        <t>RECESSO</t>
      </is>
    </oc>
    <nc r="AM17"/>
  </rcc>
  <rcc rId="15745" sId="6">
    <oc r="AN17" t="inlineStr">
      <is>
        <t>CARNAVAL</t>
      </is>
    </oc>
    <nc r="AN17"/>
  </rcc>
  <rfmt sheetId="6" sqref="AM2:AN17" start="0" length="2147483647">
    <dxf>
      <font>
        <b val="0"/>
      </font>
    </dxf>
  </rfmt>
  <rcc rId="15746" sId="6">
    <oc r="AG2">
      <v>1</v>
    </oc>
    <nc r="AG2"/>
  </rcc>
  <rcc rId="15747" sId="6">
    <oc r="AH4">
      <v>2</v>
    </oc>
    <nc r="AH4"/>
  </rcc>
  <rcc rId="15748" sId="6">
    <oc r="AI4">
      <v>2</v>
    </oc>
    <nc r="AI4"/>
  </rcc>
  <rcc rId="15749" sId="6">
    <oc r="AB13">
      <v>1</v>
    </oc>
    <nc r="AB13"/>
  </rcc>
  <rcc rId="15750" sId="6">
    <oc r="AD13">
      <v>2</v>
    </oc>
    <nc r="AD13"/>
  </rcc>
  <rcc rId="15751" sId="6">
    <oc r="AA15">
      <v>70</v>
    </oc>
    <nc r="AA15"/>
  </rcc>
  <rcc rId="15752" sId="6">
    <oc r="AC15">
      <v>140</v>
    </oc>
    <nc r="AC15"/>
  </rcc>
  <rcc rId="15753" sId="6">
    <oc r="AB17">
      <v>10</v>
    </oc>
    <nc r="AB17"/>
  </rcc>
  <rcc rId="15754" sId="6">
    <oc r="V15">
      <v>70</v>
    </oc>
    <nc r="V15"/>
  </rcc>
  <rcc rId="15755" sId="6">
    <oc r="O17">
      <v>10</v>
    </oc>
    <nc r="O17"/>
  </rcc>
  <rcc rId="15756" sId="6">
    <oc r="P17">
      <v>10</v>
    </oc>
    <nc r="P17"/>
  </rcc>
  <rcc rId="15757" sId="6">
    <oc r="Q17">
      <v>10</v>
    </oc>
    <nc r="Q17"/>
  </rcc>
  <rcc rId="15758" sId="6">
    <oc r="R17">
      <v>10</v>
    </oc>
    <nc r="R17"/>
  </rcc>
  <rcc rId="15759" sId="6">
    <oc r="S17">
      <v>10</v>
    </oc>
    <nc r="S17"/>
  </rcc>
  <rcc rId="15760" sId="6">
    <oc r="K2">
      <v>1</v>
    </oc>
    <nc r="K2"/>
  </rcc>
  <rcc rId="15761" sId="6">
    <oc r="K3">
      <v>55</v>
    </oc>
    <nc r="K3"/>
  </rcc>
  <rcc rId="15762" sId="6">
    <oc r="I17">
      <v>10</v>
    </oc>
    <nc r="I17"/>
  </rcc>
  <rcc rId="15763" sId="6">
    <oc r="J17">
      <v>10</v>
    </oc>
    <nc r="J17"/>
  </rcc>
  <rcc rId="15764" sId="6">
    <oc r="K17">
      <v>6</v>
    </oc>
    <nc r="K17"/>
  </rcc>
  <rcc rId="15765" sId="6">
    <oc r="M17">
      <v>10</v>
    </oc>
    <nc r="M17"/>
  </rcc>
  <rcc rId="15766" sId="6">
    <oc r="G5">
      <v>12</v>
    </oc>
    <nc r="G5"/>
  </rcc>
  <rcc rId="15767" sId="6">
    <oc r="C17">
      <v>10</v>
    </oc>
    <nc r="C17"/>
  </rcc>
  <rcc rId="15768" sId="6">
    <oc r="D17">
      <v>10</v>
    </oc>
    <nc r="D17"/>
  </rcc>
  <rcc rId="15769" sId="6">
    <oc r="E17">
      <v>10</v>
    </oc>
    <nc r="E17"/>
  </rcc>
  <rcc rId="15770" sId="6">
    <oc r="F17">
      <v>5</v>
    </oc>
    <nc r="F17"/>
  </rcc>
  <rcc rId="15771" sId="4">
    <oc r="AV18" t="inlineStr">
      <is>
        <t xml:space="preserve">trocando caixas </t>
      </is>
    </oc>
    <nc r="AV18"/>
  </rcc>
  <rcc rId="15772" sId="4">
    <oc r="AW18" t="inlineStr">
      <is>
        <t xml:space="preserve">trocando caixas </t>
      </is>
    </oc>
    <nc r="AW18"/>
  </rcc>
  <rcc rId="15773" sId="4">
    <oc r="AW13">
      <v>1</v>
    </oc>
    <nc r="AW13"/>
  </rcc>
  <rcc rId="15774" sId="4">
    <oc r="AW2">
      <v>1</v>
    </oc>
    <nc r="AW2"/>
  </rcc>
  <rcc rId="15775" sId="5" odxf="1" dxf="1">
    <oc r="AR2">
      <f>SUM(AM2:AQ2)</f>
    </oc>
    <nc r="AR2">
      <f>SUM(AM2:AQ2)</f>
    </nc>
    <odxf>
      <numFmt numFmtId="0" formatCode="General"/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numFmt numFmtId="21" formatCode="dd/mmm"/>
      <fill>
        <patternFill patternType="none">
          <bgColor indexed="65"/>
        </patternFill>
      </fill>
      <border outline="0">
        <right/>
      </border>
    </ndxf>
  </rcc>
  <rfmt sheetId="5" sqref="AS2" start="0" length="0">
    <dxf>
      <numFmt numFmtId="0" formatCode="General"/>
    </dxf>
  </rfmt>
  <rcc rId="15776" sId="5" odxf="1" dxf="1">
    <oc r="AR3">
      <f>SUM(AM3:AQ3)</f>
    </oc>
    <nc r="AR3">
      <f>SUM(AM3:AQ3)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77" sId="5" odxf="1" dxf="1">
    <oc r="AR4">
      <f>SUM(AM4:AQ4)</f>
    </oc>
    <nc r="AR4">
      <f>SUM(AM4:AQ4)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78" sId="5" odxf="1" dxf="1">
    <oc r="AR5">
      <f>SUM(AM5:AQ5)</f>
    </oc>
    <nc r="AR5">
      <f>SUM(AM5:AQ5)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79" sId="5" odxf="1" dxf="1">
    <oc r="AR6">
      <f>SUM(AM6:AQ6)</f>
    </oc>
    <nc r="AR6">
      <f>SUM(AM6:AQ6)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0" sId="5" odxf="1" dxf="1">
    <oc r="AR7">
      <f>SUM(AM7:AQ7)</f>
    </oc>
    <nc r="AR7">
      <f>SUM(AM7:AQ7)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1" sId="5" odxf="1" dxf="1">
    <oc r="AR8">
      <f>SUM(AM8:AQ8)</f>
    </oc>
    <nc r="AR8">
      <f>SUM(AM8:AQ8)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2" sId="5" odxf="1" dxf="1">
    <oc r="AR9">
      <f>SUM(AM9:AQ9)</f>
    </oc>
    <nc r="AR9">
      <f>SUM(AM9:AQ9)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3" sId="5" odxf="1" dxf="1">
    <oc r="AR10">
      <f>SUM(AM10:AQ10)</f>
    </oc>
    <nc r="AR10">
      <f>SUM(AM10:AQ10)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4" sId="5" odxf="1" dxf="1">
    <oc r="AR11">
      <f>SUM(AM11:AQ11)</f>
    </oc>
    <nc r="AR11">
      <f>SUM(AM11:AQ11)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5" sId="5" odxf="1" dxf="1">
    <oc r="AR12">
      <f>SUM(AM12:AQ12)</f>
    </oc>
    <nc r="AR12">
      <f>SUM(AM12:AQ12)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6" sId="5" odxf="1" dxf="1">
    <oc r="AR13">
      <f>SUM(AM13:AQ13)</f>
    </oc>
    <nc r="AR13">
      <f>SUM(AM13:AQ13)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7" sId="5" odxf="1" dxf="1">
    <oc r="AR14">
      <f>SUM(AM14:AQ14)</f>
    </oc>
    <nc r="AR14">
      <f>SUM(AM14:AQ14)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8" sId="5" odxf="1" dxf="1">
    <oc r="AR15">
      <f>SUM(AM15:AQ15)</f>
    </oc>
    <nc r="AR15">
      <f>SUM(AM15:AQ15)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89" sId="5" odxf="1" dxf="1">
    <oc r="AR16">
      <f>SUM(AM16:AQ16)</f>
    </oc>
    <nc r="AR16">
      <f>SUM(AM16:AQ16)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90" sId="5" odxf="1" dxf="1">
    <oc r="AR17">
      <f>SUM(AM17:AQ17)</f>
    </oc>
    <nc r="AR17">
      <f>SUM(AM17:AQ17)</f>
    </nc>
    <o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odxf>
    <ndxf>
      <fill>
        <patternFill patternType="none">
          <bgColor indexed="65"/>
        </patternFill>
      </fill>
      <border outline="0">
        <right/>
      </border>
    </ndxf>
  </rcc>
  <rcc rId="15791" sId="7" numFmtId="21">
    <oc r="C1">
      <v>45662</v>
    </oc>
    <nc r="C1">
      <v>46083</v>
    </nc>
  </rcc>
  <rcc rId="15792" sId="7" numFmtId="21">
    <oc r="D1">
      <v>45663</v>
    </oc>
    <nc r="D1">
      <v>46084</v>
    </nc>
  </rcc>
  <rcc rId="15793" sId="7" numFmtId="21">
    <oc r="E1">
      <v>45664</v>
    </oc>
    <nc r="E1">
      <v>46085</v>
    </nc>
  </rcc>
  <rcc rId="15794" sId="7" numFmtId="21">
    <oc r="F1">
      <v>45665</v>
    </oc>
    <nc r="F1">
      <v>46086</v>
    </nc>
  </rcc>
  <rcc rId="15795" sId="7" numFmtId="21">
    <oc r="G1">
      <v>45666</v>
    </oc>
    <nc r="G1">
      <v>46087</v>
    </nc>
  </rcc>
  <rcc rId="15796" sId="7" numFmtId="21">
    <oc r="I1">
      <v>45669</v>
    </oc>
    <nc r="I1">
      <v>46090</v>
    </nc>
  </rcc>
  <rcc rId="15797" sId="7" numFmtId="21">
    <oc r="J1">
      <v>45670</v>
    </oc>
    <nc r="J1">
      <v>46091</v>
    </nc>
  </rcc>
  <rcc rId="15798" sId="7" numFmtId="21">
    <oc r="K1">
      <v>45671</v>
    </oc>
    <nc r="K1">
      <v>46092</v>
    </nc>
  </rcc>
  <rcc rId="15799" sId="7" numFmtId="21">
    <oc r="L1">
      <v>45672</v>
    </oc>
    <nc r="L1">
      <v>46093</v>
    </nc>
  </rcc>
  <rcc rId="15800" sId="7" numFmtId="21">
    <oc r="M1">
      <v>45673</v>
    </oc>
    <nc r="M1">
      <v>46094</v>
    </nc>
  </rcc>
  <rcc rId="15801" sId="7" numFmtId="21">
    <oc r="O1">
      <v>45676</v>
    </oc>
    <nc r="O1">
      <v>46097</v>
    </nc>
  </rcc>
  <rcc rId="15802" sId="7" numFmtId="21">
    <oc r="P1">
      <v>45677</v>
    </oc>
    <nc r="P1">
      <v>46098</v>
    </nc>
  </rcc>
  <rcc rId="15803" sId="7" numFmtId="21">
    <oc r="Q1">
      <v>45678</v>
    </oc>
    <nc r="Q1">
      <v>46099</v>
    </nc>
  </rcc>
  <rcc rId="15804" sId="7" numFmtId="21">
    <oc r="R1">
      <v>45679</v>
    </oc>
    <nc r="R1">
      <v>46100</v>
    </nc>
  </rcc>
  <rcc rId="15805" sId="7" numFmtId="21">
    <oc r="S1">
      <v>45680</v>
    </oc>
    <nc r="S1">
      <v>46101</v>
    </nc>
  </rcc>
  <rcc rId="15806" sId="7" numFmtId="21">
    <oc r="U1">
      <v>45683</v>
    </oc>
    <nc r="U1">
      <v>46104</v>
    </nc>
  </rcc>
  <rcc rId="15807" sId="7" numFmtId="21">
    <oc r="V1">
      <v>45684</v>
    </oc>
    <nc r="V1">
      <v>46105</v>
    </nc>
  </rcc>
  <rcc rId="15808" sId="7" numFmtId="21">
    <oc r="W1">
      <v>45685</v>
    </oc>
    <nc r="W1">
      <v>46106</v>
    </nc>
  </rcc>
  <rcc rId="15809" sId="7" numFmtId="21">
    <oc r="X1">
      <v>45686</v>
    </oc>
    <nc r="X1">
      <v>46107</v>
    </nc>
  </rcc>
  <rcc rId="15810" sId="7" numFmtId="21">
    <oc r="Y1">
      <v>45687</v>
    </oc>
    <nc r="Y1">
      <v>46108</v>
    </nc>
  </rcc>
  <rcc rId="15811" sId="7" numFmtId="21">
    <oc r="AA1">
      <v>45690</v>
    </oc>
    <nc r="AA1">
      <v>46111</v>
    </nc>
  </rcc>
  <rcc rId="15812" sId="7" numFmtId="21">
    <oc r="AB1">
      <v>45691</v>
    </oc>
    <nc r="AB1">
      <v>46112</v>
    </nc>
  </rcc>
  <rcc rId="15813" sId="7" numFmtId="21">
    <oc r="AC1">
      <v>45692</v>
    </oc>
    <nc r="AC1">
      <v>46113</v>
    </nc>
  </rcc>
  <rcc rId="15814" sId="7" numFmtId="21">
    <oc r="AD1">
      <v>45693</v>
    </oc>
    <nc r="AD1">
      <v>46114</v>
    </nc>
  </rcc>
  <rcc rId="15815" sId="7" numFmtId="21">
    <oc r="AE1">
      <v>45694</v>
    </oc>
    <nc r="AE1">
      <v>46115</v>
    </nc>
  </rcc>
  <rcc rId="15816" sId="7" numFmtId="21">
    <oc r="AG1">
      <v>45697</v>
    </oc>
    <nc r="AG1">
      <v>46118</v>
    </nc>
  </rcc>
  <rcc rId="15817" sId="7" numFmtId="21">
    <oc r="AH1">
      <v>45698</v>
    </oc>
    <nc r="AH1">
      <v>46119</v>
    </nc>
  </rcc>
  <rcc rId="15818" sId="7" numFmtId="21">
    <oc r="AI1">
      <v>45699</v>
    </oc>
    <nc r="AI1">
      <v>46120</v>
    </nc>
  </rcc>
  <rcc rId="15819" sId="7" numFmtId="21">
    <oc r="AJ1">
      <v>45700</v>
    </oc>
    <nc r="AJ1">
      <v>46121</v>
    </nc>
  </rcc>
  <rcc rId="15820" sId="7" numFmtId="21">
    <oc r="AK1">
      <v>45701</v>
    </oc>
    <nc r="AK1">
      <v>46122</v>
    </nc>
  </rcc>
  <rfmt sheetId="7" sqref="AL1" start="0" length="0">
    <dxf>
      <border outline="0">
        <right/>
      </border>
    </dxf>
  </rfmt>
  <rcc rId="15821" sId="7" odxf="1" dxf="1" numFmtId="21">
    <oc r="AM1">
      <v>45704</v>
    </oc>
    <nc r="AM1">
      <v>46125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822" sId="7" odxf="1" dxf="1" numFmtId="21">
    <oc r="AN1">
      <v>45705</v>
    </oc>
    <nc r="AN1">
      <v>46126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823" sId="7" odxf="1" dxf="1" numFmtId="21">
    <oc r="AO1">
      <v>45706</v>
    </oc>
    <nc r="AO1">
      <v>46127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824" sId="7" odxf="1" dxf="1" numFmtId="21">
    <oc r="AP1">
      <v>45707</v>
    </oc>
    <nc r="AP1">
      <v>46128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825" sId="7" odxf="1" dxf="1" numFmtId="21">
    <oc r="AQ1">
      <v>45708</v>
    </oc>
    <nc r="AQ1">
      <v>46129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fmt sheetId="7" sqref="AR1" start="0" length="0">
    <dxf>
      <border outline="0">
        <left/>
      </border>
    </dxf>
  </rfmt>
  <rcc rId="15826" sId="7" numFmtId="21">
    <oc r="AS1">
      <v>45711</v>
    </oc>
    <nc r="AS1">
      <v>46132</v>
    </nc>
  </rcc>
  <rcc rId="15827" sId="7" numFmtId="21">
    <oc r="AT1">
      <v>45712</v>
    </oc>
    <nc r="AT1">
      <v>46133</v>
    </nc>
  </rcc>
  <rcc rId="15828" sId="7" numFmtId="21">
    <oc r="AU1">
      <v>45713</v>
    </oc>
    <nc r="AU1">
      <v>46134</v>
    </nc>
  </rcc>
  <rcc rId="15829" sId="7" numFmtId="21">
    <oc r="AV1">
      <v>45714</v>
    </oc>
    <nc r="AV1">
      <v>46135</v>
    </nc>
  </rcc>
  <rcc rId="15830" sId="7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cc rId="15831" sId="7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832" sId="7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833" sId="7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834" sId="7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835" sId="7" odxf="1" dxf="1" numFmtId="21">
    <nc r="BC1">
      <v>46143</v>
    </nc>
    <odxf>
      <numFmt numFmtId="0" formatCode="General"/>
      <border outline="0">
        <left/>
        <top/>
        <bottom/>
      </border>
    </odxf>
    <ndxf>
      <numFmt numFmtId="21" formatCode="dd/mmm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7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7" sqref="BD1:BD17" start="0" length="0">
    <dxf>
      <border>
        <right style="thin">
          <color indexed="64"/>
        </right>
      </border>
    </dxf>
  </rfmt>
  <rfmt sheetId="7" sqref="AY17:BD17" start="0" length="0">
    <dxf>
      <border>
        <bottom style="thin">
          <color indexed="64"/>
        </bottom>
      </border>
    </dxf>
  </rfmt>
  <rcc rId="15836" sId="7">
    <nc r="BD1" t="inlineStr">
      <is>
        <t>TOTAL SEMANA</t>
      </is>
    </nc>
  </rcc>
  <rfmt sheetId="7" sqref="BD2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3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4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5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6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7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8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9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0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1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2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3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4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5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6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fmt sheetId="7" sqref="BD17" start="0" length="0">
    <dxf>
      <fill>
        <patternFill patternType="solid">
          <bgColor theme="0" tint="-0.14999847407452621"/>
        </patternFill>
      </fill>
      <border outline="0">
        <left style="thin">
          <color indexed="64"/>
        </left>
      </border>
    </dxf>
  </rfmt>
  <rcc rId="15837" sId="7">
    <nc r="BD2">
      <f>SUM(AY2:BC2)</f>
    </nc>
  </rcc>
  <rcc rId="15838" sId="7">
    <nc r="BD3">
      <f>SUM(AY3:BC3)</f>
    </nc>
  </rcc>
  <rcc rId="15839" sId="7">
    <nc r="BD4">
      <f>SUM(AY4:BC4)</f>
    </nc>
  </rcc>
  <rcc rId="15840" sId="7">
    <nc r="BD5">
      <f>SUM(AY5:BC5)</f>
    </nc>
  </rcc>
  <rcc rId="15841" sId="7">
    <nc r="BD6">
      <f>SUM(AY6:BC6)</f>
    </nc>
  </rcc>
  <rcc rId="15842" sId="7">
    <nc r="BD7">
      <f>SUM(AY7:BC7)</f>
    </nc>
  </rcc>
  <rcc rId="15843" sId="7">
    <nc r="BD8">
      <f>SUM(AY8:BC8)</f>
    </nc>
  </rcc>
  <rcc rId="15844" sId="7">
    <nc r="BD9">
      <f>SUM(AY9:BC9)</f>
    </nc>
  </rcc>
  <rcc rId="15845" sId="7">
    <nc r="BD10">
      <f>SUM(AY10:BC10)</f>
    </nc>
  </rcc>
  <rcc rId="15846" sId="7">
    <nc r="BD11">
      <f>SUM(AY11:BC11)</f>
    </nc>
  </rcc>
  <rcc rId="15847" sId="7">
    <nc r="BD12">
      <f>SUM(AY12:BC12)</f>
    </nc>
  </rcc>
  <rcc rId="15848" sId="7">
    <nc r="BD13">
      <f>SUM(AY13:BC13)</f>
    </nc>
  </rcc>
  <rcc rId="15849" sId="7">
    <nc r="BD14">
      <f>SUM(AY14:BC14)</f>
    </nc>
  </rcc>
  <rcc rId="15850" sId="7">
    <nc r="BD15">
      <f>SUM(AY15:BC15)</f>
    </nc>
  </rcc>
  <rcc rId="15851" sId="7">
    <nc r="BD16">
      <f>SUM(AY16:BC16)</f>
    </nc>
  </rcc>
  <rcc rId="15852" sId="7">
    <nc r="BD17">
      <f>SUM(AY17:BC17)</f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863" sId="7">
    <oc r="G5">
      <v>12</v>
    </oc>
    <nc r="G5"/>
  </rcc>
  <rcc rId="15864" sId="7">
    <oc r="E17">
      <v>10</v>
    </oc>
    <nc r="E17"/>
  </rcc>
  <rcc rId="15865" sId="7">
    <oc r="F17">
      <v>10</v>
    </oc>
    <nc r="F17"/>
  </rcc>
  <rcc rId="15866" sId="7">
    <oc r="K2">
      <v>1</v>
    </oc>
    <nc r="K2"/>
  </rcc>
  <rcc rId="15867" sId="7">
    <oc r="K3">
      <v>55</v>
    </oc>
    <nc r="K3"/>
  </rcc>
  <rcc rId="15868" sId="7">
    <oc r="I17">
      <v>12</v>
    </oc>
    <nc r="I17"/>
  </rcc>
  <rcc rId="15869" sId="7">
    <oc r="J17">
      <v>10</v>
    </oc>
    <nc r="J17"/>
  </rcc>
  <rcc rId="15870" sId="7">
    <oc r="K17">
      <v>10</v>
    </oc>
    <nc r="K17"/>
  </rcc>
  <rcc rId="15871" sId="7">
    <oc r="M17">
      <v>12</v>
    </oc>
    <nc r="M17"/>
  </rcc>
  <rcc rId="15872" sId="7">
    <oc r="O17">
      <v>5</v>
    </oc>
    <nc r="O17"/>
  </rcc>
  <rcc rId="15873" sId="7">
    <oc r="P17">
      <v>5</v>
    </oc>
    <nc r="P17"/>
  </rcc>
  <rcc rId="15874" sId="7">
    <oc r="Q17">
      <v>5</v>
    </oc>
    <nc r="Q17"/>
  </rcc>
  <rcc rId="15875" sId="7">
    <oc r="R17">
      <v>5</v>
    </oc>
    <nc r="R17"/>
  </rcc>
  <rcc rId="15876" sId="7">
    <oc r="S17">
      <v>5</v>
    </oc>
    <nc r="S17"/>
  </rcc>
  <rcc rId="15877" sId="7">
    <oc r="W2">
      <v>1</v>
    </oc>
    <nc r="W2"/>
  </rcc>
  <rcc rId="15878" sId="7">
    <oc r="U3">
      <v>5</v>
    </oc>
    <nc r="U3"/>
  </rcc>
  <rcc rId="15879" sId="7">
    <oc r="V4">
      <v>1</v>
    </oc>
    <nc r="V4"/>
  </rcc>
  <rcc rId="15880" sId="7">
    <oc r="X4">
      <v>8</v>
    </oc>
    <nc r="X4"/>
  </rcc>
  <rcc rId="15881" sId="7">
    <oc r="Y4">
      <v>12</v>
    </oc>
    <nc r="Y4"/>
  </rcc>
  <rcc rId="15882" sId="7">
    <oc r="W13">
      <v>3</v>
    </oc>
    <nc r="W13"/>
  </rcc>
  <rcc rId="15883" sId="7">
    <oc r="AD3">
      <v>4</v>
    </oc>
    <nc r="AD3"/>
  </rcc>
  <rcc rId="15884" sId="7">
    <oc r="AA15">
      <v>70</v>
    </oc>
    <nc r="AA15"/>
  </rcc>
  <rcc rId="15885" sId="7">
    <oc r="AC15">
      <v>140</v>
    </oc>
    <nc r="AC15"/>
  </rcc>
  <rcc rId="15886" sId="7">
    <oc r="AB17">
      <v>10</v>
    </oc>
    <nc r="AB17"/>
  </rcc>
  <rcc rId="15887" sId="7">
    <oc r="AG13">
      <v>2</v>
    </oc>
    <nc r="AG13"/>
  </rcc>
  <rcc rId="15888" sId="7">
    <oc r="AH13">
      <v>2</v>
    </oc>
    <nc r="AH13"/>
  </rcc>
  <rcc rId="15889" sId="7">
    <oc r="AI17">
      <v>7</v>
    </oc>
    <nc r="AI17"/>
  </rcc>
  <rcc rId="15890" sId="7">
    <oc r="AJ17">
      <v>7</v>
    </oc>
    <nc r="AJ17"/>
  </rcc>
  <rcc rId="15891" sId="7">
    <oc r="AK17">
      <v>7</v>
    </oc>
    <nc r="AK17"/>
  </rcc>
  <rcc rId="15892" sId="7">
    <oc r="AM2" t="inlineStr">
      <is>
        <t>RECESSO</t>
      </is>
    </oc>
    <nc r="AM2"/>
  </rcc>
  <rcc rId="15893" sId="7">
    <oc r="AN2" t="inlineStr">
      <is>
        <t>CARNAVAL</t>
      </is>
    </oc>
    <nc r="AN2"/>
  </rcc>
  <rcc rId="15894" sId="7">
    <oc r="AM3" t="inlineStr">
      <is>
        <t>RECESSO</t>
      </is>
    </oc>
    <nc r="AM3"/>
  </rcc>
  <rcc rId="15895" sId="7">
    <oc r="AN3" t="inlineStr">
      <is>
        <t>CARNAVAL</t>
      </is>
    </oc>
    <nc r="AN3"/>
  </rcc>
  <rcc rId="15896" sId="7">
    <oc r="AM4" t="inlineStr">
      <is>
        <t>RECESSO</t>
      </is>
    </oc>
    <nc r="AM4"/>
  </rcc>
  <rcc rId="15897" sId="7">
    <oc r="AN4" t="inlineStr">
      <is>
        <t>CARNAVAL</t>
      </is>
    </oc>
    <nc r="AN4"/>
  </rcc>
  <rcc rId="15898" sId="7">
    <oc r="AM5" t="inlineStr">
      <is>
        <t>RECESSO</t>
      </is>
    </oc>
    <nc r="AM5"/>
  </rcc>
  <rcc rId="15899" sId="7">
    <oc r="AN5" t="inlineStr">
      <is>
        <t>CARNAVAL</t>
      </is>
    </oc>
    <nc r="AN5"/>
  </rcc>
  <rcc rId="15900" sId="7">
    <oc r="AM6" t="inlineStr">
      <is>
        <t>RECESSO</t>
      </is>
    </oc>
    <nc r="AM6"/>
  </rcc>
  <rcc rId="15901" sId="7">
    <oc r="AN6" t="inlineStr">
      <is>
        <t>CARNAVAL</t>
      </is>
    </oc>
    <nc r="AN6"/>
  </rcc>
  <rcc rId="15902" sId="7">
    <oc r="AM7" t="inlineStr">
      <is>
        <t>RECESSO</t>
      </is>
    </oc>
    <nc r="AM7"/>
  </rcc>
  <rcc rId="15903" sId="7">
    <oc r="AN7" t="inlineStr">
      <is>
        <t>CARNAVAL</t>
      </is>
    </oc>
    <nc r="AN7"/>
  </rcc>
  <rcc rId="15904" sId="7">
    <oc r="AM8" t="inlineStr">
      <is>
        <t>RECESSO</t>
      </is>
    </oc>
    <nc r="AM8"/>
  </rcc>
  <rcc rId="15905" sId="7">
    <oc r="AN8" t="inlineStr">
      <is>
        <t>CARNAVAL</t>
      </is>
    </oc>
    <nc r="AN8"/>
  </rcc>
  <rcc rId="15906" sId="7">
    <oc r="AM9" t="inlineStr">
      <is>
        <t>RECESSO</t>
      </is>
    </oc>
    <nc r="AM9"/>
  </rcc>
  <rcc rId="15907" sId="7">
    <oc r="AN9" t="inlineStr">
      <is>
        <t>CARNAVAL</t>
      </is>
    </oc>
    <nc r="AN9"/>
  </rcc>
  <rcc rId="15908" sId="7">
    <oc r="AM10" t="inlineStr">
      <is>
        <t>RECESSO</t>
      </is>
    </oc>
    <nc r="AM10"/>
  </rcc>
  <rcc rId="15909" sId="7">
    <oc r="AN10" t="inlineStr">
      <is>
        <t>CARNAVAL</t>
      </is>
    </oc>
    <nc r="AN10"/>
  </rcc>
  <rcc rId="15910" sId="7">
    <oc r="AM11" t="inlineStr">
      <is>
        <t>RECESSO</t>
      </is>
    </oc>
    <nc r="AM11"/>
  </rcc>
  <rcc rId="15911" sId="7">
    <oc r="AN11" t="inlineStr">
      <is>
        <t>CARNAVAL</t>
      </is>
    </oc>
    <nc r="AN11"/>
  </rcc>
  <rcc rId="15912" sId="7">
    <oc r="AM12" t="inlineStr">
      <is>
        <t>RECESSO</t>
      </is>
    </oc>
    <nc r="AM12"/>
  </rcc>
  <rcc rId="15913" sId="7">
    <oc r="AN12" t="inlineStr">
      <is>
        <t>CARNAVAL</t>
      </is>
    </oc>
    <nc r="AN12"/>
  </rcc>
  <rcc rId="15914" sId="7">
    <oc r="AM13" t="inlineStr">
      <is>
        <t>RECESSO</t>
      </is>
    </oc>
    <nc r="AM13"/>
  </rcc>
  <rcc rId="15915" sId="7">
    <oc r="AN13" t="inlineStr">
      <is>
        <t>CARNAVAL</t>
      </is>
    </oc>
    <nc r="AN13"/>
  </rcc>
  <rcc rId="15916" sId="7">
    <oc r="AM14" t="inlineStr">
      <is>
        <t>RECESSO</t>
      </is>
    </oc>
    <nc r="AM14"/>
  </rcc>
  <rcc rId="15917" sId="7">
    <oc r="AN14" t="inlineStr">
      <is>
        <t>CARNAVAL</t>
      </is>
    </oc>
    <nc r="AN14"/>
  </rcc>
  <rcc rId="15918" sId="7">
    <oc r="AM15" t="inlineStr">
      <is>
        <t>RECESSO</t>
      </is>
    </oc>
    <nc r="AM15"/>
  </rcc>
  <rcc rId="15919" sId="7">
    <oc r="AN15" t="inlineStr">
      <is>
        <t>CARNAVAL</t>
      </is>
    </oc>
    <nc r="AN15"/>
  </rcc>
  <rcc rId="15920" sId="7">
    <oc r="AP15">
      <v>140</v>
    </oc>
    <nc r="AP15"/>
  </rcc>
  <rcc rId="15921" sId="7">
    <oc r="AM16" t="inlineStr">
      <is>
        <t>RECESSO</t>
      </is>
    </oc>
    <nc r="AM16"/>
  </rcc>
  <rcc rId="15922" sId="7">
    <oc r="AN16" t="inlineStr">
      <is>
        <t>CARNAVAL</t>
      </is>
    </oc>
    <nc r="AN16"/>
  </rcc>
  <rcc rId="15923" sId="7">
    <oc r="AQ16">
      <v>8</v>
    </oc>
    <nc r="AQ16"/>
  </rcc>
  <rcc rId="15924" sId="7">
    <oc r="AM17" t="inlineStr">
      <is>
        <t>RECESSO</t>
      </is>
    </oc>
    <nc r="AM17"/>
  </rcc>
  <rcc rId="15925" sId="7">
    <oc r="AN17" t="inlineStr">
      <is>
        <t>CARNAVAL</t>
      </is>
    </oc>
    <nc r="AN17"/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926" sId="8" numFmtId="21">
    <oc r="C1">
      <v>45662</v>
    </oc>
    <nc r="C1">
      <v>46083</v>
    </nc>
  </rcc>
  <rcc rId="15927" sId="8" numFmtId="21">
    <oc r="D1">
      <v>45663</v>
    </oc>
    <nc r="D1">
      <v>46084</v>
    </nc>
  </rcc>
  <rcc rId="15928" sId="8" numFmtId="21">
    <oc r="E1">
      <v>45664</v>
    </oc>
    <nc r="E1">
      <v>46085</v>
    </nc>
  </rcc>
  <rcc rId="15929" sId="8" numFmtId="21">
    <oc r="F1">
      <v>45665</v>
    </oc>
    <nc r="F1">
      <v>46086</v>
    </nc>
  </rcc>
  <rcc rId="15930" sId="8" numFmtId="21">
    <oc r="G1">
      <v>45666</v>
    </oc>
    <nc r="G1">
      <v>46087</v>
    </nc>
  </rcc>
  <rcc rId="15931" sId="8" numFmtId="21">
    <oc r="I1">
      <v>45669</v>
    </oc>
    <nc r="I1">
      <v>46090</v>
    </nc>
  </rcc>
  <rcc rId="15932" sId="8" numFmtId="21">
    <oc r="J1">
      <v>45670</v>
    </oc>
    <nc r="J1">
      <v>46091</v>
    </nc>
  </rcc>
  <rcc rId="15933" sId="8" numFmtId="21">
    <oc r="K1">
      <v>45671</v>
    </oc>
    <nc r="K1">
      <v>46092</v>
    </nc>
  </rcc>
  <rcc rId="15934" sId="8" numFmtId="21">
    <oc r="L1">
      <v>45672</v>
    </oc>
    <nc r="L1">
      <v>46093</v>
    </nc>
  </rcc>
  <rcc rId="15935" sId="8" numFmtId="21">
    <oc r="M1">
      <v>45673</v>
    </oc>
    <nc r="M1">
      <v>46094</v>
    </nc>
  </rcc>
  <rcc rId="15936" sId="8" numFmtId="21">
    <oc r="O1">
      <v>45676</v>
    </oc>
    <nc r="O1">
      <v>46097</v>
    </nc>
  </rcc>
  <rcc rId="15937" sId="8" numFmtId="21">
    <oc r="P1">
      <v>45677</v>
    </oc>
    <nc r="P1">
      <v>46098</v>
    </nc>
  </rcc>
  <rcc rId="15938" sId="8" numFmtId="21">
    <oc r="Q1">
      <v>45678</v>
    </oc>
    <nc r="Q1">
      <v>46099</v>
    </nc>
  </rcc>
  <rcc rId="15939" sId="8" numFmtId="21">
    <oc r="R1">
      <v>45679</v>
    </oc>
    <nc r="R1">
      <v>46100</v>
    </nc>
  </rcc>
  <rcc rId="15940" sId="8" numFmtId="21">
    <oc r="S1">
      <v>45680</v>
    </oc>
    <nc r="S1">
      <v>46101</v>
    </nc>
  </rcc>
  <rcc rId="15941" sId="8" numFmtId="21">
    <oc r="U1">
      <v>45683</v>
    </oc>
    <nc r="U1">
      <v>46104</v>
    </nc>
  </rcc>
  <rcc rId="15942" sId="8" numFmtId="21">
    <oc r="V1">
      <v>45684</v>
    </oc>
    <nc r="V1">
      <v>46105</v>
    </nc>
  </rcc>
  <rcc rId="15943" sId="8" numFmtId="21">
    <oc r="W1">
      <v>45685</v>
    </oc>
    <nc r="W1">
      <v>46106</v>
    </nc>
  </rcc>
  <rcc rId="15944" sId="8" numFmtId="21">
    <oc r="X1">
      <v>45686</v>
    </oc>
    <nc r="X1">
      <v>46107</v>
    </nc>
  </rcc>
  <rcc rId="15945" sId="8" numFmtId="21">
    <oc r="Y1">
      <v>45687</v>
    </oc>
    <nc r="Y1">
      <v>46108</v>
    </nc>
  </rcc>
  <rcc rId="15946" sId="8" numFmtId="21">
    <oc r="AA1">
      <v>45690</v>
    </oc>
    <nc r="AA1">
      <v>46111</v>
    </nc>
  </rcc>
  <rcc rId="15947" sId="8" numFmtId="21">
    <oc r="AB1">
      <v>45691</v>
    </oc>
    <nc r="AB1">
      <v>46112</v>
    </nc>
  </rcc>
  <rcc rId="15948" sId="8" numFmtId="21">
    <oc r="AC1">
      <v>45692</v>
    </oc>
    <nc r="AC1">
      <v>46113</v>
    </nc>
  </rcc>
  <rcc rId="15949" sId="8" numFmtId="21">
    <oc r="AD1">
      <v>45693</v>
    </oc>
    <nc r="AD1">
      <v>46114</v>
    </nc>
  </rcc>
  <rcc rId="15950" sId="8" numFmtId="21">
    <oc r="AE1">
      <v>45694</v>
    </oc>
    <nc r="AE1">
      <v>46115</v>
    </nc>
  </rcc>
  <rcc rId="15951" sId="8" numFmtId="21">
    <oc r="AG1">
      <v>45697</v>
    </oc>
    <nc r="AG1">
      <v>46118</v>
    </nc>
  </rcc>
  <rcc rId="15952" sId="8" numFmtId="21">
    <oc r="AH1">
      <v>45698</v>
    </oc>
    <nc r="AH1">
      <v>46119</v>
    </nc>
  </rcc>
  <rcc rId="15953" sId="8" numFmtId="21">
    <oc r="AI1">
      <v>45699</v>
    </oc>
    <nc r="AI1">
      <v>46120</v>
    </nc>
  </rcc>
  <rcc rId="15954" sId="8" numFmtId="21">
    <oc r="AJ1">
      <v>45700</v>
    </oc>
    <nc r="AJ1">
      <v>46121</v>
    </nc>
  </rcc>
  <rcc rId="15955" sId="8" numFmtId="21">
    <oc r="AK1">
      <v>45701</v>
    </oc>
    <nc r="AK1">
      <v>46122</v>
    </nc>
  </rcc>
  <rfmt sheetId="8" sqref="AL1" start="0" length="0">
    <dxf>
      <border outline="0">
        <right/>
      </border>
    </dxf>
  </rfmt>
  <rcc rId="15956" sId="8" odxf="1" dxf="1" numFmtId="21">
    <oc r="AM1">
      <v>45704</v>
    </oc>
    <nc r="AM1">
      <v>46125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957" sId="8" odxf="1" dxf="1" numFmtId="21">
    <oc r="AN1">
      <v>45705</v>
    </oc>
    <nc r="AN1">
      <v>46126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958" sId="8" odxf="1" dxf="1" numFmtId="21">
    <oc r="AO1">
      <v>45706</v>
    </oc>
    <nc r="AO1">
      <v>46127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959" sId="8" odxf="1" dxf="1" numFmtId="21">
    <oc r="AP1">
      <v>45707</v>
    </oc>
    <nc r="AP1">
      <v>46128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5960" sId="8" odxf="1" dxf="1" numFmtId="21">
    <oc r="AQ1">
      <v>45708</v>
    </oc>
    <nc r="AQ1">
      <v>46129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fmt sheetId="8" sqref="AR1" start="0" length="0">
    <dxf>
      <border outline="0">
        <left/>
      </border>
    </dxf>
  </rfmt>
  <rcc rId="15961" sId="8" numFmtId="21">
    <oc r="AS1">
      <v>45711</v>
    </oc>
    <nc r="AS1">
      <v>46132</v>
    </nc>
  </rcc>
  <rcc rId="15962" sId="8" numFmtId="21">
    <oc r="AT1">
      <v>45712</v>
    </oc>
    <nc r="AT1">
      <v>46133</v>
    </nc>
  </rcc>
  <rcc rId="15963" sId="8" numFmtId="21">
    <oc r="AU1">
      <v>45713</v>
    </oc>
    <nc r="AU1">
      <v>46134</v>
    </nc>
  </rcc>
  <rcc rId="15964" sId="8" numFmtId="21">
    <oc r="AV1">
      <v>45714</v>
    </oc>
    <nc r="AV1">
      <v>46135</v>
    </nc>
  </rcc>
  <rcc rId="15965" sId="8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cc rId="15966" sId="8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967" sId="8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968" sId="8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969" sId="8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5970" sId="8" odxf="1" dxf="1" numFmtId="21">
    <nc r="BC1">
      <v>46143</v>
    </nc>
    <odxf>
      <numFmt numFmtId="0" formatCode="General"/>
      <border outline="0">
        <left/>
        <top/>
        <bottom/>
      </border>
    </odxf>
    <ndxf>
      <numFmt numFmtId="21" formatCode="dd/mmm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8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5971" sId="8">
    <oc r="F15">
      <v>149</v>
    </oc>
    <nc r="F15"/>
  </rcc>
  <rcc rId="15972" sId="8">
    <oc r="C17">
      <v>15</v>
    </oc>
    <nc r="C17"/>
  </rcc>
  <rcc rId="15973" sId="8">
    <oc r="D17">
      <v>14</v>
    </oc>
    <nc r="D17"/>
  </rcc>
  <rcc rId="15974" sId="8">
    <oc r="E17">
      <v>17</v>
    </oc>
    <nc r="E17"/>
  </rcc>
  <rcc rId="15975" sId="8">
    <oc r="G17">
      <v>14</v>
    </oc>
    <nc r="G17"/>
  </rcc>
  <rcc rId="15976" sId="8">
    <oc r="L15">
      <v>70</v>
    </oc>
    <nc r="L15"/>
  </rcc>
  <rcc rId="15977" sId="8">
    <oc r="I17">
      <v>15</v>
    </oc>
    <nc r="I17"/>
  </rcc>
  <rcc rId="15978" sId="8">
    <oc r="J17">
      <v>12</v>
    </oc>
    <nc r="J17"/>
  </rcc>
  <rcc rId="15979" sId="8">
    <oc r="K17">
      <v>14</v>
    </oc>
    <nc r="K17"/>
  </rcc>
  <rcc rId="15980" sId="8">
    <oc r="M17">
      <v>15</v>
    </oc>
    <nc r="M17"/>
  </rcc>
  <rcc rId="15981" sId="8">
    <oc r="O17">
      <v>17</v>
    </oc>
    <nc r="O17"/>
  </rcc>
  <rcc rId="15982" sId="8">
    <oc r="P17">
      <v>14</v>
    </oc>
    <nc r="P17"/>
  </rcc>
  <rcc rId="15983" sId="8">
    <oc r="Q17">
      <v>14</v>
    </oc>
    <nc r="Q17"/>
  </rcc>
  <rcc rId="15984" sId="8">
    <oc r="R17">
      <v>15</v>
    </oc>
    <nc r="R17"/>
  </rcc>
  <rcc rId="15985" sId="8">
    <oc r="S17">
      <v>16</v>
    </oc>
    <nc r="S17"/>
  </rcc>
  <rcc rId="15986" sId="8">
    <oc r="U17">
      <v>15</v>
    </oc>
    <nc r="U17"/>
  </rcc>
  <rcc rId="15987" sId="8">
    <oc r="V17">
      <v>244</v>
    </oc>
    <nc r="V17"/>
  </rcc>
  <rcc rId="15988" sId="8">
    <oc r="W17">
      <v>10</v>
    </oc>
    <nc r="W17"/>
  </rcc>
  <rcc rId="15989" sId="8">
    <oc r="Y17">
      <v>9</v>
    </oc>
    <nc r="Y17"/>
  </rcc>
  <rcc rId="15990" sId="8">
    <oc r="AB15">
      <v>70</v>
    </oc>
    <nc r="AB15"/>
  </rcc>
  <rcc rId="15991" sId="8">
    <oc r="AC15">
      <v>70</v>
    </oc>
    <nc r="AC15"/>
  </rcc>
  <rcc rId="15992" sId="8">
    <oc r="AH15">
      <v>70</v>
    </oc>
    <nc r="AH15"/>
  </rcc>
  <rcc rId="15993" sId="8">
    <oc r="AI15">
      <v>70</v>
    </oc>
    <nc r="AI15"/>
  </rcc>
  <rcc rId="15994" sId="8">
    <oc r="AM2" t="inlineStr">
      <is>
        <t>RECESSO</t>
      </is>
    </oc>
    <nc r="AM2"/>
  </rcc>
  <rcc rId="15995" sId="8">
    <oc r="AN2" t="inlineStr">
      <is>
        <t>CARNAVAL</t>
      </is>
    </oc>
    <nc r="AN2"/>
  </rcc>
  <rcc rId="15996" sId="8">
    <oc r="AM3" t="inlineStr">
      <is>
        <t>RECESSO</t>
      </is>
    </oc>
    <nc r="AM3"/>
  </rcc>
  <rcc rId="15997" sId="8">
    <oc r="AN3" t="inlineStr">
      <is>
        <t>CARNAVAL</t>
      </is>
    </oc>
    <nc r="AN3"/>
  </rcc>
  <rcc rId="15998" sId="8">
    <oc r="AP3">
      <v>2</v>
    </oc>
    <nc r="AP3"/>
  </rcc>
  <rcc rId="15999" sId="8">
    <oc r="AM4" t="inlineStr">
      <is>
        <t>RECESSO</t>
      </is>
    </oc>
    <nc r="AM4"/>
  </rcc>
  <rcc rId="16000" sId="8">
    <oc r="AN4" t="inlineStr">
      <is>
        <t>CARNAVAL</t>
      </is>
    </oc>
    <nc r="AN4"/>
  </rcc>
  <rcc rId="16001" sId="8">
    <oc r="AM5" t="inlineStr">
      <is>
        <t>RECESSO</t>
      </is>
    </oc>
    <nc r="AM5"/>
  </rcc>
  <rcc rId="16002" sId="8">
    <oc r="AN5" t="inlineStr">
      <is>
        <t>CARNAVAL</t>
      </is>
    </oc>
    <nc r="AN5"/>
  </rcc>
  <rcc rId="16003" sId="8">
    <oc r="AM6" t="inlineStr">
      <is>
        <t>RECESSO</t>
      </is>
    </oc>
    <nc r="AM6"/>
  </rcc>
  <rcc rId="16004" sId="8">
    <oc r="AN6" t="inlineStr">
      <is>
        <t>CARNAVAL</t>
      </is>
    </oc>
    <nc r="AN6"/>
  </rcc>
  <rcc rId="16005" sId="8">
    <oc r="AM7" t="inlineStr">
      <is>
        <t>RECESSO</t>
      </is>
    </oc>
    <nc r="AM7"/>
  </rcc>
  <rcc rId="16006" sId="8">
    <oc r="AN7" t="inlineStr">
      <is>
        <t>CARNAVAL</t>
      </is>
    </oc>
    <nc r="AN7"/>
  </rcc>
  <rcc rId="16007" sId="8">
    <oc r="AM8" t="inlineStr">
      <is>
        <t>RECESSO</t>
      </is>
    </oc>
    <nc r="AM8"/>
  </rcc>
  <rcc rId="16008" sId="8">
    <oc r="AN8" t="inlineStr">
      <is>
        <t>CARNAVAL</t>
      </is>
    </oc>
    <nc r="AN8"/>
  </rcc>
  <rcc rId="16009" sId="8">
    <oc r="AM9" t="inlineStr">
      <is>
        <t>RECESSO</t>
      </is>
    </oc>
    <nc r="AM9"/>
  </rcc>
  <rcc rId="16010" sId="8">
    <oc r="AN9" t="inlineStr">
      <is>
        <t>CARNAVAL</t>
      </is>
    </oc>
    <nc r="AN9"/>
  </rcc>
  <rcc rId="16011" sId="8">
    <oc r="AM10" t="inlineStr">
      <is>
        <t>RECESSO</t>
      </is>
    </oc>
    <nc r="AM10"/>
  </rcc>
  <rcc rId="16012" sId="8">
    <oc r="AN10" t="inlineStr">
      <is>
        <t>CARNAVAL</t>
      </is>
    </oc>
    <nc r="AN10"/>
  </rcc>
  <rcc rId="16013" sId="8">
    <oc r="AM11" t="inlineStr">
      <is>
        <t>RECESSO</t>
      </is>
    </oc>
    <nc r="AM11"/>
  </rcc>
  <rcc rId="16014" sId="8">
    <oc r="AN11" t="inlineStr">
      <is>
        <t>CARNAVAL</t>
      </is>
    </oc>
    <nc r="AN11"/>
  </rcc>
  <rcc rId="16015" sId="8">
    <oc r="AM12" t="inlineStr">
      <is>
        <t>RECESSO</t>
      </is>
    </oc>
    <nc r="AM12"/>
  </rcc>
  <rcc rId="16016" sId="8">
    <oc r="AN12" t="inlineStr">
      <is>
        <t>CARNAVAL</t>
      </is>
    </oc>
    <nc r="AN12"/>
  </rcc>
  <rcc rId="16017" sId="8">
    <oc r="AM13" t="inlineStr">
      <is>
        <t>RECESSO</t>
      </is>
    </oc>
    <nc r="AM13"/>
  </rcc>
  <rcc rId="16018" sId="8">
    <oc r="AN13" t="inlineStr">
      <is>
        <t>CARNAVAL</t>
      </is>
    </oc>
    <nc r="AN13"/>
  </rcc>
  <rcc rId="16019" sId="8">
    <oc r="AM14" t="inlineStr">
      <is>
        <t>RECESSO</t>
      </is>
    </oc>
    <nc r="AM14"/>
  </rcc>
  <rcc rId="16020" sId="8">
    <oc r="AN14" t="inlineStr">
      <is>
        <t>CARNAVAL</t>
      </is>
    </oc>
    <nc r="AN14"/>
  </rcc>
  <rcc rId="16021" sId="8">
    <oc r="AM15" t="inlineStr">
      <is>
        <t>RECESSO</t>
      </is>
    </oc>
    <nc r="AM15"/>
  </rcc>
  <rcc rId="16022" sId="8">
    <oc r="AN15" t="inlineStr">
      <is>
        <t>CARNAVAL</t>
      </is>
    </oc>
    <nc r="AN15"/>
  </rcc>
  <rcc rId="16023" sId="8">
    <oc r="AP15">
      <v>140</v>
    </oc>
    <nc r="AP15"/>
  </rcc>
  <rcc rId="16024" sId="8">
    <oc r="AM16" t="inlineStr">
      <is>
        <t>RECESSO</t>
      </is>
    </oc>
    <nc r="AM16"/>
  </rcc>
  <rcc rId="16025" sId="8">
    <oc r="AN16" t="inlineStr">
      <is>
        <t>CARNAVAL</t>
      </is>
    </oc>
    <nc r="AN16"/>
  </rcc>
  <rcc rId="16026" sId="8">
    <oc r="AQ16">
      <v>8</v>
    </oc>
    <nc r="AQ16"/>
  </rcc>
  <rcc rId="16027" sId="8">
    <oc r="AM17" t="inlineStr">
      <is>
        <t>RECESSO</t>
      </is>
    </oc>
    <nc r="AM17"/>
  </rcc>
  <rcc rId="16028" sId="8">
    <oc r="AN17" t="inlineStr">
      <is>
        <t>CARNAVAL</t>
      </is>
    </oc>
    <nc r="AN17"/>
  </rcc>
  <rfmt sheetId="8" sqref="AM2:AN17" start="0" length="2147483647">
    <dxf>
      <font>
        <b val="0"/>
      </font>
    </dxf>
  </rfmt>
  <rcc rId="16029" sId="8">
    <oc r="AT15">
      <v>70</v>
    </oc>
    <nc r="AT15"/>
  </rcc>
  <rcc rId="16030" sId="8">
    <oc r="AS16">
      <v>7</v>
    </oc>
    <nc r="AS16"/>
  </rcc>
  <rfmt sheetId="8" sqref="BD1:BD17" start="0" length="0">
    <dxf>
      <border>
        <right style="thin">
          <color indexed="64"/>
        </right>
      </border>
    </dxf>
  </rfmt>
  <rfmt sheetId="8" sqref="AY17:BD17" start="0" length="0">
    <dxf>
      <border>
        <bottom style="thin">
          <color indexed="64"/>
        </bottom>
      </border>
    </dxf>
  </rfmt>
  <rfmt sheetId="8" sqref="BD1:BD17" start="0" length="0">
    <dxf>
      <border>
        <left style="thin">
          <color indexed="64"/>
        </left>
      </border>
    </dxf>
  </rfmt>
  <rcc rId="16031" sId="8">
    <nc r="BD1" t="inlineStr">
      <is>
        <t>TOTAL SEMANA</t>
      </is>
    </nc>
  </rcc>
  <rfmt sheetId="8" sqref="BD2" start="0" length="0">
    <dxf>
      <fill>
        <patternFill patternType="solid">
          <bgColor theme="0" tint="-0.14999847407452621"/>
        </patternFill>
      </fill>
    </dxf>
  </rfmt>
  <rfmt sheetId="8" sqref="BD3" start="0" length="0">
    <dxf>
      <fill>
        <patternFill patternType="solid">
          <bgColor theme="0" tint="-0.14999847407452621"/>
        </patternFill>
      </fill>
    </dxf>
  </rfmt>
  <rfmt sheetId="8" sqref="BD4" start="0" length="0">
    <dxf>
      <fill>
        <patternFill patternType="solid">
          <bgColor theme="0" tint="-0.14999847407452621"/>
        </patternFill>
      </fill>
    </dxf>
  </rfmt>
  <rfmt sheetId="8" sqref="BD5" start="0" length="0">
    <dxf>
      <fill>
        <patternFill patternType="solid">
          <bgColor theme="0" tint="-0.14999847407452621"/>
        </patternFill>
      </fill>
    </dxf>
  </rfmt>
  <rfmt sheetId="8" sqref="BD6" start="0" length="0">
    <dxf>
      <fill>
        <patternFill patternType="solid">
          <bgColor theme="0" tint="-0.14999847407452621"/>
        </patternFill>
      </fill>
    </dxf>
  </rfmt>
  <rfmt sheetId="8" sqref="BD7" start="0" length="0">
    <dxf>
      <fill>
        <patternFill patternType="solid">
          <bgColor theme="0" tint="-0.14999847407452621"/>
        </patternFill>
      </fill>
    </dxf>
  </rfmt>
  <rfmt sheetId="8" sqref="BD8" start="0" length="0">
    <dxf>
      <fill>
        <patternFill patternType="solid">
          <bgColor theme="0" tint="-0.14999847407452621"/>
        </patternFill>
      </fill>
    </dxf>
  </rfmt>
  <rfmt sheetId="8" sqref="BD9" start="0" length="0">
    <dxf>
      <fill>
        <patternFill patternType="solid">
          <bgColor theme="0" tint="-0.14999847407452621"/>
        </patternFill>
      </fill>
    </dxf>
  </rfmt>
  <rfmt sheetId="8" sqref="BD10" start="0" length="0">
    <dxf>
      <fill>
        <patternFill patternType="solid">
          <bgColor theme="0" tint="-0.14999847407452621"/>
        </patternFill>
      </fill>
    </dxf>
  </rfmt>
  <rfmt sheetId="8" sqref="BD11" start="0" length="0">
    <dxf>
      <fill>
        <patternFill patternType="solid">
          <bgColor theme="0" tint="-0.14999847407452621"/>
        </patternFill>
      </fill>
    </dxf>
  </rfmt>
  <rfmt sheetId="8" sqref="BD12" start="0" length="0">
    <dxf>
      <fill>
        <patternFill patternType="solid">
          <bgColor theme="0" tint="-0.14999847407452621"/>
        </patternFill>
      </fill>
    </dxf>
  </rfmt>
  <rfmt sheetId="8" sqref="BD13" start="0" length="0">
    <dxf>
      <fill>
        <patternFill patternType="solid">
          <bgColor theme="0" tint="-0.14999847407452621"/>
        </patternFill>
      </fill>
    </dxf>
  </rfmt>
  <rfmt sheetId="8" sqref="BD14" start="0" length="0">
    <dxf>
      <fill>
        <patternFill patternType="solid">
          <bgColor theme="0" tint="-0.14999847407452621"/>
        </patternFill>
      </fill>
    </dxf>
  </rfmt>
  <rfmt sheetId="8" sqref="BD15" start="0" length="0">
    <dxf>
      <fill>
        <patternFill patternType="solid">
          <bgColor theme="0" tint="-0.14999847407452621"/>
        </patternFill>
      </fill>
    </dxf>
  </rfmt>
  <rfmt sheetId="8" sqref="BD16" start="0" length="0">
    <dxf>
      <fill>
        <patternFill patternType="solid">
          <bgColor theme="0" tint="-0.14999847407452621"/>
        </patternFill>
      </fill>
    </dxf>
  </rfmt>
  <rfmt sheetId="8" sqref="BD17" start="0" length="0">
    <dxf>
      <fill>
        <patternFill patternType="solid">
          <bgColor theme="0" tint="-0.14999847407452621"/>
        </patternFill>
      </fill>
    </dxf>
  </rfmt>
  <rcc rId="16032" sId="8">
    <nc r="BD2">
      <f>SUM(AY2:BC2)</f>
    </nc>
  </rcc>
  <rcc rId="16033" sId="8">
    <nc r="BD3">
      <f>SUM(AY3:BC3)</f>
    </nc>
  </rcc>
  <rcc rId="16034" sId="8">
    <nc r="BD4">
      <f>SUM(AY4:BC4)</f>
    </nc>
  </rcc>
  <rcc rId="16035" sId="8">
    <nc r="BD5">
      <f>SUM(AY5:BC5)</f>
    </nc>
  </rcc>
  <rcc rId="16036" sId="8">
    <nc r="BD6">
      <f>SUM(AY6:BC6)</f>
    </nc>
  </rcc>
  <rcc rId="16037" sId="8">
    <nc r="BD7">
      <f>SUM(AY7:BC7)</f>
    </nc>
  </rcc>
  <rcc rId="16038" sId="8">
    <nc r="BD8">
      <f>SUM(AY8:BC8)</f>
    </nc>
  </rcc>
  <rcc rId="16039" sId="8">
    <nc r="BD9">
      <f>SUM(AY9:BC9)</f>
    </nc>
  </rcc>
  <rcc rId="16040" sId="8">
    <nc r="BD10">
      <f>SUM(AY10:BC10)</f>
    </nc>
  </rcc>
  <rcc rId="16041" sId="8">
    <nc r="BD11">
      <f>SUM(AY11:BC11)</f>
    </nc>
  </rcc>
  <rcc rId="16042" sId="8">
    <nc r="BD12">
      <f>SUM(AY12:BC12)</f>
    </nc>
  </rcc>
  <rcc rId="16043" sId="8">
    <nc r="BD13">
      <f>SUM(AY13:BC13)</f>
    </nc>
  </rcc>
  <rcc rId="16044" sId="8">
    <nc r="BD14">
      <f>SUM(AY14:BC14)</f>
    </nc>
  </rcc>
  <rcc rId="16045" sId="8">
    <nc r="BD15">
      <f>SUM(AY15:BC15)</f>
    </nc>
  </rcc>
  <rcc rId="16046" sId="8">
    <nc r="BD16">
      <f>SUM(AY16:BC16)</f>
    </nc>
  </rcc>
  <rcc rId="16047" sId="8">
    <nc r="BD17">
      <f>SUM(AY17:BC17)</f>
    </nc>
  </rcc>
  <rcc rId="16048" sId="10" numFmtId="21">
    <oc r="C1">
      <v>45662</v>
    </oc>
    <nc r="C1">
      <v>46083</v>
    </nc>
  </rcc>
  <rcc rId="16049" sId="10" numFmtId="21">
    <oc r="D1">
      <v>45663</v>
    </oc>
    <nc r="D1">
      <v>46084</v>
    </nc>
  </rcc>
  <rcc rId="16050" sId="10" numFmtId="21">
    <oc r="E1">
      <v>45664</v>
    </oc>
    <nc r="E1">
      <v>46085</v>
    </nc>
  </rcc>
  <rcc rId="16051" sId="10" numFmtId="21">
    <oc r="F1">
      <v>45665</v>
    </oc>
    <nc r="F1">
      <v>46086</v>
    </nc>
  </rcc>
  <rcc rId="16052" sId="10" numFmtId="21">
    <oc r="G1">
      <v>45666</v>
    </oc>
    <nc r="G1">
      <v>46087</v>
    </nc>
  </rcc>
  <rcc rId="16053" sId="10" numFmtId="21">
    <oc r="I1">
      <v>45669</v>
    </oc>
    <nc r="I1">
      <v>46090</v>
    </nc>
  </rcc>
  <rcc rId="16054" sId="10" numFmtId="21">
    <oc r="J1">
      <v>45670</v>
    </oc>
    <nc r="J1">
      <v>46091</v>
    </nc>
  </rcc>
  <rcc rId="16055" sId="10" numFmtId="21">
    <oc r="K1">
      <v>45671</v>
    </oc>
    <nc r="K1">
      <v>46092</v>
    </nc>
  </rcc>
  <rcc rId="16056" sId="10" numFmtId="21">
    <oc r="L1">
      <v>45672</v>
    </oc>
    <nc r="L1">
      <v>46093</v>
    </nc>
  </rcc>
  <rcc rId="16057" sId="10" numFmtId="21">
    <oc r="M1">
      <v>45673</v>
    </oc>
    <nc r="M1">
      <v>46094</v>
    </nc>
  </rcc>
  <rcc rId="16058" sId="10" numFmtId="21">
    <oc r="O1">
      <v>45676</v>
    </oc>
    <nc r="O1">
      <v>46097</v>
    </nc>
  </rcc>
  <rcc rId="16059" sId="10" numFmtId="21">
    <oc r="P1">
      <v>45677</v>
    </oc>
    <nc r="P1">
      <v>46098</v>
    </nc>
  </rcc>
  <rcc rId="16060" sId="10" numFmtId="21">
    <oc r="Q1">
      <v>45678</v>
    </oc>
    <nc r="Q1">
      <v>46099</v>
    </nc>
  </rcc>
  <rcc rId="16061" sId="10" numFmtId="21">
    <oc r="R1">
      <v>45679</v>
    </oc>
    <nc r="R1">
      <v>46100</v>
    </nc>
  </rcc>
  <rcc rId="16062" sId="10" numFmtId="21">
    <oc r="S1">
      <v>45680</v>
    </oc>
    <nc r="S1">
      <v>46101</v>
    </nc>
  </rcc>
  <rcc rId="16063" sId="10" numFmtId="21">
    <oc r="U1">
      <v>45683</v>
    </oc>
    <nc r="U1">
      <v>46104</v>
    </nc>
  </rcc>
  <rcc rId="16064" sId="10" numFmtId="21">
    <oc r="V1">
      <v>45684</v>
    </oc>
    <nc r="V1">
      <v>46105</v>
    </nc>
  </rcc>
  <rcc rId="16065" sId="10" numFmtId="21">
    <oc r="W1">
      <v>45685</v>
    </oc>
    <nc r="W1">
      <v>46106</v>
    </nc>
  </rcc>
  <rcc rId="16066" sId="10" numFmtId="21">
    <oc r="X1">
      <v>45686</v>
    </oc>
    <nc r="X1">
      <v>46107</v>
    </nc>
  </rcc>
  <rcc rId="16067" sId="10" numFmtId="21">
    <oc r="Y1">
      <v>45687</v>
    </oc>
    <nc r="Y1">
      <v>46108</v>
    </nc>
  </rcc>
  <rcc rId="16068" sId="10" numFmtId="21">
    <oc r="AA1">
      <v>45690</v>
    </oc>
    <nc r="AA1">
      <v>46111</v>
    </nc>
  </rcc>
  <rcc rId="16069" sId="10" numFmtId="21">
    <oc r="AB1">
      <v>45691</v>
    </oc>
    <nc r="AB1">
      <v>46112</v>
    </nc>
  </rcc>
  <rcc rId="16070" sId="10" numFmtId="21">
    <oc r="AC1">
      <v>45692</v>
    </oc>
    <nc r="AC1">
      <v>46113</v>
    </nc>
  </rcc>
  <rcc rId="16071" sId="10" numFmtId="21">
    <oc r="AD1">
      <v>45693</v>
    </oc>
    <nc r="AD1">
      <v>46114</v>
    </nc>
  </rcc>
  <rcc rId="16072" sId="10" numFmtId="21">
    <oc r="AE1">
      <v>45694</v>
    </oc>
    <nc r="AE1">
      <v>46115</v>
    </nc>
  </rcc>
  <rcc rId="16073" sId="10" numFmtId="21">
    <oc r="AG1">
      <v>45697</v>
    </oc>
    <nc r="AG1">
      <v>46118</v>
    </nc>
  </rcc>
  <rcc rId="16074" sId="10" numFmtId="21">
    <oc r="AH1">
      <v>45698</v>
    </oc>
    <nc r="AH1">
      <v>46119</v>
    </nc>
  </rcc>
  <rcc rId="16075" sId="10" numFmtId="21">
    <oc r="AI1">
      <v>45699</v>
    </oc>
    <nc r="AI1">
      <v>46120</v>
    </nc>
  </rcc>
  <rcc rId="16076" sId="10" numFmtId="21">
    <oc r="AJ1">
      <v>45700</v>
    </oc>
    <nc r="AJ1">
      <v>46121</v>
    </nc>
  </rcc>
  <rcc rId="16077" sId="10" numFmtId="21">
    <oc r="AK1">
      <v>45701</v>
    </oc>
    <nc r="AK1">
      <v>46122</v>
    </nc>
  </rcc>
  <rfmt sheetId="10" sqref="AL1" start="0" length="0">
    <dxf>
      <border outline="0">
        <right/>
      </border>
    </dxf>
  </rfmt>
  <rcc rId="16078" sId="10" odxf="1" dxf="1" numFmtId="21">
    <oc r="AM1">
      <v>45704</v>
    </oc>
    <nc r="AM1">
      <v>46125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6079" sId="10" odxf="1" dxf="1" numFmtId="21">
    <oc r="AN1">
      <v>45705</v>
    </oc>
    <nc r="AN1">
      <v>46126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6080" sId="10" odxf="1" dxf="1" numFmtId="21">
    <oc r="AO1">
      <v>45706</v>
    </oc>
    <nc r="AO1">
      <v>46127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6081" sId="10" odxf="1" dxf="1" numFmtId="21">
    <oc r="AP1">
      <v>45707</v>
    </oc>
    <nc r="AP1">
      <v>46128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cc rId="16082" sId="10" odxf="1" dxf="1" numFmtId="21">
    <oc r="AQ1">
      <v>45708</v>
    </oc>
    <nc r="AQ1">
      <v>46129</v>
    </nc>
    <odxf>
      <border outline="0">
        <left/>
        <right/>
      </border>
    </odxf>
    <ndxf>
      <border outline="0">
        <left style="thin">
          <color auto="1"/>
        </left>
        <right style="thin">
          <color auto="1"/>
        </right>
      </border>
    </ndxf>
  </rcc>
  <rfmt sheetId="10" sqref="AR1" start="0" length="0">
    <dxf>
      <border outline="0">
        <left/>
      </border>
    </dxf>
  </rfmt>
  <rcc rId="16083" sId="10" numFmtId="21">
    <oc r="AS1">
      <v>45711</v>
    </oc>
    <nc r="AS1">
      <v>46132</v>
    </nc>
  </rcc>
  <rcc rId="16084" sId="10" numFmtId="21">
    <oc r="AT1">
      <v>45712</v>
    </oc>
    <nc r="AT1">
      <v>46133</v>
    </nc>
  </rcc>
  <rcc rId="16085" sId="10" numFmtId="21">
    <oc r="AU1">
      <v>45713</v>
    </oc>
    <nc r="AU1">
      <v>46134</v>
    </nc>
  </rcc>
  <rcc rId="16086" sId="10" numFmtId="21">
    <oc r="AV1">
      <v>45714</v>
    </oc>
    <nc r="AV1">
      <v>46135</v>
    </nc>
  </rcc>
  <rcc rId="16087" sId="10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cc rId="16088" sId="10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089" sId="10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090" sId="10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091" sId="10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092" sId="10" odxf="1" dxf="1" numFmtId="21">
    <nc r="BC1">
      <v>46143</v>
    </nc>
    <odxf>
      <numFmt numFmtId="0" formatCode="General"/>
      <border outline="0">
        <left/>
        <top/>
        <bottom/>
      </border>
    </odxf>
    <ndxf>
      <numFmt numFmtId="21" formatCode="dd/mmm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fmt sheetId="10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6093" sId="10">
    <oc r="X17">
      <v>10</v>
    </oc>
    <nc r="X17"/>
  </rcc>
  <rcc rId="16094" sId="10">
    <oc r="Y17">
      <v>5</v>
    </oc>
    <nc r="Y17"/>
  </rcc>
  <rcc rId="16095" sId="10">
    <oc r="AC15">
      <v>70</v>
    </oc>
    <nc r="AC15"/>
  </rcc>
  <rcc rId="16096" sId="10">
    <oc r="AM2" t="inlineStr">
      <is>
        <t>RECESSO</t>
      </is>
    </oc>
    <nc r="AM2"/>
  </rcc>
  <rcc rId="16097" sId="10">
    <oc r="AN2" t="inlineStr">
      <is>
        <t>CARNAVAL</t>
      </is>
    </oc>
    <nc r="AN2"/>
  </rcc>
  <rcc rId="16098" sId="10">
    <oc r="AM3" t="inlineStr">
      <is>
        <t>RECESSO</t>
      </is>
    </oc>
    <nc r="AM3"/>
  </rcc>
  <rcc rId="16099" sId="10">
    <oc r="AN3" t="inlineStr">
      <is>
        <t>CARNAVAL</t>
      </is>
    </oc>
    <nc r="AN3"/>
  </rcc>
  <rcc rId="16100" sId="10">
    <oc r="AM4" t="inlineStr">
      <is>
        <t>RECESSO</t>
      </is>
    </oc>
    <nc r="AM4"/>
  </rcc>
  <rcc rId="16101" sId="10">
    <oc r="AN4" t="inlineStr">
      <is>
        <t>CARNAVAL</t>
      </is>
    </oc>
    <nc r="AN4"/>
  </rcc>
  <rcc rId="16102" sId="10">
    <oc r="AM5" t="inlineStr">
      <is>
        <t>RECESSO</t>
      </is>
    </oc>
    <nc r="AM5"/>
  </rcc>
  <rcc rId="16103" sId="10">
    <oc r="AN5" t="inlineStr">
      <is>
        <t>CARNAVAL</t>
      </is>
    </oc>
    <nc r="AN5"/>
  </rcc>
  <rcc rId="16104" sId="10">
    <oc r="AM6" t="inlineStr">
      <is>
        <t>RECESSO</t>
      </is>
    </oc>
    <nc r="AM6"/>
  </rcc>
  <rcc rId="16105" sId="10">
    <oc r="AN6" t="inlineStr">
      <is>
        <t>CARNAVAL</t>
      </is>
    </oc>
    <nc r="AN6"/>
  </rcc>
  <rcc rId="16106" sId="10">
    <oc r="AM7" t="inlineStr">
      <is>
        <t>RECESSO</t>
      </is>
    </oc>
    <nc r="AM7"/>
  </rcc>
  <rcc rId="16107" sId="10">
    <oc r="AN7" t="inlineStr">
      <is>
        <t>CARNAVAL</t>
      </is>
    </oc>
    <nc r="AN7"/>
  </rcc>
  <rcc rId="16108" sId="10">
    <oc r="AM8" t="inlineStr">
      <is>
        <t>RECESSO</t>
      </is>
    </oc>
    <nc r="AM8"/>
  </rcc>
  <rcc rId="16109" sId="10">
    <oc r="AN8" t="inlineStr">
      <is>
        <t>CARNAVAL</t>
      </is>
    </oc>
    <nc r="AN8"/>
  </rcc>
  <rcc rId="16110" sId="10">
    <oc r="AM9" t="inlineStr">
      <is>
        <t>RECESSO</t>
      </is>
    </oc>
    <nc r="AM9"/>
  </rcc>
  <rcc rId="16111" sId="10">
    <oc r="AN9" t="inlineStr">
      <is>
        <t>CARNAVAL</t>
      </is>
    </oc>
    <nc r="AN9"/>
  </rcc>
  <rcc rId="16112" sId="10">
    <oc r="AM10" t="inlineStr">
      <is>
        <t>RECESSO</t>
      </is>
    </oc>
    <nc r="AM10"/>
  </rcc>
  <rcc rId="16113" sId="10">
    <oc r="AN10" t="inlineStr">
      <is>
        <t>CARNAVAL</t>
      </is>
    </oc>
    <nc r="AN10"/>
  </rcc>
  <rcc rId="16114" sId="10">
    <oc r="AM11" t="inlineStr">
      <is>
        <t>RECESSO</t>
      </is>
    </oc>
    <nc r="AM11"/>
  </rcc>
  <rcc rId="16115" sId="10">
    <oc r="AN11" t="inlineStr">
      <is>
        <t>CARNAVAL</t>
      </is>
    </oc>
    <nc r="AN11"/>
  </rcc>
  <rcc rId="16116" sId="10">
    <oc r="AM12" t="inlineStr">
      <is>
        <t>RECESSO</t>
      </is>
    </oc>
    <nc r="AM12"/>
  </rcc>
  <rcc rId="16117" sId="10">
    <oc r="AN12" t="inlineStr">
      <is>
        <t>CARNAVAL</t>
      </is>
    </oc>
    <nc r="AN12"/>
  </rcc>
  <rcc rId="16118" sId="10">
    <oc r="AM13" t="inlineStr">
      <is>
        <t>RECESSO</t>
      </is>
    </oc>
    <nc r="AM13"/>
  </rcc>
  <rcc rId="16119" sId="10">
    <oc r="AN13" t="inlineStr">
      <is>
        <t>CARNAVAL</t>
      </is>
    </oc>
    <nc r="AN13"/>
  </rcc>
  <rcc rId="16120" sId="10">
    <oc r="AM14" t="inlineStr">
      <is>
        <t>RECESSO</t>
      </is>
    </oc>
    <nc r="AM14"/>
  </rcc>
  <rcc rId="16121" sId="10">
    <oc r="AN14" t="inlineStr">
      <is>
        <t>CARNAVAL</t>
      </is>
    </oc>
    <nc r="AN14"/>
  </rcc>
  <rcc rId="16122" sId="10">
    <oc r="AM15" t="inlineStr">
      <is>
        <t>RECESSO</t>
      </is>
    </oc>
    <nc r="AM15"/>
  </rcc>
  <rcc rId="16123" sId="10">
    <oc r="AN15" t="inlineStr">
      <is>
        <t>CARNAVAL</t>
      </is>
    </oc>
    <nc r="AN15"/>
  </rcc>
  <rcc rId="16124" sId="10">
    <oc r="AP15">
      <v>70</v>
    </oc>
    <nc r="AP15"/>
  </rcc>
  <rcc rId="16125" sId="10">
    <oc r="AM16" t="inlineStr">
      <is>
        <t>RECESSO</t>
      </is>
    </oc>
    <nc r="AM16"/>
  </rcc>
  <rcc rId="16126" sId="10">
    <oc r="AN16" t="inlineStr">
      <is>
        <t>CARNAVAL</t>
      </is>
    </oc>
    <nc r="AN16"/>
  </rcc>
  <rcc rId="16127" sId="10">
    <oc r="AQ16">
      <v>5</v>
    </oc>
    <nc r="AQ16"/>
  </rcc>
  <rcc rId="16128" sId="10">
    <oc r="AM17" t="inlineStr">
      <is>
        <t>RECESSO</t>
      </is>
    </oc>
    <nc r="AM17"/>
  </rcc>
  <rcc rId="16129" sId="10">
    <oc r="AN17" t="inlineStr">
      <is>
        <t>CARNAVAL</t>
      </is>
    </oc>
    <nc r="AN17"/>
  </rcc>
  <rcc rId="16130" sId="10">
    <oc r="AS16">
      <v>5</v>
    </oc>
    <nc r="AS16"/>
  </rcc>
  <rfmt sheetId="10" sqref="BD1:BD17" start="0" length="0">
    <dxf>
      <border>
        <right style="thin">
          <color indexed="64"/>
        </right>
      </border>
    </dxf>
  </rfmt>
  <rfmt sheetId="10" sqref="AY17:BD17" start="0" length="0">
    <dxf>
      <border>
        <bottom style="thin">
          <color indexed="64"/>
        </bottom>
      </border>
    </dxf>
  </rfmt>
  <rfmt sheetId="10" sqref="BD1:BD17" start="0" length="0">
    <dxf>
      <border>
        <left style="thin">
          <color indexed="64"/>
        </left>
      </border>
    </dxf>
  </rfmt>
  <rcc rId="16131" sId="10">
    <nc r="BD1" t="inlineStr">
      <is>
        <t>TOTAL SEMANA</t>
      </is>
    </nc>
  </rcc>
  <rfmt sheetId="10" sqref="BD2" start="0" length="0">
    <dxf>
      <fill>
        <patternFill patternType="solid">
          <bgColor theme="0" tint="-0.14999847407452621"/>
        </patternFill>
      </fill>
    </dxf>
  </rfmt>
  <rfmt sheetId="10" sqref="BD3" start="0" length="0">
    <dxf>
      <fill>
        <patternFill patternType="solid">
          <bgColor theme="0" tint="-0.14999847407452621"/>
        </patternFill>
      </fill>
    </dxf>
  </rfmt>
  <rfmt sheetId="10" sqref="BD4" start="0" length="0">
    <dxf>
      <fill>
        <patternFill patternType="solid">
          <bgColor theme="0" tint="-0.14999847407452621"/>
        </patternFill>
      </fill>
    </dxf>
  </rfmt>
  <rfmt sheetId="10" sqref="BD5" start="0" length="0">
    <dxf>
      <fill>
        <patternFill patternType="solid">
          <bgColor theme="0" tint="-0.14999847407452621"/>
        </patternFill>
      </fill>
    </dxf>
  </rfmt>
  <rfmt sheetId="10" sqref="BD6" start="0" length="0">
    <dxf>
      <fill>
        <patternFill patternType="solid">
          <bgColor theme="0" tint="-0.14999847407452621"/>
        </patternFill>
      </fill>
    </dxf>
  </rfmt>
  <rfmt sheetId="10" sqref="BD7" start="0" length="0">
    <dxf>
      <fill>
        <patternFill patternType="solid">
          <bgColor theme="0" tint="-0.14999847407452621"/>
        </patternFill>
      </fill>
    </dxf>
  </rfmt>
  <rfmt sheetId="10" sqref="BD8" start="0" length="0">
    <dxf>
      <fill>
        <patternFill patternType="solid">
          <bgColor theme="0" tint="-0.14999847407452621"/>
        </patternFill>
      </fill>
    </dxf>
  </rfmt>
  <rfmt sheetId="10" sqref="BD9" start="0" length="0">
    <dxf>
      <fill>
        <patternFill patternType="solid">
          <bgColor theme="0" tint="-0.14999847407452621"/>
        </patternFill>
      </fill>
    </dxf>
  </rfmt>
  <rfmt sheetId="10" sqref="BD10" start="0" length="0">
    <dxf>
      <fill>
        <patternFill patternType="solid">
          <bgColor theme="0" tint="-0.14999847407452621"/>
        </patternFill>
      </fill>
    </dxf>
  </rfmt>
  <rfmt sheetId="10" sqref="BD11" start="0" length="0">
    <dxf>
      <fill>
        <patternFill patternType="solid">
          <bgColor theme="0" tint="-0.14999847407452621"/>
        </patternFill>
      </fill>
    </dxf>
  </rfmt>
  <rfmt sheetId="10" sqref="BD12" start="0" length="0">
    <dxf>
      <fill>
        <patternFill patternType="solid">
          <bgColor theme="0" tint="-0.14999847407452621"/>
        </patternFill>
      </fill>
    </dxf>
  </rfmt>
  <rfmt sheetId="10" sqref="BD13" start="0" length="0">
    <dxf>
      <fill>
        <patternFill patternType="solid">
          <bgColor theme="0" tint="-0.14999847407452621"/>
        </patternFill>
      </fill>
    </dxf>
  </rfmt>
  <rfmt sheetId="10" sqref="BD14" start="0" length="0">
    <dxf>
      <fill>
        <patternFill patternType="solid">
          <bgColor theme="0" tint="-0.14999847407452621"/>
        </patternFill>
      </fill>
    </dxf>
  </rfmt>
  <rfmt sheetId="10" sqref="BD15" start="0" length="0">
    <dxf>
      <fill>
        <patternFill patternType="solid">
          <bgColor theme="0" tint="-0.14999847407452621"/>
        </patternFill>
      </fill>
    </dxf>
  </rfmt>
  <rfmt sheetId="10" sqref="BD16" start="0" length="0">
    <dxf>
      <fill>
        <patternFill patternType="solid">
          <bgColor theme="0" tint="-0.14999847407452621"/>
        </patternFill>
      </fill>
    </dxf>
  </rfmt>
  <rfmt sheetId="10" sqref="BD17" start="0" length="0">
    <dxf>
      <fill>
        <patternFill patternType="solid">
          <bgColor theme="0" tint="-0.14999847407452621"/>
        </patternFill>
      </fill>
    </dxf>
  </rfmt>
  <rcc rId="16132" sId="10">
    <nc r="BD2">
      <f>SUM(AY2:BC2)</f>
    </nc>
  </rcc>
  <rcc rId="16133" sId="10">
    <nc r="BD3">
      <f>SUM(AY3:BC3)</f>
    </nc>
  </rcc>
  <rcc rId="16134" sId="10">
    <nc r="BD4">
      <f>SUM(AY4:BC4)</f>
    </nc>
  </rcc>
  <rcc rId="16135" sId="10">
    <nc r="BD5">
      <f>SUM(AY5:BC5)</f>
    </nc>
  </rcc>
  <rcc rId="16136" sId="10">
    <nc r="BD6">
      <f>SUM(AY6:BC6)</f>
    </nc>
  </rcc>
  <rcc rId="16137" sId="10">
    <nc r="BD7">
      <f>SUM(AY7:BC7)</f>
    </nc>
  </rcc>
  <rcc rId="16138" sId="10">
    <nc r="BD8">
      <f>SUM(AY8:BC8)</f>
    </nc>
  </rcc>
  <rcc rId="16139" sId="10">
    <nc r="BD9">
      <f>SUM(AY9:BC9)</f>
    </nc>
  </rcc>
  <rcc rId="16140" sId="10">
    <nc r="BD10">
      <f>SUM(AY10:BC10)</f>
    </nc>
  </rcc>
  <rcc rId="16141" sId="10">
    <nc r="BD11">
      <f>SUM(AY11:BC11)</f>
    </nc>
  </rcc>
  <rcc rId="16142" sId="10">
    <nc r="BD12">
      <f>SUM(AY12:BC12)</f>
    </nc>
  </rcc>
  <rcc rId="16143" sId="10">
    <nc r="BD13">
      <f>SUM(AY13:BC13)</f>
    </nc>
  </rcc>
  <rcc rId="16144" sId="10">
    <nc r="BD14">
      <f>SUM(AY14:BC14)</f>
    </nc>
  </rcc>
  <rcc rId="16145" sId="10">
    <nc r="BD15">
      <f>SUM(AY15:BC15)</f>
    </nc>
  </rcc>
  <rcc rId="16146" sId="10">
    <nc r="BD16">
      <f>SUM(AY16:BC16)</f>
    </nc>
  </rcc>
  <rcc rId="16147" sId="10">
    <nc r="BD17">
      <f>SUM(AY17:BC17)</f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158" sId="9" numFmtId="21">
    <oc r="C1">
      <v>45662</v>
    </oc>
    <nc r="C1">
      <v>46083</v>
    </nc>
  </rcc>
  <rcc rId="16159" sId="9" numFmtId="21">
    <oc r="D1">
      <v>45663</v>
    </oc>
    <nc r="D1">
      <v>46084</v>
    </nc>
  </rcc>
  <rcc rId="16160" sId="9" numFmtId="21">
    <oc r="E1">
      <v>45664</v>
    </oc>
    <nc r="E1">
      <v>46085</v>
    </nc>
  </rcc>
  <rcc rId="16161" sId="9" numFmtId="21">
    <oc r="F1">
      <v>45665</v>
    </oc>
    <nc r="F1">
      <v>46086</v>
    </nc>
  </rcc>
  <rcc rId="16162" sId="9" numFmtId="21">
    <oc r="G1">
      <v>45666</v>
    </oc>
    <nc r="G1">
      <v>46087</v>
    </nc>
  </rcc>
  <rcc rId="16163" sId="9" numFmtId="21">
    <oc r="I1">
      <v>45669</v>
    </oc>
    <nc r="I1">
      <v>46090</v>
    </nc>
  </rcc>
  <rcc rId="16164" sId="9" numFmtId="21">
    <oc r="J1">
      <v>45670</v>
    </oc>
    <nc r="J1">
      <v>46091</v>
    </nc>
  </rcc>
  <rcc rId="16165" sId="9" numFmtId="21">
    <oc r="K1">
      <v>45671</v>
    </oc>
    <nc r="K1">
      <v>46092</v>
    </nc>
  </rcc>
  <rcc rId="16166" sId="9" numFmtId="21">
    <oc r="L1">
      <v>45672</v>
    </oc>
    <nc r="L1">
      <v>46093</v>
    </nc>
  </rcc>
  <rcc rId="16167" sId="9" numFmtId="21">
    <oc r="M1">
      <v>45673</v>
    </oc>
    <nc r="M1">
      <v>46094</v>
    </nc>
  </rcc>
  <rcc rId="16168" sId="9" numFmtId="21">
    <oc r="O1">
      <v>45676</v>
    </oc>
    <nc r="O1">
      <v>46097</v>
    </nc>
  </rcc>
  <rcc rId="16169" sId="9" numFmtId="21">
    <oc r="P1">
      <v>45677</v>
    </oc>
    <nc r="P1">
      <v>46098</v>
    </nc>
  </rcc>
  <rcc rId="16170" sId="9" numFmtId="21">
    <oc r="Q1">
      <v>45678</v>
    </oc>
    <nc r="Q1">
      <v>46099</v>
    </nc>
  </rcc>
  <rcc rId="16171" sId="9" numFmtId="21">
    <oc r="R1">
      <v>45679</v>
    </oc>
    <nc r="R1">
      <v>46100</v>
    </nc>
  </rcc>
  <rcc rId="16172" sId="9" numFmtId="21">
    <oc r="S1">
      <v>45680</v>
    </oc>
    <nc r="S1">
      <v>46101</v>
    </nc>
  </rcc>
  <rcc rId="16173" sId="9" numFmtId="21">
    <oc r="U1">
      <v>45683</v>
    </oc>
    <nc r="U1">
      <v>46104</v>
    </nc>
  </rcc>
  <rcc rId="16174" sId="9" numFmtId="21">
    <oc r="V1">
      <v>45684</v>
    </oc>
    <nc r="V1">
      <v>46105</v>
    </nc>
  </rcc>
  <rcc rId="16175" sId="9" numFmtId="21">
    <oc r="W1">
      <v>45685</v>
    </oc>
    <nc r="W1">
      <v>46106</v>
    </nc>
  </rcc>
  <rcc rId="16176" sId="9" numFmtId="21">
    <oc r="X1">
      <v>45686</v>
    </oc>
    <nc r="X1">
      <v>46107</v>
    </nc>
  </rcc>
  <rcc rId="16177" sId="9" numFmtId="21">
    <oc r="Y1">
      <v>45687</v>
    </oc>
    <nc r="Y1">
      <v>46108</v>
    </nc>
  </rcc>
  <rcc rId="16178" sId="9" numFmtId="21">
    <oc r="AA1">
      <v>45690</v>
    </oc>
    <nc r="AA1">
      <v>46111</v>
    </nc>
  </rcc>
  <rcc rId="16179" sId="9" numFmtId="21">
    <oc r="AB1">
      <v>45691</v>
    </oc>
    <nc r="AB1">
      <v>46112</v>
    </nc>
  </rcc>
  <rcc rId="16180" sId="9" numFmtId="21">
    <oc r="AC1">
      <v>45692</v>
    </oc>
    <nc r="AC1">
      <v>46113</v>
    </nc>
  </rcc>
  <rcc rId="16181" sId="9" numFmtId="21">
    <oc r="AD1">
      <v>45693</v>
    </oc>
    <nc r="AD1">
      <v>46114</v>
    </nc>
  </rcc>
  <rcc rId="16182" sId="9" numFmtId="21">
    <oc r="AE1">
      <v>45694</v>
    </oc>
    <nc r="AE1">
      <v>46115</v>
    </nc>
  </rcc>
  <rcc rId="16183" sId="9" numFmtId="21">
    <oc r="AG1">
      <v>45697</v>
    </oc>
    <nc r="AG1">
      <v>46118</v>
    </nc>
  </rcc>
  <rcc rId="16184" sId="9" numFmtId="21">
    <oc r="AH1">
      <v>45698</v>
    </oc>
    <nc r="AH1">
      <v>46119</v>
    </nc>
  </rcc>
  <rcc rId="16185" sId="9" numFmtId="21">
    <oc r="AI1">
      <v>45699</v>
    </oc>
    <nc r="AI1">
      <v>46120</v>
    </nc>
  </rcc>
  <rcc rId="16186" sId="9" numFmtId="21">
    <oc r="AJ1">
      <v>45700</v>
    </oc>
    <nc r="AJ1">
      <v>46121</v>
    </nc>
  </rcc>
  <rcc rId="16187" sId="9" numFmtId="21">
    <oc r="AK1">
      <v>45701</v>
    </oc>
    <nc r="AK1">
      <v>46122</v>
    </nc>
  </rcc>
  <rcc rId="16188" sId="9" numFmtId="21">
    <oc r="AM1">
      <v>45704</v>
    </oc>
    <nc r="AM1">
      <v>46125</v>
    </nc>
  </rcc>
  <rcc rId="16189" sId="9" numFmtId="21">
    <oc r="AN1">
      <v>45705</v>
    </oc>
    <nc r="AN1">
      <v>46126</v>
    </nc>
  </rcc>
  <rcc rId="16190" sId="9" numFmtId="21">
    <oc r="AO1">
      <v>45706</v>
    </oc>
    <nc r="AO1">
      <v>46127</v>
    </nc>
  </rcc>
  <rcc rId="16191" sId="9" numFmtId="21">
    <oc r="AP1">
      <v>45707</v>
    </oc>
    <nc r="AP1">
      <v>46128</v>
    </nc>
  </rcc>
  <rcc rId="16192" sId="9" numFmtId="21">
    <oc r="AQ1">
      <v>45708</v>
    </oc>
    <nc r="AQ1">
      <v>46129</v>
    </nc>
  </rcc>
  <rcc rId="16193" sId="9" numFmtId="21">
    <oc r="AS1">
      <v>45711</v>
    </oc>
    <nc r="AS1">
      <v>46132</v>
    </nc>
  </rcc>
  <rcc rId="16194" sId="9" numFmtId="21">
    <oc r="AT1">
      <v>45712</v>
    </oc>
    <nc r="AT1">
      <v>46133</v>
    </nc>
  </rcc>
  <rcc rId="16195" sId="9" numFmtId="21">
    <oc r="AU1">
      <v>45713</v>
    </oc>
    <nc r="AU1">
      <v>46134</v>
    </nc>
  </rcc>
  <rcc rId="16196" sId="9" numFmtId="21">
    <oc r="AV1">
      <v>45714</v>
    </oc>
    <nc r="AV1">
      <v>46135</v>
    </nc>
  </rcc>
  <rcc rId="16197" sId="9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cc rId="16198" sId="9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199" sId="9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200" sId="9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201" sId="9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202" sId="9" odxf="1" dxf="1" numFmtId="21">
    <nc r="BC1">
      <v>46143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9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9" sqref="AM2:AQ17" start="0" length="2147483647">
    <dxf>
      <font>
        <b val="0"/>
      </font>
    </dxf>
  </rfmt>
  <rcc rId="16203" sId="9">
    <oc r="AM2" t="inlineStr">
      <is>
        <t>RECESSO</t>
      </is>
    </oc>
    <nc r="AM2"/>
  </rcc>
  <rcc rId="16204" sId="9">
    <oc r="AN2" t="inlineStr">
      <is>
        <t>CARNAVAL</t>
      </is>
    </oc>
    <nc r="AN2"/>
  </rcc>
  <rcc rId="16205" sId="9">
    <oc r="AM3" t="inlineStr">
      <is>
        <t>RECESSO</t>
      </is>
    </oc>
    <nc r="AM3"/>
  </rcc>
  <rcc rId="16206" sId="9">
    <oc r="AN3" t="inlineStr">
      <is>
        <t>CARNAVAL</t>
      </is>
    </oc>
    <nc r="AN3"/>
  </rcc>
  <rcc rId="16207" sId="9">
    <oc r="AM4" t="inlineStr">
      <is>
        <t>RECESSO</t>
      </is>
    </oc>
    <nc r="AM4"/>
  </rcc>
  <rcc rId="16208" sId="9">
    <oc r="AN4" t="inlineStr">
      <is>
        <t>CARNAVAL</t>
      </is>
    </oc>
    <nc r="AN4"/>
  </rcc>
  <rcc rId="16209" sId="9">
    <oc r="AM5" t="inlineStr">
      <is>
        <t>RECESSO</t>
      </is>
    </oc>
    <nc r="AM5"/>
  </rcc>
  <rcc rId="16210" sId="9">
    <oc r="AN5" t="inlineStr">
      <is>
        <t>CARNAVAL</t>
      </is>
    </oc>
    <nc r="AN5"/>
  </rcc>
  <rcc rId="16211" sId="9">
    <oc r="AM6" t="inlineStr">
      <is>
        <t>RECESSO</t>
      </is>
    </oc>
    <nc r="AM6"/>
  </rcc>
  <rcc rId="16212" sId="9">
    <oc r="AN6" t="inlineStr">
      <is>
        <t>CARNAVAL</t>
      </is>
    </oc>
    <nc r="AN6"/>
  </rcc>
  <rcc rId="16213" sId="9">
    <oc r="AM7" t="inlineStr">
      <is>
        <t>RECESSO</t>
      </is>
    </oc>
    <nc r="AM7"/>
  </rcc>
  <rcc rId="16214" sId="9">
    <oc r="AN7" t="inlineStr">
      <is>
        <t>CARNAVAL</t>
      </is>
    </oc>
    <nc r="AN7"/>
  </rcc>
  <rcc rId="16215" sId="9">
    <oc r="AM8" t="inlineStr">
      <is>
        <t>RECESSO</t>
      </is>
    </oc>
    <nc r="AM8"/>
  </rcc>
  <rcc rId="16216" sId="9">
    <oc r="AN8" t="inlineStr">
      <is>
        <t>CARNAVAL</t>
      </is>
    </oc>
    <nc r="AN8"/>
  </rcc>
  <rcc rId="16217" sId="9">
    <oc r="AM9" t="inlineStr">
      <is>
        <t>RECESSO</t>
      </is>
    </oc>
    <nc r="AM9"/>
  </rcc>
  <rcc rId="16218" sId="9">
    <oc r="AN9" t="inlineStr">
      <is>
        <t>CARNAVAL</t>
      </is>
    </oc>
    <nc r="AN9"/>
  </rcc>
  <rcc rId="16219" sId="9">
    <oc r="AM10" t="inlineStr">
      <is>
        <t>RECESSO</t>
      </is>
    </oc>
    <nc r="AM10"/>
  </rcc>
  <rcc rId="16220" sId="9">
    <oc r="AN10" t="inlineStr">
      <is>
        <t>CARNAVAL</t>
      </is>
    </oc>
    <nc r="AN10"/>
  </rcc>
  <rcc rId="16221" sId="9">
    <oc r="AM11" t="inlineStr">
      <is>
        <t>RECESSO</t>
      </is>
    </oc>
    <nc r="AM11"/>
  </rcc>
  <rcc rId="16222" sId="9">
    <oc r="AN11" t="inlineStr">
      <is>
        <t>CARNAVAL</t>
      </is>
    </oc>
    <nc r="AN11"/>
  </rcc>
  <rcc rId="16223" sId="9">
    <oc r="AM12" t="inlineStr">
      <is>
        <t>RECESSO</t>
      </is>
    </oc>
    <nc r="AM12"/>
  </rcc>
  <rcc rId="16224" sId="9">
    <oc r="AN12" t="inlineStr">
      <is>
        <t>CARNAVAL</t>
      </is>
    </oc>
    <nc r="AN12"/>
  </rcc>
  <rcc rId="16225" sId="9">
    <oc r="AM13" t="inlineStr">
      <is>
        <t>RECESSO</t>
      </is>
    </oc>
    <nc r="AM13"/>
  </rcc>
  <rcc rId="16226" sId="9">
    <oc r="AN13" t="inlineStr">
      <is>
        <t>CARNAVAL</t>
      </is>
    </oc>
    <nc r="AN13"/>
  </rcc>
  <rcc rId="16227" sId="9">
    <oc r="AM14" t="inlineStr">
      <is>
        <t>RECESSO</t>
      </is>
    </oc>
    <nc r="AM14"/>
  </rcc>
  <rcc rId="16228" sId="9">
    <oc r="AN14" t="inlineStr">
      <is>
        <t>CARNAVAL</t>
      </is>
    </oc>
    <nc r="AN14"/>
  </rcc>
  <rcc rId="16229" sId="9">
    <oc r="AM15" t="inlineStr">
      <is>
        <t>RECESSO</t>
      </is>
    </oc>
    <nc r="AM15"/>
  </rcc>
  <rcc rId="16230" sId="9">
    <oc r="AN15" t="inlineStr">
      <is>
        <t>CARNAVAL</t>
      </is>
    </oc>
    <nc r="AN15"/>
  </rcc>
  <rcc rId="16231" sId="9">
    <oc r="AM16" t="inlineStr">
      <is>
        <t>RECESSO</t>
      </is>
    </oc>
    <nc r="AM16"/>
  </rcc>
  <rcc rId="16232" sId="9">
    <oc r="AN16" t="inlineStr">
      <is>
        <t>CARNAVAL</t>
      </is>
    </oc>
    <nc r="AN16"/>
  </rcc>
  <rcc rId="16233" sId="9">
    <oc r="AM17" t="inlineStr">
      <is>
        <t>RECESSO</t>
      </is>
    </oc>
    <nc r="AM17"/>
  </rcc>
  <rcc rId="16234" sId="9">
    <oc r="AN17" t="inlineStr">
      <is>
        <t>CARNAVAL</t>
      </is>
    </oc>
    <nc r="AN17"/>
  </rcc>
  <rfmt sheetId="9" sqref="BD1:BD17" start="0" length="0">
    <dxf>
      <border>
        <right style="thin">
          <color indexed="64"/>
        </right>
      </border>
    </dxf>
  </rfmt>
  <rfmt sheetId="9" sqref="AY17:BD17" start="0" length="0">
    <dxf>
      <border>
        <bottom style="thin">
          <color indexed="64"/>
        </bottom>
      </border>
    </dxf>
  </rfmt>
  <rfmt sheetId="9" sqref="BD1:BD17" start="0" length="0">
    <dxf>
      <border>
        <left style="thin">
          <color indexed="64"/>
        </left>
      </border>
    </dxf>
  </rfmt>
  <rcc rId="16235" sId="9">
    <nc r="BD1" t="inlineStr">
      <is>
        <t>TOTAL SEMANA</t>
      </is>
    </nc>
  </rcc>
  <rfmt sheetId="9" sqref="BD2" start="0" length="0">
    <dxf>
      <fill>
        <patternFill patternType="solid">
          <bgColor theme="0" tint="-0.14999847407452621"/>
        </patternFill>
      </fill>
    </dxf>
  </rfmt>
  <rfmt sheetId="9" sqref="BD3" start="0" length="0">
    <dxf>
      <fill>
        <patternFill patternType="solid">
          <bgColor theme="0" tint="-0.14999847407452621"/>
        </patternFill>
      </fill>
    </dxf>
  </rfmt>
  <rfmt sheetId="9" sqref="BD4" start="0" length="0">
    <dxf>
      <fill>
        <patternFill patternType="solid">
          <bgColor theme="0" tint="-0.14999847407452621"/>
        </patternFill>
      </fill>
    </dxf>
  </rfmt>
  <rfmt sheetId="9" sqref="BD5" start="0" length="0">
    <dxf>
      <fill>
        <patternFill patternType="solid">
          <bgColor theme="0" tint="-0.14999847407452621"/>
        </patternFill>
      </fill>
    </dxf>
  </rfmt>
  <rfmt sheetId="9" sqref="BD6" start="0" length="0">
    <dxf>
      <fill>
        <patternFill patternType="solid">
          <bgColor theme="0" tint="-0.14999847407452621"/>
        </patternFill>
      </fill>
    </dxf>
  </rfmt>
  <rfmt sheetId="9" sqref="BD7" start="0" length="0">
    <dxf>
      <fill>
        <patternFill patternType="solid">
          <bgColor theme="0" tint="-0.14999847407452621"/>
        </patternFill>
      </fill>
    </dxf>
  </rfmt>
  <rfmt sheetId="9" sqref="BD8" start="0" length="0">
    <dxf>
      <fill>
        <patternFill patternType="solid">
          <bgColor theme="0" tint="-0.14999847407452621"/>
        </patternFill>
      </fill>
    </dxf>
  </rfmt>
  <rfmt sheetId="9" sqref="BD9" start="0" length="0">
    <dxf>
      <fill>
        <patternFill patternType="solid">
          <bgColor theme="0" tint="-0.14999847407452621"/>
        </patternFill>
      </fill>
    </dxf>
  </rfmt>
  <rfmt sheetId="9" sqref="BD10" start="0" length="0">
    <dxf>
      <fill>
        <patternFill patternType="solid">
          <bgColor theme="0" tint="-0.14999847407452621"/>
        </patternFill>
      </fill>
    </dxf>
  </rfmt>
  <rfmt sheetId="9" sqref="BD11" start="0" length="0">
    <dxf>
      <fill>
        <patternFill patternType="solid">
          <bgColor theme="0" tint="-0.14999847407452621"/>
        </patternFill>
      </fill>
    </dxf>
  </rfmt>
  <rfmt sheetId="9" sqref="BD12" start="0" length="0">
    <dxf>
      <fill>
        <patternFill patternType="solid">
          <bgColor theme="0" tint="-0.14999847407452621"/>
        </patternFill>
      </fill>
    </dxf>
  </rfmt>
  <rfmt sheetId="9" sqref="BD13" start="0" length="0">
    <dxf>
      <fill>
        <patternFill patternType="solid">
          <bgColor theme="0" tint="-0.14999847407452621"/>
        </patternFill>
      </fill>
    </dxf>
  </rfmt>
  <rfmt sheetId="9" sqref="BD14" start="0" length="0">
    <dxf>
      <fill>
        <patternFill patternType="solid">
          <bgColor theme="0" tint="-0.14999847407452621"/>
        </patternFill>
      </fill>
    </dxf>
  </rfmt>
  <rfmt sheetId="9" sqref="BD15" start="0" length="0">
    <dxf>
      <fill>
        <patternFill patternType="solid">
          <bgColor theme="0" tint="-0.14999847407452621"/>
        </patternFill>
      </fill>
    </dxf>
  </rfmt>
  <rfmt sheetId="9" sqref="BD16" start="0" length="0">
    <dxf>
      <fill>
        <patternFill patternType="solid">
          <bgColor theme="0" tint="-0.14999847407452621"/>
        </patternFill>
      </fill>
    </dxf>
  </rfmt>
  <rfmt sheetId="9" sqref="BD17" start="0" length="0">
    <dxf>
      <fill>
        <patternFill patternType="solid">
          <bgColor theme="0" tint="-0.14999847407452621"/>
        </patternFill>
      </fill>
    </dxf>
  </rfmt>
  <rcc rId="16236" sId="9">
    <nc r="BD2">
      <f>SUM(AY2:BC2)</f>
    </nc>
  </rcc>
  <rcc rId="16237" sId="9">
    <nc r="BD3">
      <f>SUM(AY3:BC3)</f>
    </nc>
  </rcc>
  <rcc rId="16238" sId="9">
    <nc r="BD4">
      <f>SUM(AY4:BC4)</f>
    </nc>
  </rcc>
  <rcc rId="16239" sId="9">
    <nc r="BD5">
      <f>SUM(AY5:BC5)</f>
    </nc>
  </rcc>
  <rcc rId="16240" sId="9">
    <nc r="BD6">
      <f>SUM(AY6:BC6)</f>
    </nc>
  </rcc>
  <rcc rId="16241" sId="9">
    <nc r="BD7">
      <f>SUM(AY7:BC7)</f>
    </nc>
  </rcc>
  <rcc rId="16242" sId="9">
    <nc r="BD8">
      <f>SUM(AY8:BC8)</f>
    </nc>
  </rcc>
  <rcc rId="16243" sId="9">
    <nc r="BD9">
      <f>SUM(AY9:BC9)</f>
    </nc>
  </rcc>
  <rcc rId="16244" sId="9">
    <nc r="BD10">
      <f>SUM(AY10:BC10)</f>
    </nc>
  </rcc>
  <rcc rId="16245" sId="9">
    <nc r="BD11">
      <f>SUM(AY11:BC11)</f>
    </nc>
  </rcc>
  <rcc rId="16246" sId="9">
    <nc r="BD12">
      <f>SUM(AY12:BC12)</f>
    </nc>
  </rcc>
  <rcc rId="16247" sId="9">
    <nc r="BD13">
      <f>SUM(AY13:BC13)</f>
    </nc>
  </rcc>
  <rcc rId="16248" sId="9">
    <nc r="BD14">
      <f>SUM(AY14:BC14)</f>
    </nc>
  </rcc>
  <rcc rId="16249" sId="9">
    <nc r="BD15">
      <f>SUM(AY15:BC15)</f>
    </nc>
  </rcc>
  <rcc rId="16250" sId="9">
    <nc r="BD16">
      <f>SUM(AY16:BC16)</f>
    </nc>
  </rcc>
  <rcc rId="16251" sId="9">
    <nc r="BD17">
      <f>SUM(AY17:BC17)</f>
    </nc>
  </rcc>
  <rcc rId="16252" sId="1" odxf="1" dxf="1" numFmtId="21">
    <oc r="C1">
      <v>45662</v>
    </oc>
    <nc r="C1">
      <v>46083</v>
    </nc>
    <odxf>
      <border outline="0">
        <left style="thin">
          <color indexed="64"/>
        </left>
      </border>
    </odxf>
    <ndxf>
      <border outline="0">
        <left/>
      </border>
    </ndxf>
  </rcc>
  <rcc rId="16253" sId="1" numFmtId="21">
    <oc r="D1">
      <v>45663</v>
    </oc>
    <nc r="D1">
      <v>46084</v>
    </nc>
  </rcc>
  <rcc rId="16254" sId="1" numFmtId="21">
    <oc r="E1">
      <v>45664</v>
    </oc>
    <nc r="E1">
      <v>46085</v>
    </nc>
  </rcc>
  <rcc rId="16255" sId="1" numFmtId="21">
    <oc r="F1">
      <v>45665</v>
    </oc>
    <nc r="F1">
      <v>46086</v>
    </nc>
  </rcc>
  <rcc rId="16256" sId="1" numFmtId="21">
    <oc r="G1">
      <v>45666</v>
    </oc>
    <nc r="G1">
      <v>46087</v>
    </nc>
  </rcc>
  <rcc rId="16257" sId="1" numFmtId="21">
    <oc r="I1">
      <v>45669</v>
    </oc>
    <nc r="I1">
      <v>46090</v>
    </nc>
  </rcc>
  <rcc rId="16258" sId="1" numFmtId="21">
    <oc r="J1">
      <v>45670</v>
    </oc>
    <nc r="J1">
      <v>46091</v>
    </nc>
  </rcc>
  <rcc rId="16259" sId="1" numFmtId="21">
    <oc r="K1">
      <v>45671</v>
    </oc>
    <nc r="K1">
      <v>46092</v>
    </nc>
  </rcc>
  <rcc rId="16260" sId="1" numFmtId="21">
    <oc r="L1">
      <v>45672</v>
    </oc>
    <nc r="L1">
      <v>46093</v>
    </nc>
  </rcc>
  <rcc rId="16261" sId="1" numFmtId="21">
    <oc r="M1">
      <v>45673</v>
    </oc>
    <nc r="M1">
      <v>46094</v>
    </nc>
  </rcc>
  <rcc rId="16262" sId="1" numFmtId="21">
    <oc r="O1">
      <v>45676</v>
    </oc>
    <nc r="O1">
      <v>46097</v>
    </nc>
  </rcc>
  <rcc rId="16263" sId="1" numFmtId="21">
    <oc r="P1">
      <v>45677</v>
    </oc>
    <nc r="P1">
      <v>46098</v>
    </nc>
  </rcc>
  <rcc rId="16264" sId="1" numFmtId="21">
    <oc r="Q1">
      <v>45678</v>
    </oc>
    <nc r="Q1">
      <v>46099</v>
    </nc>
  </rcc>
  <rcc rId="16265" sId="1" numFmtId="21">
    <oc r="R1">
      <v>45679</v>
    </oc>
    <nc r="R1">
      <v>46100</v>
    </nc>
  </rcc>
  <rcc rId="16266" sId="1" numFmtId="21">
    <oc r="S1">
      <v>45680</v>
    </oc>
    <nc r="S1">
      <v>46101</v>
    </nc>
  </rcc>
  <rcc rId="16267" sId="1" numFmtId="21">
    <oc r="U1">
      <v>45683</v>
    </oc>
    <nc r="U1">
      <v>46104</v>
    </nc>
  </rcc>
  <rcc rId="16268" sId="1" numFmtId="21">
    <oc r="V1">
      <v>45684</v>
    </oc>
    <nc r="V1">
      <v>46105</v>
    </nc>
  </rcc>
  <rcc rId="16269" sId="1" numFmtId="21">
    <oc r="W1">
      <v>45685</v>
    </oc>
    <nc r="W1">
      <v>46106</v>
    </nc>
  </rcc>
  <rcc rId="16270" sId="1" numFmtId="21">
    <oc r="X1">
      <v>45686</v>
    </oc>
    <nc r="X1">
      <v>46107</v>
    </nc>
  </rcc>
  <rcc rId="16271" sId="1" numFmtId="21">
    <oc r="Y1">
      <v>45687</v>
    </oc>
    <nc r="Y1">
      <v>46108</v>
    </nc>
  </rcc>
  <rcc rId="16272" sId="1" numFmtId="21">
    <oc r="AA1">
      <v>45690</v>
    </oc>
    <nc r="AA1">
      <v>46111</v>
    </nc>
  </rcc>
  <rcc rId="16273" sId="1" numFmtId="21">
    <oc r="AB1">
      <v>45691</v>
    </oc>
    <nc r="AB1">
      <v>46112</v>
    </nc>
  </rcc>
  <rcc rId="16274" sId="1" numFmtId="21">
    <oc r="AC1">
      <v>45692</v>
    </oc>
    <nc r="AC1">
      <v>46113</v>
    </nc>
  </rcc>
  <rcc rId="16275" sId="1" numFmtId="21">
    <oc r="AD1">
      <v>45693</v>
    </oc>
    <nc r="AD1">
      <v>46114</v>
    </nc>
  </rcc>
  <rcc rId="16276" sId="1" numFmtId="21">
    <oc r="AE1">
      <v>45694</v>
    </oc>
    <nc r="AE1">
      <v>46115</v>
    </nc>
  </rcc>
  <rcc rId="16277" sId="1" numFmtId="21">
    <oc r="AG1">
      <v>45697</v>
    </oc>
    <nc r="AG1">
      <v>46118</v>
    </nc>
  </rcc>
  <rcc rId="16278" sId="1" numFmtId="21">
    <oc r="AH1">
      <v>45698</v>
    </oc>
    <nc r="AH1">
      <v>46119</v>
    </nc>
  </rcc>
  <rcc rId="16279" sId="1" numFmtId="21">
    <oc r="AI1">
      <v>45699</v>
    </oc>
    <nc r="AI1">
      <v>46120</v>
    </nc>
  </rcc>
  <rcc rId="16280" sId="1" numFmtId="21">
    <oc r="AJ1">
      <v>45700</v>
    </oc>
    <nc r="AJ1">
      <v>46121</v>
    </nc>
  </rcc>
  <rcc rId="16281" sId="1" numFmtId="21">
    <oc r="AK1">
      <v>45701</v>
    </oc>
    <nc r="AK1">
      <v>46122</v>
    </nc>
  </rcc>
  <rcc rId="16282" sId="1" numFmtId="21">
    <oc r="AM1">
      <v>45704</v>
    </oc>
    <nc r="AM1">
      <v>46125</v>
    </nc>
  </rcc>
  <rcc rId="16283" sId="1" numFmtId="21">
    <oc r="AN1">
      <v>45705</v>
    </oc>
    <nc r="AN1">
      <v>46126</v>
    </nc>
  </rcc>
  <rcc rId="16284" sId="1" numFmtId="21">
    <oc r="AO1">
      <v>45706</v>
    </oc>
    <nc r="AO1">
      <v>46127</v>
    </nc>
  </rcc>
  <rcc rId="16285" sId="1" numFmtId="21">
    <oc r="AP1">
      <v>45707</v>
    </oc>
    <nc r="AP1">
      <v>46128</v>
    </nc>
  </rcc>
  <rcc rId="16286" sId="1" numFmtId="21">
    <oc r="AQ1">
      <v>45708</v>
    </oc>
    <nc r="AQ1">
      <v>46129</v>
    </nc>
  </rcc>
  <rcc rId="16287" sId="1" numFmtId="21">
    <oc r="AS1">
      <v>45711</v>
    </oc>
    <nc r="AS1">
      <v>46132</v>
    </nc>
  </rcc>
  <rcc rId="16288" sId="1" numFmtId="21">
    <oc r="AT1">
      <v>45712</v>
    </oc>
    <nc r="AT1">
      <v>46133</v>
    </nc>
  </rcc>
  <rcc rId="16289" sId="1" numFmtId="21">
    <oc r="AU1">
      <v>45713</v>
    </oc>
    <nc r="AU1">
      <v>46134</v>
    </nc>
  </rcc>
  <rcc rId="16290" sId="1" numFmtId="21">
    <oc r="AV1">
      <v>45714</v>
    </oc>
    <nc r="AV1">
      <v>46135</v>
    </nc>
  </rcc>
  <rcc rId="16291" sId="1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cc rId="16292" sId="1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293" sId="1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294" sId="1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295" sId="1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296" sId="1" odxf="1" dxf="1" numFmtId="21">
    <nc r="BC1">
      <v>46143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1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1" sqref="BD1:BD3" start="0" length="0">
    <dxf>
      <border>
        <right style="thin">
          <color indexed="64"/>
        </right>
      </border>
    </dxf>
  </rfmt>
  <rfmt sheetId="1" sqref="AY3:BD3" start="0" length="0">
    <dxf>
      <border>
        <bottom style="thin">
          <color indexed="64"/>
        </bottom>
      </border>
    </dxf>
  </rfmt>
  <rfmt sheetId="1" sqref="BD1:BD3" start="0" length="0">
    <dxf>
      <border>
        <left style="thin">
          <color indexed="64"/>
        </left>
      </border>
    </dxf>
  </rfmt>
  <rcc rId="16297" sId="1">
    <nc r="BD1" t="inlineStr">
      <is>
        <t>TOTAL SEMANA</t>
      </is>
    </nc>
  </rcc>
  <rfmt sheetId="1" sqref="BD2" start="0" length="0">
    <dxf>
      <fill>
        <patternFill patternType="solid">
          <bgColor theme="0" tint="-0.14999847407452621"/>
        </patternFill>
      </fill>
    </dxf>
  </rfmt>
  <rfmt sheetId="1" sqref="BD3" start="0" length="0">
    <dxf>
      <fill>
        <patternFill patternType="solid">
          <bgColor theme="0" tint="-0.14999847407452621"/>
        </patternFill>
      </fill>
    </dxf>
  </rfmt>
  <rcc rId="16298" sId="1">
    <nc r="BD2">
      <f>SUM(AY2:BC2)</f>
    </nc>
  </rcc>
  <rcc rId="16299" sId="1">
    <nc r="BD3">
      <f>SUM(AY3:BC3)</f>
    </nc>
  </rcc>
  <rcc rId="16300" sId="2" odxf="1" dxf="1" numFmtId="21">
    <oc r="C1">
      <v>45662</v>
    </oc>
    <nc r="C1">
      <v>46083</v>
    </nc>
    <odxf>
      <border outline="0">
        <left style="thin">
          <color indexed="64"/>
        </left>
      </border>
    </odxf>
    <ndxf>
      <border outline="0">
        <left/>
      </border>
    </ndxf>
  </rcc>
  <rcc rId="16301" sId="2" numFmtId="21">
    <oc r="D1">
      <v>45663</v>
    </oc>
    <nc r="D1">
      <v>46084</v>
    </nc>
  </rcc>
  <rcc rId="16302" sId="2" numFmtId="21">
    <oc r="E1">
      <v>45664</v>
    </oc>
    <nc r="E1">
      <v>46085</v>
    </nc>
  </rcc>
  <rcc rId="16303" sId="2" numFmtId="21">
    <oc r="F1">
      <v>45665</v>
    </oc>
    <nc r="F1">
      <v>46086</v>
    </nc>
  </rcc>
  <rcc rId="16304" sId="2" numFmtId="21">
    <oc r="G1">
      <v>45666</v>
    </oc>
    <nc r="G1">
      <v>46087</v>
    </nc>
  </rcc>
  <rfmt sheetId="2" sqref="H1" start="0" length="0">
    <dxf>
      <fill>
        <patternFill>
          <bgColor theme="0" tint="-0.14999847407452621"/>
        </patternFill>
      </fill>
    </dxf>
  </rfmt>
  <rcc rId="16305" sId="2" numFmtId="21">
    <oc r="I1">
      <v>45669</v>
    </oc>
    <nc r="I1">
      <v>46090</v>
    </nc>
  </rcc>
  <rcc rId="16306" sId="2" numFmtId="21">
    <oc r="J1">
      <v>45670</v>
    </oc>
    <nc r="J1">
      <v>46091</v>
    </nc>
  </rcc>
  <rcc rId="16307" sId="2" numFmtId="21">
    <oc r="K1">
      <v>45671</v>
    </oc>
    <nc r="K1">
      <v>46092</v>
    </nc>
  </rcc>
  <rcc rId="16308" sId="2" numFmtId="21">
    <oc r="L1">
      <v>45672</v>
    </oc>
    <nc r="L1">
      <v>46093</v>
    </nc>
  </rcc>
  <rcc rId="16309" sId="2" numFmtId="21">
    <oc r="M1">
      <v>45673</v>
    </oc>
    <nc r="M1">
      <v>46094</v>
    </nc>
  </rcc>
  <rfmt sheetId="2" sqref="N1" start="0" length="0">
    <dxf>
      <fill>
        <patternFill>
          <bgColor theme="0" tint="-0.14999847407452621"/>
        </patternFill>
      </fill>
    </dxf>
  </rfmt>
  <rcc rId="16310" sId="2" odxf="1" dxf="1" numFmtId="21">
    <oc r="O1">
      <v>45676</v>
    </oc>
    <nc r="O1">
      <v>46097</v>
    </nc>
    <odxf>
      <border outline="0">
        <left/>
      </border>
    </odxf>
    <ndxf>
      <border outline="0">
        <left style="thin">
          <color indexed="64"/>
        </left>
      </border>
    </ndxf>
  </rcc>
  <rcc rId="16311" sId="2" numFmtId="21">
    <oc r="P1">
      <v>45677</v>
    </oc>
    <nc r="P1">
      <v>46098</v>
    </nc>
  </rcc>
  <rcc rId="16312" sId="2" numFmtId="21">
    <oc r="Q1">
      <v>45678</v>
    </oc>
    <nc r="Q1">
      <v>46099</v>
    </nc>
  </rcc>
  <rcc rId="16313" sId="2" numFmtId="21">
    <oc r="R1">
      <v>45679</v>
    </oc>
    <nc r="R1">
      <v>46100</v>
    </nc>
  </rcc>
  <rcc rId="16314" sId="2" numFmtId="21">
    <oc r="S1">
      <v>45680</v>
    </oc>
    <nc r="S1">
      <v>46101</v>
    </nc>
  </rcc>
  <rfmt sheetId="2" sqref="T1" start="0" length="0">
    <dxf>
      <fill>
        <patternFill>
          <bgColor theme="0" tint="-0.14999847407452621"/>
        </patternFill>
      </fill>
    </dxf>
  </rfmt>
  <rcc rId="16315" sId="2" numFmtId="21">
    <oc r="U1">
      <v>45683</v>
    </oc>
    <nc r="U1">
      <v>46104</v>
    </nc>
  </rcc>
  <rcc rId="16316" sId="2" numFmtId="21">
    <oc r="V1">
      <v>45684</v>
    </oc>
    <nc r="V1">
      <v>46105</v>
    </nc>
  </rcc>
  <rcc rId="16317" sId="2" numFmtId="21">
    <oc r="W1">
      <v>45685</v>
    </oc>
    <nc r="W1">
      <v>46106</v>
    </nc>
  </rcc>
  <rcc rId="16318" sId="2" numFmtId="21">
    <oc r="X1">
      <v>45686</v>
    </oc>
    <nc r="X1">
      <v>46107</v>
    </nc>
  </rcc>
  <rcc rId="16319" sId="2" numFmtId="21">
    <oc r="Y1">
      <v>45687</v>
    </oc>
    <nc r="Y1">
      <v>46108</v>
    </nc>
  </rcc>
  <rfmt sheetId="2" sqref="Z1" start="0" length="0">
    <dxf>
      <fill>
        <patternFill>
          <bgColor theme="0" tint="-0.14999847407452621"/>
        </patternFill>
      </fill>
    </dxf>
  </rfmt>
  <rcc rId="16320" sId="2" numFmtId="21">
    <oc r="AA1">
      <v>45690</v>
    </oc>
    <nc r="AA1">
      <v>46111</v>
    </nc>
  </rcc>
  <rcc rId="16321" sId="2" numFmtId="21">
    <oc r="AB1">
      <v>45691</v>
    </oc>
    <nc r="AB1">
      <v>46112</v>
    </nc>
  </rcc>
  <rcc rId="16322" sId="2" numFmtId="21">
    <oc r="AC1">
      <v>45692</v>
    </oc>
    <nc r="AC1">
      <v>46113</v>
    </nc>
  </rcc>
  <rcc rId="16323" sId="2" numFmtId="21">
    <oc r="AD1">
      <v>45693</v>
    </oc>
    <nc r="AD1">
      <v>46114</v>
    </nc>
  </rcc>
  <rcc rId="16324" sId="2" numFmtId="21">
    <oc r="AE1">
      <v>45694</v>
    </oc>
    <nc r="AE1">
      <v>46115</v>
    </nc>
  </rcc>
  <rfmt sheetId="2" sqref="AF1" start="0" length="0">
    <dxf>
      <fill>
        <patternFill>
          <bgColor theme="0" tint="-0.14999847407452621"/>
        </patternFill>
      </fill>
    </dxf>
  </rfmt>
  <rcc rId="16325" sId="2" numFmtId="21">
    <oc r="AG1">
      <v>45697</v>
    </oc>
    <nc r="AG1">
      <v>46118</v>
    </nc>
  </rcc>
  <rcc rId="16326" sId="2" numFmtId="21">
    <oc r="AH1">
      <v>45698</v>
    </oc>
    <nc r="AH1">
      <v>46119</v>
    </nc>
  </rcc>
  <rcc rId="16327" sId="2" numFmtId="21">
    <oc r="AI1">
      <v>45699</v>
    </oc>
    <nc r="AI1">
      <v>46120</v>
    </nc>
  </rcc>
  <rcc rId="16328" sId="2" numFmtId="21">
    <oc r="AJ1">
      <v>45700</v>
    </oc>
    <nc r="AJ1">
      <v>46121</v>
    </nc>
  </rcc>
  <rcc rId="16329" sId="2" numFmtId="21">
    <oc r="AK1">
      <v>45701</v>
    </oc>
    <nc r="AK1">
      <v>46122</v>
    </nc>
  </rcc>
  <rfmt sheetId="2" sqref="AL1" start="0" length="0">
    <dxf>
      <fill>
        <patternFill>
          <bgColor theme="0" tint="-0.14999847407452621"/>
        </patternFill>
      </fill>
    </dxf>
  </rfmt>
  <rcc rId="16330" sId="2" numFmtId="21">
    <oc r="AM1">
      <v>45704</v>
    </oc>
    <nc r="AM1">
      <v>46125</v>
    </nc>
  </rcc>
  <rcc rId="16331" sId="2" numFmtId="21">
    <oc r="AN1">
      <v>45705</v>
    </oc>
    <nc r="AN1">
      <v>46126</v>
    </nc>
  </rcc>
  <rcc rId="16332" sId="2" numFmtId="21">
    <oc r="AO1">
      <v>45706</v>
    </oc>
    <nc r="AO1">
      <v>46127</v>
    </nc>
  </rcc>
  <rcc rId="16333" sId="2" numFmtId="21">
    <oc r="AP1">
      <v>45707</v>
    </oc>
    <nc r="AP1">
      <v>46128</v>
    </nc>
  </rcc>
  <rcc rId="16334" sId="2" numFmtId="21">
    <oc r="AQ1">
      <v>45708</v>
    </oc>
    <nc r="AQ1">
      <v>46129</v>
    </nc>
  </rcc>
  <rfmt sheetId="2" sqref="AR1" start="0" length="0">
    <dxf>
      <fill>
        <patternFill>
          <bgColor theme="0" tint="-0.14999847407452621"/>
        </patternFill>
      </fill>
    </dxf>
  </rfmt>
  <rcc rId="16335" sId="2" odxf="1" dxf="1" numFmtId="21">
    <oc r="AS1">
      <v>45711</v>
    </oc>
    <nc r="AS1">
      <v>46132</v>
    </nc>
    <odxf>
      <border outline="0">
        <left/>
      </border>
    </odxf>
    <ndxf>
      <border outline="0">
        <left style="thin">
          <color indexed="64"/>
        </left>
      </border>
    </ndxf>
  </rcc>
  <rcc rId="16336" sId="2" numFmtId="21">
    <oc r="AT1">
      <v>45712</v>
    </oc>
    <nc r="AT1">
      <v>46133</v>
    </nc>
  </rcc>
  <rcc rId="16337" sId="2" numFmtId="21">
    <oc r="AU1">
      <v>45713</v>
    </oc>
    <nc r="AU1">
      <v>46134</v>
    </nc>
  </rcc>
  <rcc rId="16338" sId="2" numFmtId="21">
    <oc r="AV1">
      <v>45714</v>
    </oc>
    <nc r="AV1">
      <v>46135</v>
    </nc>
  </rcc>
  <rcc rId="16339" sId="2" odxf="1" dxf="1" numFmtId="21">
    <oc r="AW1">
      <v>45715</v>
    </oc>
    <nc r="AW1">
      <v>46136</v>
    </nc>
    <odxf>
      <border outline="0">
        <right/>
      </border>
    </odxf>
    <ndxf>
      <border outline="0">
        <right style="thin">
          <color auto="1"/>
        </right>
      </border>
    </ndxf>
  </rcc>
  <rfmt sheetId="2" sqref="AX1" start="0" length="0">
    <dxf>
      <fill>
        <patternFill>
          <bgColor theme="0" tint="-0.14999847407452621"/>
        </patternFill>
      </fill>
    </dxf>
  </rfmt>
  <rcc rId="16340" sId="2" odxf="1" dxf="1" numFmtId="21">
    <nc r="AY1">
      <v>46139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41" sId="2" odxf="1" dxf="1" numFmtId="21">
    <nc r="AZ1">
      <v>46140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42" sId="2" odxf="1" dxf="1" numFmtId="21">
    <nc r="BA1">
      <v>46141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43" sId="2" odxf="1" dxf="1" numFmtId="21">
    <nc r="BB1">
      <v>46142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44" sId="2" odxf="1" dxf="1" numFmtId="21">
    <nc r="BC1">
      <v>46143</v>
    </nc>
    <odxf>
      <numFmt numFmtId="0" formatCode="General"/>
      <border outline="0">
        <left/>
        <right/>
        <top/>
        <bottom/>
      </border>
    </odxf>
    <ndxf>
      <numFmt numFmtId="21" formatCode="dd/mm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2" sqref="BD1" start="0" length="0">
    <dxf>
      <fill>
        <patternFill patternType="solid">
          <bgColor theme="0" tint="-0.14999847407452621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2" sqref="BD1:BD3" start="0" length="0">
    <dxf>
      <border>
        <left style="thin">
          <color indexed="64"/>
        </left>
      </border>
    </dxf>
  </rfmt>
  <rfmt sheetId="2" sqref="BD1:BD3" start="0" length="0">
    <dxf>
      <border>
        <right style="thin">
          <color indexed="64"/>
        </right>
      </border>
    </dxf>
  </rfmt>
  <rfmt sheetId="2" sqref="BD3" start="0" length="0">
    <dxf>
      <border>
        <bottom style="thin">
          <color indexed="64"/>
        </bottom>
      </border>
    </dxf>
  </rfmt>
  <rfmt sheetId="2" sqref="AX3:BD3" start="0" length="0">
    <dxf>
      <border>
        <bottom style="thin">
          <color indexed="64"/>
        </bottom>
      </border>
    </dxf>
  </rfmt>
  <rcc rId="16345" sId="2">
    <nc r="BD1" t="inlineStr">
      <is>
        <t>TOTAL SEMANA</t>
      </is>
    </nc>
  </rcc>
  <rfmt sheetId="2" sqref="BD2" start="0" length="0">
    <dxf>
      <fill>
        <patternFill patternType="solid">
          <bgColor theme="2" tint="-9.9978637043366805E-2"/>
        </patternFill>
      </fill>
    </dxf>
  </rfmt>
  <rfmt sheetId="2" sqref="BD3" start="0" length="0">
    <dxf>
      <fill>
        <patternFill patternType="solid">
          <bgColor theme="2" tint="-9.9978637043366805E-2"/>
        </patternFill>
      </fill>
    </dxf>
  </rfmt>
  <rcc rId="16346" sId="2">
    <nc r="BD2">
      <f>SUM(AY2:BC2)</f>
    </nc>
  </rcc>
  <rcc rId="16347" sId="2">
    <nc r="BD3">
      <f>SUM(AY3:BC3)</f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358" sId="3" numFmtId="4">
    <oc r="D2">
      <v>1</v>
    </oc>
    <nc r="D2"/>
  </rcc>
  <rcc rId="16359" sId="3" numFmtId="4">
    <oc r="D3">
      <v>55</v>
    </oc>
    <nc r="D3"/>
  </rcc>
  <rcc rId="16360" sId="3" numFmtId="4">
    <oc r="D15">
      <v>70</v>
    </oc>
    <nc r="D15"/>
  </rcc>
  <rcc rId="16361" sId="3">
    <oc r="E1" t="inlineStr">
      <is>
        <t>19/01 a 23/01/2026</t>
      </is>
    </oc>
    <nc r="E1" t="inlineStr">
      <is>
        <t>16/03 a 20/03/2026</t>
      </is>
    </nc>
  </rcc>
  <rcc rId="16362" sId="3">
    <oc r="F1" t="inlineStr">
      <is>
        <t>26/01 a 30/01/2026</t>
      </is>
    </oc>
    <nc r="F1" t="inlineStr">
      <is>
        <t>23/03 a 27/03/2026</t>
      </is>
    </nc>
  </rcc>
  <rcc rId="16363" sId="3">
    <oc r="G1" t="inlineStr">
      <is>
        <t xml:space="preserve">02/02 a 06/02/2026 </t>
      </is>
    </oc>
    <nc r="G1" t="inlineStr">
      <is>
        <t>30/03 a 03/04/2026</t>
      </is>
    </nc>
  </rcc>
  <rcc rId="16364" sId="3">
    <oc r="H1" t="inlineStr">
      <is>
        <t>09/02 a 13/02/2026</t>
      </is>
    </oc>
    <nc r="H1" t="inlineStr">
      <is>
        <t>06/04 a 10/04/2026</t>
      </is>
    </nc>
  </rcc>
  <rcc rId="16365" sId="3">
    <oc r="I1" t="inlineStr">
      <is>
        <t>16/02 a 20/02/2026</t>
      </is>
    </oc>
    <nc r="I1" t="inlineStr">
      <is>
        <t>13/04 a 17/04/2026</t>
      </is>
    </nc>
  </rcc>
  <rcc rId="16366" sId="3">
    <oc r="C1" t="inlineStr">
      <is>
        <t>05//01 a 09/01/2026</t>
      </is>
    </oc>
    <nc r="C1" t="inlineStr">
      <is>
        <t>02/03 a 06/03/2026</t>
      </is>
    </nc>
  </rcc>
  <rcc rId="16367" sId="3">
    <oc r="D1" t="inlineStr">
      <is>
        <t>12//01 a 16/01/2026</t>
      </is>
    </oc>
    <nc r="D1" t="inlineStr">
      <is>
        <t>09/03 a 13/03/2026</t>
      </is>
    </nc>
  </rcc>
  <rcc rId="16368" sId="3">
    <oc r="J1" t="inlineStr">
      <is>
        <t>23/02 a 27/02/2026</t>
      </is>
    </oc>
    <nc r="J1" t="inlineStr">
      <is>
        <t>20/04 a 24/04/2026</t>
      </is>
    </nc>
  </rcc>
  <rfmt sheetId="3" sqref="K1" start="0" length="0">
    <dxf>
      <font>
        <b/>
        <sz val="9"/>
        <color rgb="FF000000"/>
        <name val="Calibri"/>
        <family val="2"/>
        <scheme val="none"/>
      </font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6369" sId="3" odxf="1" dxf="1">
    <nc r="K2">
      <f>Diego!AY2+Aelton!AY2+Leonam!AY2+Danilo!AY2+Marcos!AY2+Alessandro!AY2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0" sId="3" odxf="1" dxf="1">
    <nc r="K3">
      <f>Diego!AY3+Aelton!AY3+Leonam!AY3+Danilo!AY3+Marcos!AY3+Alessandro!AY3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1" sId="3" odxf="1" dxf="1">
    <nc r="K4">
      <f>Diego!AY4+Aelton!AY4+Leonam!AY4+Danilo!AY4+Marcos!AY4+Alessandro!AY4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2" sId="3" odxf="1" dxf="1">
    <nc r="K5">
      <f>Diego!AY5+Aelton!AY5+Leonam!AY5+Danilo!AY5+Marcos!AY5+Alessandro!AY5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3" sId="3" odxf="1" dxf="1">
    <nc r="K6">
      <f>Diego!AY6+Aelton!AY6+Leonam!AY6+Danilo!AY6+Marcos!AY6+Alessandro!AY6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4" sId="3" odxf="1" dxf="1">
    <nc r="K7">
      <f>Diego!AY7+Aelton!AY7+Leonam!AY7+Danilo!AY7+Marcos!AY7+Alessandro!AY7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5" sId="3" odxf="1" dxf="1">
    <nc r="K8">
      <f>Diego!AY8+Aelton!AY8+Leonam!AY8+Danilo!AY8+Marcos!AY8+Alessandro!AY8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6" sId="3" odxf="1" dxf="1">
    <nc r="K9">
      <f>Diego!AY9+Aelton!AY9+Leonam!AY9+Danilo!AY9+Marcos!AY9+Alessandro!AY9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7" sId="3" odxf="1" dxf="1">
    <nc r="K10">
      <f>Diego!AY10+Aelton!AY10+Leonam!AY10+Danilo!AY10+Marcos!AY10+Alessandro!AY10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8" sId="3" odxf="1" dxf="1">
    <nc r="K11">
      <f>Diego!AY11+Aelton!AY11+Leonam!AY11+Danilo!AY11+Marcos!AY11+Alessandro!AY11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79" sId="3" odxf="1" dxf="1">
    <nc r="K12">
      <f>Diego!AY12+Aelton!AY12+Leonam!AY12+Danilo!AY12+Marcos!AY12+Alessandro!AY12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80" sId="3" odxf="1" dxf="1">
    <nc r="K13">
      <f>Diego!AY13+Aelton!AY13+Leonam!AY13+Danilo!AY13+Marcos!AY13+Alessandro!AY13+Patrícia!AY2+Leonardo!AY2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81" sId="3" odxf="1" dxf="1">
    <nc r="K14">
      <f>Diego!AY14+Aelton!AY14+Leonam!AY14+Danilo!AY14+Marcos!AY14+Alessandro!AY14+Patrícia!AY3+Leonardo!AY3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82" sId="3" odxf="1" dxf="1">
    <nc r="K15">
      <f>Diego!AY15+Aelton!AY15+Leonam!AY15+Danilo!AY15+Marcos!AY15+Alessandro!AY15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83" sId="3" odxf="1" dxf="1">
    <nc r="K16">
      <f>Diego!AY16+Aelton!AY16+Leonam!AY16+Danilo!AY16+Marcos!AY16+Alessandro!AY16</f>
    </nc>
    <odxf>
      <numFmt numFmtId="0" formatCode="General"/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odxf>
    <ndxf>
      <numFmt numFmtId="3" formatCode="#,##0"/>
      <fill>
        <patternFill patternType="solid">
          <bgColor rgb="FFFFFF00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84" sId="3" odxf="1" dxf="1">
    <nc r="K17">
      <f>Diego!AY17+Aelton!AY17+Leonam!AY17+Danilo!AY17+Marcos!AY17+Alessandro!AY17</f>
    </nc>
    <odxf>
      <numFmt numFmtId="0" formatCode="General"/>
      <alignment horizontal="general" vertical="bottom"/>
      <border outline="0">
        <left/>
        <right/>
        <top/>
        <bottom/>
      </border>
    </odxf>
    <ndxf>
      <numFmt numFmtId="3" formatCode="#,##0"/>
      <alignment horizontal="center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6385" sId="3">
    <nc r="K1" t="inlineStr">
      <is>
        <t>27/04 a 31/04/2026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65" sId="4">
    <nc r="AH18" t="inlineStr">
      <is>
        <t>Inventário de caixas da
 CGCEB</t>
      </is>
    </nc>
  </rcc>
  <rcc rId="17166" sId="4">
    <nc r="AI18" t="inlineStr">
      <is>
        <t>Inventário de caixas da
 CGCEB</t>
      </is>
    </nc>
  </rcc>
  <rcc rId="17167" sId="4">
    <nc r="AJ18" t="inlineStr">
      <is>
        <t>Inventário de caixas da
 CGCEB</t>
      </is>
    </nc>
  </rcc>
  <rcc rId="17168" sId="4">
    <nc r="AH11">
      <v>1</v>
    </nc>
  </rcc>
  <rcc rId="17169" sId="4">
    <nc r="AI11">
      <v>7</v>
    </nc>
  </rcc>
  <rcc rId="17170" sId="4">
    <nc r="AJ11">
      <v>7</v>
    </nc>
  </rcc>
  <rcc rId="17171" sId="10">
    <nc r="AG11">
      <v>6</v>
    </nc>
  </rcc>
  <rcc rId="17172" sId="10">
    <nc r="AH11">
      <v>6</v>
    </nc>
  </rcc>
  <rcc rId="17173" sId="10">
    <nc r="AI11">
      <v>10</v>
    </nc>
  </rcc>
  <rcc rId="17174" sId="10">
    <nc r="AJ11">
      <v>7</v>
    </nc>
  </rcc>
  <rcc rId="17175" sId="10">
    <nc r="AK11">
      <v>8</v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0" sqref="AG18:AL18" start="0" length="0">
    <dxf>
      <border>
        <bottom style="thin">
          <color indexed="64"/>
        </bottom>
      </border>
    </dxf>
  </rfmt>
  <rfmt sheetId="10" sqref="AG18" start="0" length="0">
    <dxf>
      <border>
        <left/>
      </border>
    </dxf>
  </rfmt>
  <rfmt sheetId="10" sqref="AG18:AL18" start="0" length="0">
    <dxf>
      <border>
        <top/>
      </border>
    </dxf>
  </rfmt>
  <rfmt sheetId="10" sqref="AG18:AL18" start="0" length="0">
    <dxf>
      <border>
        <bottom/>
      </border>
    </dxf>
  </rfmt>
  <rfmt sheetId="10" sqref="AG18:AL18">
    <dxf>
      <border>
        <left/>
        <right/>
        <vertical/>
      </border>
    </dxf>
  </rfmt>
  <rfmt sheetId="10" sqref="AG17:AK17" start="0" length="0">
    <dxf>
      <border>
        <bottom style="thin">
          <color indexed="64"/>
        </bottom>
      </border>
    </dxf>
  </rfmt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176" sId="7">
    <oc r="AI11">
      <v>7</v>
    </oc>
    <nc r="AI11">
      <v>8</v>
    </nc>
  </rcc>
  <rcc rId="17177" sId="7">
    <nc r="AH12">
      <v>59</v>
    </nc>
  </rcc>
  <rcc rId="17178" sId="7">
    <nc r="AI12">
      <v>53</v>
    </nc>
  </rcc>
  <rcc rId="17179" sId="7">
    <oc r="AJ11">
      <v>6</v>
    </oc>
    <nc r="AJ11">
      <v>7</v>
    </nc>
  </rcc>
  <rcc rId="17180" sId="7">
    <nc r="AJ12">
      <v>53</v>
    </nc>
  </rcc>
  <rcc rId="17181" sId="4">
    <nc r="AG12">
      <v>26</v>
    </nc>
  </rcc>
  <rcc rId="17182" sId="4">
    <nc r="AH12">
      <v>8</v>
    </nc>
  </rcc>
  <rcc rId="17183" sId="4">
    <nc r="AI12">
      <v>54</v>
    </nc>
  </rcc>
  <rcc rId="17184" sId="4">
    <nc r="AJ12">
      <v>56</v>
    </nc>
  </rcc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G17:AK17" start="0" length="0">
    <dxf>
      <border>
        <bottom style="thin">
          <color indexed="64"/>
        </bottom>
      </border>
    </dxf>
  </rfmt>
  <rcc rId="17185" sId="10">
    <nc r="AG12">
      <v>44</v>
    </nc>
  </rcc>
  <rcc rId="17186" sId="10">
    <nc r="AH12">
      <v>35</v>
    </nc>
  </rcc>
  <rcc rId="17187" sId="10">
    <nc r="AI12">
      <v>56</v>
    </nc>
  </rcc>
  <rcc rId="17188" sId="10">
    <nc r="AJ12">
      <v>39</v>
    </nc>
  </rcc>
  <rcc rId="17189" sId="10">
    <nc r="AK12">
      <v>27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TOTAL!$A$1:$A$19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00" sId="4">
    <nc r="AN4">
      <v>13</v>
    </nc>
  </rcc>
  <rcc rId="17201" sId="4">
    <nc r="AN18" t="inlineStr">
      <is>
        <t>GUARDADANDO PROCESSOS CGRH</t>
      </is>
    </nc>
  </rcc>
  <rcc rId="17202" sId="4" odxf="1" dxf="1">
    <nc r="AK18" t="inlineStr">
      <is>
        <t>Inventário de caixas da
 CGCEB</t>
      </is>
    </nc>
    <odxf>
      <alignment wrapText="0"/>
    </odxf>
    <ndxf>
      <alignment wrapText="1"/>
    </ndxf>
  </rcc>
  <rcc rId="17203" sId="4">
    <nc r="AM18" t="inlineStr">
      <is>
        <t>PROCURANDO CAIXAS DA CGCEB</t>
      </is>
    </nc>
  </rcc>
  <rcc rId="17204" sId="4">
    <nc r="AK19" t="inlineStr">
      <is>
        <t>GUARDADANDO PROCESSOS CGCEB</t>
      </is>
    </nc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N18" start="0" length="0">
    <dxf>
      <alignment wrapText="1"/>
    </dxf>
  </rfmt>
  <rcc rId="17215" sId="8">
    <nc r="AN15">
      <v>91</v>
    </nc>
  </rcc>
  <rcc rId="17216" sId="8">
    <nc r="AN17">
      <v>3</v>
    </nc>
  </rcc>
  <rcc rId="17217" sId="8">
    <nc r="AN4">
      <v>13</v>
    </nc>
  </rcc>
  <rcc rId="17218" sId="8">
    <nc r="AN18" t="inlineStr">
      <is>
        <t>REMANEJAMENTO DE 49 DESCENDO E 42 CAIXAS SUBINDO SNAS/CGCEB, ARQUIVAMENTO DE 13 PROCESSOS DA CGRH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29" sId="4">
    <nc r="AN13">
      <v>1</v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0" sId="4">
    <nc r="AN15">
      <v>42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1" sId="8">
    <nc r="AO12">
      <v>43</v>
    </nc>
  </rcc>
  <rcc rId="17232" sId="8">
    <nc r="AO11">
      <v>7</v>
    </nc>
  </rcc>
  <rcc rId="17233" sId="8">
    <nc r="AO18" t="inlineStr">
      <is>
        <t>CAIXAS INVETARIADAS SNAS/CGCEB</t>
      </is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4" sId="8">
    <nc r="AP12">
      <v>45</v>
    </nc>
  </rcc>
  <rcc rId="17235" sId="8">
    <nc r="AP11">
      <v>6</v>
    </nc>
  </rcc>
  <rcc rId="17236" sId="8">
    <nc r="AP18" t="inlineStr">
      <is>
        <t>CAIXAS INVETARIADAS SNAS/CGCEB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7" sId="8">
    <nc r="AQ18" t="inlineStr">
      <is>
        <t>ATESTADO DE DOAÇÃO DE SANGUE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M2" start="0" length="0">
    <dxf>
      <fill>
        <patternFill patternType="none">
          <bgColor indexed="65"/>
        </patternFill>
      </fill>
      <border outline="0">
        <left/>
      </border>
    </dxf>
  </rfmt>
  <rfmt sheetId="5" sqref="AN2" start="0" length="0">
    <dxf>
      <fill>
        <patternFill patternType="none">
          <bgColor indexed="65"/>
        </patternFill>
      </fill>
    </dxf>
  </rfmt>
  <rfmt sheetId="5" sqref="AO2" start="0" length="0">
    <dxf>
      <fill>
        <patternFill patternType="none">
          <bgColor indexed="65"/>
        </patternFill>
      </fill>
    </dxf>
  </rfmt>
  <rfmt sheetId="5" sqref="AP2" start="0" length="0">
    <dxf>
      <fill>
        <patternFill patternType="none">
          <bgColor indexed="65"/>
        </patternFill>
      </fill>
    </dxf>
  </rfmt>
  <rfmt sheetId="5" sqref="AQ2" start="0" length="0">
    <dxf>
      <fill>
        <patternFill patternType="none">
          <bgColor indexed="65"/>
        </patternFill>
      </fill>
      <border outline="0">
        <right/>
      </border>
    </dxf>
  </rfmt>
  <rfmt sheetId="5" sqref="AM3" start="0" length="0">
    <dxf>
      <fill>
        <patternFill patternType="none">
          <bgColor indexed="65"/>
        </patternFill>
      </fill>
      <border outline="0">
        <left/>
      </border>
    </dxf>
  </rfmt>
  <rfmt sheetId="5" sqref="AN3" start="0" length="0">
    <dxf>
      <fill>
        <patternFill patternType="none">
          <bgColor indexed="65"/>
        </patternFill>
      </fill>
    </dxf>
  </rfmt>
  <rfmt sheetId="5" sqref="AO3" start="0" length="0">
    <dxf>
      <fill>
        <patternFill patternType="none">
          <bgColor indexed="65"/>
        </patternFill>
      </fill>
    </dxf>
  </rfmt>
  <rfmt sheetId="5" sqref="AP3" start="0" length="0">
    <dxf>
      <fill>
        <patternFill patternType="none">
          <bgColor indexed="65"/>
        </patternFill>
      </fill>
    </dxf>
  </rfmt>
  <rfmt sheetId="5" sqref="AQ3" start="0" length="0">
    <dxf>
      <fill>
        <patternFill patternType="none">
          <bgColor indexed="65"/>
        </patternFill>
      </fill>
      <border outline="0">
        <right/>
      </border>
    </dxf>
  </rfmt>
  <rfmt sheetId="5" sqref="AM4" start="0" length="0">
    <dxf>
      <fill>
        <patternFill patternType="none">
          <bgColor indexed="65"/>
        </patternFill>
      </fill>
      <border outline="0">
        <left/>
      </border>
    </dxf>
  </rfmt>
  <rfmt sheetId="5" sqref="AN4" start="0" length="0">
    <dxf>
      <fill>
        <patternFill patternType="none">
          <bgColor indexed="65"/>
        </patternFill>
      </fill>
    </dxf>
  </rfmt>
  <rfmt sheetId="5" sqref="AO4" start="0" length="0">
    <dxf>
      <fill>
        <patternFill patternType="none">
          <bgColor indexed="65"/>
        </patternFill>
      </fill>
    </dxf>
  </rfmt>
  <rfmt sheetId="5" sqref="AP4" start="0" length="0">
    <dxf>
      <fill>
        <patternFill patternType="none">
          <bgColor indexed="65"/>
        </patternFill>
      </fill>
    </dxf>
  </rfmt>
  <rfmt sheetId="5" sqref="AQ4" start="0" length="0">
    <dxf>
      <fill>
        <patternFill patternType="none">
          <bgColor indexed="65"/>
        </patternFill>
      </fill>
      <border outline="0">
        <right/>
      </border>
    </dxf>
  </rfmt>
  <rfmt sheetId="5" sqref="AM5" start="0" length="0">
    <dxf>
      <fill>
        <patternFill patternType="none">
          <bgColor indexed="65"/>
        </patternFill>
      </fill>
      <border outline="0">
        <left/>
      </border>
    </dxf>
  </rfmt>
  <rfmt sheetId="5" sqref="AN5" start="0" length="0">
    <dxf>
      <fill>
        <patternFill patternType="none">
          <bgColor indexed="65"/>
        </patternFill>
      </fill>
    </dxf>
  </rfmt>
  <rfmt sheetId="5" sqref="AO5" start="0" length="0">
    <dxf>
      <fill>
        <patternFill patternType="none">
          <bgColor indexed="65"/>
        </patternFill>
      </fill>
    </dxf>
  </rfmt>
  <rfmt sheetId="5" sqref="AP5" start="0" length="0">
    <dxf>
      <fill>
        <patternFill patternType="none">
          <bgColor indexed="65"/>
        </patternFill>
      </fill>
    </dxf>
  </rfmt>
  <rfmt sheetId="5" sqref="AQ5" start="0" length="0">
    <dxf>
      <fill>
        <patternFill patternType="none">
          <bgColor indexed="65"/>
        </patternFill>
      </fill>
      <border outline="0">
        <right/>
      </border>
    </dxf>
  </rfmt>
  <rfmt sheetId="5" sqref="AM6" start="0" length="0">
    <dxf>
      <fill>
        <patternFill patternType="none">
          <bgColor indexed="65"/>
        </patternFill>
      </fill>
      <border outline="0">
        <left/>
      </border>
    </dxf>
  </rfmt>
  <rfmt sheetId="5" sqref="AN6" start="0" length="0">
    <dxf>
      <fill>
        <patternFill patternType="none">
          <bgColor indexed="65"/>
        </patternFill>
      </fill>
    </dxf>
  </rfmt>
  <rfmt sheetId="5" sqref="AO6" start="0" length="0">
    <dxf>
      <fill>
        <patternFill patternType="none">
          <bgColor indexed="65"/>
        </patternFill>
      </fill>
    </dxf>
  </rfmt>
  <rfmt sheetId="5" sqref="AP6" start="0" length="0">
    <dxf>
      <fill>
        <patternFill patternType="none">
          <bgColor indexed="65"/>
        </patternFill>
      </fill>
    </dxf>
  </rfmt>
  <rfmt sheetId="5" sqref="AQ6" start="0" length="0">
    <dxf>
      <fill>
        <patternFill patternType="none">
          <bgColor indexed="65"/>
        </patternFill>
      </fill>
      <border outline="0">
        <right/>
      </border>
    </dxf>
  </rfmt>
  <rfmt sheetId="5" sqref="AM7" start="0" length="0">
    <dxf>
      <fill>
        <patternFill patternType="none">
          <bgColor indexed="65"/>
        </patternFill>
      </fill>
      <border outline="0">
        <left/>
      </border>
    </dxf>
  </rfmt>
  <rfmt sheetId="5" sqref="AN7" start="0" length="0">
    <dxf>
      <fill>
        <patternFill patternType="none">
          <bgColor indexed="65"/>
        </patternFill>
      </fill>
    </dxf>
  </rfmt>
  <rfmt sheetId="5" sqref="AO7" start="0" length="0">
    <dxf>
      <fill>
        <patternFill patternType="none">
          <bgColor indexed="65"/>
        </patternFill>
      </fill>
    </dxf>
  </rfmt>
  <rfmt sheetId="5" sqref="AP7" start="0" length="0">
    <dxf>
      <fill>
        <patternFill patternType="none">
          <bgColor indexed="65"/>
        </patternFill>
      </fill>
    </dxf>
  </rfmt>
  <rfmt sheetId="5" sqref="AQ7" start="0" length="0">
    <dxf>
      <fill>
        <patternFill patternType="none">
          <bgColor indexed="65"/>
        </patternFill>
      </fill>
      <border outline="0">
        <right/>
      </border>
    </dxf>
  </rfmt>
  <rfmt sheetId="5" sqref="AM8" start="0" length="0">
    <dxf>
      <fill>
        <patternFill patternType="none">
          <bgColor indexed="65"/>
        </patternFill>
      </fill>
      <border outline="0">
        <left/>
      </border>
    </dxf>
  </rfmt>
  <rfmt sheetId="5" sqref="AN8" start="0" length="0">
    <dxf>
      <fill>
        <patternFill patternType="none">
          <bgColor indexed="65"/>
        </patternFill>
      </fill>
    </dxf>
  </rfmt>
  <rfmt sheetId="5" sqref="AO8" start="0" length="0">
    <dxf>
      <fill>
        <patternFill patternType="none">
          <bgColor indexed="65"/>
        </patternFill>
      </fill>
    </dxf>
  </rfmt>
  <rfmt sheetId="5" sqref="AP8" start="0" length="0">
    <dxf>
      <fill>
        <patternFill patternType="none">
          <bgColor indexed="65"/>
        </patternFill>
      </fill>
    </dxf>
  </rfmt>
  <rfmt sheetId="5" sqref="AQ8" start="0" length="0">
    <dxf>
      <fill>
        <patternFill patternType="none">
          <bgColor indexed="65"/>
        </patternFill>
      </fill>
      <border outline="0">
        <right/>
      </border>
    </dxf>
  </rfmt>
  <rfmt sheetId="5" sqref="AM9" start="0" length="0">
    <dxf>
      <fill>
        <patternFill patternType="none">
          <bgColor indexed="65"/>
        </patternFill>
      </fill>
      <border outline="0">
        <left/>
      </border>
    </dxf>
  </rfmt>
  <rfmt sheetId="5" sqref="AN9" start="0" length="0">
    <dxf>
      <fill>
        <patternFill patternType="none">
          <bgColor indexed="65"/>
        </patternFill>
      </fill>
    </dxf>
  </rfmt>
  <rfmt sheetId="5" sqref="AO9" start="0" length="0">
    <dxf>
      <fill>
        <patternFill patternType="none">
          <bgColor indexed="65"/>
        </patternFill>
      </fill>
    </dxf>
  </rfmt>
  <rfmt sheetId="5" sqref="AP9" start="0" length="0">
    <dxf>
      <fill>
        <patternFill patternType="none">
          <bgColor indexed="65"/>
        </patternFill>
      </fill>
    </dxf>
  </rfmt>
  <rfmt sheetId="5" sqref="AQ9" start="0" length="0">
    <dxf>
      <fill>
        <patternFill patternType="none">
          <bgColor indexed="65"/>
        </patternFill>
      </fill>
      <border outline="0">
        <right/>
      </border>
    </dxf>
  </rfmt>
  <rfmt sheetId="5" sqref="AM10" start="0" length="0">
    <dxf>
      <fill>
        <patternFill patternType="none">
          <bgColor indexed="65"/>
        </patternFill>
      </fill>
      <border outline="0">
        <left/>
      </border>
    </dxf>
  </rfmt>
  <rfmt sheetId="5" sqref="AN10" start="0" length="0">
    <dxf>
      <fill>
        <patternFill patternType="none">
          <bgColor indexed="65"/>
        </patternFill>
      </fill>
    </dxf>
  </rfmt>
  <rfmt sheetId="5" sqref="AO10" start="0" length="0">
    <dxf>
      <fill>
        <patternFill patternType="none">
          <bgColor indexed="65"/>
        </patternFill>
      </fill>
    </dxf>
  </rfmt>
  <rfmt sheetId="5" sqref="AP10" start="0" length="0">
    <dxf>
      <fill>
        <patternFill patternType="none">
          <bgColor indexed="65"/>
        </patternFill>
      </fill>
    </dxf>
  </rfmt>
  <rfmt sheetId="5" sqref="AQ10" start="0" length="0">
    <dxf>
      <fill>
        <patternFill patternType="none">
          <bgColor indexed="65"/>
        </patternFill>
      </fill>
      <border outline="0">
        <right/>
      </border>
    </dxf>
  </rfmt>
  <rfmt sheetId="5" sqref="AM11" start="0" length="0">
    <dxf>
      <fill>
        <patternFill patternType="none">
          <bgColor indexed="65"/>
        </patternFill>
      </fill>
      <border outline="0">
        <left/>
      </border>
    </dxf>
  </rfmt>
  <rfmt sheetId="5" sqref="AN11" start="0" length="0">
    <dxf>
      <fill>
        <patternFill patternType="none">
          <bgColor indexed="65"/>
        </patternFill>
      </fill>
    </dxf>
  </rfmt>
  <rfmt sheetId="5" sqref="AO11" start="0" length="0">
    <dxf>
      <fill>
        <patternFill patternType="none">
          <bgColor indexed="65"/>
        </patternFill>
      </fill>
    </dxf>
  </rfmt>
  <rfmt sheetId="5" sqref="AP11" start="0" length="0">
    <dxf>
      <fill>
        <patternFill patternType="none">
          <bgColor indexed="65"/>
        </patternFill>
      </fill>
    </dxf>
  </rfmt>
  <rfmt sheetId="5" sqref="AQ11" start="0" length="0">
    <dxf>
      <fill>
        <patternFill patternType="none">
          <bgColor indexed="65"/>
        </patternFill>
      </fill>
      <border outline="0">
        <right/>
      </border>
    </dxf>
  </rfmt>
  <rfmt sheetId="5" sqref="AM12" start="0" length="0">
    <dxf>
      <fill>
        <patternFill patternType="none">
          <bgColor indexed="65"/>
        </patternFill>
      </fill>
      <border outline="0">
        <left/>
      </border>
    </dxf>
  </rfmt>
  <rfmt sheetId="5" sqref="AN12" start="0" length="0">
    <dxf>
      <fill>
        <patternFill patternType="none">
          <bgColor indexed="65"/>
        </patternFill>
      </fill>
    </dxf>
  </rfmt>
  <rfmt sheetId="5" sqref="AO12" start="0" length="0">
    <dxf>
      <fill>
        <patternFill patternType="none">
          <bgColor indexed="65"/>
        </patternFill>
      </fill>
    </dxf>
  </rfmt>
  <rfmt sheetId="5" sqref="AP12" start="0" length="0">
    <dxf>
      <fill>
        <patternFill patternType="none">
          <bgColor indexed="65"/>
        </patternFill>
      </fill>
    </dxf>
  </rfmt>
  <rfmt sheetId="5" sqref="AQ12" start="0" length="0">
    <dxf>
      <fill>
        <patternFill patternType="none">
          <bgColor indexed="65"/>
        </patternFill>
      </fill>
      <border outline="0">
        <right/>
      </border>
    </dxf>
  </rfmt>
  <rfmt sheetId="5" sqref="AM13" start="0" length="0">
    <dxf>
      <fill>
        <patternFill patternType="none">
          <bgColor indexed="65"/>
        </patternFill>
      </fill>
      <border outline="0">
        <left/>
      </border>
    </dxf>
  </rfmt>
  <rfmt sheetId="5" sqref="AN13" start="0" length="0">
    <dxf>
      <fill>
        <patternFill patternType="none">
          <bgColor indexed="65"/>
        </patternFill>
      </fill>
    </dxf>
  </rfmt>
  <rfmt sheetId="5" sqref="AO13" start="0" length="0">
    <dxf>
      <fill>
        <patternFill patternType="none">
          <bgColor indexed="65"/>
        </patternFill>
      </fill>
    </dxf>
  </rfmt>
  <rfmt sheetId="5" sqref="AP13" start="0" length="0">
    <dxf>
      <fill>
        <patternFill patternType="none">
          <bgColor indexed="65"/>
        </patternFill>
      </fill>
    </dxf>
  </rfmt>
  <rfmt sheetId="5" sqref="AQ13" start="0" length="0">
    <dxf>
      <fill>
        <patternFill patternType="none">
          <bgColor indexed="65"/>
        </patternFill>
      </fill>
      <border outline="0">
        <right/>
      </border>
    </dxf>
  </rfmt>
  <rfmt sheetId="5" sqref="AM14" start="0" length="0">
    <dxf>
      <fill>
        <patternFill patternType="none">
          <bgColor indexed="65"/>
        </patternFill>
      </fill>
      <border outline="0">
        <left/>
      </border>
    </dxf>
  </rfmt>
  <rfmt sheetId="5" sqref="AN14" start="0" length="0">
    <dxf>
      <fill>
        <patternFill patternType="none">
          <bgColor indexed="65"/>
        </patternFill>
      </fill>
    </dxf>
  </rfmt>
  <rfmt sheetId="5" sqref="AO14" start="0" length="0">
    <dxf>
      <fill>
        <patternFill patternType="none">
          <bgColor indexed="65"/>
        </patternFill>
      </fill>
    </dxf>
  </rfmt>
  <rfmt sheetId="5" sqref="AP14" start="0" length="0">
    <dxf>
      <fill>
        <patternFill patternType="none">
          <bgColor indexed="65"/>
        </patternFill>
      </fill>
    </dxf>
  </rfmt>
  <rfmt sheetId="5" sqref="AQ14" start="0" length="0">
    <dxf>
      <fill>
        <patternFill patternType="none">
          <bgColor indexed="65"/>
        </patternFill>
      </fill>
      <border outline="0">
        <right/>
      </border>
    </dxf>
  </rfmt>
  <rfmt sheetId="5" sqref="AM15" start="0" length="0">
    <dxf>
      <fill>
        <patternFill patternType="none">
          <bgColor indexed="65"/>
        </patternFill>
      </fill>
      <border outline="0">
        <left/>
      </border>
    </dxf>
  </rfmt>
  <rfmt sheetId="5" sqref="AN15" start="0" length="0">
    <dxf>
      <fill>
        <patternFill patternType="none">
          <bgColor indexed="65"/>
        </patternFill>
      </fill>
    </dxf>
  </rfmt>
  <rfmt sheetId="5" sqref="AO15" start="0" length="0">
    <dxf>
      <fill>
        <patternFill patternType="none">
          <bgColor indexed="65"/>
        </patternFill>
      </fill>
    </dxf>
  </rfmt>
  <rfmt sheetId="5" sqref="AP15" start="0" length="0">
    <dxf>
      <fill>
        <patternFill patternType="none">
          <bgColor indexed="65"/>
        </patternFill>
      </fill>
    </dxf>
  </rfmt>
  <rfmt sheetId="5" sqref="AQ15" start="0" length="0">
    <dxf>
      <fill>
        <patternFill patternType="none">
          <bgColor indexed="65"/>
        </patternFill>
      </fill>
      <border outline="0">
        <right/>
      </border>
    </dxf>
  </rfmt>
  <rfmt sheetId="5" sqref="AM16" start="0" length="0">
    <dxf>
      <fill>
        <patternFill patternType="none">
          <bgColor indexed="65"/>
        </patternFill>
      </fill>
      <border outline="0">
        <left/>
      </border>
    </dxf>
  </rfmt>
  <rfmt sheetId="5" sqref="AN16" start="0" length="0">
    <dxf>
      <fill>
        <patternFill patternType="none">
          <bgColor indexed="65"/>
        </patternFill>
      </fill>
    </dxf>
  </rfmt>
  <rfmt sheetId="5" sqref="AO16" start="0" length="0">
    <dxf>
      <fill>
        <patternFill patternType="none">
          <bgColor indexed="65"/>
        </patternFill>
      </fill>
    </dxf>
  </rfmt>
  <rfmt sheetId="5" sqref="AP16" start="0" length="0">
    <dxf>
      <fill>
        <patternFill patternType="none">
          <bgColor indexed="65"/>
        </patternFill>
      </fill>
    </dxf>
  </rfmt>
  <rfmt sheetId="5" sqref="AQ16" start="0" length="0">
    <dxf>
      <fill>
        <patternFill patternType="none">
          <bgColor indexed="65"/>
        </patternFill>
      </fill>
      <border outline="0">
        <right/>
      </border>
    </dxf>
  </rfmt>
  <rfmt sheetId="5" sqref="AM17" start="0" length="0">
    <dxf>
      <fill>
        <patternFill patternType="none">
          <bgColor indexed="65"/>
        </patternFill>
      </fill>
      <border outline="0">
        <left/>
      </border>
    </dxf>
  </rfmt>
  <rfmt sheetId="5" sqref="AN17" start="0" length="0">
    <dxf>
      <fill>
        <patternFill patternType="none">
          <bgColor indexed="65"/>
        </patternFill>
      </fill>
    </dxf>
  </rfmt>
  <rfmt sheetId="5" sqref="AO17" start="0" length="0">
    <dxf>
      <fill>
        <patternFill patternType="none">
          <bgColor indexed="65"/>
        </patternFill>
      </fill>
    </dxf>
  </rfmt>
  <rfmt sheetId="5" sqref="AP17" start="0" length="0">
    <dxf>
      <fill>
        <patternFill patternType="none">
          <bgColor indexed="65"/>
        </patternFill>
      </fill>
    </dxf>
  </rfmt>
  <rfmt sheetId="5" sqref="AQ17" start="0" length="0">
    <dxf>
      <fill>
        <patternFill patternType="none">
          <bgColor indexed="65"/>
        </patternFill>
      </fill>
      <border outline="0">
        <right/>
      </border>
    </dxf>
  </rfmt>
  <rfmt sheetId="5" sqref="AM18" start="0" length="0">
    <dxf>
      <fill>
        <patternFill patternType="none">
          <bgColor indexed="65"/>
        </patternFill>
      </fill>
    </dxf>
  </rfmt>
  <rfmt sheetId="5" sqref="AN18" start="0" length="0">
    <dxf>
      <fill>
        <patternFill patternType="none">
          <bgColor indexed="65"/>
        </patternFill>
      </fill>
    </dxf>
  </rfmt>
  <rfmt sheetId="5" sqref="AO18" start="0" length="0">
    <dxf>
      <fill>
        <patternFill patternType="none">
          <bgColor indexed="65"/>
        </patternFill>
      </fill>
    </dxf>
  </rfmt>
  <rcc rId="17248" sId="5" odxf="1" dxf="1">
    <oc r="AR2">
      <f>SUM(AM2:AQ2)</f>
    </oc>
    <nc r="AR2">
      <f>SUM(AM2:AQ2)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49" sId="5" odxf="1" dxf="1">
    <oc r="AR3">
      <f>SUM(AM3:AQ3)</f>
    </oc>
    <nc r="AR3">
      <f>SUM(AM3:AQ3)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0" sId="5" odxf="1" dxf="1">
    <oc r="AR4">
      <f>SUM(AM4:AQ4)</f>
    </oc>
    <nc r="AR4">
      <f>SUM(AM4:AQ4)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1" sId="5" odxf="1" dxf="1">
    <oc r="AR5">
      <f>SUM(AM5:AQ5)</f>
    </oc>
    <nc r="AR5">
      <f>SUM(AM5:AQ5)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2" sId="5" odxf="1" dxf="1">
    <oc r="AR6">
      <f>SUM(AM6:AQ6)</f>
    </oc>
    <nc r="AR6">
      <f>SUM(AM6:AQ6)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3" sId="5" odxf="1" dxf="1">
    <oc r="AR7">
      <f>SUM(AM7:AQ7)</f>
    </oc>
    <nc r="AR7">
      <f>SUM(AM7:AQ7)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4" sId="5" odxf="1" dxf="1">
    <oc r="AR8">
      <f>SUM(AM8:AQ8)</f>
    </oc>
    <nc r="AR8">
      <f>SUM(AM8:AQ8)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5" sId="5" odxf="1" dxf="1">
    <oc r="AR9">
      <f>SUM(AM9:AQ9)</f>
    </oc>
    <nc r="AR9">
      <f>SUM(AM9:AQ9)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6" sId="5" odxf="1" dxf="1">
    <oc r="AR10">
      <f>SUM(AM10:AQ10)</f>
    </oc>
    <nc r="AR10">
      <f>SUM(AM10:AQ10)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7" sId="5" odxf="1" dxf="1">
    <oc r="AR11">
      <f>SUM(AM11:AQ11)</f>
    </oc>
    <nc r="AR11">
      <f>SUM(AM11:AQ11)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8" sId="5" odxf="1" dxf="1">
    <oc r="AR12">
      <f>SUM(AM12:AQ12)</f>
    </oc>
    <nc r="AR12">
      <f>SUM(AM12:AQ12)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9" sId="5" odxf="1" dxf="1">
    <oc r="AR13">
      <f>SUM(AM13:AQ13)</f>
    </oc>
    <nc r="AR13">
      <f>SUM(AM13:AQ13)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0" sId="5" odxf="1" dxf="1">
    <oc r="AR14">
      <f>SUM(AM14:AQ14)</f>
    </oc>
    <nc r="AR14">
      <f>SUM(AM14:AQ14)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1" sId="5" odxf="1" dxf="1">
    <oc r="AR15">
      <f>SUM(AM15:AQ15)</f>
    </oc>
    <nc r="AR15">
      <f>SUM(AM15:AQ15)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2" sId="5" odxf="1" dxf="1">
    <oc r="AR16">
      <f>SUM(AM16:AQ16)</f>
    </oc>
    <nc r="AR16">
      <f>SUM(AM16:AQ16)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3" sId="5" odxf="1" dxf="1">
    <oc r="AR17">
      <f>SUM(AM17:AQ17)</f>
    </oc>
    <nc r="AR17">
      <f>SUM(AM17:AQ17)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4" sId="5">
    <nc r="AM11">
      <v>6</v>
    </nc>
  </rcc>
  <rcc rId="17265" sId="5">
    <nc r="AM12">
      <v>27</v>
    </nc>
  </rcc>
  <rcc rId="17266" sId="5">
    <nc r="AN15">
      <v>92</v>
    </nc>
  </rcc>
  <rfmt sheetId="5" sqref="AM17" start="0" length="0">
    <dxf>
      <border outline="0">
        <bottom/>
      </border>
    </dxf>
  </rfmt>
  <rfmt sheetId="5" sqref="AN17" start="0" length="0">
    <dxf>
      <border outline="0">
        <bottom/>
      </border>
    </dxf>
  </rfmt>
  <rfmt sheetId="5" sqref="AO17" start="0" length="0">
    <dxf>
      <border outline="0">
        <bottom/>
      </border>
    </dxf>
  </rfmt>
  <rfmt sheetId="5" sqref="AP17" start="0" length="0">
    <dxf>
      <border outline="0">
        <bottom/>
      </border>
    </dxf>
  </rfmt>
  <rfmt sheetId="5" sqref="AQ17" start="0" length="0">
    <dxf>
      <border outline="0">
        <bottom/>
      </border>
    </dxf>
  </rfmt>
  <rcc rId="17267" sId="5" odxf="1" dxf="1">
    <nc r="AM18" t="inlineStr">
      <is>
        <t>Inventário de caixas CGCEB
Total: 6 caixas e
 27 processos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68" sId="5" odxf="1" dxf="1">
    <nc r="AN18" t="inlineStr">
      <is>
        <t>Procurando e movimentando caixas da CGCEB
92 caixas.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69" sId="5" odxf="1" dxf="1">
    <nc r="AO18" t="inlineStr">
      <is>
        <t>Pesquisa e busca
processo 23132.000438/95-22, convênio nº 214/95, SIAFI nº 138116, Fundação de Desporto e
 Lazer de Mato Grosso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70" sId="5" odxf="1" dxf="1">
    <nc r="AP18" t="inlineStr">
      <is>
        <t>Pesquisa e busca
processo 23132.000438/95-22, convênio nº 214/95, SIAFI nº 138116, Fundação de Desporto e
 Lazer de Mato Grosso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71" sId="5" odxf="1" dxf="1">
    <nc r="AQ18" t="inlineStr">
      <is>
        <t>Pesquisa e busca
processo 23132.000438/95-22, convênio nº 214/95, SIAFI nº 138116, Fundação de Desporto e
 Lazer de Mato Grosso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N19" start="0" length="0">
    <dxf>
      <alignment wrapText="0" readingOrder="0"/>
    </dxf>
  </rfmt>
  <rfmt sheetId="5" sqref="AO19" start="0" length="0">
    <dxf>
      <alignment wrapText="0" readingOrder="0"/>
    </dxf>
  </rfmt>
  <rfmt sheetId="5" sqref="AQ19" start="0" length="0">
    <dxf>
      <alignment wrapText="0" readingOrder="0"/>
    </dxf>
  </rfmt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92" sId="4" odxf="1" dxf="1">
    <nc r="AO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93" sId="4" odxf="1" dxf="1">
    <nc r="AP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94" sId="4" odxf="1" dxf="1">
    <nc r="AQ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05" sId="4">
    <nc r="AO19" t="inlineStr">
      <is>
        <t>GUARDADANDO PROCESSOS CGCEB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16" sId="10" odxf="1" dxf="1">
    <nc r="AM18" t="inlineStr">
      <is>
        <t>Alimentação de planilha de controle de atividades (Gustavo)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fmt sheetId="10" sqref="AL17" start="0" length="0">
    <dxf>
      <border>
        <bottom style="thin">
          <color indexed="64"/>
        </bottom>
      </border>
    </dxf>
  </rfmt>
  <rcc rId="17317" sId="10" odxf="1" dxf="1">
    <nc r="AN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7318" sId="10">
    <nc r="AO11">
      <v>9</v>
    </nc>
  </rcc>
  <rcc rId="17319" sId="10">
    <nc r="AO12">
      <v>64</v>
    </nc>
  </rcc>
  <rcc rId="17320" sId="10">
    <nc r="AP11">
      <v>6</v>
    </nc>
  </rcc>
  <rcc rId="17321" sId="10">
    <nc r="AP12">
      <v>41</v>
    </nc>
  </rcc>
  <rcc rId="17322" sId="10">
    <nc r="AQ11">
      <v>9</v>
    </nc>
  </rcc>
  <rcc rId="17323" sId="10">
    <nc r="AQ12">
      <v>61</v>
    </nc>
  </rcc>
  <rcc rId="17324" sId="9">
    <nc r="AD12">
      <v>17</v>
    </nc>
  </rcc>
  <rcc rId="17325" sId="9">
    <nc r="AG11">
      <v>3</v>
    </nc>
  </rcc>
  <rcc rId="17326" sId="9">
    <nc r="AG12">
      <v>13</v>
    </nc>
  </rcc>
  <rcc rId="17327" sId="9">
    <nc r="AH12">
      <v>26</v>
    </nc>
  </rcc>
  <rcc rId="17328" sId="9">
    <nc r="AH11">
      <v>4</v>
    </nc>
  </rcc>
  <rcc rId="17329" sId="9">
    <nc r="AI11">
      <v>6</v>
    </nc>
  </rcc>
  <rcc rId="17330" sId="9">
    <nc r="AI12">
      <v>25</v>
    </nc>
  </rcc>
  <rcc rId="17331" sId="9">
    <nc r="AK11">
      <v>2</v>
    </nc>
  </rcc>
  <rcc rId="17332" sId="9">
    <nc r="AK12">
      <v>20</v>
    </nc>
  </rcc>
  <rcc rId="17333" sId="9">
    <nc r="AM11">
      <v>5</v>
    </nc>
  </rcc>
  <rcc rId="17334" sId="9">
    <nc r="AM12">
      <v>34</v>
    </nc>
  </rcc>
  <rcc rId="17335" sId="9">
    <nc r="AN11">
      <v>3</v>
    </nc>
  </rcc>
  <rcc rId="17336" sId="9">
    <nc r="AN12">
      <v>22</v>
    </nc>
  </rcc>
  <rcc rId="17337" sId="9">
    <nc r="AO11">
      <v>3</v>
    </nc>
  </rcc>
  <rcc rId="17338" sId="9">
    <nc r="AO12">
      <v>16</v>
    </nc>
  </rcc>
  <rcc rId="17339" sId="9">
    <nc r="AP11">
      <v>5</v>
    </nc>
  </rcc>
  <rcc rId="17340" sId="9">
    <nc r="AP12">
      <v>42</v>
    </nc>
  </rcc>
  <rcc rId="17341" sId="9">
    <nc r="AQ12">
      <v>25</v>
    </nc>
  </rcc>
  <rcc rId="17342" sId="9">
    <nc r="AQ11">
      <v>4</v>
    </nc>
  </rcc>
  <rcc rId="17343" sId="9">
    <nc r="AD11">
      <v>3</v>
    </nc>
  </rcc>
  <rcc rId="17344" sId="3">
    <oc r="G11">
      <f>Diego!AF11+Aelton!AF11+Leonam!AF11+Danilo!AF11+Marcos!AF11+Alessandro!AF11</f>
    </oc>
    <nc r="G11">
      <f>Diego!AF11+Aelton!AF11+Leonam!AF11+Danilo!AF11+Marcos!AF11+Alessandro!AF11+Carlos!AF11</f>
    </nc>
  </rcc>
  <rcc rId="17345" sId="3">
    <oc r="G12">
      <f>Diego!AF12+Aelton!AF12+Leonam!AF12+Danilo!AF12+Marcos!AF12+Alessandro!AF12</f>
    </oc>
    <nc r="G12">
      <f>Diego!AF12+Aelton!AF12+Leonam!AF12+Danilo!AF12+Marcos!AF12+Alessandro!AF12+Carlos!AF12</f>
    </nc>
  </rcc>
  <rcc rId="17346" sId="3">
    <oc r="H11">
      <f>Diego!AL11+Aelton!AL11+Leonam!AL11+Danilo!AL11+Marcos!AL11+Alessandro!AL11</f>
    </oc>
    <nc r="H11">
      <f>Diego!AL11+Aelton!AL11+Leonam!AL11+Danilo!AL11+Marcos!AL11+Alessandro!AL11+Carlos!AL11</f>
    </nc>
  </rcc>
  <rcc rId="17347" sId="3">
    <oc r="H12">
      <f>Diego!AL12+Aelton!AL12+Leonam!AL12+Danilo!AL12+Marcos!AL12+Alessandro!AL12</f>
    </oc>
    <nc r="H12">
      <f>Diego!AL12+Aelton!AL12+Leonam!AL12+Danilo!AL12+Marcos!AL12+Alessandro!AL12+Carlos!AL12</f>
    </nc>
  </rcc>
  <rcc rId="17348" sId="3">
    <oc r="I11">
      <f>Diego!AR11+Aelton!AR11+Leonam!AR11+Danilo!AR11+Marcos!AR11+Alessandro!AR11</f>
    </oc>
    <nc r="I11">
      <f>Diego!AR11+Aelton!AR11+Leonam!AR11+Danilo!AR11+Marcos!AR11+Alessandro!AR11+Carlos!AR11</f>
    </nc>
  </rcc>
  <rcc rId="17349" sId="3">
    <oc r="I12">
      <f>Diego!AR12+Aelton!AR12+Leonam!AR12+Danilo!AR12+Marcos!AR12+Alessandro!AR12</f>
    </oc>
    <nc r="I12">
      <f>Diego!AR12+Aelton!AR12+Leonam!AR12+Danilo!AR12+Marcos!AR12+Alessandro!AR12+Carlos!AR12</f>
    </nc>
  </rcc>
  <rcc rId="17350" sId="3">
    <oc r="J11">
      <f>Diego!AX11+Aelton!AX11+Leonam!AX11+Danilo!AX11+Marcos!AX11+Alessandro!AX11</f>
    </oc>
    <nc r="J11">
      <f>Diego!AX11+Aelton!AX11+Leonam!AX11+Danilo!AX11+Marcos!AX11+Alessandro!AX11+Carlos!AX11</f>
    </nc>
  </rcc>
  <rcc rId="17351" sId="3">
    <oc r="J12">
      <f>Diego!AX12+Aelton!AX12+Leonam!AX12+Danilo!AX12+Marcos!AX12+Alessandro!AX12</f>
    </oc>
    <nc r="J12">
      <f>Diego!AX12+Aelton!AX12+Leonam!AX12+Danilo!AX12+Marcos!AX12+Alessandro!AX12+Carlos!AX12</f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M18">
    <dxf>
      <alignment wrapText="1"/>
    </dxf>
  </rfmt>
  <rcc rId="17352" sId="7">
    <nc r="AM18" t="inlineStr">
      <is>
        <t>ORGANIZAÇÃO DAS CAIXAS INVENTARIADAS.</t>
      </is>
    </nc>
  </rcc>
  <rm rId="17353" sheetId="7" source="AM16" destination="AM17" sourceSheetId="7">
    <undo index="65535" exp="area" dr="AM17:AQ17" r="AR17" sId="7"/>
    <rfmt sheetId="7" sqref="AM17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bottom style="thin">
            <color indexed="64"/>
          </bottom>
        </border>
      </dxf>
    </rfmt>
  </rm>
  <rcc rId="17354" sId="7">
    <nc r="AM11">
      <v>3</v>
    </nc>
  </rcc>
  <rfmt sheetId="7" sqref="AM17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M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7355" sId="7">
    <nc r="AP11">
      <v>2</v>
    </nc>
  </rcc>
  <rcc rId="17356" sId="7">
    <nc r="AP18" t="inlineStr">
      <is>
        <t>RESOLVENDO ASSUNTOS PESSOAIS DURANTE O DIA</t>
      </is>
    </nc>
  </rcc>
  <rcc rId="17357" sId="7">
    <nc r="AN18" t="inlineStr">
      <is>
        <t>ELABORAÇÃO DO DESPACHO 37 (SEI N  18519857)</t>
      </is>
    </nc>
  </rcc>
  <rfmt sheetId="7" sqref="AN18">
    <dxf>
      <alignment wrapText="1"/>
    </dxf>
  </rfmt>
  <rcc rId="17358" sId="7">
    <nc r="AN14">
      <v>1</v>
    </nc>
  </rcc>
  <rcc rId="17359" sId="7">
    <nc r="AQ11">
      <v>5</v>
    </nc>
  </rcc>
  <rcc rId="17360" sId="7">
    <nc r="AO11">
      <v>2</v>
    </nc>
  </rcc>
  <rcc rId="17361" sId="7">
    <nc r="AO18" t="inlineStr">
      <is>
        <t>AUXILIANDO NO SISTEMA DE UNIFICADO DE ARQUIVAMENTO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2" sId="7">
    <oc r="AP11">
      <v>2</v>
    </oc>
    <nc r="AP11">
      <v>3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3" sId="10">
    <nc r="AS2" t="inlineStr">
      <is>
        <t>RECESSO</t>
      </is>
    </nc>
  </rcc>
  <rcc rId="17364" sId="10" odxf="1" dxf="1">
    <nc r="AS3" t="inlineStr">
      <is>
        <t>RECESSO</t>
      </is>
    </nc>
    <odxf>
      <numFmt numFmtId="0" formatCode="General"/>
    </odxf>
    <ndxf>
      <numFmt numFmtId="21" formatCode="dd/mmm"/>
    </ndxf>
  </rcc>
  <rcc rId="17365" sId="10" odxf="1" dxf="1">
    <nc r="AS4" t="inlineStr">
      <is>
        <t>RECESSO</t>
      </is>
    </nc>
    <odxf>
      <numFmt numFmtId="0" formatCode="General"/>
    </odxf>
    <ndxf>
      <numFmt numFmtId="21" formatCode="dd/mmm"/>
    </ndxf>
  </rcc>
  <rcc rId="17366" sId="10" odxf="1" dxf="1">
    <nc r="AS5" t="inlineStr">
      <is>
        <t>RECESSO</t>
      </is>
    </nc>
    <odxf>
      <numFmt numFmtId="0" formatCode="General"/>
    </odxf>
    <ndxf>
      <numFmt numFmtId="21" formatCode="dd/mmm"/>
    </ndxf>
  </rcc>
  <rcc rId="17367" sId="10" odxf="1" dxf="1">
    <nc r="AS6" t="inlineStr">
      <is>
        <t>RECESSO</t>
      </is>
    </nc>
    <odxf>
      <numFmt numFmtId="0" formatCode="General"/>
    </odxf>
    <ndxf>
      <numFmt numFmtId="21" formatCode="dd/mmm"/>
    </ndxf>
  </rcc>
  <rcc rId="17368" sId="10" odxf="1" dxf="1">
    <nc r="AS7" t="inlineStr">
      <is>
        <t>RECESSO</t>
      </is>
    </nc>
    <odxf>
      <numFmt numFmtId="0" formatCode="General"/>
    </odxf>
    <ndxf>
      <numFmt numFmtId="21" formatCode="dd/mmm"/>
    </ndxf>
  </rcc>
  <rcc rId="17369" sId="10" odxf="1" dxf="1">
    <nc r="AS8" t="inlineStr">
      <is>
        <t>RECESSO</t>
      </is>
    </nc>
    <odxf>
      <numFmt numFmtId="0" formatCode="General"/>
    </odxf>
    <ndxf>
      <numFmt numFmtId="21" formatCode="dd/mmm"/>
    </ndxf>
  </rcc>
  <rcc rId="17370" sId="10" odxf="1" dxf="1">
    <nc r="AS9" t="inlineStr">
      <is>
        <t>RECESSO</t>
      </is>
    </nc>
    <odxf>
      <numFmt numFmtId="0" formatCode="General"/>
    </odxf>
    <ndxf>
      <numFmt numFmtId="21" formatCode="dd/mmm"/>
    </ndxf>
  </rcc>
  <rcc rId="17371" sId="10" odxf="1" dxf="1">
    <nc r="AS10" t="inlineStr">
      <is>
        <t>RECESSO</t>
      </is>
    </nc>
    <odxf>
      <numFmt numFmtId="0" formatCode="General"/>
    </odxf>
    <ndxf>
      <numFmt numFmtId="21" formatCode="dd/mmm"/>
    </ndxf>
  </rcc>
  <rcc rId="17372" sId="10" odxf="1" dxf="1">
    <nc r="AS11" t="inlineStr">
      <is>
        <t>RECESSO</t>
      </is>
    </nc>
    <odxf>
      <numFmt numFmtId="0" formatCode="General"/>
    </odxf>
    <ndxf>
      <numFmt numFmtId="21" formatCode="dd/mmm"/>
    </ndxf>
  </rcc>
  <rcc rId="17373" sId="10" odxf="1" dxf="1">
    <nc r="AS12" t="inlineStr">
      <is>
        <t>RECESSO</t>
      </is>
    </nc>
    <odxf>
      <numFmt numFmtId="0" formatCode="General"/>
    </odxf>
    <ndxf>
      <numFmt numFmtId="21" formatCode="dd/mmm"/>
    </ndxf>
  </rcc>
  <rcc rId="17374" sId="10" odxf="1" dxf="1">
    <nc r="AS13" t="inlineStr">
      <is>
        <t>RECESSO</t>
      </is>
    </nc>
    <odxf>
      <numFmt numFmtId="0" formatCode="General"/>
    </odxf>
    <ndxf>
      <numFmt numFmtId="21" formatCode="dd/mmm"/>
    </ndxf>
  </rcc>
  <rcc rId="17375" sId="10" odxf="1" dxf="1">
    <nc r="AS14" t="inlineStr">
      <is>
        <t>RECESSO</t>
      </is>
    </nc>
    <odxf>
      <numFmt numFmtId="0" formatCode="General"/>
    </odxf>
    <ndxf>
      <numFmt numFmtId="21" formatCode="dd/mmm"/>
    </ndxf>
  </rcc>
  <rcc rId="17376" sId="10" odxf="1" dxf="1">
    <nc r="AS15" t="inlineStr">
      <is>
        <t>RECESSO</t>
      </is>
    </nc>
    <odxf>
      <numFmt numFmtId="0" formatCode="General"/>
    </odxf>
    <ndxf>
      <numFmt numFmtId="21" formatCode="dd/mmm"/>
    </ndxf>
  </rcc>
  <rcc rId="17377" sId="10" odxf="1" dxf="1">
    <nc r="AS16" t="inlineStr">
      <is>
        <t>RECESSO</t>
      </is>
    </nc>
    <odxf>
      <numFmt numFmtId="0" formatCode="General"/>
    </odxf>
    <ndxf>
      <numFmt numFmtId="21" formatCode="dd/mmm"/>
    </ndxf>
  </rcc>
  <rcc rId="17378" sId="10">
    <nc r="AS17" t="inlineStr">
      <is>
        <t>RECESSO</t>
      </is>
    </nc>
  </rcc>
  <rcc rId="17379" sId="10">
    <nc r="AT2" t="inlineStr">
      <is>
        <t>FERIADO</t>
      </is>
    </nc>
  </rcc>
  <rcc rId="17380" sId="10">
    <nc r="AT3" t="inlineStr">
      <is>
        <t>FERIADO</t>
      </is>
    </nc>
  </rcc>
  <rcc rId="17381" sId="10">
    <nc r="AT4" t="inlineStr">
      <is>
        <t>FERIADO</t>
      </is>
    </nc>
  </rcc>
  <rcc rId="17382" sId="10">
    <nc r="AT5" t="inlineStr">
      <is>
        <t>FERIADO</t>
      </is>
    </nc>
  </rcc>
  <rcc rId="17383" sId="10">
    <nc r="AT6" t="inlineStr">
      <is>
        <t>FERIADO</t>
      </is>
    </nc>
  </rcc>
  <rcc rId="17384" sId="10">
    <nc r="AT7" t="inlineStr">
      <is>
        <t>FERIADO</t>
      </is>
    </nc>
  </rcc>
  <rcc rId="17385" sId="10">
    <nc r="AT8" t="inlineStr">
      <is>
        <t>FERIADO</t>
      </is>
    </nc>
  </rcc>
  <rcc rId="17386" sId="10">
    <nc r="AT9" t="inlineStr">
      <is>
        <t>FERIADO</t>
      </is>
    </nc>
  </rcc>
  <rcc rId="17387" sId="10">
    <nc r="AT10" t="inlineStr">
      <is>
        <t>FERIADO</t>
      </is>
    </nc>
  </rcc>
  <rcc rId="17388" sId="10">
    <nc r="AT11" t="inlineStr">
      <is>
        <t>FERIADO</t>
      </is>
    </nc>
  </rcc>
  <rcc rId="17389" sId="10">
    <nc r="AT12" t="inlineStr">
      <is>
        <t>FERIADO</t>
      </is>
    </nc>
  </rcc>
  <rcc rId="17390" sId="10">
    <nc r="AT13" t="inlineStr">
      <is>
        <t>FERIADO</t>
      </is>
    </nc>
  </rcc>
  <rcc rId="17391" sId="10">
    <nc r="AT14" t="inlineStr">
      <is>
        <t>FERIADO</t>
      </is>
    </nc>
  </rcc>
  <rcc rId="17392" sId="10">
    <nc r="AT15" t="inlineStr">
      <is>
        <t>FERIADO</t>
      </is>
    </nc>
  </rcc>
  <rcc rId="17393" sId="10">
    <nc r="AT16" t="inlineStr">
      <is>
        <t>FERIADO</t>
      </is>
    </nc>
  </rcc>
  <rcc rId="17394" sId="10">
    <nc r="AT17" t="inlineStr">
      <is>
        <t>FERIADO</t>
      </is>
    </nc>
  </rcc>
  <rfmt sheetId="10" sqref="AS2:AT17">
    <dxf>
      <fill>
        <patternFill patternType="solid">
          <bgColor theme="9" tint="0.59999389629810485"/>
        </patternFill>
      </fill>
    </dxf>
  </rfmt>
  <rfmt sheetId="10" sqref="AS2:AT17">
    <dxf>
      <fill>
        <patternFill>
          <bgColor theme="9" tint="0.79998168889431442"/>
        </patternFill>
      </fill>
    </dxf>
  </rfmt>
  <rfmt sheetId="10" sqref="AS2:AT17" start="0" length="2147483647">
    <dxf>
      <font>
        <b/>
      </font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05" sId="7">
    <nc r="AM12">
      <v>22</v>
    </nc>
  </rcc>
  <rcc rId="17406" sId="7">
    <nc r="AO12">
      <v>8</v>
    </nc>
  </rcc>
  <rcc rId="17407" sId="7">
    <nc r="AP12">
      <v>17</v>
    </nc>
  </rcc>
  <rcc rId="17408" sId="7">
    <nc r="AQ12">
      <v>43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19" sId="7">
    <nc r="AS15">
      <v>175</v>
    </nc>
  </rcc>
  <rcc rId="17420" sId="8">
    <nc r="AS15">
      <v>175</v>
    </nc>
  </rcc>
  <rcc rId="17421" sId="8">
    <nc r="AS19" t="inlineStr">
      <is>
        <t>REMANEJAMENTO DE 175 CAIXAS, TENDO EM VISTA DO  ENVIO DE APENAS UM CARREGADOR  PELO SETOR RESPONSAVEL</t>
      </is>
    </nc>
  </rcc>
  <rfmt sheetId="8" sqref="AS19">
    <dxf>
      <alignment wrapText="1"/>
    </dxf>
  </rfmt>
  <rcc rId="17422" sId="7" xfDxf="1" dxf="1">
    <nc r="AS19" t="inlineStr">
      <is>
        <t>REMANEJAMENTO DE 175 CAIXAS, TENDO EM VISTA DO  ENVIO DE APENAS UM CARREGADOR  PELO SETOR RESPONSAVEL</t>
      </is>
    </nc>
    <ndxf>
      <alignment horizontal="center" vertical="center"/>
    </ndxf>
  </rcc>
  <rfmt sheetId="7" sqref="AS19">
    <dxf>
      <alignment wrapText="1"/>
    </dxf>
  </rfmt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3" sId="8">
    <oc r="AN15">
      <v>91</v>
    </oc>
    <nc r="AN15">
      <v>1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4" sId="8">
    <nc r="AU15">
      <v>175</v>
    </nc>
  </rcc>
  <rcc rId="17425" sId="8">
    <oc r="AS15">
      <v>175</v>
    </oc>
    <nc r="AS15"/>
  </rcc>
  <rcc rId="17426" sId="7">
    <oc r="AS15">
      <v>175</v>
    </oc>
    <nc r="AS15"/>
  </rcc>
  <rcc rId="17427" sId="7">
    <nc r="AU15">
      <v>175</v>
    </nc>
  </rcc>
  <rcc rId="17428" sId="7" odxf="1" dxf="1">
    <nc r="AU19" t="inlineStr">
      <is>
        <t>REMANEJAMENTO DE 175 CAIXAS, TENDO EM VISTA DO  ENVIO DE APENAS UM CARREGADOR  PELO SETOR RESPONSAVEL</t>
      </is>
    </nc>
    <odxf>
      <alignment wrapText="0"/>
    </odxf>
    <ndxf>
      <alignment wrapText="1"/>
    </ndxf>
  </rcc>
  <rcc rId="17429" sId="7">
    <oc r="AS19" t="inlineStr">
      <is>
        <t>REMANEJAMENTO DE 175 CAIXAS, TENDO EM VISTA DO  ENVIO DE APENAS UM CARREGADOR  PELO SETOR RESPONSAVEL</t>
      </is>
    </oc>
    <nc r="AS19"/>
  </rcc>
  <rcc rId="17430" sId="8" odxf="1" dxf="1">
    <nc r="AU19" t="inlineStr">
      <is>
        <t>REMANEJAMENTO DE 175 CAIXAS, TENDO EM VISTA DO  ENVIO DE APENAS UM CARREGADOR  PELO SETOR RESPONSAVEL</t>
      </is>
    </nc>
    <odxf>
      <alignment wrapText="0"/>
    </odxf>
    <ndxf>
      <alignment wrapText="1"/>
    </ndxf>
  </rcc>
  <rcc rId="17431" sId="8">
    <oc r="AS19" t="inlineStr">
      <is>
        <t>REMANEJAMENTO DE 175 CAIXAS, TENDO EM VISTA DO  ENVIO DE APENAS UM CARREGADOR  PELO SETOR RESPONSAVEL</t>
      </is>
    </oc>
    <nc r="AS19"/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42" sId="8">
    <nc r="AS19" t="inlineStr">
      <is>
        <t>PONTO FACULTATIVO</t>
      </is>
    </nc>
  </rcc>
  <rcc rId="17443" sId="8">
    <nc r="AT19" t="inlineStr">
      <is>
        <t xml:space="preserve">FERIADO NACIONAL </t>
      </is>
    </nc>
  </rcc>
  <rfmt sheetId="8" sqref="AT19">
    <dxf>
      <alignment wrapText="1"/>
    </dxf>
  </rfmt>
  <rcc rId="17444" sId="8">
    <oc r="AU19" t="inlineStr">
      <is>
        <t>REMANEJAMENTO DE 175 CAIXAS, TENDO EM VISTA DO  ENVIO DE APENAS UM CARREGADOR  PELO SETOR RESPONSAVEL</t>
      </is>
    </oc>
    <nc r="AU19" t="inlineStr">
      <is>
        <t>REMANEJAMENTO DE 175 CAIXAS DA CGCEB, TENDO EM VISTA DO  ENVIO DE APENAS UM CARREGADOR  PELO SETOR RESPONSAVEL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5" sId="8">
    <oc r="AQ18" t="inlineStr">
      <is>
        <t>ATESTADO DE DOAÇÃO DE SANGUE</t>
      </is>
    </oc>
    <nc r="AQ18" t="inlineStr">
      <is>
        <t xml:space="preserve"> DOAÇÃO DE SANGUE (ATESTADO)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6" sId="8">
    <nc r="AU11">
      <v>2</v>
    </nc>
  </rcc>
  <rcc rId="17457" sId="8">
    <nc r="AU12">
      <v>15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8" sId="8">
    <oc r="AU19" t="inlineStr">
      <is>
        <t>REMANEJAMENTO DE 175 CAIXAS DA CGCEB, TENDO EM VISTA DO  ENVIO DE APENAS UM CARREGADOR  PELO SETOR RESPONSAVEL</t>
      </is>
    </oc>
    <nc r="AU19" t="inlineStr">
      <is>
        <t>REMANEJAMENTO DE 175 CAIXAS DA SNAS/CGCEB, TENDO EM VISTA DO  ENVIO DE APENAS UM CARREGADOR  PELO SETOR RESPONSAVEL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9" sId="8">
    <nc r="AV11">
      <v>9</v>
    </nc>
  </rcc>
  <rcc rId="17460" sId="8">
    <nc r="AV12">
      <v>46</v>
    </nc>
  </rcc>
  <rcc rId="17461" sId="8" odxf="1" dxf="1">
    <nc r="AV18" t="inlineStr">
      <is>
        <t>CAIXAS INVETARIADAS SNAS/CGCEB</t>
      </is>
    </nc>
    <odxf>
      <alignment wrapText="0"/>
    </odxf>
    <ndxf>
      <alignment wrapText="1"/>
    </ndxf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2" sId="8" odxf="1" dxf="1">
    <nc r="AW18" t="inlineStr">
      <is>
        <t>CAIXAS INVETARIADAS SNAS/CGCEB</t>
      </is>
    </nc>
    <odxf>
      <alignment wrapText="0"/>
    </odxf>
    <ndxf>
      <alignment wrapText="1"/>
    </ndxf>
  </rcc>
  <rcc rId="17463" sId="8">
    <nc r="AW11">
      <v>6</v>
    </nc>
  </rcc>
  <rcc rId="17464" sId="8">
    <nc r="AW12">
      <v>35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S17" start="0" length="0">
    <dxf>
      <border outline="0">
        <bottom/>
      </border>
    </dxf>
  </rfmt>
  <rfmt sheetId="5" sqref="AT17" start="0" length="0">
    <dxf>
      <border outline="0">
        <bottom/>
      </border>
    </dxf>
  </rfmt>
  <rfmt sheetId="5" sqref="AU17" start="0" length="0">
    <dxf>
      <border outline="0">
        <bottom/>
      </border>
    </dxf>
  </rfmt>
  <rfmt sheetId="5" sqref="AV17" start="0" length="0">
    <dxf>
      <border outline="0">
        <bottom/>
      </border>
    </dxf>
  </rfmt>
  <rfmt sheetId="5" sqref="AW17" start="0" length="0">
    <dxf>
      <border outline="0">
        <bottom/>
      </border>
    </dxf>
  </rfmt>
  <rcc rId="17465" sId="5" odxf="1" dxf="1">
    <nc r="AS18" t="inlineStr">
      <is>
        <t>PONTO FACULTATIVO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466" sId="5" odxf="1" dxf="1">
    <nc r="AT18" t="inlineStr">
      <is>
        <t>FERIADO
(Aniversário de Brasília)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467" sId="5" odxf="1" dxf="1">
    <nc r="AU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AV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W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W1" start="0" length="0">
    <dxf>
      <border outline="0">
        <right/>
      </border>
    </dxf>
  </rfmt>
  <rcc rId="17468" sId="5">
    <nc r="AV18" t="inlineStr">
      <is>
        <t>Pesquisa e busca
processo 23132.000438/95-22, convênio nº 214/95, SIAFI nº 138116, Fundação de Desporto e
 Lazer de Mato Grosso</t>
      </is>
    </nc>
  </rcc>
  <rcc rId="17469" sId="5">
    <nc r="AW18" t="inlineStr">
      <is>
        <t>Pesquisa e busca
processo 23132.000438/95-22, convênio nº 214/95, SIAFI nº 138116, Fundação de Desporto e
 Lazer de Mato Grosso</t>
      </is>
    </nc>
  </rcc>
  <rfmt sheetId="5" sqref="AW19" start="0" length="0">
    <dxf>
      <alignment wrapText="1" readingOrder="0"/>
    </dxf>
  </rfmt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00" sId="7">
    <nc r="AV14">
      <v>7</v>
    </nc>
  </rcc>
  <rcc rId="17501" sId="7">
    <nc r="AW14">
      <v>5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12" sId="7">
    <nc r="AV13">
      <v>43</v>
    </nc>
  </rcc>
  <rcc rId="17513" sId="7">
    <nc r="AW13">
      <v>29</v>
    </nc>
  </rcc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14" sId="7">
    <nc r="AV12">
      <v>43</v>
    </nc>
  </rcc>
  <rcc rId="17515" sId="7">
    <nc r="AW12">
      <v>29</v>
    </nc>
  </rcc>
  <rcc rId="17516" sId="7">
    <oc r="AV13">
      <v>43</v>
    </oc>
    <nc r="AV13"/>
  </rcc>
  <rcc rId="17517" sId="7">
    <oc r="AW13">
      <v>29</v>
    </oc>
    <nc r="AW13"/>
  </rcc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18" sId="9">
    <nc r="AU11">
      <v>4</v>
    </nc>
  </rcc>
  <rcc rId="17519" sId="9">
    <nc r="AU12">
      <v>27</v>
    </nc>
  </rcc>
  <rcc rId="17520" sId="9">
    <nc r="AV11">
      <v>4</v>
    </nc>
  </rcc>
  <rcc rId="17521" sId="9">
    <nc r="AV12">
      <v>28</v>
    </nc>
  </rcc>
  <rcc rId="17522" sId="9">
    <nc r="AW12">
      <v>22</v>
    </nc>
  </rcc>
  <rcc rId="17523" sId="9">
    <nc r="AW11">
      <v>3</v>
    </nc>
  </rcc>
  <rcc rId="17524" sId="10">
    <nc r="AU11">
      <v>7</v>
    </nc>
  </rcc>
  <rcc rId="17525" sId="10">
    <nc r="AU12">
      <v>38</v>
    </nc>
  </rcc>
  <rcc rId="17526" sId="10">
    <nc r="AV11">
      <v>11</v>
    </nc>
  </rcc>
  <rcc rId="17527" sId="10">
    <nc r="AV12">
      <v>73</v>
    </nc>
  </rcc>
  <rcc rId="17528" sId="10">
    <nc r="AW11">
      <v>10</v>
    </nc>
  </rcc>
  <rcc rId="17529" sId="10">
    <nc r="AW12">
      <v>53</v>
    </nc>
  </rcc>
  <rcc rId="17530" sId="10" odxf="1" dxf="1">
    <nc r="AY18" t="inlineStr">
      <is>
        <t>Alimentação de planilha de controle de atividades (Gustavo)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Y18" start="0" length="0">
    <dxf>
      <alignment wrapText="1"/>
    </dxf>
  </rfmt>
  <rcc rId="17541" sId="8">
    <nc r="AY11">
      <v>8</v>
    </nc>
  </rcc>
  <rcc rId="17542" sId="8">
    <nc r="AY12">
      <v>44</v>
    </nc>
  </rcc>
  <rcc rId="17543" sId="8" xfDxf="1" dxf="1">
    <nc r="AY19" t="inlineStr">
      <is>
        <t>75 CAIXAS ARQUIVADA SNAS/CGCEB</t>
      </is>
    </nc>
    <ndxf>
      <alignment horizontal="center" vertical="center"/>
    </ndxf>
  </rcc>
  <rcc rId="17544" sId="8">
    <nc r="AY18" t="inlineStr">
      <is>
        <t>CAIXAS INVETARIADAS SNAS/CGCEB</t>
      </is>
    </nc>
  </rcc>
  <rfmt sheetId="8" sqref="AY19">
    <dxf>
      <alignment wrapText="1"/>
    </dxf>
  </rfmt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55" sId="4" odxf="1" dxf="1">
    <nc r="AS18" t="inlineStr">
      <is>
        <t>PONTO FACULTATIVO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556" sId="4" odxf="1" dxf="1">
    <nc r="AT18" t="inlineStr">
      <is>
        <t>FERIADO
(Aniversário de Brasília)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557" sId="4" odxf="1" dxf="1">
    <nc r="AU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558" sId="4" odxf="1" dxf="1">
    <nc r="AV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559" sId="4" odxf="1" dxf="1">
    <nc r="AW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560" sId="4" odxf="1" dxf="1">
    <nc r="AY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561" sId="4" odxf="1" dxf="1">
    <nc r="AZ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72" sId="9">
    <nc r="AS2" t="inlineStr">
      <is>
        <t>RECESSO</t>
      </is>
    </nc>
  </rcc>
  <rcc rId="17573" sId="9">
    <nc r="AS3" t="inlineStr">
      <is>
        <t>RECESSO</t>
      </is>
    </nc>
  </rcc>
  <rcc rId="17574" sId="9">
    <nc r="AS4" t="inlineStr">
      <is>
        <t>RECESSO</t>
      </is>
    </nc>
  </rcc>
  <rcc rId="17575" sId="9">
    <nc r="AS5" t="inlineStr">
      <is>
        <t>RECESSO</t>
      </is>
    </nc>
  </rcc>
  <rcc rId="17576" sId="9">
    <nc r="AS6" t="inlineStr">
      <is>
        <t>RECESSO</t>
      </is>
    </nc>
  </rcc>
  <rcc rId="17577" sId="9">
    <nc r="AS7" t="inlineStr">
      <is>
        <t>RECESSO</t>
      </is>
    </nc>
  </rcc>
  <rcc rId="17578" sId="9">
    <nc r="AS8" t="inlineStr">
      <is>
        <t>RECESSO</t>
      </is>
    </nc>
  </rcc>
  <rcc rId="17579" sId="9">
    <nc r="AS9" t="inlineStr">
      <is>
        <t>RECESSO</t>
      </is>
    </nc>
  </rcc>
  <rcc rId="17580" sId="9">
    <nc r="AS10" t="inlineStr">
      <is>
        <t>RECESSO</t>
      </is>
    </nc>
  </rcc>
  <rcc rId="17581" sId="9">
    <nc r="AS11" t="inlineStr">
      <is>
        <t>RECESSO</t>
      </is>
    </nc>
  </rcc>
  <rcc rId="17582" sId="9">
    <nc r="AS12" t="inlineStr">
      <is>
        <t>RECESSO</t>
      </is>
    </nc>
  </rcc>
  <rcc rId="17583" sId="9">
    <nc r="AS13" t="inlineStr">
      <is>
        <t>RECESSO</t>
      </is>
    </nc>
  </rcc>
  <rcc rId="17584" sId="9">
    <nc r="AS14" t="inlineStr">
      <is>
        <t>RECESSO</t>
      </is>
    </nc>
  </rcc>
  <rcc rId="17585" sId="9">
    <nc r="AS15" t="inlineStr">
      <is>
        <t>RECESSO</t>
      </is>
    </nc>
  </rcc>
  <rcc rId="17586" sId="9">
    <nc r="AS16" t="inlineStr">
      <is>
        <t>RECESSO</t>
      </is>
    </nc>
  </rcc>
  <rcc rId="17587" sId="9">
    <nc r="AS17" t="inlineStr">
      <is>
        <t>RECESSO</t>
      </is>
    </nc>
  </rcc>
  <rcc rId="17588" sId="9">
    <nc r="AT2" t="inlineStr">
      <is>
        <t>FERIADO</t>
      </is>
    </nc>
  </rcc>
  <rcc rId="17589" sId="9">
    <nc r="AT3" t="inlineStr">
      <is>
        <t>FERIADO</t>
      </is>
    </nc>
  </rcc>
  <rcc rId="17590" sId="9">
    <nc r="AT4" t="inlineStr">
      <is>
        <t>FERIADO</t>
      </is>
    </nc>
  </rcc>
  <rcc rId="17591" sId="9">
    <nc r="AT5" t="inlineStr">
      <is>
        <t>FERIADO</t>
      </is>
    </nc>
  </rcc>
  <rcc rId="17592" sId="9">
    <nc r="AT6" t="inlineStr">
      <is>
        <t>FERIADO</t>
      </is>
    </nc>
  </rcc>
  <rcc rId="17593" sId="9">
    <nc r="AT7" t="inlineStr">
      <is>
        <t>FERIADO</t>
      </is>
    </nc>
  </rcc>
  <rcc rId="17594" sId="9">
    <nc r="AT8" t="inlineStr">
      <is>
        <t>FERIADO</t>
      </is>
    </nc>
  </rcc>
  <rcc rId="17595" sId="9">
    <nc r="AT9" t="inlineStr">
      <is>
        <t>FERIADO</t>
      </is>
    </nc>
  </rcc>
  <rcc rId="17596" sId="9">
    <nc r="AT10" t="inlineStr">
      <is>
        <t>FERIADO</t>
      </is>
    </nc>
  </rcc>
  <rcc rId="17597" sId="9">
    <nc r="AT11" t="inlineStr">
      <is>
        <t>FERIADO</t>
      </is>
    </nc>
  </rcc>
  <rcc rId="17598" sId="9">
    <nc r="AT12" t="inlineStr">
      <is>
        <t>FERIADO</t>
      </is>
    </nc>
  </rcc>
  <rcc rId="17599" sId="9">
    <nc r="AT13" t="inlineStr">
      <is>
        <t>FERIADO</t>
      </is>
    </nc>
  </rcc>
  <rcc rId="17600" sId="9">
    <nc r="AT14" t="inlineStr">
      <is>
        <t>FERIADO</t>
      </is>
    </nc>
  </rcc>
  <rcc rId="17601" sId="9">
    <nc r="AT15" t="inlineStr">
      <is>
        <t>FERIADO</t>
      </is>
    </nc>
  </rcc>
  <rcc rId="17602" sId="9">
    <nc r="AT16" t="inlineStr">
      <is>
        <t>FERIADO</t>
      </is>
    </nc>
  </rcc>
  <rcc rId="17603" sId="9">
    <nc r="AT17" t="inlineStr">
      <is>
        <t>FERIADO</t>
      </is>
    </nc>
  </rcc>
  <rfmt sheetId="9" sqref="AS2:AT17" start="0" length="2147483647">
    <dxf>
      <font>
        <b/>
      </font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14" sId="8" odxf="1" dxf="1">
    <nc r="AS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15" sId="8" odxf="1" dxf="1">
    <nc r="AT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16" sId="8" odxf="1" dxf="1">
    <nc r="AS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17" sId="8" odxf="1" dxf="1">
    <nc r="AT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18" sId="8" odxf="1" dxf="1">
    <nc r="AS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19" sId="8" odxf="1" dxf="1">
    <nc r="AT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0" sId="8" odxf="1" dxf="1">
    <nc r="AS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1" sId="8" odxf="1" dxf="1">
    <nc r="AT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2" sId="8" odxf="1" dxf="1">
    <nc r="AS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3" sId="8" odxf="1" dxf="1">
    <nc r="AT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4" sId="8" odxf="1" dxf="1">
    <nc r="AS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5" sId="8" odxf="1" dxf="1">
    <nc r="AT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6" sId="8" odxf="1" dxf="1">
    <nc r="AS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7" sId="8" odxf="1" dxf="1">
    <nc r="AT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8" sId="8" odxf="1" dxf="1">
    <nc r="AS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29" sId="8" odxf="1" dxf="1">
    <nc r="AT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0" sId="8" odxf="1" dxf="1">
    <nc r="AS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1" sId="8" odxf="1" dxf="1">
    <nc r="AT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2" sId="8" odxf="1" dxf="1">
    <nc r="AS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3" sId="8" odxf="1" dxf="1">
    <nc r="AT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4" sId="8" odxf="1" dxf="1">
    <nc r="AS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5" sId="8" odxf="1" dxf="1">
    <nc r="AT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6" sId="8" odxf="1" dxf="1">
    <nc r="AS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7" sId="8" odxf="1" dxf="1">
    <nc r="AT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8" sId="8" odxf="1" dxf="1">
    <nc r="AS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39" sId="8" odxf="1" dxf="1">
    <nc r="AT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0" sId="8" odxf="1" dxf="1">
    <nc r="AS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1" sId="8" odxf="1" dxf="1">
    <nc r="AT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2" sId="8" odxf="1" dxf="1">
    <nc r="AS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3" sId="8" odxf="1" dxf="1">
    <nc r="AT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4" sId="8" odxf="1" dxf="1">
    <nc r="AS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5" sId="8" odxf="1" dxf="1">
    <nc r="AT1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6" sId="7" odxf="1" dxf="1">
    <nc r="AS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7" sId="7" odxf="1" dxf="1">
    <nc r="AT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8" sId="7" odxf="1" dxf="1">
    <nc r="AS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49" sId="7" odxf="1" dxf="1">
    <nc r="AT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0" sId="7" odxf="1" dxf="1">
    <nc r="AS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1" sId="7" odxf="1" dxf="1">
    <nc r="AT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2" sId="7" odxf="1" dxf="1">
    <nc r="AS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3" sId="7" odxf="1" dxf="1">
    <nc r="AT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4" sId="7" odxf="1" dxf="1">
    <nc r="AS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5" sId="7" odxf="1" dxf="1">
    <nc r="AT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6" sId="7" odxf="1" dxf="1">
    <nc r="AS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7" sId="7" odxf="1" dxf="1">
    <nc r="AT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8" sId="7" odxf="1" dxf="1">
    <nc r="AS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59" sId="7" odxf="1" dxf="1">
    <nc r="AT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0" sId="7" odxf="1" dxf="1">
    <nc r="AS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1" sId="7" odxf="1" dxf="1">
    <nc r="AT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2" sId="7" odxf="1" dxf="1">
    <nc r="AS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3" sId="7" odxf="1" dxf="1">
    <nc r="AT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4" sId="7" odxf="1" dxf="1">
    <nc r="AS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5" sId="7" odxf="1" dxf="1">
    <nc r="AT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6" sId="7" odxf="1" dxf="1">
    <nc r="AS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7" sId="7" odxf="1" dxf="1">
    <nc r="AT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8" sId="7" odxf="1" dxf="1">
    <nc r="AS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69" sId="7" odxf="1" dxf="1">
    <nc r="AT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0" sId="7" odxf="1" dxf="1">
    <nc r="AS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1" sId="7" odxf="1" dxf="1">
    <nc r="AT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2" sId="7" odxf="1" dxf="1">
    <nc r="AS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3" sId="7" odxf="1" dxf="1">
    <nc r="AT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4" sId="7" odxf="1" dxf="1">
    <nc r="AS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5" sId="7" odxf="1" dxf="1">
    <nc r="AT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6" sId="7" odxf="1" dxf="1">
    <nc r="AS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7" sId="7" odxf="1" dxf="1">
    <nc r="AT1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8" sId="6" odxf="1" dxf="1">
    <nc r="AS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79" sId="6" odxf="1" dxf="1">
    <nc r="AT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0" sId="6" odxf="1" dxf="1">
    <nc r="AS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1" sId="6" odxf="1" dxf="1">
    <nc r="AT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2" sId="6" odxf="1" dxf="1">
    <nc r="AS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3" sId="6" odxf="1" dxf="1">
    <nc r="AT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4" sId="6" odxf="1" dxf="1">
    <nc r="AS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5" sId="6" odxf="1" dxf="1">
    <nc r="AT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6" sId="6" odxf="1" dxf="1">
    <nc r="AS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7" sId="6" odxf="1" dxf="1">
    <nc r="AT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8" sId="6" odxf="1" dxf="1">
    <nc r="AS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89" sId="6" odxf="1" dxf="1">
    <nc r="AT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0" sId="6" odxf="1" dxf="1">
    <nc r="AS8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1" sId="6" odxf="1" dxf="1">
    <nc r="AT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2" sId="6" odxf="1" dxf="1">
    <nc r="AS9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3" sId="6" odxf="1" dxf="1">
    <nc r="AT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4" sId="6" odxf="1" dxf="1">
    <nc r="AS10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5" sId="6" odxf="1" dxf="1">
    <nc r="AT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6" sId="6" odxf="1" dxf="1">
    <nc r="AS11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7" sId="6" odxf="1" dxf="1">
    <nc r="AT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8" sId="6" odxf="1" dxf="1">
    <nc r="AS12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699" sId="6" odxf="1" dxf="1">
    <nc r="AT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0" sId="6" odxf="1" dxf="1">
    <nc r="AS13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1" sId="6" odxf="1" dxf="1">
    <nc r="AT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2" sId="6" odxf="1" dxf="1">
    <nc r="AS14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3" sId="6" odxf="1" dxf="1">
    <nc r="AT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4" sId="6" odxf="1" dxf="1">
    <nc r="AS15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5" sId="6" odxf="1" dxf="1">
    <nc r="AT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6" sId="6" odxf="1" dxf="1">
    <nc r="AS16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7" sId="6" odxf="1" dxf="1">
    <nc r="AT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8" sId="6" odxf="1" dxf="1">
    <nc r="AS17" t="inlineStr">
      <is>
        <t>RECESSO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709" sId="6" odxf="1" dxf="1">
    <nc r="AT1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10" sId="7">
    <oc r="AW14">
      <v>5</v>
    </oc>
    <nc r="AW14"/>
  </rcc>
  <rcc rId="17711" sId="7">
    <oc r="AV14">
      <v>7</v>
    </oc>
    <nc r="AV14"/>
  </rcc>
  <rcc rId="17712" sId="7">
    <nc r="AV11">
      <v>7</v>
    </nc>
  </rcc>
  <rcc rId="17713" sId="7">
    <nc r="AW11">
      <v>5</v>
    </nc>
  </rcc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14" sId="8">
    <nc r="AZ11">
      <v>5</v>
    </nc>
  </rcc>
  <rcc rId="17715" sId="8">
    <nc r="AZ12">
      <v>27</v>
    </nc>
  </rcc>
  <rcc rId="17716" sId="8" odxf="1" dxf="1">
    <nc r="AZ18" t="inlineStr">
      <is>
        <t>CAIXAS INVETARIADAS SNAS/CGCEB</t>
      </is>
    </nc>
    <odxf>
      <alignment wrapText="0"/>
    </odxf>
    <ndxf>
      <alignment wrapText="1"/>
    </ndxf>
  </rcc>
  <rcc rId="17717" sId="8">
    <nc r="AZ19" t="inlineStr">
      <is>
        <t xml:space="preserve">RECEBIMENTO 35 CAIXAS E ENVIO DE 25 CAIXAS DA FNAS </t>
      </is>
    </nc>
  </rcc>
  <rcc rId="17718" sId="8">
    <nc r="AZ15">
      <v>60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AZ19">
    <dxf>
      <alignment wrapText="1"/>
    </dxf>
  </rfmt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29" sId="8">
    <oc r="AZ15">
      <v>60</v>
    </oc>
    <nc r="AZ15">
      <v>40</v>
    </nc>
  </rcc>
  <rcc rId="17730" sId="8">
    <oc r="AZ19" t="inlineStr">
      <is>
        <t xml:space="preserve">RECEBIMENTO 35 CAIXAS E ENVIO DE 25 CAIXAS DA FNAS </t>
      </is>
    </oc>
    <nc r="AZ19" t="inlineStr">
      <is>
        <t xml:space="preserve">RECEBIMENTO 25 CAIXAS E ENVIO DE 15 CAIXAS DA FNAS </t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31" sId="8">
    <nc r="BC18" t="inlineStr">
      <is>
        <t>FERIADO</t>
      </is>
    </nc>
  </rcc>
  <rfmt sheetId="8" sqref="BB19" start="0" length="0">
    <dxf>
      <alignment wrapText="1"/>
    </dxf>
  </rfmt>
  <rfmt sheetId="8" sqref="BA18" start="0" length="0">
    <dxf>
      <alignment wrapText="1"/>
    </dxf>
  </rfmt>
  <rcc rId="17732" sId="8">
    <nc r="BA18" t="inlineStr">
      <is>
        <t xml:space="preserve">REMANEJAMENTO DE 74 DESCENDO E 99 CAIXAS SUBINDO SNAS/CGCEB </t>
      </is>
    </nc>
  </rcc>
  <rcc rId="17733" sId="8">
    <nc r="BA15">
      <v>173</v>
    </nc>
  </rcc>
  <rfmt sheetId="8" sqref="BA19">
    <dxf>
      <alignment wrapText="1"/>
    </dxf>
  </rfmt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sqref="BB18">
    <dxf>
      <alignment wrapText="1"/>
    </dxf>
  </rfmt>
  <rcc rId="17734" sId="8">
    <nc r="BB15">
      <v>48</v>
    </nc>
  </rcc>
  <rcc rId="17735" sId="8">
    <nc r="BB18" t="inlineStr">
      <is>
        <t xml:space="preserve">ARQUIVAMENTO DE 48 CAIXAS DO CGCEB  E CONFERÊNCIA DE 10 CAIXAS DO FNAS </t>
      </is>
    </nc>
  </rcc>
  <rcc rId="17736" sId="8">
    <nc r="BB16">
      <v>10</v>
    </nc>
  </rcc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37" sId="8">
    <nc r="BB11">
      <v>1</v>
    </nc>
  </rcc>
  <rcc rId="17738" sId="8">
    <nc r="BB12">
      <v>5</v>
    </nc>
  </rcc>
  <rcc rId="17739" sId="8">
    <oc r="BB18" t="inlineStr">
      <is>
        <t xml:space="preserve">ARQUIVAMENTO DE 48 CAIXAS DO CGCEB  E CONFERÊNCIA DE 10 CAIXAS DO FNAS </t>
      </is>
    </oc>
    <nc r="BB18" t="inlineStr">
      <is>
        <t xml:space="preserve">ARQUIVAMENTO DE 48 CAIXAS DO CGCEB , CONFERÊNCIA DE 10 CAIXAS DO FNAS E 1 CAIXAS CONFERIDA COM 5 PROCESSOS DA cgceb  </t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Y18" start="0" length="0">
    <dxf>
      <alignment wrapText="1"/>
    </dxf>
  </rfmt>
  <rfmt sheetId="7" sqref="AZ18" start="0" length="0">
    <dxf>
      <alignment wrapText="1"/>
    </dxf>
  </rfmt>
  <rfmt sheetId="7" sqref="BA18" start="0" length="0">
    <dxf>
      <alignment wrapText="1"/>
    </dxf>
  </rfmt>
  <rfmt sheetId="7" sqref="BB18" start="0" length="0">
    <dxf>
      <alignment wrapText="1"/>
    </dxf>
  </rfmt>
  <rcc rId="17740" sId="7">
    <nc r="BC18" t="inlineStr">
      <is>
        <t>FERIADO</t>
      </is>
    </nc>
  </rcc>
  <rcc rId="17741" sId="7">
    <nc r="BA15">
      <v>173</v>
    </nc>
  </rcc>
  <rcc rId="17742" sId="7">
    <nc r="BB15">
      <v>48</v>
    </nc>
  </rcc>
  <rcc rId="17743" sId="7">
    <nc r="AZ16">
      <v>10</v>
    </nc>
  </rcc>
  <rcc rId="17744" sId="7">
    <nc r="AY18" t="inlineStr">
      <is>
        <t>RECEBIMENTO DE 70 CAIXAS SNAS.</t>
      </is>
    </nc>
  </rcc>
  <rcc rId="17745" sId="7">
    <nc r="AY16">
      <v>10</v>
    </nc>
  </rcc>
  <rcc rId="17746" sId="7">
    <nc r="BA18" t="inlineStr">
      <is>
        <t>ARMAZENTO DE 173 CAIXAS SL. 3.71</t>
      </is>
    </nc>
  </rcc>
  <rcc rId="17747" sId="7">
    <nc r="BB18" t="inlineStr">
      <is>
        <t>ARMAZENAMENTO 48 CAIXAS SL 3.25</t>
      </is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768" sId="4" odxf="1" dxf="1">
    <nc r="BA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769" sId="4" odxf="1" dxf="1">
    <nc r="BB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770" sId="5" odxf="1" dxf="1">
    <nc r="AY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771" sId="5" odxf="1" dxf="1">
    <nc r="AZ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772" sId="5" odxf="1" dxf="1">
    <nc r="BA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773" sId="5" odxf="1" dxf="1">
    <nc r="BB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774" sId="6">
    <nc r="AY2" t="inlineStr">
      <is>
        <t>Atestado</t>
      </is>
    </nc>
  </rcc>
  <rcc rId="17775" sId="6">
    <nc r="AY3" t="inlineStr">
      <is>
        <t>Atestado</t>
      </is>
    </nc>
  </rcc>
  <rcc rId="17776" sId="6">
    <nc r="AY4" t="inlineStr">
      <is>
        <t>Atestado</t>
      </is>
    </nc>
  </rcc>
  <rcc rId="17777" sId="6">
    <nc r="AY5" t="inlineStr">
      <is>
        <t>Atestado</t>
      </is>
    </nc>
  </rcc>
  <rcc rId="17778" sId="6">
    <nc r="AY6" t="inlineStr">
      <is>
        <t>Atestado</t>
      </is>
    </nc>
  </rcc>
  <rcc rId="17779" sId="6">
    <nc r="AY7" t="inlineStr">
      <is>
        <t>Atestado</t>
      </is>
    </nc>
  </rcc>
  <rcc rId="17780" sId="6">
    <nc r="AY8" t="inlineStr">
      <is>
        <t>Atestado</t>
      </is>
    </nc>
  </rcc>
  <rcc rId="17781" sId="6">
    <nc r="AY9" t="inlineStr">
      <is>
        <t>Atestado</t>
      </is>
    </nc>
  </rcc>
  <rcc rId="17782" sId="6">
    <nc r="AY10" t="inlineStr">
      <is>
        <t>Atestado</t>
      </is>
    </nc>
  </rcc>
  <rcc rId="17783" sId="6">
    <nc r="AY11" t="inlineStr">
      <is>
        <t>Atestado</t>
      </is>
    </nc>
  </rcc>
  <rcc rId="17784" sId="6">
    <nc r="AY12" t="inlineStr">
      <is>
        <t>Atestado</t>
      </is>
    </nc>
  </rcc>
  <rcc rId="17785" sId="6">
    <nc r="AY13" t="inlineStr">
      <is>
        <t>Atestado</t>
      </is>
    </nc>
  </rcc>
  <rcc rId="17786" sId="6">
    <nc r="AY14" t="inlineStr">
      <is>
        <t>Atestado</t>
      </is>
    </nc>
  </rcc>
  <rcc rId="17787" sId="6">
    <nc r="AY15" t="inlineStr">
      <is>
        <t>Atestado</t>
      </is>
    </nc>
  </rcc>
  <rcc rId="17788" sId="6">
    <nc r="AY16" t="inlineStr">
      <is>
        <t>Atestado</t>
      </is>
    </nc>
  </rcc>
  <rcc rId="17789" sId="6">
    <nc r="AY17" t="inlineStr">
      <is>
        <t>Atestado</t>
      </is>
    </nc>
  </rcc>
  <rcc rId="17790" sId="6">
    <nc r="AZ2" t="inlineStr">
      <is>
        <t>Atestado</t>
      </is>
    </nc>
  </rcc>
  <rcc rId="17791" sId="6">
    <nc r="AZ3" t="inlineStr">
      <is>
        <t>Atestado</t>
      </is>
    </nc>
  </rcc>
  <rcc rId="17792" sId="6">
    <nc r="AZ4" t="inlineStr">
      <is>
        <t>Atestado</t>
      </is>
    </nc>
  </rcc>
  <rcc rId="17793" sId="6">
    <nc r="AZ5" t="inlineStr">
      <is>
        <t>Atestado</t>
      </is>
    </nc>
  </rcc>
  <rcc rId="17794" sId="6">
    <nc r="AZ6" t="inlineStr">
      <is>
        <t>Atestado</t>
      </is>
    </nc>
  </rcc>
  <rcc rId="17795" sId="6">
    <nc r="AZ7" t="inlineStr">
      <is>
        <t>Atestado</t>
      </is>
    </nc>
  </rcc>
  <rcc rId="17796" sId="6">
    <nc r="AZ8" t="inlineStr">
      <is>
        <t>Atestado</t>
      </is>
    </nc>
  </rcc>
  <rcc rId="17797" sId="6">
    <nc r="AZ9" t="inlineStr">
      <is>
        <t>Atestado</t>
      </is>
    </nc>
  </rcc>
  <rcc rId="17798" sId="6">
    <nc r="AZ10" t="inlineStr">
      <is>
        <t>Atestado</t>
      </is>
    </nc>
  </rcc>
  <rcc rId="17799" sId="6">
    <nc r="AZ11" t="inlineStr">
      <is>
        <t>Atestado</t>
      </is>
    </nc>
  </rcc>
  <rcc rId="17800" sId="6">
    <nc r="AZ12" t="inlineStr">
      <is>
        <t>Atestado</t>
      </is>
    </nc>
  </rcc>
  <rcc rId="17801" sId="6">
    <nc r="AZ13" t="inlineStr">
      <is>
        <t>Atestado</t>
      </is>
    </nc>
  </rcc>
  <rcc rId="17802" sId="6">
    <nc r="AZ14" t="inlineStr">
      <is>
        <t>Atestado</t>
      </is>
    </nc>
  </rcc>
  <rcc rId="17803" sId="6">
    <nc r="AZ15" t="inlineStr">
      <is>
        <t>Atestado</t>
      </is>
    </nc>
  </rcc>
  <rcc rId="17804" sId="6">
    <nc r="AZ16" t="inlineStr">
      <is>
        <t>Atestado</t>
      </is>
    </nc>
  </rcc>
  <rcc rId="17805" sId="6">
    <nc r="AZ17" t="inlineStr">
      <is>
        <t>Atestado</t>
      </is>
    </nc>
  </rcc>
  <rcc rId="17806" sId="6">
    <nc r="BA2" t="inlineStr">
      <is>
        <t>Atestado</t>
      </is>
    </nc>
  </rcc>
  <rcc rId="17807" sId="6">
    <nc r="BA3" t="inlineStr">
      <is>
        <t>Atestado</t>
      </is>
    </nc>
  </rcc>
  <rcc rId="17808" sId="6">
    <nc r="BA4" t="inlineStr">
      <is>
        <t>Atestado</t>
      </is>
    </nc>
  </rcc>
  <rcc rId="17809" sId="6">
    <nc r="BA5" t="inlineStr">
      <is>
        <t>Atestado</t>
      </is>
    </nc>
  </rcc>
  <rcc rId="17810" sId="6">
    <nc r="BA6" t="inlineStr">
      <is>
        <t>Atestado</t>
      </is>
    </nc>
  </rcc>
  <rcc rId="17811" sId="6">
    <nc r="BA7" t="inlineStr">
      <is>
        <t>Atestado</t>
      </is>
    </nc>
  </rcc>
  <rcc rId="17812" sId="6">
    <nc r="BA8" t="inlineStr">
      <is>
        <t>Atestado</t>
      </is>
    </nc>
  </rcc>
  <rcc rId="17813" sId="6">
    <nc r="BA9" t="inlineStr">
      <is>
        <t>Atestado</t>
      </is>
    </nc>
  </rcc>
  <rcc rId="17814" sId="6">
    <nc r="BA10" t="inlineStr">
      <is>
        <t>Atestado</t>
      </is>
    </nc>
  </rcc>
  <rcc rId="17815" sId="6">
    <nc r="BA11" t="inlineStr">
      <is>
        <t>Atestado</t>
      </is>
    </nc>
  </rcc>
  <rcc rId="17816" sId="6">
    <nc r="BA12" t="inlineStr">
      <is>
        <t>Atestado</t>
      </is>
    </nc>
  </rcc>
  <rcc rId="17817" sId="6">
    <nc r="BA13" t="inlineStr">
      <is>
        <t>Atestado</t>
      </is>
    </nc>
  </rcc>
  <rcc rId="17818" sId="6">
    <nc r="BA14" t="inlineStr">
      <is>
        <t>Atestado</t>
      </is>
    </nc>
  </rcc>
  <rcc rId="17819" sId="6">
    <nc r="BA15" t="inlineStr">
      <is>
        <t>Atestado</t>
      </is>
    </nc>
  </rcc>
  <rcc rId="17820" sId="6">
    <nc r="BA16" t="inlineStr">
      <is>
        <t>Atestado</t>
      </is>
    </nc>
  </rcc>
  <rcc rId="17821" sId="6">
    <nc r="BA17" t="inlineStr">
      <is>
        <t>Atestado</t>
      </is>
    </nc>
  </rcc>
  <rcc rId="17822" sId="6">
    <nc r="BB2" t="inlineStr">
      <is>
        <t>Atestado</t>
      </is>
    </nc>
  </rcc>
  <rcc rId="17823" sId="6">
    <nc r="BB3" t="inlineStr">
      <is>
        <t>Atestado</t>
      </is>
    </nc>
  </rcc>
  <rcc rId="17824" sId="6">
    <nc r="BB4" t="inlineStr">
      <is>
        <t>Atestado</t>
      </is>
    </nc>
  </rcc>
  <rcc rId="17825" sId="6">
    <nc r="BB5" t="inlineStr">
      <is>
        <t>Atestado</t>
      </is>
    </nc>
  </rcc>
  <rcc rId="17826" sId="6">
    <nc r="BB6" t="inlineStr">
      <is>
        <t>Atestado</t>
      </is>
    </nc>
  </rcc>
  <rcc rId="17827" sId="6">
    <nc r="BB7" t="inlineStr">
      <is>
        <t>Atestado</t>
      </is>
    </nc>
  </rcc>
  <rcc rId="17828" sId="6">
    <nc r="BB8" t="inlineStr">
      <is>
        <t>Atestado</t>
      </is>
    </nc>
  </rcc>
  <rcc rId="17829" sId="6">
    <nc r="BB9" t="inlineStr">
      <is>
        <t>Atestado</t>
      </is>
    </nc>
  </rcc>
  <rcc rId="17830" sId="6">
    <nc r="BB10" t="inlineStr">
      <is>
        <t>Atestado</t>
      </is>
    </nc>
  </rcc>
  <rcc rId="17831" sId="6">
    <nc r="BB11" t="inlineStr">
      <is>
        <t>Atestado</t>
      </is>
    </nc>
  </rcc>
  <rcc rId="17832" sId="6">
    <nc r="BB12" t="inlineStr">
      <is>
        <t>Atestado</t>
      </is>
    </nc>
  </rcc>
  <rcc rId="17833" sId="6">
    <nc r="BB13" t="inlineStr">
      <is>
        <t>Atestado</t>
      </is>
    </nc>
  </rcc>
  <rcc rId="17834" sId="6">
    <nc r="BB14" t="inlineStr">
      <is>
        <t>Atestado</t>
      </is>
    </nc>
  </rcc>
  <rcc rId="17835" sId="6">
    <nc r="BB15" t="inlineStr">
      <is>
        <t>Atestado</t>
      </is>
    </nc>
  </rcc>
  <rcc rId="17836" sId="6">
    <nc r="BB16" t="inlineStr">
      <is>
        <t>Atestado</t>
      </is>
    </nc>
  </rcc>
  <rcc rId="17837" sId="6">
    <nc r="BB17" t="inlineStr">
      <is>
        <t>Atestado</t>
      </is>
    </nc>
  </rcc>
  <rcc rId="17838" sId="6" odxf="1" dxf="1">
    <nc r="BC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39" sId="6" odxf="1" dxf="1">
    <nc r="BC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0" sId="6" odxf="1" dxf="1">
    <nc r="BC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1" sId="6" odxf="1" dxf="1">
    <nc r="BC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2" sId="6" odxf="1" dxf="1">
    <nc r="BC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3" sId="6" odxf="1" dxf="1">
    <nc r="BC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4" sId="6" odxf="1" dxf="1">
    <nc r="BC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5" sId="6" odxf="1" dxf="1">
    <nc r="BC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6" sId="6" odxf="1" dxf="1">
    <nc r="BC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7" sId="6" odxf="1" dxf="1">
    <nc r="BC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8" sId="6" odxf="1" dxf="1">
    <nc r="BC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49" sId="6" odxf="1" dxf="1">
    <nc r="BC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50" sId="6" odxf="1" dxf="1">
    <nc r="BC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51" sId="6" odxf="1" dxf="1">
    <nc r="BC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52" sId="6" odxf="1" dxf="1">
    <nc r="BC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53" sId="6" odxf="1" dxf="1">
    <nc r="BC17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border outline="0">
        <bottom style="thin">
          <color indexed="64"/>
        </bottom>
      </border>
    </odxf>
    <ndxf>
      <font>
        <b/>
        <sz val="11"/>
        <color theme="1"/>
        <name val="Aptos Narrow"/>
        <family val="2"/>
        <scheme val="minor"/>
      </font>
      <border outline="0">
        <bottom/>
      </border>
    </ndxf>
  </rcc>
  <rfmt sheetId="6" sqref="AY17:BC17" start="0" length="0">
    <dxf>
      <border>
        <bottom style="thin">
          <color indexed="64"/>
        </bottom>
      </border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64" sId="10">
    <nc r="AZ11">
      <v>4</v>
    </nc>
  </rcc>
  <rcc rId="17865" sId="10">
    <nc r="AZ12">
      <v>28</v>
    </nc>
  </rcc>
  <rcc rId="17866" sId="9">
    <nc r="AY11">
      <v>6</v>
    </nc>
  </rcc>
  <rcc rId="17867" sId="9">
    <nc r="AY12">
      <v>33</v>
    </nc>
  </rcc>
  <rcc rId="17868" sId="9">
    <nc r="AZ11">
      <v>5</v>
    </nc>
  </rcc>
  <rcc rId="17869" sId="9">
    <nc r="AZ12">
      <v>26</v>
    </nc>
  </rcc>
  <rcc rId="17870" sId="9">
    <nc r="BA12">
      <v>25</v>
    </nc>
  </rcc>
  <rcc rId="17871" sId="9">
    <nc r="BA11">
      <v>5</v>
    </nc>
  </rcc>
  <rcc rId="17872" sId="9">
    <nc r="BB12">
      <v>23</v>
    </nc>
  </rcc>
  <rcc rId="17873" sId="9">
    <nc r="BB11">
      <v>2</v>
    </nc>
  </rcc>
  <rcc rId="17874" sId="9">
    <nc r="BC2" t="inlineStr">
      <is>
        <t>FERIADO</t>
      </is>
    </nc>
  </rcc>
  <rcc rId="17875" sId="9">
    <nc r="BC3" t="inlineStr">
      <is>
        <t>FERIADO</t>
      </is>
    </nc>
  </rcc>
  <rcc rId="17876" sId="9">
    <nc r="BC4" t="inlineStr">
      <is>
        <t>FERIADO</t>
      </is>
    </nc>
  </rcc>
  <rcc rId="17877" sId="9">
    <nc r="BC5" t="inlineStr">
      <is>
        <t>FERIADO</t>
      </is>
    </nc>
  </rcc>
  <rcc rId="17878" sId="9">
    <nc r="BC6" t="inlineStr">
      <is>
        <t>FERIADO</t>
      </is>
    </nc>
  </rcc>
  <rcc rId="17879" sId="9">
    <nc r="BC7" t="inlineStr">
      <is>
        <t>FERIADO</t>
      </is>
    </nc>
  </rcc>
  <rcc rId="17880" sId="9">
    <nc r="BC8" t="inlineStr">
      <is>
        <t>FERIADO</t>
      </is>
    </nc>
  </rcc>
  <rcc rId="17881" sId="9">
    <nc r="BC9" t="inlineStr">
      <is>
        <t>FERIADO</t>
      </is>
    </nc>
  </rcc>
  <rcc rId="17882" sId="9">
    <nc r="BC10" t="inlineStr">
      <is>
        <t>FERIADO</t>
      </is>
    </nc>
  </rcc>
  <rcc rId="17883" sId="9">
    <nc r="BC11" t="inlineStr">
      <is>
        <t>FERIADO</t>
      </is>
    </nc>
  </rcc>
  <rcc rId="17884" sId="9">
    <nc r="BC12" t="inlineStr">
      <is>
        <t>FERIADO</t>
      </is>
    </nc>
  </rcc>
  <rcc rId="17885" sId="9">
    <nc r="BC13" t="inlineStr">
      <is>
        <t>FERIADO</t>
      </is>
    </nc>
  </rcc>
  <rcc rId="17886" sId="9">
    <nc r="BC14" t="inlineStr">
      <is>
        <t>FERIADO</t>
      </is>
    </nc>
  </rcc>
  <rcc rId="17887" sId="9">
    <nc r="BC15" t="inlineStr">
      <is>
        <t>FERIADO</t>
      </is>
    </nc>
  </rcc>
  <rcc rId="17888" sId="9">
    <nc r="BC16" t="inlineStr">
      <is>
        <t>FERIADO</t>
      </is>
    </nc>
  </rcc>
  <rcc rId="17889" sId="9">
    <nc r="BC17" t="inlineStr">
      <is>
        <t>FERIADO</t>
      </is>
    </nc>
  </rcc>
  <rfmt sheetId="9" sqref="BC2:BC17" start="0" length="2147483647">
    <dxf>
      <font>
        <b/>
      </font>
    </dxf>
  </rfmt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90" sId="4" odxf="1" dxf="1">
    <nc r="BC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1" sId="4" odxf="1" dxf="1">
    <nc r="BC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2" sId="4" odxf="1" dxf="1">
    <nc r="BC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3" sId="4" odxf="1" dxf="1">
    <nc r="BC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4" sId="4" odxf="1" dxf="1">
    <nc r="BC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5" sId="4" odxf="1" dxf="1">
    <nc r="BC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6" sId="4" odxf="1" dxf="1">
    <nc r="BC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7" sId="4" odxf="1" dxf="1">
    <nc r="BC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8" sId="4" odxf="1" dxf="1">
    <nc r="BC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899" sId="4" odxf="1" dxf="1">
    <nc r="BC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0" sId="4" odxf="1" dxf="1">
    <nc r="BC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1" sId="4" odxf="1" dxf="1">
    <nc r="BC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2" sId="4" odxf="1" dxf="1">
    <nc r="BC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3" sId="4" odxf="1" dxf="1">
    <nc r="BC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4" sId="4" odxf="1" dxf="1">
    <nc r="BC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5" sId="4" odxf="1" dxf="1">
    <nc r="BC1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6" sId="5" odxf="1" dxf="1">
    <nc r="BC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7" sId="5" odxf="1" dxf="1">
    <nc r="BC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8" sId="5" odxf="1" dxf="1">
    <nc r="BC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09" sId="5" odxf="1" dxf="1">
    <nc r="BC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0" sId="5" odxf="1" dxf="1">
    <nc r="BC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1" sId="5" odxf="1" dxf="1">
    <nc r="BC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2" sId="5" odxf="1" dxf="1">
    <nc r="BC8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3" sId="5" odxf="1" dxf="1">
    <nc r="BC9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4" sId="5" odxf="1" dxf="1">
    <nc r="BC10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5" sId="5" odxf="1" dxf="1">
    <nc r="BC11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6" sId="5" odxf="1" dxf="1">
    <nc r="BC12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7" sId="5" odxf="1" dxf="1">
    <nc r="BC13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8" sId="5" odxf="1" dxf="1">
    <nc r="BC14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19" sId="5" odxf="1" dxf="1">
    <nc r="BC15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20" sId="5" odxf="1" dxf="1">
    <nc r="BC16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cc rId="17921" sId="5" odxf="1" dxf="1">
    <nc r="BC17" t="inlineStr">
      <is>
        <t>FERIADO</t>
      </is>
    </nc>
    <odxf>
      <font>
        <b val="0"/>
        <sz val="11"/>
        <color theme="1"/>
        <name val="Aptos Narrow"/>
        <family val="2"/>
        <scheme val="minor"/>
      </font>
    </odxf>
    <ndxf>
      <font>
        <b/>
        <sz val="11"/>
        <color theme="1"/>
        <name val="Aptos Narrow"/>
        <family val="2"/>
        <scheme val="minor"/>
      </font>
    </ndxf>
  </rcc>
  <rfmt sheetId="10" sqref="BA18" start="0" length="0">
    <dxf>
      <alignment wrapText="1"/>
    </dxf>
  </rfmt>
  <rfmt sheetId="10" sqref="BB18" start="0" length="0">
    <dxf>
      <alignment wrapText="1"/>
    </dxf>
  </rfmt>
  <rcc rId="17922" sId="10">
    <nc r="BA18" t="inlineStr">
      <is>
        <t>Ajuda no armazenamento de 173 caixas SL. 3.71</t>
      </is>
    </nc>
  </rcc>
  <rcc rId="17923" sId="10">
    <nc r="BB18" t="inlineStr">
      <is>
        <t>Ajuda no armazenamento de 48 caixas SL 3.25</t>
      </is>
    </nc>
  </rcc>
  <rcc rId="17924" sId="10" odxf="1" dxf="1">
    <nc r="BC2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25" sId="10" odxf="1" dxf="1">
    <nc r="BC3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26" sId="10" odxf="1" dxf="1">
    <nc r="BC4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27" sId="10" odxf="1" dxf="1">
    <nc r="BC5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28" sId="10" odxf="1" dxf="1">
    <nc r="BC6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29" sId="10" odxf="1" dxf="1">
    <nc r="BC7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0" sId="10" odxf="1" dxf="1">
    <nc r="BC8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1" sId="10" odxf="1" dxf="1">
    <nc r="BC9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2" sId="10" odxf="1" dxf="1">
    <nc r="BC10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3" sId="10" odxf="1" dxf="1">
    <nc r="BC11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4" sId="10" odxf="1" dxf="1">
    <nc r="BC12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5" sId="10" odxf="1" dxf="1">
    <nc r="BC13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6" sId="10" odxf="1" dxf="1">
    <nc r="BC14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7" sId="10" odxf="1" dxf="1">
    <nc r="BC15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8" sId="10" odxf="1" dxf="1">
    <nc r="BC16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  <rcc rId="17939" sId="10" odxf="1" dxf="1">
    <nc r="BC17" t="inlineStr">
      <is>
        <t>FERIADO</t>
      </is>
    </nc>
    <o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odxf>
    <ndxf>
      <font>
        <b/>
        <sz val="11"/>
        <color theme="1"/>
        <name val="Aptos Narrow"/>
        <family val="2"/>
        <scheme val="minor"/>
      </font>
      <fill>
        <patternFill patternType="solid">
          <bgColor theme="9" tint="0.79998168889431442"/>
        </patternFill>
      </fill>
    </ndxf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50" sId="10">
    <nc r="BB16">
      <v>6</v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Y1" start="0" length="0">
    <dxf>
      <border outline="0">
        <right/>
      </border>
    </dxf>
  </rfmt>
  <rfmt sheetId="5" sqref="AZ1" start="0" length="0">
    <dxf>
      <border outline="0">
        <right/>
      </border>
    </dxf>
  </rfmt>
  <rfmt sheetId="5" sqref="BA1" start="0" length="0">
    <dxf>
      <border outline="0">
        <right/>
      </border>
    </dxf>
  </rfmt>
  <rfmt sheetId="5" sqref="BB1" start="0" length="0">
    <dxf>
      <border outline="0">
        <right/>
      </border>
    </dxf>
  </rfmt>
  <rfmt sheetId="5" sqref="BC1" start="0" length="0">
    <dxf>
      <border outline="0">
        <right/>
      </border>
    </dxf>
  </rfmt>
  <rfmt sheetId="5" sqref="BC2" start="0" length="0">
    <dxf>
      <font>
        <b val="0"/>
        <sz val="11"/>
        <color theme="1"/>
        <name val="Aptos Narrow"/>
        <family val="2"/>
        <scheme val="minor"/>
      </font>
    </dxf>
  </rfmt>
  <rfmt sheetId="5" sqref="BC3" start="0" length="0">
    <dxf>
      <font>
        <b val="0"/>
        <sz val="11"/>
        <color theme="1"/>
        <name val="Aptos Narrow"/>
        <family val="2"/>
        <scheme val="minor"/>
      </font>
    </dxf>
  </rfmt>
  <rfmt sheetId="5" sqref="BC4" start="0" length="0">
    <dxf>
      <font>
        <b val="0"/>
        <sz val="11"/>
        <color theme="1"/>
        <name val="Aptos Narrow"/>
        <family val="2"/>
        <scheme val="minor"/>
      </font>
    </dxf>
  </rfmt>
  <rfmt sheetId="5" sqref="BC5" start="0" length="0">
    <dxf>
      <font>
        <b val="0"/>
        <sz val="11"/>
        <color theme="1"/>
        <name val="Aptos Narrow"/>
        <family val="2"/>
        <scheme val="minor"/>
      </font>
    </dxf>
  </rfmt>
  <rfmt sheetId="5" sqref="BC6" start="0" length="0">
    <dxf>
      <font>
        <b val="0"/>
        <sz val="11"/>
        <color theme="1"/>
        <name val="Aptos Narrow"/>
        <family val="2"/>
        <scheme val="minor"/>
      </font>
    </dxf>
  </rfmt>
  <rfmt sheetId="5" sqref="BC7" start="0" length="0">
    <dxf>
      <font>
        <b val="0"/>
        <sz val="11"/>
        <color theme="1"/>
        <name val="Aptos Narrow"/>
        <family val="2"/>
        <scheme val="minor"/>
      </font>
    </dxf>
  </rfmt>
  <rfmt sheetId="5" sqref="BC8" start="0" length="0">
    <dxf>
      <font>
        <b val="0"/>
        <sz val="11"/>
        <color theme="1"/>
        <name val="Aptos Narrow"/>
        <family val="2"/>
        <scheme val="minor"/>
      </font>
    </dxf>
  </rfmt>
  <rfmt sheetId="5" sqref="BC9" start="0" length="0">
    <dxf>
      <font>
        <b val="0"/>
        <sz val="11"/>
        <color theme="1"/>
        <name val="Aptos Narrow"/>
        <family val="2"/>
        <scheme val="minor"/>
      </font>
    </dxf>
  </rfmt>
  <rfmt sheetId="5" sqref="BC10" start="0" length="0">
    <dxf>
      <font>
        <b val="0"/>
        <sz val="11"/>
        <color theme="1"/>
        <name val="Aptos Narrow"/>
        <family val="2"/>
        <scheme val="minor"/>
      </font>
    </dxf>
  </rfmt>
  <rfmt sheetId="5" sqref="BC11" start="0" length="0">
    <dxf>
      <font>
        <b val="0"/>
        <sz val="11"/>
        <color theme="1"/>
        <name val="Aptos Narrow"/>
        <family val="2"/>
        <scheme val="minor"/>
      </font>
    </dxf>
  </rfmt>
  <rfmt sheetId="5" sqref="BC12" start="0" length="0">
    <dxf>
      <font>
        <b val="0"/>
        <sz val="11"/>
        <color theme="1"/>
        <name val="Aptos Narrow"/>
        <family val="2"/>
        <scheme val="minor"/>
      </font>
    </dxf>
  </rfmt>
  <rfmt sheetId="5" sqref="BC13" start="0" length="0">
    <dxf>
      <font>
        <b val="0"/>
        <sz val="11"/>
        <color theme="1"/>
        <name val="Aptos Narrow"/>
        <family val="2"/>
        <scheme val="minor"/>
      </font>
    </dxf>
  </rfmt>
  <rfmt sheetId="5" sqref="BC14" start="0" length="0">
    <dxf>
      <font>
        <b val="0"/>
        <sz val="11"/>
        <color theme="1"/>
        <name val="Aptos Narrow"/>
        <family val="2"/>
        <scheme val="minor"/>
      </font>
    </dxf>
  </rfmt>
  <rfmt sheetId="5" sqref="BC15" start="0" length="0">
    <dxf>
      <font>
        <b val="0"/>
        <sz val="11"/>
        <color theme="1"/>
        <name val="Aptos Narrow"/>
        <family val="2"/>
        <scheme val="minor"/>
      </font>
    </dxf>
  </rfmt>
  <rfmt sheetId="5" sqref="BC16" start="0" length="0">
    <dxf>
      <font>
        <b val="0"/>
        <sz val="11"/>
        <color theme="1"/>
        <name val="Aptos Narrow"/>
        <family val="2"/>
        <scheme val="minor"/>
      </font>
    </dxf>
  </rfmt>
  <rfmt sheetId="5" sqref="AY17" start="0" length="0">
    <dxf>
      <border outline="0">
        <bottom/>
      </border>
    </dxf>
  </rfmt>
  <rfmt sheetId="5" sqref="AZ17" start="0" length="0">
    <dxf>
      <border outline="0">
        <bottom/>
      </border>
    </dxf>
  </rfmt>
  <rfmt sheetId="5" sqref="BA17" start="0" length="0">
    <dxf>
      <border outline="0">
        <bottom/>
      </border>
    </dxf>
  </rfmt>
  <rfmt sheetId="5" sqref="BB17" start="0" length="0">
    <dxf>
      <border outline="0">
        <bottom/>
      </border>
    </dxf>
  </rfmt>
  <rfmt sheetId="5" sqref="BC17" start="0" length="0">
    <dxf>
      <font>
        <b val="0"/>
        <sz val="11"/>
        <color theme="1"/>
        <name val="Aptos Narrow"/>
        <family val="2"/>
        <scheme val="minor"/>
      </font>
      <border outline="0">
        <bottom/>
      </border>
    </dxf>
  </rfmt>
  <rfmt sheetId="5" sqref="BC18" start="0" length="0">
    <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Y19" start="0" length="0">
    <dxf>
      <alignment wrapText="1"/>
    </dxf>
  </rfmt>
  <rfmt sheetId="5" sqref="AZ19" start="0" length="0">
    <dxf>
      <alignment wrapText="1"/>
    </dxf>
  </rfmt>
  <rfmt sheetId="5" sqref="BA19" start="0" length="0">
    <dxf>
      <alignment wrapText="1"/>
    </dxf>
  </rfmt>
  <rfmt sheetId="5" sqref="BB19" start="0" length="0">
    <dxf>
      <alignment wrapText="1"/>
    </dxf>
  </rfmt>
  <rfmt sheetId="5" sqref="BC19" start="0" length="0">
    <dxf>
      <alignment wrapText="1"/>
    </dxf>
  </rfmt>
  <rfmt sheetId="5" sqref="BC2:BC18">
    <dxf>
      <fill>
        <patternFill patternType="solid">
          <bgColor theme="9" tint="0.59999389629810485"/>
        </patternFill>
      </fill>
    </dxf>
  </rfmt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1">
  <userInfo guid="{6A94C11A-553B-4156-81CC-42E00004D1B4}" name="Alessandro Borges de Araújo" id="-864274525" dateTime="2026-02-26T12:23:48"/>
  <userInfo guid="{988B3B40-6140-4057-B612-E2490FD2C107}" name="Alessandro Borges de Araújo" id="-864230186" dateTime="2026-03-04T17:11:23"/>
  <userInfo guid="{00B16C98-BAA2-46B4-BBC0-B6207ABDDF29}" name="Alessandro Borges de Araújo" id="-864240976" dateTime="2026-03-09T09:41:32"/>
  <userInfo guid="{9DF05376-FD30-4377-A07E-4B3B2F7AEC34}" name="Diego Santos de Abreu" id="-678741099" dateTime="2026-03-09T09:46:30"/>
  <userInfo guid="{1B970BD9-6571-4427-8ED6-2454C553B25C}" name="Diego Santos de Abreu" id="-678723130" dateTime="2026-03-19T14:14:28"/>
  <userInfo guid="{90E51107-5E63-4CEA-B281-5A659441AC68}" name="Aelton de Jesus Nunes" id="-687533956" dateTime="2026-03-26T07:52:40"/>
  <userInfo guid="{90E51107-5E63-4CEA-B281-5A659441AC68}" name="Alessandro Borges de Araújo" id="-864250535" dateTime="2026-03-26T11:39:59"/>
  <userInfo guid="{1502ED56-3DCD-433C-9D5D-582C0E27E925}" name="Diego Santos de Abreu" id="-678701693" dateTime="2026-04-08T08:20:39"/>
  <userInfo guid="{B3B7830C-A122-4D71-8CB9-085122B2B69A}" name="Diego Santos de Abreu" id="-678730309" dateTime="2026-04-14T15:02:12"/>
  <userInfo guid="{9FD4700D-7F22-4180-BC83-3D548C608596}" name="Danilo Rafael Basilio da Silva" id="-1332249145" dateTime="2026-04-27T10:27:10"/>
  <userInfo guid="{65E147A0-FBE8-4990-B689-2FFCB5B1E9FA}" name="Marcos Neves de Almeida" id="-830253021" dateTime="2026-04-28T15:17:41"/>
</us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3" sqref="B13"/>
    </sheetView>
  </sheetViews>
  <sheetFormatPr defaultRowHeight="15" x14ac:dyDescent="0.25"/>
  <cols>
    <col min="1" max="1" width="77.42578125" bestFit="1" customWidth="1"/>
    <col min="2" max="2" width="97.42578125" customWidth="1"/>
  </cols>
  <sheetData>
    <row r="1" spans="1:2" ht="24" x14ac:dyDescent="0.25">
      <c r="A1" s="22" t="s">
        <v>9</v>
      </c>
      <c r="B1" s="21" t="s">
        <v>29</v>
      </c>
    </row>
    <row r="2" spans="1:2" ht="18.75" x14ac:dyDescent="0.25">
      <c r="A2" s="23" t="s">
        <v>18</v>
      </c>
      <c r="B2" s="27" t="s">
        <v>30</v>
      </c>
    </row>
    <row r="3" spans="1:2" ht="31.5" x14ac:dyDescent="0.25">
      <c r="A3" s="24" t="s">
        <v>0</v>
      </c>
      <c r="B3" s="28" t="s">
        <v>31</v>
      </c>
    </row>
    <row r="4" spans="1:2" ht="18.75" x14ac:dyDescent="0.25">
      <c r="A4" s="25" t="s">
        <v>17</v>
      </c>
      <c r="B4" s="27" t="s">
        <v>30</v>
      </c>
    </row>
    <row r="5" spans="1:2" ht="18.75" x14ac:dyDescent="0.25">
      <c r="A5" s="26" t="s">
        <v>16</v>
      </c>
      <c r="B5" s="28" t="s">
        <v>32</v>
      </c>
    </row>
    <row r="6" spans="1:2" ht="31.5" x14ac:dyDescent="0.25">
      <c r="A6" s="25" t="s">
        <v>1</v>
      </c>
      <c r="B6" s="30" t="s">
        <v>33</v>
      </c>
    </row>
    <row r="7" spans="1:2" ht="18.75" x14ac:dyDescent="0.25">
      <c r="A7" s="26" t="s">
        <v>2</v>
      </c>
      <c r="B7" s="28" t="s">
        <v>23</v>
      </c>
    </row>
    <row r="8" spans="1:2" ht="18.75" x14ac:dyDescent="0.25">
      <c r="A8" s="25" t="s">
        <v>3</v>
      </c>
      <c r="B8" s="30" t="s">
        <v>34</v>
      </c>
    </row>
    <row r="9" spans="1:2" ht="18.75" x14ac:dyDescent="0.25">
      <c r="A9" s="26" t="s">
        <v>25</v>
      </c>
      <c r="B9" s="28" t="s">
        <v>23</v>
      </c>
    </row>
    <row r="10" spans="1:2" ht="18.75" x14ac:dyDescent="0.25">
      <c r="A10" s="25" t="s">
        <v>12</v>
      </c>
      <c r="B10" s="29" t="s">
        <v>23</v>
      </c>
    </row>
    <row r="11" spans="1:2" ht="18.75" x14ac:dyDescent="0.25">
      <c r="A11" s="26" t="s">
        <v>4</v>
      </c>
      <c r="B11" s="31" t="s">
        <v>23</v>
      </c>
    </row>
    <row r="12" spans="1:2" ht="18.75" x14ac:dyDescent="0.25">
      <c r="A12" s="25" t="s">
        <v>5</v>
      </c>
      <c r="B12" s="30" t="s">
        <v>23</v>
      </c>
    </row>
    <row r="13" spans="1:2" ht="37.5" x14ac:dyDescent="0.25">
      <c r="A13" s="26" t="s">
        <v>8</v>
      </c>
      <c r="B13" s="28" t="s">
        <v>37</v>
      </c>
    </row>
    <row r="14" spans="1:2" ht="18.75" x14ac:dyDescent="0.25">
      <c r="A14" s="25" t="s">
        <v>6</v>
      </c>
      <c r="B14" s="30" t="s">
        <v>26</v>
      </c>
    </row>
    <row r="15" spans="1:2" ht="31.5" x14ac:dyDescent="0.25">
      <c r="A15" s="24" t="s">
        <v>19</v>
      </c>
      <c r="B15" s="28" t="s">
        <v>35</v>
      </c>
    </row>
    <row r="16" spans="1:2" ht="31.5" x14ac:dyDescent="0.25">
      <c r="A16" s="23" t="s">
        <v>14</v>
      </c>
      <c r="B16" s="30" t="s">
        <v>36</v>
      </c>
    </row>
  </sheetData>
  <customSheetViews>
    <customSheetView guid="{86039CF8-B158-4D70-9A6F-A10C29CBD68A}">
      <selection activeCell="B13" sqref="B1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B13" sqref="B1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B13" sqref="B13"/>
      <pageMargins left="0.511811024" right="0.511811024" top="0.78740157499999996" bottom="0.78740157499999996" header="0.31496062000000002" footer="0.31496062000000002"/>
    </customSheetView>
    <customSheetView guid="{18A482E0-C8B6-4AA1-9E04-15FA7C9CD5E3}">
      <selection activeCell="B13" sqref="B13"/>
      <pageMargins left="0.511811024" right="0.511811024" top="0.78740157499999996" bottom="0.78740157499999996" header="0.31496062000000002" footer="0.31496062000000002"/>
    </customSheetView>
    <customSheetView guid="{9B623083-AA7B-440B-95EA-C33E1AB3D963}">
      <selection activeCell="B13" sqref="B13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13" sqref="B13"/>
      <pageMargins left="0.511811024" right="0.511811024" top="0.78740157499999996" bottom="0.78740157499999996" header="0.31496062000000002" footer="0.31496062000000002"/>
    </customSheetView>
    <customSheetView guid="{3D987F8E-A6EA-454D-9537-6BFC5053CB00}">
      <selection activeCell="B13" sqref="B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5"/>
  <sheetViews>
    <sheetView workbookViewId="0">
      <selection activeCell="E1" sqref="E1:E1048576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6" x14ac:dyDescent="0.25">
      <c r="A1" s="14" t="s">
        <v>9</v>
      </c>
      <c r="B1" s="5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69">
        <v>46143</v>
      </c>
      <c r="BD1" s="10" t="s">
        <v>15</v>
      </c>
    </row>
    <row r="2" spans="1:56" x14ac:dyDescent="0.25">
      <c r="A2" s="2" t="s">
        <v>8</v>
      </c>
      <c r="B2" s="17">
        <v>1</v>
      </c>
      <c r="C2" s="11"/>
      <c r="G2" s="63"/>
      <c r="H2" s="33">
        <f t="shared" ref="H2:H3" si="0">SUM(C2:G2)</f>
        <v>0</v>
      </c>
      <c r="N2" s="33">
        <f t="shared" ref="N2:N3" si="1">SUM(I2:M2)</f>
        <v>0</v>
      </c>
      <c r="T2" s="33">
        <f t="shared" ref="T2:T3" si="2">SUM(O2:S2)</f>
        <v>0</v>
      </c>
      <c r="Z2" s="33">
        <f t="shared" ref="Z2:Z3" si="3">SUM(U2:Y2)</f>
        <v>0</v>
      </c>
      <c r="AF2" s="33">
        <f t="shared" ref="AF2:AF3" si="4">SUM(AA2:AE2)</f>
        <v>0</v>
      </c>
      <c r="AL2" s="33">
        <f t="shared" ref="AL2:AL3" si="5">SUM(AG2:AK2)</f>
        <v>0</v>
      </c>
      <c r="AR2" s="33">
        <f t="shared" ref="AR2:AR3" si="6">SUM(AM2:AQ2)</f>
        <v>0</v>
      </c>
      <c r="AX2" s="33">
        <f t="shared" ref="AX2:AX3" si="7">SUM(AS2:AW2)</f>
        <v>0</v>
      </c>
      <c r="BD2" s="33">
        <f>SUM(AY2:BC2)</f>
        <v>0</v>
      </c>
    </row>
    <row r="3" spans="1:56" x14ac:dyDescent="0.25">
      <c r="A3" s="3" t="s">
        <v>6</v>
      </c>
      <c r="B3" s="16">
        <v>2</v>
      </c>
      <c r="C3" s="12"/>
      <c r="D3" s="13"/>
      <c r="E3" s="13"/>
      <c r="F3" s="13"/>
      <c r="G3" s="64"/>
      <c r="H3" s="34">
        <f t="shared" si="0"/>
        <v>0</v>
      </c>
      <c r="I3" s="13"/>
      <c r="J3" s="13"/>
      <c r="K3" s="13"/>
      <c r="L3" s="13"/>
      <c r="M3" s="13"/>
      <c r="N3" s="34">
        <f t="shared" si="1"/>
        <v>0</v>
      </c>
      <c r="O3" s="13"/>
      <c r="P3" s="13"/>
      <c r="Q3" s="13"/>
      <c r="R3" s="13"/>
      <c r="S3" s="13"/>
      <c r="T3" s="34">
        <f t="shared" si="2"/>
        <v>0</v>
      </c>
      <c r="U3" s="13"/>
      <c r="V3" s="13"/>
      <c r="W3" s="13"/>
      <c r="X3" s="13"/>
      <c r="Y3" s="13"/>
      <c r="Z3" s="34">
        <f t="shared" si="3"/>
        <v>0</v>
      </c>
      <c r="AA3" s="13"/>
      <c r="AB3" s="13"/>
      <c r="AC3" s="13"/>
      <c r="AD3" s="13"/>
      <c r="AE3" s="13"/>
      <c r="AF3" s="34">
        <f t="shared" si="4"/>
        <v>0</v>
      </c>
      <c r="AG3" s="13"/>
      <c r="AH3" s="13"/>
      <c r="AI3" s="13"/>
      <c r="AJ3" s="13"/>
      <c r="AK3" s="13"/>
      <c r="AL3" s="34">
        <f t="shared" si="5"/>
        <v>0</v>
      </c>
      <c r="AM3" s="13"/>
      <c r="AN3" s="13"/>
      <c r="AO3" s="13"/>
      <c r="AP3" s="13"/>
      <c r="AQ3" s="13"/>
      <c r="AR3" s="34">
        <f t="shared" si="6"/>
        <v>0</v>
      </c>
      <c r="AS3" s="13"/>
      <c r="AT3" s="13"/>
      <c r="AU3" s="13"/>
      <c r="AV3" s="13"/>
      <c r="AW3" s="13"/>
      <c r="AX3" s="34">
        <f t="shared" si="7"/>
        <v>0</v>
      </c>
      <c r="AY3" s="13"/>
      <c r="AZ3" s="13"/>
      <c r="BA3" s="13"/>
      <c r="BB3" s="13"/>
      <c r="BC3" s="13"/>
      <c r="BD3" s="34">
        <f>SUM(AY3:BC3)</f>
        <v>0</v>
      </c>
    </row>
    <row r="4" spans="1:56" x14ac:dyDescent="0.25">
      <c r="A4" s="1" t="s">
        <v>11</v>
      </c>
    </row>
    <row r="5" spans="1:56" x14ac:dyDescent="0.25">
      <c r="A5" s="1" t="s">
        <v>10</v>
      </c>
    </row>
  </sheetData>
  <customSheetViews>
    <customSheetView guid="{86039CF8-B158-4D70-9A6F-A10C29CBD68A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A16" sqref="A16:XFD16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T1" activePane="topRight" state="frozen"/>
      <selection pane="topRight" activeCell="CE1" sqref="CE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4" sqref="A14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D12" sqref="D12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activeCell="E4" sqref="E4"/>
      <pageMargins left="0.511811024" right="0.511811024" top="0.78740157499999996" bottom="0.78740157499999996" header="0.31496062000000002" footer="0.31496062000000002"/>
      <autoFilter ref="A1:A5" xr:uid="{BB913022-DA2D-4AEE-8B16-04846B69C1C2}"/>
    </customSheetView>
    <customSheetView guid="{20CB6D8F-C24D-4D4B-A424-AF380F620455}" showPageBreaks="1">
      <selection activeCell="A14" sqref="A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3D987F8E-A6EA-454D-9537-6BFC5053CB00}">
      <pane xSplit="1" topLeftCell="AW1" activePane="topRight" state="frozen"/>
      <selection pane="topRight" activeCell="BA11" sqref="BA11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"/>
  <sheetViews>
    <sheetView workbookViewId="0">
      <selection activeCell="S1" sqref="S1:S1048576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6" x14ac:dyDescent="0.25">
      <c r="A1" s="14" t="s">
        <v>9</v>
      </c>
      <c r="B1" s="5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69">
        <v>46143</v>
      </c>
      <c r="BD1" s="10" t="s">
        <v>15</v>
      </c>
    </row>
    <row r="2" spans="1:56" x14ac:dyDescent="0.25">
      <c r="A2" s="2" t="s">
        <v>8</v>
      </c>
      <c r="B2" s="17">
        <v>1</v>
      </c>
      <c r="H2" s="66">
        <f>SUM(C2:G2)</f>
        <v>0</v>
      </c>
      <c r="N2" s="66">
        <f>SUM(I2:M2)</f>
        <v>0</v>
      </c>
      <c r="T2" s="66">
        <f>SUM(O2:S2)</f>
        <v>0</v>
      </c>
      <c r="Z2" s="66">
        <f>SUM(U2:Y2)</f>
        <v>0</v>
      </c>
      <c r="AF2" s="66">
        <f>SUM(AA2:AE2)</f>
        <v>0</v>
      </c>
      <c r="AL2" s="66">
        <f>SUM(AG2:AK2)</f>
        <v>0</v>
      </c>
      <c r="AR2" s="66">
        <f>SUM(AM2:AQ2)</f>
        <v>0</v>
      </c>
      <c r="AX2" s="66">
        <f>SUM(AS2:AW2)</f>
        <v>0</v>
      </c>
      <c r="BD2" s="66">
        <f>SUM(AY2:BC2)</f>
        <v>0</v>
      </c>
    </row>
    <row r="3" spans="1:56" x14ac:dyDescent="0.25">
      <c r="A3" s="3" t="s">
        <v>6</v>
      </c>
      <c r="B3" s="65">
        <v>2</v>
      </c>
      <c r="C3" s="13"/>
      <c r="D3" s="13"/>
      <c r="E3" s="13"/>
      <c r="F3" s="13"/>
      <c r="G3" s="13"/>
      <c r="H3" s="67">
        <f>SUM(C3:G3)</f>
        <v>0</v>
      </c>
      <c r="I3" s="13"/>
      <c r="J3" s="13"/>
      <c r="K3" s="13"/>
      <c r="L3" s="13"/>
      <c r="M3" s="13"/>
      <c r="N3" s="67">
        <f>SUM(I3:M3)</f>
        <v>0</v>
      </c>
      <c r="O3" s="13"/>
      <c r="P3" s="13"/>
      <c r="Q3" s="13"/>
      <c r="R3" s="13"/>
      <c r="S3" s="13"/>
      <c r="T3" s="67">
        <f>SUM(O3:S3)</f>
        <v>0</v>
      </c>
      <c r="U3" s="13"/>
      <c r="V3" s="13"/>
      <c r="W3" s="13"/>
      <c r="X3" s="13"/>
      <c r="Y3" s="13"/>
      <c r="Z3" s="67">
        <f>SUM(U3:Y3)</f>
        <v>0</v>
      </c>
      <c r="AA3" s="13"/>
      <c r="AB3" s="13"/>
      <c r="AC3" s="13"/>
      <c r="AD3" s="13"/>
      <c r="AE3" s="13"/>
      <c r="AF3" s="67">
        <f>SUM(AA3:AE3)</f>
        <v>0</v>
      </c>
      <c r="AG3" s="13"/>
      <c r="AH3" s="13"/>
      <c r="AI3" s="13"/>
      <c r="AJ3" s="13"/>
      <c r="AK3" s="13"/>
      <c r="AL3" s="67">
        <f>SUM(AG3:AK3)</f>
        <v>0</v>
      </c>
      <c r="AM3" s="13"/>
      <c r="AN3" s="13"/>
      <c r="AO3" s="13"/>
      <c r="AP3" s="13"/>
      <c r="AQ3" s="13"/>
      <c r="AR3" s="67">
        <f>SUM(AM3:AQ3)</f>
        <v>0</v>
      </c>
      <c r="AS3" s="13"/>
      <c r="AT3" s="13"/>
      <c r="AU3" s="13"/>
      <c r="AV3" s="13"/>
      <c r="AW3" s="13"/>
      <c r="AX3" s="67">
        <f>SUM(AS3:AW3)</f>
        <v>0</v>
      </c>
      <c r="AY3" s="13"/>
      <c r="AZ3" s="13"/>
      <c r="BA3" s="13"/>
      <c r="BB3" s="13"/>
      <c r="BC3" s="13"/>
      <c r="BD3" s="67">
        <f>SUM(AY3:BC3)</f>
        <v>0</v>
      </c>
    </row>
    <row r="4" spans="1:56" x14ac:dyDescent="0.25">
      <c r="A4" s="1" t="s">
        <v>11</v>
      </c>
    </row>
    <row r="5" spans="1:56" x14ac:dyDescent="0.25">
      <c r="A5" s="1" t="s">
        <v>10</v>
      </c>
    </row>
  </sheetData>
  <customSheetViews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F1" sqref="CF1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A12">
      <selection activeCell="A9" sqref="A9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13" sqref="C13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sqref="A1:XFD1048576"/>
      <pageMargins left="0.511811024" right="0.511811024" top="0.78740157499999996" bottom="0.78740157499999996" header="0.31496062000000002" footer="0.31496062000000002"/>
      <autoFilter ref="A1:A5" xr:uid="{28AA714C-EE39-4E3B-A558-D2B39412C1A4}"/>
    </customSheetView>
    <customSheetView guid="{20CB6D8F-C24D-4D4B-A424-AF380F620455}" showPageBreaks="1" topLeftCell="A12">
      <selection activeCell="A9" sqref="A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3D987F8E-A6EA-454D-9537-6BFC5053CB00}" topLeftCell="AN1">
      <selection activeCell="AW21" sqref="AW21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zoomScaleNormal="110" workbookViewId="0">
      <selection activeCell="E3" sqref="E3"/>
    </sheetView>
  </sheetViews>
  <sheetFormatPr defaultRowHeight="15" x14ac:dyDescent="0.25"/>
  <cols>
    <col min="1" max="1" width="77.140625" customWidth="1"/>
    <col min="2" max="2" width="46.42578125" style="6" customWidth="1"/>
    <col min="3" max="3" width="9.5703125" customWidth="1"/>
    <col min="4" max="4" width="9.28515625" customWidth="1"/>
    <col min="5" max="5" width="11.7109375" customWidth="1"/>
    <col min="6" max="6" width="10.140625" customWidth="1"/>
    <col min="7" max="10" width="9.28515625" bestFit="1" customWidth="1"/>
  </cols>
  <sheetData>
    <row r="1" spans="1:11" ht="36" x14ac:dyDescent="0.25">
      <c r="A1" s="45" t="s">
        <v>9</v>
      </c>
      <c r="B1" s="46" t="s">
        <v>20</v>
      </c>
      <c r="C1" s="47" t="s">
        <v>47</v>
      </c>
      <c r="D1" s="47" t="s">
        <v>48</v>
      </c>
      <c r="E1" s="47" t="s">
        <v>42</v>
      </c>
      <c r="F1" s="47" t="s">
        <v>43</v>
      </c>
      <c r="G1" s="47" t="s">
        <v>44</v>
      </c>
      <c r="H1" s="47" t="s">
        <v>45</v>
      </c>
      <c r="I1" s="47" t="s">
        <v>46</v>
      </c>
      <c r="J1" s="47" t="s">
        <v>49</v>
      </c>
      <c r="K1" s="47" t="s">
        <v>50</v>
      </c>
    </row>
    <row r="2" spans="1:11" x14ac:dyDescent="0.25">
      <c r="A2" s="48" t="s">
        <v>18</v>
      </c>
      <c r="B2" s="49" t="s">
        <v>21</v>
      </c>
      <c r="C2" s="50">
        <f>Diego!H2+Aelton!H2+Leonam!H2+Danilo!H2+Marcos!H2+Alessandro!H2</f>
        <v>0</v>
      </c>
      <c r="D2" s="50">
        <f>Diego!N2+Aelton!N2+Leonam!N2+Danilo!N2+Marcos!N2+Alessandro!AL2+Carlos!N2</f>
        <v>1</v>
      </c>
      <c r="E2" s="50">
        <f>Diego!T2+Aelton!T2+Leonam!T2+Danilo!T2+Marcos!T2+Alessandro!T2</f>
        <v>1</v>
      </c>
      <c r="F2" s="50">
        <f>Diego!Z2+Aelton!Z2+Leonam!Z2+Danilo!Z2+Marcos!Z2+Alessandro!Z2</f>
        <v>0</v>
      </c>
      <c r="G2" s="50">
        <f>Diego!AF2+Aelton!AF2+Leonam!AF2+Danilo!AF2+Marcos!AF2+Alessandro!AF2</f>
        <v>24</v>
      </c>
      <c r="H2" s="50">
        <f>Diego!AL2+Aelton!AL2+Leonam!AL2+Danilo!AL2+Marcos!AL2+Alessandro!AL2</f>
        <v>3</v>
      </c>
      <c r="I2" s="50">
        <f>Diego!AR2+Aelton!AR2+Leonam!AR2+Danilo!AR2+Marcos!AR2+Alessandro!AR2</f>
        <v>0</v>
      </c>
      <c r="J2" s="50">
        <f>Diego!AX2+Aelton!AX2+Leonam!AX2+Danilo!AX2+Marcos!AX2+Alessandro!AX2</f>
        <v>0</v>
      </c>
      <c r="K2" s="50">
        <f>Diego!BD2+Aelton!BD2+Leonam!BD2+Danilo!BD2+Marcos!BD2+Alessandro!BD2+Carlos!BD2</f>
        <v>0</v>
      </c>
    </row>
    <row r="3" spans="1:11" s="59" customFormat="1" ht="24" x14ac:dyDescent="0.25">
      <c r="A3" s="57" t="s">
        <v>0</v>
      </c>
      <c r="B3" s="58" t="s">
        <v>22</v>
      </c>
      <c r="C3" s="51">
        <f>Diego!H3+Aelton!H3+Leonam!H3+Danilo!H3+Marcos!H3+Alessandro!H3</f>
        <v>0</v>
      </c>
      <c r="D3" s="51">
        <f>Diego!N3+Aelton!N3+Leonam!N3+Danilo!N3+Marcos!N3+Alessandro!AL3+Carlos!N3</f>
        <v>6</v>
      </c>
      <c r="E3" s="51">
        <f>Diego!T3+Aelton!T3+Leonam!T3+Danilo!T3+Marcos!T3+Alessandro!T3</f>
        <v>0</v>
      </c>
      <c r="F3" s="51">
        <f>Diego!Z3+Aelton!Z3+Leonam!Z3+Danilo!Z3+Marcos!Z3+Alessandro!Z3</f>
        <v>0</v>
      </c>
      <c r="G3" s="51">
        <f>Diego!AF3+Aelton!AF3+Leonam!AF3+Danilo!AF3+Marcos!AF3+Alessandro!AF3</f>
        <v>3</v>
      </c>
      <c r="H3" s="51">
        <f>Diego!AL3+Aelton!AL3+Leonam!AL3+Danilo!AL3+Marcos!AL3+Alessandro!AL3</f>
        <v>6</v>
      </c>
      <c r="I3" s="51">
        <f>Diego!AR3+Aelton!AR3+Leonam!AR3+Danilo!AR3+Marcos!AR3+Alessandro!AR3</f>
        <v>0</v>
      </c>
      <c r="J3" s="51">
        <f>Diego!AX3+Aelton!AX3+Leonam!AX3+Danilo!AX3+Marcos!AX3+Alessandro!AX3</f>
        <v>0</v>
      </c>
      <c r="K3" s="51">
        <f>Diego!BD3+Aelton!BD3+Leonam!BD3+Danilo!BD3+Marcos!BD3+Alessandro!BD3+Carlos!BD3</f>
        <v>0</v>
      </c>
    </row>
    <row r="4" spans="1:11" x14ac:dyDescent="0.25">
      <c r="A4" s="52" t="s">
        <v>17</v>
      </c>
      <c r="B4" s="53" t="s">
        <v>21</v>
      </c>
      <c r="C4" s="50">
        <f>Diego!H4+Aelton!H4+Leonam!H4+Danilo!H4+Marcos!H4+Alessandro!H4</f>
        <v>1</v>
      </c>
      <c r="D4" s="50">
        <f>Diego!N4+Aelton!N4+Leonam!N4+Danilo!N4+Marcos!N4+Alessandro!N4</f>
        <v>0</v>
      </c>
      <c r="E4" s="50">
        <f>Diego!T4+Aelton!T4+Leonam!T4+Danilo!T4+Marcos!T4+Alessandro!T4</f>
        <v>27</v>
      </c>
      <c r="F4" s="50">
        <f>Diego!Z4+Aelton!Z4+Leonam!Z4+Danilo!Z4+Marcos!Z4+Alessandro!Z4</f>
        <v>7</v>
      </c>
      <c r="G4" s="50">
        <f>Diego!AF4+Aelton!AF4+Leonam!AF4+Danilo!AF4+Marcos!AF4+Alessandro!AF4</f>
        <v>0</v>
      </c>
      <c r="H4" s="50">
        <f>Diego!AL4+Aelton!AL4+Leonam!AL4+Danilo!AL4+Marcos!AL4+Alessandro!AL4</f>
        <v>0</v>
      </c>
      <c r="I4" s="50">
        <f>Diego!AR4+Aelton!AR4+Leonam!AR4+Danilo!AR4+Marcos!AR4+Alessandro!AR4</f>
        <v>26</v>
      </c>
      <c r="J4" s="50">
        <f>Diego!AX4+Aelton!AX4+Leonam!AX4+Danilo!AX4+Marcos!AX4+Alessandro!AX4</f>
        <v>0</v>
      </c>
      <c r="K4" s="50">
        <f>Diego!BD4+Aelton!BD4+Leonam!BD4+Danilo!BD4+Marcos!BD4+Alessandro!BD4+Carlos!BD4</f>
        <v>0</v>
      </c>
    </row>
    <row r="5" spans="1:11" s="59" customFormat="1" x14ac:dyDescent="0.25">
      <c r="A5" s="60" t="s">
        <v>16</v>
      </c>
      <c r="B5" s="58" t="s">
        <v>21</v>
      </c>
      <c r="C5" s="51">
        <f>Diego!H5+Aelton!H5+Leonam!H5+Danilo!H5+Marcos!H5+Alessandro!H5</f>
        <v>0</v>
      </c>
      <c r="D5" s="51">
        <f>Diego!N5+Aelton!N5+Leonam!N5+Danilo!N5+Marcos!N5+Alessandro!N5</f>
        <v>0</v>
      </c>
      <c r="E5" s="51">
        <f>Diego!T5+Aelton!T5+Leonam!T5+Danilo!T5+Marcos!T5+Alessandro!T5</f>
        <v>0</v>
      </c>
      <c r="F5" s="51">
        <f>Diego!Z5+Aelton!Z5+Leonam!Z5+Danilo!Z5+Marcos!Z5+Alessandro!Z5</f>
        <v>0</v>
      </c>
      <c r="G5" s="51">
        <f>Diego!AF5+Aelton!AF5+Leonam!AF5+Danilo!AF5+Marcos!AF5+Alessandro!AF5</f>
        <v>0</v>
      </c>
      <c r="H5" s="51">
        <f>Diego!AL5+Aelton!AL5+Leonam!AL5+Danilo!AL5+Marcos!AL5+Alessandro!AL5</f>
        <v>0</v>
      </c>
      <c r="I5" s="51">
        <f>Diego!AR5+Aelton!AR5+Leonam!AR5+Danilo!AR5+Marcos!AR5+Alessandro!AR5</f>
        <v>0</v>
      </c>
      <c r="J5" s="51">
        <f>Diego!AX5+Aelton!AX5+Leonam!AX5+Danilo!AX5+Marcos!AX5+Alessandro!AX5</f>
        <v>0</v>
      </c>
      <c r="K5" s="51">
        <f>Diego!BD5+Aelton!BD5+Leonam!BD5+Danilo!BD5+Marcos!BD5+Alessandro!BD5+Carlos!BD5</f>
        <v>0</v>
      </c>
    </row>
    <row r="6" spans="1:11" ht="24" x14ac:dyDescent="0.25">
      <c r="A6" s="52" t="s">
        <v>1</v>
      </c>
      <c r="B6" s="54" t="s">
        <v>38</v>
      </c>
      <c r="C6" s="50">
        <f>Diego!H6+Aelton!H6+Leonam!H6+Danilo!H6+Marcos!H6+Alessandro!H6</f>
        <v>0</v>
      </c>
      <c r="D6" s="50">
        <f>Diego!N6+Aelton!N6+Leonam!N6+Danilo!N6+Marcos!N6+Alessandro!N6</f>
        <v>0</v>
      </c>
      <c r="E6" s="50">
        <f>Diego!T6+Aelton!T6+Leonam!T6+Danilo!T6+Marcos!T6+Alessandro!T6</f>
        <v>0</v>
      </c>
      <c r="F6" s="50">
        <f>Diego!Z6+Aelton!Z6+Leonam!Z6+Danilo!Z6+Marcos!Z6+Alessandro!Z6</f>
        <v>0</v>
      </c>
      <c r="G6" s="50">
        <f>Diego!AF6+Aelton!AF6+Leonam!AF6+Danilo!AF6+Marcos!AF6+Alessandro!AF6</f>
        <v>0</v>
      </c>
      <c r="H6" s="50">
        <f>Diego!AL6+Aelton!AL6+Leonam!AL6+Danilo!AL6+Marcos!AL6+Alessandro!AL6</f>
        <v>0</v>
      </c>
      <c r="I6" s="50">
        <f>Diego!AR6+Aelton!AR6+Leonam!AR6+Danilo!AR6+Marcos!AR6+Alessandro!AR6</f>
        <v>0</v>
      </c>
      <c r="J6" s="50">
        <f>Diego!AX6+Aelton!AX6+Leonam!AX6+Danilo!AX6+Marcos!AX6+Alessandro!AX6</f>
        <v>0</v>
      </c>
      <c r="K6" s="50">
        <f>Diego!BD6+Aelton!BD6+Leonam!BD6+Danilo!BD6+Marcos!BD6+Alessandro!BD6+Carlos!BD6</f>
        <v>0</v>
      </c>
    </row>
    <row r="7" spans="1:11" s="59" customFormat="1" x14ac:dyDescent="0.25">
      <c r="A7" s="60" t="s">
        <v>2</v>
      </c>
      <c r="B7" s="58" t="s">
        <v>23</v>
      </c>
      <c r="C7" s="51">
        <f>Diego!H7+Aelton!H7+Leonam!H7+Danilo!H7+Marcos!H7+Alessandro!H7</f>
        <v>0</v>
      </c>
      <c r="D7" s="51">
        <f>Diego!N7+Aelton!N7+Leonam!N7+Danilo!N7+Marcos!N7+Alessandro!N7</f>
        <v>0</v>
      </c>
      <c r="E7" s="51">
        <f>Diego!T7+Aelton!T7+Leonam!T7+Danilo!T7+Marcos!T7+Alessandro!T7</f>
        <v>0</v>
      </c>
      <c r="F7" s="51">
        <f>Diego!Z7+Aelton!Z7+Leonam!Z7+Danilo!Z7+Marcos!Z7+Alessandro!Z7</f>
        <v>0</v>
      </c>
      <c r="G7" s="51">
        <f>Diego!AF7+Aelton!AF7+Leonam!AF7+Danilo!AF7+Marcos!AF7+Alessandro!AF7</f>
        <v>0</v>
      </c>
      <c r="H7" s="51">
        <f>Diego!AL7+Aelton!AL7+Leonam!AL7+Danilo!AL7+Marcos!AL7+Alessandro!AL7</f>
        <v>0</v>
      </c>
      <c r="I7" s="51">
        <f>Diego!AR7+Aelton!AR7+Leonam!AR7+Danilo!AR7+Marcos!AR7+Alessandro!AR7</f>
        <v>0</v>
      </c>
      <c r="J7" s="51">
        <f>Diego!AX7+Aelton!AX7+Leonam!AX7+Danilo!AX7+Marcos!AX7+Alessandro!AX7</f>
        <v>0</v>
      </c>
      <c r="K7" s="51">
        <f>Diego!BD7+Aelton!BD7+Leonam!BD7+Danilo!BD7+Marcos!BD7+Alessandro!BD7+Carlos!BD7</f>
        <v>0</v>
      </c>
    </row>
    <row r="8" spans="1:11" ht="24" x14ac:dyDescent="0.25">
      <c r="A8" s="52" t="s">
        <v>3</v>
      </c>
      <c r="B8" s="54" t="s">
        <v>24</v>
      </c>
      <c r="C8" s="50">
        <f>Diego!H8+Aelton!H8+Leonam!H8+Danilo!H8+Marcos!H8+Alessandro!H8</f>
        <v>0</v>
      </c>
      <c r="D8" s="50">
        <f>Diego!N8+Aelton!N8+Leonam!N8+Danilo!N8+Marcos!N8+Alessandro!N8</f>
        <v>0</v>
      </c>
      <c r="E8" s="50">
        <f>Diego!T8+Aelton!T8+Leonam!T8+Danilo!T8+Marcos!T8+Alessandro!T8</f>
        <v>24</v>
      </c>
      <c r="F8" s="50">
        <f>Diego!Z8+Aelton!Z8+Leonam!Z8+Danilo!Z8+Marcos!Z8+Alessandro!Z8</f>
        <v>0</v>
      </c>
      <c r="G8" s="50">
        <f>Diego!AF8+Aelton!AF8+Leonam!AF8+Danilo!AF8+Marcos!AF8+Alessandro!AF8</f>
        <v>0</v>
      </c>
      <c r="H8" s="50">
        <f>Diego!AL8+Aelton!AL8+Leonam!AL8+Danilo!AL8+Marcos!AL8+Alessandro!AL8</f>
        <v>0</v>
      </c>
      <c r="I8" s="50">
        <f>Diego!AR8+Aelton!AR8+Leonam!AR8+Danilo!AR8+Marcos!AR8+Alessandro!AR8</f>
        <v>0</v>
      </c>
      <c r="J8" s="50">
        <f>Diego!AX8+Aelton!AX8+Leonam!AX8+Danilo!AX8+Marcos!AX8+Alessandro!AX8</f>
        <v>0</v>
      </c>
      <c r="K8" s="50">
        <f>Diego!BD8+Aelton!BD8+Leonam!BD8+Danilo!BD8+Marcos!BD8+Alessandro!BD8+Carlos!BD8</f>
        <v>0</v>
      </c>
    </row>
    <row r="9" spans="1:11" s="59" customFormat="1" x14ac:dyDescent="0.25">
      <c r="A9" s="60" t="s">
        <v>25</v>
      </c>
      <c r="B9" s="58" t="s">
        <v>23</v>
      </c>
      <c r="C9" s="51">
        <f>Diego!H9+Aelton!H9+Leonam!H9+Danilo!H9+Marcos!H9+Alessandro!H9</f>
        <v>0</v>
      </c>
      <c r="D9" s="51">
        <f>Diego!N9+Aelton!N9+Leonam!N9+Danilo!N9+Marcos!N9+Alessandro!N9</f>
        <v>0</v>
      </c>
      <c r="E9" s="51">
        <f>Diego!T9+Aelton!T9+Leonam!T9+Danilo!T9+Marcos!T9+Alessandro!T9</f>
        <v>77</v>
      </c>
      <c r="F9" s="51">
        <f>Diego!Z9+Aelton!Z9+Leonam!Z9+Danilo!Z9+Marcos!Z9+Alessandro!Z9</f>
        <v>0</v>
      </c>
      <c r="G9" s="51">
        <f>Diego!AF9+Aelton!AF9+Leonam!AF9+Danilo!AF9+Marcos!AF9+Alessandro!AF9</f>
        <v>0</v>
      </c>
      <c r="H9" s="51">
        <f>Diego!AL9+Aelton!AL9+Leonam!AL9+Danilo!AL9+Marcos!AL9+Alessandro!AL9</f>
        <v>0</v>
      </c>
      <c r="I9" s="51">
        <f>Diego!AR9+Aelton!AR9+Leonam!AR9+Danilo!AR9+Marcos!AR9+Alessandro!AR9</f>
        <v>0</v>
      </c>
      <c r="J9" s="51">
        <f>Diego!AX9+Aelton!AX9+Leonam!AX9+Danilo!AX9+Marcos!AX9+Alessandro!AX9</f>
        <v>0</v>
      </c>
      <c r="K9" s="51">
        <f>Diego!BD9+Aelton!BD9+Leonam!BD9+Danilo!BD9+Marcos!BD9+Alessandro!BD9+Carlos!BD9</f>
        <v>0</v>
      </c>
    </row>
    <row r="10" spans="1:11" x14ac:dyDescent="0.25">
      <c r="A10" s="52" t="s">
        <v>12</v>
      </c>
      <c r="B10" s="53" t="s">
        <v>23</v>
      </c>
      <c r="C10" s="50">
        <f>Diego!H10+Aelton!H10+Leonam!H10+Danilo!H10+Marcos!H10+Alessandro!H10</f>
        <v>0</v>
      </c>
      <c r="D10" s="50">
        <f>Diego!N10+Aelton!N10+Leonam!N10+Danilo!N10+Marcos!N10+Alessandro!N10</f>
        <v>0</v>
      </c>
      <c r="E10" s="50">
        <f>Diego!T10+Aelton!T10+Leonam!T10+Danilo!T10+Marcos!T10+Alessandro!T10</f>
        <v>40</v>
      </c>
      <c r="F10" s="50">
        <f>Diego!Z10+Aelton!Z10+Leonam!Z10+Danilo!Z10+Marcos!Z10+Alessandro!Z10</f>
        <v>0</v>
      </c>
      <c r="G10" s="50">
        <f>Diego!AF10+Aelton!AF10+Leonam!AF10+Danilo!AF10+Marcos!AF10+Alessandro!AF10</f>
        <v>0</v>
      </c>
      <c r="H10" s="50">
        <f>Diego!AL10+Aelton!AL10+Leonam!AL10+Danilo!AL10+Marcos!AL10+Alessandro!AL10</f>
        <v>0</v>
      </c>
      <c r="I10" s="50">
        <f>Diego!AR10+Aelton!AR10+Leonam!AR10+Danilo!AR10+Marcos!AR10+Alessandro!AR10</f>
        <v>0</v>
      </c>
      <c r="J10" s="50">
        <f>Diego!AX10+Aelton!AX10+Leonam!AX10+Danilo!AX10+Marcos!AX10+Alessandro!AX10</f>
        <v>0</v>
      </c>
      <c r="K10" s="50">
        <f>Diego!BD10+Aelton!BD10+Leonam!BD10+Danilo!BD10+Marcos!BD10+Alessandro!BD10+Carlos!BD10</f>
        <v>0</v>
      </c>
    </row>
    <row r="11" spans="1:11" s="59" customFormat="1" x14ac:dyDescent="0.25">
      <c r="A11" s="60" t="s">
        <v>4</v>
      </c>
      <c r="B11" s="61" t="s">
        <v>23</v>
      </c>
      <c r="C11" s="51">
        <f>Diego!H11+Aelton!H11+Leonam!H11+Danilo!H11+Marcos!H11+Alessandro!H11</f>
        <v>0</v>
      </c>
      <c r="D11" s="51">
        <f>Diego!N11+Aelton!N11+Leonam!N11+Danilo!N11+Marcos!N11+Alessandro!N11</f>
        <v>0</v>
      </c>
      <c r="E11" s="51">
        <f>Diego!T11+Aelton!T11+Leonam!T11+Danilo!T11+Marcos!T11+Alessandro!T11</f>
        <v>69</v>
      </c>
      <c r="F11" s="51">
        <f>Diego!Z11+Aelton!Z11+Leonam!Z11+Danilo!Z11+Marcos!Z11+Alessandro!Z11</f>
        <v>2</v>
      </c>
      <c r="G11" s="51">
        <f>Diego!AF11+Aelton!AF11+Leonam!AF11+Danilo!AF11+Marcos!AF11+Alessandro!AF11+Carlos!AF11</f>
        <v>26</v>
      </c>
      <c r="H11" s="51">
        <f>Diego!AL11+Aelton!AL11+Leonam!AL11+Danilo!AL11+Marcos!AL11+Alessandro!AL11+Carlos!AL11</f>
        <v>131</v>
      </c>
      <c r="I11" s="51">
        <f>Diego!AR11+Aelton!AR11+Leonam!AR11+Danilo!AR11+Marcos!AR11+Alessandro!AR11+Carlos!AR11</f>
        <v>84</v>
      </c>
      <c r="J11" s="51">
        <f>Diego!AX11+Aelton!AX11+Leonam!AX11+Danilo!AX11+Marcos!AX11+Alessandro!AX11+Carlos!AX11</f>
        <v>68</v>
      </c>
      <c r="K11" s="51">
        <f>Diego!BD11+Aelton!BD11+Leonam!BD11+Danilo!BD11+Marcos!BD11+Alessandro!BD11+Carlos!BD11</f>
        <v>36</v>
      </c>
    </row>
    <row r="12" spans="1:11" x14ac:dyDescent="0.25">
      <c r="A12" s="52" t="s">
        <v>5</v>
      </c>
      <c r="B12" s="54" t="s">
        <v>23</v>
      </c>
      <c r="C12" s="50">
        <f>Diego!H12+Aelton!H12+Leonam!H12+Danilo!H12+Marcos!H12+Alessandro!H12</f>
        <v>0</v>
      </c>
      <c r="D12" s="50">
        <f>Diego!N12+Aelton!N12+Leonam!N12+Danilo!N12+Marcos!N12+Alessandro!N12</f>
        <v>0</v>
      </c>
      <c r="E12" s="50">
        <f>Diego!T12+Aelton!T12+Leonam!T12+Danilo!T12+Marcos!T12+Alessandro!T12</f>
        <v>0</v>
      </c>
      <c r="F12" s="50">
        <f>Diego!Z12+Aelton!Z12+Leonam!Z12+Danilo!Z12+Marcos!Z12+Alessandro!Z12</f>
        <v>0</v>
      </c>
      <c r="G12" s="50">
        <f>Diego!AF12+Aelton!AF12+Leonam!AF12+Danilo!AF12+Marcos!AF12+Alessandro!AF12+Carlos!AF12</f>
        <v>98</v>
      </c>
      <c r="H12" s="50">
        <f>Diego!AL12+Aelton!AL12+Leonam!AL12+Danilo!AL12+Marcos!AL12+Alessandro!AL12+Carlos!AL12</f>
        <v>873</v>
      </c>
      <c r="I12" s="50">
        <f>Diego!AR12+Aelton!AR12+Leonam!AR12+Danilo!AR12+Marcos!AR12+Alessandro!AR12+Carlos!AR12</f>
        <v>551</v>
      </c>
      <c r="J12" s="50">
        <f>Diego!AX12+Aelton!AX12+Leonam!AX12+Danilo!AX12+Marcos!AX12+Alessandro!AX12+Carlos!AX12</f>
        <v>409</v>
      </c>
      <c r="K12" s="50">
        <f>Diego!BD12+Aelton!BD12+Leonam!BD12+Danilo!BD12+Marcos!BD12+Alessandro!BD12+Carlos!BD12</f>
        <v>211</v>
      </c>
    </row>
    <row r="13" spans="1:11" s="59" customFormat="1" ht="30" x14ac:dyDescent="0.25">
      <c r="A13" s="60" t="s">
        <v>8</v>
      </c>
      <c r="B13" s="58" t="s">
        <v>21</v>
      </c>
      <c r="C13" s="51">
        <f>Diego!H13+Aelton!H13+Leonam!H13+Danilo!H13+Marcos!H13+Alessandro!H13+Patrícia!H2+Leonardo!H2</f>
        <v>3</v>
      </c>
      <c r="D13" s="51">
        <f>Diego!N13+Aelton!N13+Leonam!N13+Danilo!N13+Marcos!N13+Alessandro!N13+Patrícia!N2+Leonardo!N2</f>
        <v>0</v>
      </c>
      <c r="E13" s="51">
        <f>Diego!T13+Aelton!T13+Leonam!T13+Danilo!T13+Marcos!T13+Alessandro!T13+Patrícia!T2+Leonardo!T2</f>
        <v>1</v>
      </c>
      <c r="F13" s="51">
        <f>Diego!Z13+Aelton!Z13+Leonam!Z13+Danilo!Z13+Marcos!Z13+Alessandro!Z13+Patrícia!Z2+Leonardo!Z2</f>
        <v>1</v>
      </c>
      <c r="G13" s="51">
        <f>Diego!AF13+Aelton!AF13+Leonam!AF13+Danilo!AF13+Marcos!AF13+Alessandro!AF13+Patrícia!AF2+Leonardo!AF2</f>
        <v>1</v>
      </c>
      <c r="H13" s="51">
        <f>Diego!AL13+Aelton!AL13+Leonam!AL13+Danilo!AL13+Marcos!AL13+Alessandro!AL13+Patrícia!AL2+Leonardo!AL2</f>
        <v>3</v>
      </c>
      <c r="I13" s="51">
        <f>Diego!AR13+Aelton!AR13+Leonam!AR13+Danilo!AR13+Marcos!AR13+Alessandro!AR13+Patrícia!AR2+Leonardo!AR2</f>
        <v>1</v>
      </c>
      <c r="J13" s="51">
        <f>Diego!AX13+Aelton!AX13+Leonam!AX13+Danilo!AX13+Marcos!AX13+Alessandro!AX13+Patrícia!AX2+Leonardo!AX2</f>
        <v>0</v>
      </c>
      <c r="K13" s="51">
        <f>Diego!BD13+Aelton!BD13+Leonam!BD13+Danilo!BD13+Marcos!BD13+Alessandro!BD13+Carlos!BD13</f>
        <v>0</v>
      </c>
    </row>
    <row r="14" spans="1:11" x14ac:dyDescent="0.25">
      <c r="A14" s="52" t="s">
        <v>6</v>
      </c>
      <c r="B14" s="54" t="s">
        <v>26</v>
      </c>
      <c r="C14" s="50">
        <f>Diego!H14+Aelton!H14+Leonam!H14+Danilo!H14+Marcos!H14+Alessandro!H14+Patrícia!H3+Leonardo!H3</f>
        <v>0</v>
      </c>
      <c r="D14" s="50">
        <f>Diego!N14+Aelton!N14+Leonam!N14+Danilo!N14+Marcos!N14+Alessandro!N14+Patrícia!N3+Leonardo!N3</f>
        <v>0</v>
      </c>
      <c r="E14" s="50">
        <f>Diego!T14+Aelton!T14+Leonam!T14+Danilo!T14+Marcos!T14+Alessandro!T14+Patrícia!T3+Leonardo!T3</f>
        <v>0</v>
      </c>
      <c r="F14" s="50">
        <f>Diego!Z14+Aelton!Z14+Leonam!Z14+Danilo!Z14+Marcos!Z14+Alessandro!Z14+Patrícia!Z3+Leonardo!Z3</f>
        <v>0</v>
      </c>
      <c r="G14" s="50">
        <f>Diego!AF14+Aelton!AF14+Leonam!AF14+Danilo!AF14+Marcos!AF14+Alessandro!AF14+Patrícia!AF3+Leonardo!AF3</f>
        <v>0</v>
      </c>
      <c r="H14" s="50">
        <f>Diego!AL14+Aelton!AL14+Leonam!AL14+Danilo!AL14+Marcos!AL14+Alessandro!AL14+Patrícia!AL3+Leonardo!AL3</f>
        <v>0</v>
      </c>
      <c r="I14" s="50">
        <f>Diego!AR14+Aelton!AR14+Leonam!AR14+Danilo!AR14+Marcos!AR14+Alessandro!AR14+Patrícia!AR3+Leonardo!AR3</f>
        <v>1</v>
      </c>
      <c r="J14" s="50">
        <f>Diego!AX14+Aelton!AX14+Leonam!AX14+Danilo!AX14+Marcos!AX14+Alessandro!AX14+Patrícia!AX3+Leonardo!AX3</f>
        <v>0</v>
      </c>
      <c r="K14" s="50">
        <f>Diego!BD14+Aelton!BD14+Leonam!BD14+Danilo!BD14+Marcos!BD14+Alessandro!BD14+Carlos!BD14</f>
        <v>0</v>
      </c>
    </row>
    <row r="15" spans="1:11" s="59" customFormat="1" ht="24" x14ac:dyDescent="0.25">
      <c r="A15" s="57" t="s">
        <v>7</v>
      </c>
      <c r="B15" s="58" t="s">
        <v>27</v>
      </c>
      <c r="C15" s="51">
        <f>Diego!H15+Aelton!H15+Leonam!H15+Danilo!H15+Marcos!H15+Alessandro!H15</f>
        <v>0</v>
      </c>
      <c r="D15" s="51">
        <f>Diego!N15+Aelton!N15+Leonam!N15+Danilo!N15+Marcos!N15+Alessandro!N15+Carlos!N15</f>
        <v>0</v>
      </c>
      <c r="E15" s="51">
        <f>Diego!T15+Aelton!T15+Leonam!T15+Danilo!T15+Marcos!T15+Alessandro!T15</f>
        <v>562</v>
      </c>
      <c r="F15" s="51">
        <f>Diego!Z15+Aelton!Z15+Leonam!Z15+Danilo!Z15+Marcos!Z15+Alessandro!Z15</f>
        <v>52</v>
      </c>
      <c r="G15" s="51">
        <f>Diego!AF15+Aelton!AF15+Leonam!AF15+Danilo!AF15+Marcos!AF15+Alessandro!AF15</f>
        <v>72</v>
      </c>
      <c r="H15" s="51">
        <f>Diego!AL15+Aelton!AL15+Leonam!AL15+Danilo!AL15+Marcos!AL15+Alessandro!AL15</f>
        <v>301</v>
      </c>
      <c r="I15" s="51">
        <f>Diego!AR15+Aelton!AR15+Leonam!AR15+Danilo!AR15+Marcos!AR15+Alessandro!AR15</f>
        <v>135</v>
      </c>
      <c r="J15" s="51">
        <f>Diego!AX15+Aelton!AX15+Leonam!AX15+Danilo!AX15+Marcos!AX15+Alessandro!AX15</f>
        <v>350</v>
      </c>
      <c r="K15" s="51">
        <f>Diego!BD15+Aelton!BD15+Leonam!BD15+Danilo!BD15+Marcos!BD15+Alessandro!BD15+Carlos!BD15</f>
        <v>482</v>
      </c>
    </row>
    <row r="16" spans="1:11" ht="36" x14ac:dyDescent="0.25">
      <c r="A16" s="48" t="s">
        <v>14</v>
      </c>
      <c r="B16" s="54" t="s">
        <v>28</v>
      </c>
      <c r="C16" s="50">
        <f>Diego!H16+Aelton!H16+Leonam!H16+Danilo!H16+Marcos!H16+Alessandro!H16</f>
        <v>0</v>
      </c>
      <c r="D16" s="50">
        <f>Diego!N16+Aelton!N16+Leonam!N16+Danilo!N16+Marcos!N16+Alessandro!N16</f>
        <v>0</v>
      </c>
      <c r="E16" s="50">
        <f>Diego!T16+Aelton!T16+Leonam!T16+Danilo!T16+Marcos!T16+Alessandro!T16</f>
        <v>0</v>
      </c>
      <c r="F16" s="50">
        <f>Diego!Z16+Aelton!Z16+Leonam!Z16+Danilo!Z16+Marcos!Z16+Alessandro!Z16</f>
        <v>0</v>
      </c>
      <c r="G16" s="50">
        <f>Diego!AF16+Aelton!AF16+Leonam!AF16+Danilo!AF16+Marcos!AF16+Alessandro!AF16</f>
        <v>0</v>
      </c>
      <c r="H16" s="50">
        <f>Diego!AL16+Aelton!AL16+Leonam!AL16+Danilo!AL16+Marcos!AL16+Alessandro!AL16</f>
        <v>0</v>
      </c>
      <c r="I16" s="50">
        <f>Diego!AR16+Aelton!AR16+Leonam!AR16+Danilo!AR16+Marcos!AR16+Alessandro!AR16</f>
        <v>0</v>
      </c>
      <c r="J16" s="50">
        <f>Diego!AX16+Aelton!AX16+Leonam!AX16+Danilo!AX16+Marcos!AX16+Alessandro!AX16</f>
        <v>0</v>
      </c>
      <c r="K16" s="50">
        <f>Diego!BD16+Aelton!BD16+Leonam!BD16+Danilo!BD16+Marcos!BD16+Alessandro!BD16+Carlos!BD16</f>
        <v>36</v>
      </c>
    </row>
    <row r="17" spans="1:11" s="59" customFormat="1" x14ac:dyDescent="0.25">
      <c r="A17" s="57" t="s">
        <v>39</v>
      </c>
      <c r="B17" s="58" t="s">
        <v>40</v>
      </c>
      <c r="C17" s="51">
        <f>Diego!H17+Aelton!H17+Leonam!H17+Danilo!H17+Marcos!H17+Alessandro!H17</f>
        <v>190</v>
      </c>
      <c r="D17" s="51">
        <f>Diego!N17+Aelton!N17+Leonam!N17+Danilo!N17+Marcos!N17+Alessandro!N17</f>
        <v>143</v>
      </c>
      <c r="E17" s="51">
        <f>Diego!T17+Aelton!T17+Leonam!T17+Danilo!T17+Marcos!T17+Alessandro!T17</f>
        <v>0</v>
      </c>
      <c r="F17" s="51">
        <f>Diego!Z17+Aelton!Z17+Leonam!Z17+Danilo!Z17+Marcos!Z17+Alessandro!Z17</f>
        <v>0</v>
      </c>
      <c r="G17" s="51">
        <f>Diego!AF17+Aelton!AF17+Leonam!AF17+Danilo!AF17+Marcos!AF17+Alessandro!AF17</f>
        <v>0</v>
      </c>
      <c r="H17" s="51">
        <f>Diego!AL17+Aelton!AL17+Leonam!AL17+Danilo!AL17+Marcos!AL17+Alessandro!AL17</f>
        <v>0</v>
      </c>
      <c r="I17" s="51">
        <f>Diego!AR17+Aelton!AR17+Leonam!AR17+Danilo!AR17+Marcos!AR17+Alessandro!AR17</f>
        <v>3</v>
      </c>
      <c r="J17" s="51">
        <f>Diego!AX17+Aelton!AX17+Leonam!AX17+Danilo!AX17+Marcos!AX17+Alessandro!AX17</f>
        <v>0</v>
      </c>
      <c r="K17" s="51">
        <f>Diego!BD17+Aelton!BD17+Leonam!BD17+Danilo!BD17+Marcos!BD17+Alessandro!BD17+Carlos!BD17</f>
        <v>0</v>
      </c>
    </row>
    <row r="18" spans="1:11" ht="408" customHeight="1" x14ac:dyDescent="0.25">
      <c r="A18" s="1" t="s">
        <v>11</v>
      </c>
      <c r="B18" s="1"/>
      <c r="C18" s="4"/>
      <c r="D18" s="4"/>
      <c r="E18" s="8"/>
      <c r="F18" s="4"/>
      <c r="G18" s="55"/>
      <c r="H18" s="4"/>
      <c r="I18" s="55"/>
      <c r="J18" s="55"/>
    </row>
    <row r="19" spans="1:11" x14ac:dyDescent="0.25">
      <c r="A19" s="1" t="s">
        <v>10</v>
      </c>
      <c r="B19" s="1"/>
    </row>
    <row r="21" spans="1:11" ht="38.25" customHeight="1" x14ac:dyDescent="0.25">
      <c r="A21" s="7"/>
    </row>
    <row r="23" spans="1:11" x14ac:dyDescent="0.25">
      <c r="A23" s="8"/>
    </row>
    <row r="24" spans="1:11" x14ac:dyDescent="0.25">
      <c r="A24" s="9"/>
    </row>
  </sheetData>
  <customSheetViews>
    <customSheetView guid="{86039CF8-B158-4D70-9A6F-A10C29CBD68A}">
      <selection activeCell="E3" sqref="E3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18A482E0-C8B6-4AA1-9E04-15FA7C9CD5E3}" scale="110">
      <pane xSplit="1" topLeftCell="H1" activePane="topRight" state="frozen"/>
      <selection pane="topRight" activeCell="Q13" sqref="Q13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B1">
      <selection activeCell="H7" sqref="H7"/>
      <pageMargins left="0.511811024" right="0.511811024" top="0.78740157499999996" bottom="0.78740157499999996" header="0.31496062000000002" footer="0.31496062000000002"/>
      <autoFilter ref="A1:A19" xr:uid="{556C02CA-2C13-4BCE-8002-36612B45AC0F}"/>
    </customSheetView>
    <customSheetView guid="{20CB6D8F-C24D-4D4B-A424-AF380F62045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3D987F8E-A6EA-454D-9537-6BFC5053CB00}" showAutoFilter="1">
      <selection activeCell="E12" sqref="E12"/>
      <pageMargins left="0.511811024" right="0.511811024" top="0.78740157499999996" bottom="0.78740157499999996" header="0.31496062000000002" footer="0.31496062000000002"/>
      <autoFilter ref="A1:J19" xr:uid="{81F71122-9CB8-4278-AB5B-DD94B8A0E69A}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20"/>
  <sheetViews>
    <sheetView zoomScale="90" zoomScaleNormal="70" workbookViewId="0">
      <pane xSplit="1" topLeftCell="AK1" activePane="topRight" state="frozen"/>
      <selection pane="topRight" activeCell="Y11" sqref="Y11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0.140625" style="1" customWidth="1"/>
    <col min="4" max="4" width="15.140625" style="1" customWidth="1"/>
    <col min="5" max="5" width="16.28515625" style="1" customWidth="1"/>
    <col min="6" max="6" width="15" style="1" customWidth="1"/>
    <col min="7" max="7" width="16.42578125" style="1" customWidth="1"/>
    <col min="8" max="8" width="14.28515625" style="1" bestFit="1" customWidth="1"/>
    <col min="9" max="9" width="10.5703125" style="1" customWidth="1"/>
    <col min="10" max="10" width="7.140625" style="1" bestFit="1" customWidth="1"/>
    <col min="11" max="11" width="14.5703125" style="1" customWidth="1"/>
    <col min="12" max="12" width="19.7109375" style="1" customWidth="1"/>
    <col min="13" max="13" width="33.140625" style="1" customWidth="1"/>
    <col min="14" max="14" width="14.28515625" style="1" bestFit="1" customWidth="1"/>
    <col min="15" max="17" width="13" style="1" customWidth="1"/>
    <col min="18" max="18" width="20.28515625" style="1" customWidth="1"/>
    <col min="19" max="19" width="16.85546875" style="1" customWidth="1"/>
    <col min="20" max="20" width="14.28515625" style="1" bestFit="1" customWidth="1"/>
    <col min="21" max="21" width="13.140625" style="1" customWidth="1"/>
    <col min="22" max="22" width="21.7109375" style="1" customWidth="1"/>
    <col min="23" max="23" width="19.5703125" style="1" customWidth="1"/>
    <col min="24" max="24" width="25.140625" style="1" customWidth="1"/>
    <col min="25" max="25" width="14.5703125" style="1" customWidth="1"/>
    <col min="26" max="26" width="15.28515625" style="1" customWidth="1"/>
    <col min="27" max="27" width="19.4257812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3" width="23.140625" style="1" customWidth="1"/>
    <col min="34" max="34" width="19.42578125" style="1" customWidth="1"/>
    <col min="35" max="35" width="15.7109375" style="1" customWidth="1"/>
    <col min="36" max="36" width="13.42578125" style="1" customWidth="1"/>
    <col min="37" max="38" width="15.42578125" style="1" customWidth="1"/>
    <col min="39" max="39" width="13.42578125" style="1" customWidth="1"/>
    <col min="40" max="40" width="14.7109375" style="1" customWidth="1"/>
    <col min="41" max="41" width="14.28515625" style="1" customWidth="1"/>
    <col min="42" max="42" width="16.85546875" style="1" customWidth="1"/>
    <col min="43" max="43" width="14" style="1" customWidth="1"/>
    <col min="44" max="44" width="15.42578125" style="1" customWidth="1"/>
    <col min="45" max="45" width="13.42578125" style="1" customWidth="1"/>
    <col min="46" max="46" width="21" style="1" customWidth="1"/>
    <col min="47" max="47" width="13.85546875" style="1" customWidth="1"/>
    <col min="48" max="48" width="18.42578125" style="1" customWidth="1"/>
    <col min="49" max="49" width="14" style="1" customWidth="1"/>
    <col min="50" max="50" width="16.140625" style="1" customWidth="1"/>
    <col min="51" max="51" width="11.85546875" style="1" customWidth="1"/>
    <col min="52" max="52" width="14.42578125" style="1" customWidth="1"/>
    <col min="53" max="55" width="9.140625" style="1"/>
    <col min="56" max="56" width="17.140625" style="1" customWidth="1"/>
    <col min="57" max="16384" width="9.140625" style="1"/>
  </cols>
  <sheetData>
    <row r="1" spans="1:56" x14ac:dyDescent="0.25">
      <c r="A1" s="14" t="s">
        <v>9</v>
      </c>
      <c r="B1" s="18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69">
        <v>46143</v>
      </c>
      <c r="BD1" s="10" t="s">
        <v>15</v>
      </c>
    </row>
    <row r="2" spans="1:56" x14ac:dyDescent="0.25">
      <c r="A2" s="2" t="s">
        <v>18</v>
      </c>
      <c r="B2" s="16">
        <v>1</v>
      </c>
      <c r="C2" s="14"/>
      <c r="D2" s="18"/>
      <c r="E2" s="18"/>
      <c r="F2" s="18"/>
      <c r="G2" s="5"/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6"/>
      <c r="AX2" s="33">
        <f>SUM(AS2:AW2)</f>
        <v>0</v>
      </c>
      <c r="BC2" s="39" t="s">
        <v>95</v>
      </c>
      <c r="BD2" s="33">
        <f t="shared" ref="BD2:BD17" si="2">SUM(AY2:BC2)</f>
        <v>0</v>
      </c>
    </row>
    <row r="3" spans="1:56" x14ac:dyDescent="0.25">
      <c r="A3" s="2" t="s">
        <v>0</v>
      </c>
      <c r="B3" s="16">
        <v>2</v>
      </c>
      <c r="C3" s="11"/>
      <c r="G3" s="63"/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C3" s="39" t="s">
        <v>95</v>
      </c>
      <c r="BD3" s="33">
        <f t="shared" si="2"/>
        <v>0</v>
      </c>
    </row>
    <row r="4" spans="1:56" x14ac:dyDescent="0.25">
      <c r="A4" s="3" t="s">
        <v>17</v>
      </c>
      <c r="B4" s="17">
        <v>3</v>
      </c>
      <c r="C4" s="11"/>
      <c r="G4" s="63"/>
      <c r="H4" s="33">
        <f t="shared" si="3"/>
        <v>0</v>
      </c>
      <c r="N4" s="33">
        <f t="shared" si="0"/>
        <v>0</v>
      </c>
      <c r="Q4" s="1">
        <v>22</v>
      </c>
      <c r="T4" s="33">
        <f t="shared" si="1"/>
        <v>22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N4" s="1">
        <v>13</v>
      </c>
      <c r="AR4" s="33">
        <f t="shared" si="7"/>
        <v>13</v>
      </c>
      <c r="AX4" s="33">
        <f t="shared" si="8"/>
        <v>0</v>
      </c>
      <c r="BC4" s="39" t="s">
        <v>95</v>
      </c>
      <c r="BD4" s="33">
        <f t="shared" si="2"/>
        <v>0</v>
      </c>
    </row>
    <row r="5" spans="1:56" x14ac:dyDescent="0.25">
      <c r="A5" s="3" t="s">
        <v>16</v>
      </c>
      <c r="B5" s="16">
        <v>4</v>
      </c>
      <c r="C5" s="11"/>
      <c r="G5" s="63"/>
      <c r="H5" s="33">
        <f t="shared" si="3"/>
        <v>0</v>
      </c>
      <c r="L5" s="39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C5" s="39" t="s">
        <v>95</v>
      </c>
      <c r="BD5" s="33">
        <f t="shared" si="2"/>
        <v>0</v>
      </c>
    </row>
    <row r="6" spans="1:56" x14ac:dyDescent="0.25">
      <c r="A6" s="3" t="s">
        <v>1</v>
      </c>
      <c r="B6" s="16">
        <v>5</v>
      </c>
      <c r="C6" s="11"/>
      <c r="G6" s="63"/>
      <c r="H6" s="33">
        <f t="shared" si="3"/>
        <v>0</v>
      </c>
      <c r="L6" s="39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C6" s="39" t="s">
        <v>95</v>
      </c>
      <c r="BD6" s="33">
        <f t="shared" si="2"/>
        <v>0</v>
      </c>
    </row>
    <row r="7" spans="1:56" x14ac:dyDescent="0.25">
      <c r="A7" s="3" t="s">
        <v>2</v>
      </c>
      <c r="B7" s="17">
        <v>6</v>
      </c>
      <c r="C7" s="11"/>
      <c r="G7" s="63"/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C7" s="39" t="s">
        <v>95</v>
      </c>
      <c r="BD7" s="33">
        <f t="shared" si="2"/>
        <v>0</v>
      </c>
    </row>
    <row r="8" spans="1:56" x14ac:dyDescent="0.25">
      <c r="A8" s="3" t="s">
        <v>3</v>
      </c>
      <c r="B8" s="16">
        <v>7</v>
      </c>
      <c r="C8" s="11"/>
      <c r="G8" s="63"/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C8" s="39" t="s">
        <v>95</v>
      </c>
      <c r="BD8" s="33">
        <f t="shared" si="2"/>
        <v>0</v>
      </c>
    </row>
    <row r="9" spans="1:56" x14ac:dyDescent="0.25">
      <c r="A9" s="3" t="s">
        <v>13</v>
      </c>
      <c r="B9" s="16">
        <v>8</v>
      </c>
      <c r="C9" s="11"/>
      <c r="G9" s="63"/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C9" s="39" t="s">
        <v>95</v>
      </c>
      <c r="BD9" s="33">
        <f t="shared" si="2"/>
        <v>0</v>
      </c>
    </row>
    <row r="10" spans="1:56" x14ac:dyDescent="0.25">
      <c r="A10" s="2" t="s">
        <v>12</v>
      </c>
      <c r="B10" s="17">
        <v>9</v>
      </c>
      <c r="C10" s="11"/>
      <c r="G10" s="63"/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C10" s="39" t="s">
        <v>95</v>
      </c>
      <c r="BD10" s="33">
        <f t="shared" si="2"/>
        <v>0</v>
      </c>
    </row>
    <row r="11" spans="1:56" x14ac:dyDescent="0.25">
      <c r="A11" s="3" t="s">
        <v>4</v>
      </c>
      <c r="B11" s="16">
        <v>10</v>
      </c>
      <c r="C11" s="11"/>
      <c r="G11" s="63"/>
      <c r="H11" s="33">
        <f t="shared" si="3"/>
        <v>0</v>
      </c>
      <c r="N11" s="33">
        <f t="shared" si="0"/>
        <v>0</v>
      </c>
      <c r="O11" s="1">
        <v>8</v>
      </c>
      <c r="P11" s="1">
        <v>6</v>
      </c>
      <c r="T11" s="33">
        <f t="shared" si="1"/>
        <v>14</v>
      </c>
      <c r="Z11" s="33">
        <f t="shared" si="4"/>
        <v>0</v>
      </c>
      <c r="AE11" s="1">
        <v>7</v>
      </c>
      <c r="AF11" s="33">
        <f t="shared" si="5"/>
        <v>7</v>
      </c>
      <c r="AG11" s="1">
        <v>2</v>
      </c>
      <c r="AH11" s="1">
        <v>1</v>
      </c>
      <c r="AI11" s="1">
        <v>7</v>
      </c>
      <c r="AJ11" s="1">
        <v>7</v>
      </c>
      <c r="AL11" s="33">
        <f t="shared" si="6"/>
        <v>17</v>
      </c>
      <c r="AR11" s="33">
        <f t="shared" si="7"/>
        <v>0</v>
      </c>
      <c r="AX11" s="33">
        <f t="shared" si="8"/>
        <v>0</v>
      </c>
      <c r="BC11" s="39" t="s">
        <v>95</v>
      </c>
      <c r="BD11" s="33">
        <f t="shared" si="2"/>
        <v>0</v>
      </c>
    </row>
    <row r="12" spans="1:56" x14ac:dyDescent="0.25">
      <c r="A12" s="3" t="s">
        <v>5</v>
      </c>
      <c r="B12" s="16">
        <v>11</v>
      </c>
      <c r="C12" s="11"/>
      <c r="G12" s="63"/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G12" s="1">
        <v>26</v>
      </c>
      <c r="AH12" s="1">
        <v>8</v>
      </c>
      <c r="AI12" s="1">
        <v>54</v>
      </c>
      <c r="AJ12" s="1">
        <v>56</v>
      </c>
      <c r="AL12" s="33">
        <f t="shared" si="6"/>
        <v>144</v>
      </c>
      <c r="AR12" s="33">
        <f t="shared" si="7"/>
        <v>0</v>
      </c>
      <c r="AX12" s="33">
        <f t="shared" si="8"/>
        <v>0</v>
      </c>
      <c r="BC12" s="39" t="s">
        <v>95</v>
      </c>
      <c r="BD12" s="33">
        <f t="shared" si="2"/>
        <v>0</v>
      </c>
    </row>
    <row r="13" spans="1:56" x14ac:dyDescent="0.25">
      <c r="A13" s="2" t="s">
        <v>8</v>
      </c>
      <c r="B13" s="17">
        <v>12</v>
      </c>
      <c r="C13" s="11"/>
      <c r="G13" s="63"/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C13" s="1">
        <v>1</v>
      </c>
      <c r="AF13" s="33">
        <f t="shared" si="5"/>
        <v>1</v>
      </c>
      <c r="AL13" s="33">
        <f t="shared" si="6"/>
        <v>0</v>
      </c>
      <c r="AN13" s="1">
        <v>1</v>
      </c>
      <c r="AR13" s="33">
        <f t="shared" si="7"/>
        <v>1</v>
      </c>
      <c r="AX13" s="33">
        <f t="shared" si="8"/>
        <v>0</v>
      </c>
      <c r="BC13" s="39" t="s">
        <v>95</v>
      </c>
      <c r="BD13" s="33">
        <f t="shared" si="2"/>
        <v>0</v>
      </c>
    </row>
    <row r="14" spans="1:56" x14ac:dyDescent="0.25">
      <c r="A14" s="3" t="s">
        <v>6</v>
      </c>
      <c r="B14" s="16">
        <v>13</v>
      </c>
      <c r="C14" s="11"/>
      <c r="G14" s="63"/>
      <c r="H14" s="33">
        <f t="shared" si="3"/>
        <v>0</v>
      </c>
      <c r="N14" s="33">
        <f>SUM(I14:M14)</f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C14" s="39" t="s">
        <v>95</v>
      </c>
      <c r="BD14" s="33">
        <f t="shared" si="2"/>
        <v>0</v>
      </c>
    </row>
    <row r="15" spans="1:56" x14ac:dyDescent="0.25">
      <c r="A15" s="2" t="s">
        <v>7</v>
      </c>
      <c r="B15" s="36">
        <v>14</v>
      </c>
      <c r="C15" s="11"/>
      <c r="G15" s="63"/>
      <c r="H15" s="33">
        <f t="shared" si="3"/>
        <v>0</v>
      </c>
      <c r="N15" s="33">
        <f t="shared" si="0"/>
        <v>0</v>
      </c>
      <c r="O15" s="1">
        <v>49</v>
      </c>
      <c r="P15" s="1">
        <v>50</v>
      </c>
      <c r="Q15" s="1">
        <v>26</v>
      </c>
      <c r="R15" s="1">
        <v>50</v>
      </c>
      <c r="T15" s="33">
        <f t="shared" si="1"/>
        <v>175</v>
      </c>
      <c r="Z15" s="33">
        <f t="shared" si="4"/>
        <v>0</v>
      </c>
      <c r="AA15" s="1">
        <v>10</v>
      </c>
      <c r="AB15" s="1">
        <v>10</v>
      </c>
      <c r="AF15" s="33">
        <f t="shared" si="5"/>
        <v>20</v>
      </c>
      <c r="AL15" s="33">
        <f t="shared" si="6"/>
        <v>0</v>
      </c>
      <c r="AN15" s="1">
        <v>42</v>
      </c>
      <c r="AR15" s="33">
        <f t="shared" si="7"/>
        <v>42</v>
      </c>
      <c r="AX15" s="33">
        <f t="shared" si="8"/>
        <v>0</v>
      </c>
      <c r="BC15" s="39" t="s">
        <v>95</v>
      </c>
      <c r="BD15" s="33">
        <f t="shared" si="2"/>
        <v>0</v>
      </c>
    </row>
    <row r="16" spans="1:56" x14ac:dyDescent="0.25">
      <c r="A16" s="2" t="s">
        <v>14</v>
      </c>
      <c r="B16" s="37">
        <v>15</v>
      </c>
      <c r="C16" s="11"/>
      <c r="G16" s="63"/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C16" s="39" t="s">
        <v>95</v>
      </c>
      <c r="BD16" s="33">
        <f t="shared" si="2"/>
        <v>0</v>
      </c>
    </row>
    <row r="17" spans="1:56" x14ac:dyDescent="0.25">
      <c r="A17" s="2" t="s">
        <v>39</v>
      </c>
      <c r="B17" s="38">
        <v>16</v>
      </c>
      <c r="C17" s="12">
        <v>10</v>
      </c>
      <c r="D17" s="13">
        <v>10</v>
      </c>
      <c r="E17" s="13">
        <v>10</v>
      </c>
      <c r="F17" s="13">
        <v>10</v>
      </c>
      <c r="G17" s="64">
        <v>10</v>
      </c>
      <c r="H17" s="34">
        <f>SUM(C17:G17)</f>
        <v>50</v>
      </c>
      <c r="I17" s="13"/>
      <c r="J17" s="13"/>
      <c r="K17" s="64">
        <v>10</v>
      </c>
      <c r="L17" s="64">
        <v>10</v>
      </c>
      <c r="M17" s="64">
        <v>10</v>
      </c>
      <c r="N17" s="34">
        <f>SUM(I17:M17)</f>
        <v>30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13"/>
      <c r="BB17" s="13"/>
      <c r="BC17" s="68" t="s">
        <v>95</v>
      </c>
      <c r="BD17" s="34">
        <f t="shared" si="2"/>
        <v>0</v>
      </c>
    </row>
    <row r="18" spans="1:56" ht="270" x14ac:dyDescent="0.25">
      <c r="A18" s="1" t="s">
        <v>11</v>
      </c>
      <c r="C18" s="4" t="s">
        <v>52</v>
      </c>
      <c r="D18" s="4" t="s">
        <v>52</v>
      </c>
      <c r="E18" s="4" t="s">
        <v>52</v>
      </c>
      <c r="F18" s="4" t="s">
        <v>52</v>
      </c>
      <c r="G18" s="4" t="s">
        <v>52</v>
      </c>
      <c r="I18" s="4" t="s">
        <v>66</v>
      </c>
      <c r="J18" s="4" t="s">
        <v>67</v>
      </c>
      <c r="K18" s="4" t="s">
        <v>52</v>
      </c>
      <c r="L18" s="4" t="s">
        <v>52</v>
      </c>
      <c r="M18" s="4" t="s">
        <v>52</v>
      </c>
      <c r="O18" s="4"/>
      <c r="P18" s="4"/>
      <c r="Q18" s="4" t="s">
        <v>80</v>
      </c>
      <c r="R18" s="4"/>
      <c r="S18" s="74" t="s">
        <v>86</v>
      </c>
      <c r="U18" s="74" t="s">
        <v>86</v>
      </c>
      <c r="V18" s="74" t="s">
        <v>86</v>
      </c>
      <c r="W18" s="74" t="s">
        <v>86</v>
      </c>
      <c r="X18" s="4" t="s">
        <v>93</v>
      </c>
      <c r="Y18" s="4" t="s">
        <v>93</v>
      </c>
      <c r="AA18" s="4" t="s">
        <v>94</v>
      </c>
      <c r="AB18" s="4" t="s">
        <v>94</v>
      </c>
      <c r="AC18" s="4" t="s">
        <v>94</v>
      </c>
      <c r="AD18" s="74" t="s">
        <v>96</v>
      </c>
      <c r="AE18" s="4" t="s">
        <v>97</v>
      </c>
      <c r="AG18" s="4" t="s">
        <v>97</v>
      </c>
      <c r="AH18" s="4" t="s">
        <v>97</v>
      </c>
      <c r="AI18" s="4" t="s">
        <v>97</v>
      </c>
      <c r="AJ18" s="4" t="s">
        <v>97</v>
      </c>
      <c r="AK18" s="4" t="s">
        <v>97</v>
      </c>
      <c r="AM18" s="4" t="s">
        <v>113</v>
      </c>
      <c r="AN18" s="4" t="s">
        <v>112</v>
      </c>
      <c r="AO18" s="74" t="s">
        <v>118</v>
      </c>
      <c r="AP18" s="74" t="s">
        <v>118</v>
      </c>
      <c r="AQ18" s="74" t="s">
        <v>118</v>
      </c>
      <c r="AS18" s="85" t="s">
        <v>125</v>
      </c>
      <c r="AT18" s="85" t="s">
        <v>129</v>
      </c>
      <c r="AU18" s="74" t="s">
        <v>118</v>
      </c>
      <c r="AV18" s="74" t="s">
        <v>118</v>
      </c>
      <c r="AW18" s="74" t="s">
        <v>118</v>
      </c>
      <c r="AX18" s="4"/>
      <c r="AY18" s="74" t="s">
        <v>118</v>
      </c>
      <c r="AZ18" s="74" t="s">
        <v>118</v>
      </c>
      <c r="BA18" s="74" t="s">
        <v>118</v>
      </c>
      <c r="BB18" s="74" t="s">
        <v>118</v>
      </c>
    </row>
    <row r="19" spans="1:56" ht="135" x14ac:dyDescent="0.25">
      <c r="A19" s="1" t="s">
        <v>10</v>
      </c>
      <c r="C19" s="4"/>
      <c r="D19" s="4" t="s">
        <v>53</v>
      </c>
      <c r="E19" s="4" t="s">
        <v>53</v>
      </c>
      <c r="F19" s="4" t="s">
        <v>53</v>
      </c>
      <c r="G19" s="4"/>
      <c r="I19" s="4"/>
      <c r="J19" s="4" t="s">
        <v>68</v>
      </c>
      <c r="K19" s="4"/>
      <c r="L19" s="4"/>
      <c r="M19" s="4"/>
      <c r="O19" s="4"/>
      <c r="P19" s="4"/>
      <c r="Q19" s="4" t="s">
        <v>81</v>
      </c>
      <c r="R19" s="74" t="s">
        <v>86</v>
      </c>
      <c r="S19" s="4"/>
      <c r="T19" s="4"/>
      <c r="U19" s="4"/>
      <c r="V19" s="4"/>
      <c r="W19" s="4"/>
      <c r="X19" s="4"/>
      <c r="Y19" s="4"/>
      <c r="AA19" s="74" t="s">
        <v>86</v>
      </c>
      <c r="AB19" s="74" t="s">
        <v>86</v>
      </c>
      <c r="AC19" s="4"/>
      <c r="AD19" s="4"/>
      <c r="AE19" s="4"/>
      <c r="AG19" s="4" t="s">
        <v>99</v>
      </c>
      <c r="AH19" s="4" t="s">
        <v>100</v>
      </c>
      <c r="AI19" s="4"/>
      <c r="AJ19" s="4"/>
      <c r="AK19" s="4" t="s">
        <v>114</v>
      </c>
      <c r="AN19" s="4"/>
      <c r="AO19" s="4" t="s">
        <v>114</v>
      </c>
      <c r="AQ19" s="4"/>
      <c r="AS19" s="4"/>
      <c r="AT19" s="4"/>
      <c r="AU19" s="4"/>
      <c r="AV19" s="4"/>
    </row>
    <row r="20" spans="1:56" ht="60" x14ac:dyDescent="0.25">
      <c r="Q20" s="4" t="s">
        <v>82</v>
      </c>
      <c r="V20" s="4"/>
    </row>
  </sheetData>
  <customSheetViews>
    <customSheetView guid="{86039CF8-B158-4D70-9A6F-A10C29CBD68A}" scale="90">
      <pane xSplit="1" topLeftCell="AK1" activePane="topRight" state="frozen"/>
      <selection pane="topRight" activeCell="Y11" sqref="Y11"/>
      <pageMargins left="0.511811024" right="0.511811024" top="0.78740157499999996" bottom="0.78740157499999996" header="0.31496062000000002" footer="0.31496062000000002"/>
    </customSheetView>
    <customSheetView guid="{B3CDE377-BA5D-4E06-91D9-3A48E1959BA5}" scale="90">
      <pane xSplit="1" topLeftCell="B1" activePane="topRight" state="frozen"/>
      <selection pane="topRight" activeCell="AJ18" sqref="AJ18"/>
      <pageMargins left="0.511811024" right="0.511811024" top="0.78740157499999996" bottom="0.78740157499999996" header="0.31496062000000002" footer="0.31496062000000002"/>
    </customSheetView>
    <customSheetView guid="{E3841903-5B68-44FD-8F09-58E03D1025C5}" scale="70" topLeftCell="D4">
      <selection activeCell="Q19" sqref="Q19:Q20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G1" sqref="CG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D11" sqref="D11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I1" activePane="topRight" state="frozen"/>
      <selection pane="topRight" activeCell="M11" sqref="M11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B1" activePane="topRight" state="frozen"/>
      <selection pane="topRight" activeCell="C17" sqref="C17:G19"/>
      <pageMargins left="0.511811024" right="0.511811024" top="0.78740157499999996" bottom="0.78740157499999996" header="0.31496062000000002" footer="0.31496062000000002"/>
      <autoFilter ref="A1:A20" xr:uid="{105A9989-5242-413D-8A26-A5DC6B8574F1}"/>
    </customSheetView>
    <customSheetView guid="{20CB6D8F-C24D-4D4B-A424-AF380F620455}" scale="90" showPageBreaks="1" topLeftCell="A7">
      <pane xSplit="1" topLeftCell="AS1" activePane="topRight" state="frozen"/>
      <selection pane="topRight" activeCell="AZ18" sqref="AZ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3D987F8E-A6EA-454D-9537-6BFC5053CB00}" scale="90">
      <pane xSplit="1" topLeftCell="AQ1" activePane="topRight" state="frozen"/>
      <selection pane="topRight" activeCell="AX18" sqref="AX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9"/>
  <sheetViews>
    <sheetView tabSelected="1" zoomScaleNormal="100" workbookViewId="0">
      <pane xSplit="1" topLeftCell="AY1" activePane="topRight" state="frozen"/>
      <selection pane="topRight" activeCell="BD18" sqref="BD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20.140625" style="1" customWidth="1"/>
    <col min="8" max="8" width="14.28515625" style="1" bestFit="1" customWidth="1"/>
    <col min="9" max="9" width="17.28515625" style="1" customWidth="1"/>
    <col min="10" max="10" width="18.42578125" style="1" customWidth="1"/>
    <col min="11" max="11" width="14.5703125" style="1" customWidth="1"/>
    <col min="12" max="12" width="16" style="1" customWidth="1"/>
    <col min="13" max="13" width="17.7109375" style="1" customWidth="1"/>
    <col min="14" max="14" width="14.28515625" style="1" bestFit="1" customWidth="1"/>
    <col min="15" max="19" width="18.85546875" style="1" customWidth="1"/>
    <col min="20" max="20" width="14.28515625" style="1" bestFit="1" customWidth="1"/>
    <col min="21" max="25" width="20.42578125" style="1" customWidth="1"/>
    <col min="26" max="26" width="15.28515625" style="1" customWidth="1"/>
    <col min="27" max="27" width="19.4257812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7" width="23.140625" style="1" customWidth="1"/>
    <col min="38" max="38" width="15.42578125" style="1" customWidth="1"/>
    <col min="39" max="43" width="19.7109375" style="1" customWidth="1"/>
    <col min="44" max="44" width="15.42578125" style="1" customWidth="1"/>
    <col min="45" max="45" width="19.5703125" style="1" customWidth="1"/>
    <col min="46" max="46" width="19.42578125" style="1" customWidth="1"/>
    <col min="47" max="49" width="19.5703125" style="1" customWidth="1"/>
    <col min="50" max="50" width="16.140625" style="1" customWidth="1"/>
    <col min="51" max="55" width="19.5703125" style="1" customWidth="1"/>
    <col min="56" max="56" width="15.7109375" style="1" customWidth="1"/>
    <col min="57" max="16384" width="9.140625" style="1"/>
  </cols>
  <sheetData>
    <row r="1" spans="1:56" x14ac:dyDescent="0.25">
      <c r="A1" s="14" t="s">
        <v>9</v>
      </c>
      <c r="B1" s="42"/>
      <c r="C1" s="19">
        <v>46083</v>
      </c>
      <c r="D1" s="32">
        <v>46084</v>
      </c>
      <c r="E1" s="32">
        <v>46085</v>
      </c>
      <c r="F1" s="32">
        <v>46086</v>
      </c>
      <c r="G1" s="7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19">
        <v>46104</v>
      </c>
      <c r="V1" s="32">
        <v>46105</v>
      </c>
      <c r="W1" s="32">
        <v>46106</v>
      </c>
      <c r="X1" s="32">
        <v>46107</v>
      </c>
      <c r="Y1" s="7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69">
        <v>46125</v>
      </c>
      <c r="AN1" s="69">
        <v>46126</v>
      </c>
      <c r="AO1" s="69">
        <v>46127</v>
      </c>
      <c r="AP1" s="69">
        <v>46128</v>
      </c>
      <c r="AQ1" s="69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19">
        <v>46136</v>
      </c>
      <c r="AX1" s="10" t="s">
        <v>15</v>
      </c>
      <c r="AY1" s="19">
        <v>46139</v>
      </c>
      <c r="AZ1" s="19">
        <v>46140</v>
      </c>
      <c r="BA1" s="19">
        <v>46141</v>
      </c>
      <c r="BB1" s="19">
        <v>46142</v>
      </c>
      <c r="BC1" s="19">
        <v>46143</v>
      </c>
      <c r="BD1" s="10" t="s">
        <v>15</v>
      </c>
    </row>
    <row r="2" spans="1:56" x14ac:dyDescent="0.25">
      <c r="A2" s="40" t="s">
        <v>18</v>
      </c>
      <c r="B2" s="43">
        <v>1</v>
      </c>
      <c r="C2" s="11"/>
      <c r="G2" s="63"/>
      <c r="H2" s="33">
        <f>SUM(C2:G2)</f>
        <v>0</v>
      </c>
      <c r="I2" s="14"/>
      <c r="J2" s="18"/>
      <c r="K2" s="18"/>
      <c r="L2" s="18"/>
      <c r="M2" s="5"/>
      <c r="N2" s="33">
        <f t="shared" ref="N2:N16" si="0">SUM(I2:M2)</f>
        <v>0</v>
      </c>
      <c r="P2" s="1">
        <v>1</v>
      </c>
      <c r="T2" s="33">
        <f t="shared" ref="T2:T17" si="1">SUM(O2:S2)</f>
        <v>1</v>
      </c>
      <c r="U2" s="75"/>
      <c r="V2" s="4"/>
      <c r="W2" s="4"/>
      <c r="X2" s="4"/>
      <c r="Y2" s="76"/>
      <c r="Z2" s="33">
        <f>SUM(U2:Y2)</f>
        <v>0</v>
      </c>
      <c r="AD2" s="1">
        <v>23</v>
      </c>
      <c r="AF2" s="33">
        <f>SUM(AA2:AE2)</f>
        <v>23</v>
      </c>
      <c r="AG2" s="14"/>
      <c r="AH2" s="18"/>
      <c r="AI2" s="18"/>
      <c r="AJ2" s="18"/>
      <c r="AK2" s="5"/>
      <c r="AL2" s="33">
        <f>SUM(AG2:AK2)</f>
        <v>0</v>
      </c>
      <c r="AR2" s="33">
        <f>SUM(AM2:AQ2)</f>
        <v>0</v>
      </c>
      <c r="AX2" s="33">
        <f>SUM(AS2:AW2)</f>
        <v>0</v>
      </c>
      <c r="BC2" s="89" t="s">
        <v>95</v>
      </c>
      <c r="BD2" s="33">
        <f t="shared" ref="BD2:BD17" si="2">SUM(AY2:BC2)</f>
        <v>0</v>
      </c>
    </row>
    <row r="3" spans="1:56" x14ac:dyDescent="0.25">
      <c r="A3" s="40" t="s">
        <v>0</v>
      </c>
      <c r="B3" s="43">
        <v>2</v>
      </c>
      <c r="C3" s="11"/>
      <c r="G3" s="63"/>
      <c r="H3" s="33">
        <f t="shared" ref="H3:H16" si="3">SUM(C3:G3)</f>
        <v>0</v>
      </c>
      <c r="I3" s="11"/>
      <c r="M3" s="63"/>
      <c r="N3" s="33">
        <f t="shared" si="0"/>
        <v>0</v>
      </c>
      <c r="T3" s="33">
        <f t="shared" si="1"/>
        <v>0</v>
      </c>
      <c r="U3" s="75"/>
      <c r="V3" s="4"/>
      <c r="W3" s="4"/>
      <c r="X3" s="4"/>
      <c r="Y3" s="76"/>
      <c r="Z3" s="33">
        <f t="shared" ref="Z3:Z16" si="4">SUM(U3:Y3)</f>
        <v>0</v>
      </c>
      <c r="AF3" s="33">
        <f t="shared" ref="AF3:AF16" si="5">SUM(AA3:AE3)</f>
        <v>0</v>
      </c>
      <c r="AG3" s="11"/>
      <c r="AK3" s="63"/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C3" s="89" t="s">
        <v>95</v>
      </c>
      <c r="BD3" s="33">
        <f t="shared" si="2"/>
        <v>0</v>
      </c>
    </row>
    <row r="4" spans="1:56" x14ac:dyDescent="0.25">
      <c r="A4" s="41" t="s">
        <v>17</v>
      </c>
      <c r="B4" s="44">
        <v>3</v>
      </c>
      <c r="C4" s="11"/>
      <c r="E4" s="1">
        <v>1</v>
      </c>
      <c r="G4" s="63"/>
      <c r="H4" s="33">
        <f t="shared" si="3"/>
        <v>1</v>
      </c>
      <c r="I4" s="11"/>
      <c r="M4" s="63"/>
      <c r="N4" s="33">
        <f t="shared" si="0"/>
        <v>0</v>
      </c>
      <c r="T4" s="33">
        <f t="shared" si="1"/>
        <v>0</v>
      </c>
      <c r="U4" s="75"/>
      <c r="V4" s="4">
        <v>7</v>
      </c>
      <c r="W4" s="4"/>
      <c r="X4" s="4"/>
      <c r="Y4" s="76"/>
      <c r="Z4" s="33">
        <f t="shared" si="4"/>
        <v>7</v>
      </c>
      <c r="AF4" s="33">
        <f t="shared" si="5"/>
        <v>0</v>
      </c>
      <c r="AG4" s="11"/>
      <c r="AK4" s="63"/>
      <c r="AL4" s="33">
        <f t="shared" si="6"/>
        <v>0</v>
      </c>
      <c r="AR4" s="33">
        <f t="shared" si="7"/>
        <v>0</v>
      </c>
      <c r="AX4" s="33">
        <f t="shared" si="8"/>
        <v>0</v>
      </c>
      <c r="BC4" s="89" t="s">
        <v>95</v>
      </c>
      <c r="BD4" s="33">
        <f t="shared" si="2"/>
        <v>0</v>
      </c>
    </row>
    <row r="5" spans="1:56" x14ac:dyDescent="0.25">
      <c r="A5" s="41" t="s">
        <v>16</v>
      </c>
      <c r="B5" s="43">
        <v>4</v>
      </c>
      <c r="C5" s="11"/>
      <c r="G5" s="63"/>
      <c r="H5" s="33">
        <f t="shared" si="3"/>
        <v>0</v>
      </c>
      <c r="I5" s="11"/>
      <c r="M5" s="63"/>
      <c r="N5" s="33">
        <f t="shared" si="0"/>
        <v>0</v>
      </c>
      <c r="T5" s="33">
        <f t="shared" si="1"/>
        <v>0</v>
      </c>
      <c r="U5" s="75"/>
      <c r="V5" s="4"/>
      <c r="W5" s="4"/>
      <c r="X5" s="4"/>
      <c r="Y5" s="76"/>
      <c r="Z5" s="33">
        <f t="shared" si="4"/>
        <v>0</v>
      </c>
      <c r="AF5" s="33">
        <f t="shared" si="5"/>
        <v>0</v>
      </c>
      <c r="AG5" s="11"/>
      <c r="AK5" s="63"/>
      <c r="AL5" s="33">
        <f t="shared" si="6"/>
        <v>0</v>
      </c>
      <c r="AR5" s="33">
        <f t="shared" si="7"/>
        <v>0</v>
      </c>
      <c r="AX5" s="33">
        <f t="shared" si="8"/>
        <v>0</v>
      </c>
      <c r="BC5" s="89" t="s">
        <v>95</v>
      </c>
      <c r="BD5" s="33">
        <f t="shared" si="2"/>
        <v>0</v>
      </c>
    </row>
    <row r="6" spans="1:56" x14ac:dyDescent="0.25">
      <c r="A6" s="41" t="s">
        <v>1</v>
      </c>
      <c r="B6" s="43">
        <v>5</v>
      </c>
      <c r="C6" s="11"/>
      <c r="G6" s="63"/>
      <c r="H6" s="33">
        <f t="shared" si="3"/>
        <v>0</v>
      </c>
      <c r="I6" s="11"/>
      <c r="M6" s="63"/>
      <c r="N6" s="33">
        <f t="shared" si="0"/>
        <v>0</v>
      </c>
      <c r="T6" s="33">
        <f t="shared" si="1"/>
        <v>0</v>
      </c>
      <c r="U6" s="75"/>
      <c r="V6" s="4"/>
      <c r="W6" s="4"/>
      <c r="X6" s="4"/>
      <c r="Y6" s="76"/>
      <c r="Z6" s="33">
        <f t="shared" si="4"/>
        <v>0</v>
      </c>
      <c r="AF6" s="33">
        <f t="shared" si="5"/>
        <v>0</v>
      </c>
      <c r="AG6" s="11"/>
      <c r="AK6" s="63"/>
      <c r="AL6" s="33">
        <f t="shared" si="6"/>
        <v>0</v>
      </c>
      <c r="AR6" s="33">
        <f t="shared" si="7"/>
        <v>0</v>
      </c>
      <c r="AX6" s="33">
        <f t="shared" si="8"/>
        <v>0</v>
      </c>
      <c r="BC6" s="89" t="s">
        <v>95</v>
      </c>
      <c r="BD6" s="33">
        <f t="shared" si="2"/>
        <v>0</v>
      </c>
    </row>
    <row r="7" spans="1:56" x14ac:dyDescent="0.25">
      <c r="A7" s="41" t="s">
        <v>2</v>
      </c>
      <c r="B7" s="44">
        <v>6</v>
      </c>
      <c r="C7" s="11"/>
      <c r="G7" s="63"/>
      <c r="H7" s="33">
        <f t="shared" si="3"/>
        <v>0</v>
      </c>
      <c r="I7" s="11"/>
      <c r="M7" s="63"/>
      <c r="N7" s="33">
        <f t="shared" si="0"/>
        <v>0</v>
      </c>
      <c r="T7" s="33">
        <f t="shared" si="1"/>
        <v>0</v>
      </c>
      <c r="U7" s="75"/>
      <c r="V7" s="4"/>
      <c r="W7" s="4"/>
      <c r="X7" s="4"/>
      <c r="Y7" s="76"/>
      <c r="Z7" s="33">
        <f t="shared" si="4"/>
        <v>0</v>
      </c>
      <c r="AF7" s="33">
        <f t="shared" si="5"/>
        <v>0</v>
      </c>
      <c r="AG7" s="11"/>
      <c r="AK7" s="63"/>
      <c r="AL7" s="33">
        <f t="shared" si="6"/>
        <v>0</v>
      </c>
      <c r="AR7" s="33">
        <f t="shared" si="7"/>
        <v>0</v>
      </c>
      <c r="AX7" s="33">
        <f t="shared" si="8"/>
        <v>0</v>
      </c>
      <c r="BC7" s="89" t="s">
        <v>95</v>
      </c>
      <c r="BD7" s="33">
        <f t="shared" si="2"/>
        <v>0</v>
      </c>
    </row>
    <row r="8" spans="1:56" x14ac:dyDescent="0.25">
      <c r="A8" s="41" t="s">
        <v>3</v>
      </c>
      <c r="B8" s="43">
        <v>7</v>
      </c>
      <c r="C8" s="11"/>
      <c r="G8" s="63"/>
      <c r="H8" s="33">
        <f t="shared" si="3"/>
        <v>0</v>
      </c>
      <c r="I8" s="11"/>
      <c r="M8" s="63"/>
      <c r="N8" s="33">
        <f t="shared" si="0"/>
        <v>0</v>
      </c>
      <c r="T8" s="33">
        <f t="shared" si="1"/>
        <v>0</v>
      </c>
      <c r="U8" s="75"/>
      <c r="V8" s="4"/>
      <c r="W8" s="4"/>
      <c r="X8" s="4"/>
      <c r="Y8" s="76"/>
      <c r="Z8" s="33">
        <f t="shared" si="4"/>
        <v>0</v>
      </c>
      <c r="AF8" s="33">
        <f t="shared" si="5"/>
        <v>0</v>
      </c>
      <c r="AG8" s="11"/>
      <c r="AK8" s="63"/>
      <c r="AL8" s="33">
        <f t="shared" si="6"/>
        <v>0</v>
      </c>
      <c r="AR8" s="33">
        <f t="shared" si="7"/>
        <v>0</v>
      </c>
      <c r="AX8" s="33">
        <f t="shared" si="8"/>
        <v>0</v>
      </c>
      <c r="BC8" s="89" t="s">
        <v>95</v>
      </c>
      <c r="BD8" s="33">
        <f t="shared" si="2"/>
        <v>0</v>
      </c>
    </row>
    <row r="9" spans="1:56" x14ac:dyDescent="0.25">
      <c r="A9" s="41" t="s">
        <v>13</v>
      </c>
      <c r="B9" s="43">
        <v>8</v>
      </c>
      <c r="C9" s="11"/>
      <c r="G9" s="63"/>
      <c r="H9" s="33">
        <f t="shared" si="3"/>
        <v>0</v>
      </c>
      <c r="I9" s="11"/>
      <c r="M9" s="63"/>
      <c r="N9" s="33">
        <f t="shared" si="0"/>
        <v>0</v>
      </c>
      <c r="T9" s="33">
        <f t="shared" si="1"/>
        <v>0</v>
      </c>
      <c r="U9" s="75"/>
      <c r="V9" s="4"/>
      <c r="W9" s="4"/>
      <c r="X9" s="4"/>
      <c r="Y9" s="76"/>
      <c r="Z9" s="33">
        <f t="shared" si="4"/>
        <v>0</v>
      </c>
      <c r="AF9" s="33">
        <f t="shared" si="5"/>
        <v>0</v>
      </c>
      <c r="AG9" s="11"/>
      <c r="AK9" s="63"/>
      <c r="AL9" s="33">
        <f t="shared" si="6"/>
        <v>0</v>
      </c>
      <c r="AR9" s="33">
        <f t="shared" si="7"/>
        <v>0</v>
      </c>
      <c r="AX9" s="33">
        <f t="shared" si="8"/>
        <v>0</v>
      </c>
      <c r="BC9" s="89" t="s">
        <v>95</v>
      </c>
      <c r="BD9" s="33">
        <f t="shared" si="2"/>
        <v>0</v>
      </c>
    </row>
    <row r="10" spans="1:56" x14ac:dyDescent="0.25">
      <c r="A10" s="40" t="s">
        <v>12</v>
      </c>
      <c r="B10" s="44">
        <v>9</v>
      </c>
      <c r="C10" s="11"/>
      <c r="G10" s="63"/>
      <c r="H10" s="33">
        <f t="shared" si="3"/>
        <v>0</v>
      </c>
      <c r="I10" s="11"/>
      <c r="M10" s="63"/>
      <c r="N10" s="33">
        <f t="shared" si="0"/>
        <v>0</v>
      </c>
      <c r="T10" s="33">
        <f t="shared" si="1"/>
        <v>0</v>
      </c>
      <c r="U10" s="75"/>
      <c r="V10" s="4"/>
      <c r="W10" s="4"/>
      <c r="X10" s="4"/>
      <c r="Y10" s="76"/>
      <c r="Z10" s="33">
        <f t="shared" si="4"/>
        <v>0</v>
      </c>
      <c r="AF10" s="33">
        <f t="shared" si="5"/>
        <v>0</v>
      </c>
      <c r="AG10" s="11"/>
      <c r="AK10" s="63"/>
      <c r="AL10" s="33">
        <f t="shared" si="6"/>
        <v>0</v>
      </c>
      <c r="AR10" s="33">
        <f t="shared" si="7"/>
        <v>0</v>
      </c>
      <c r="AX10" s="33">
        <f t="shared" si="8"/>
        <v>0</v>
      </c>
      <c r="BC10" s="89" t="s">
        <v>95</v>
      </c>
      <c r="BD10" s="33">
        <f t="shared" si="2"/>
        <v>0</v>
      </c>
    </row>
    <row r="11" spans="1:56" x14ac:dyDescent="0.25">
      <c r="A11" s="41" t="s">
        <v>4</v>
      </c>
      <c r="B11" s="43">
        <v>10</v>
      </c>
      <c r="C11" s="11"/>
      <c r="G11" s="63"/>
      <c r="H11" s="33">
        <f t="shared" si="3"/>
        <v>0</v>
      </c>
      <c r="I11" s="11"/>
      <c r="M11" s="63"/>
      <c r="N11" s="33">
        <f t="shared" si="0"/>
        <v>0</v>
      </c>
      <c r="O11" s="1">
        <v>7</v>
      </c>
      <c r="P11" s="1">
        <v>7</v>
      </c>
      <c r="Q11" s="1">
        <v>4</v>
      </c>
      <c r="R11" s="1">
        <v>7</v>
      </c>
      <c r="T11" s="33">
        <f t="shared" si="1"/>
        <v>25</v>
      </c>
      <c r="U11" s="75"/>
      <c r="V11" s="4"/>
      <c r="W11" s="4"/>
      <c r="X11" s="4"/>
      <c r="Y11" s="76"/>
      <c r="Z11" s="33">
        <f t="shared" si="4"/>
        <v>0</v>
      </c>
      <c r="AE11" s="1">
        <v>8</v>
      </c>
      <c r="AF11" s="33">
        <f t="shared" si="5"/>
        <v>8</v>
      </c>
      <c r="AG11" s="11"/>
      <c r="AI11" s="1">
        <v>8</v>
      </c>
      <c r="AJ11" s="1">
        <v>6</v>
      </c>
      <c r="AK11" s="63"/>
      <c r="AL11" s="33">
        <f t="shared" si="6"/>
        <v>14</v>
      </c>
      <c r="AM11" s="1">
        <v>6</v>
      </c>
      <c r="AR11" s="33">
        <f t="shared" si="7"/>
        <v>6</v>
      </c>
      <c r="AX11" s="33">
        <f t="shared" si="8"/>
        <v>0</v>
      </c>
      <c r="BC11" s="89" t="s">
        <v>95</v>
      </c>
      <c r="BD11" s="33">
        <f t="shared" si="2"/>
        <v>0</v>
      </c>
    </row>
    <row r="12" spans="1:56" x14ac:dyDescent="0.25">
      <c r="A12" s="41" t="s">
        <v>5</v>
      </c>
      <c r="B12" s="43">
        <v>11</v>
      </c>
      <c r="C12" s="11"/>
      <c r="G12" s="63"/>
      <c r="H12" s="33">
        <f t="shared" si="3"/>
        <v>0</v>
      </c>
      <c r="I12" s="11"/>
      <c r="M12" s="63"/>
      <c r="N12" s="33">
        <f t="shared" si="0"/>
        <v>0</v>
      </c>
      <c r="T12" s="33">
        <f t="shared" si="1"/>
        <v>0</v>
      </c>
      <c r="U12" s="75"/>
      <c r="V12" s="4"/>
      <c r="W12" s="4"/>
      <c r="X12" s="4"/>
      <c r="Y12" s="76"/>
      <c r="Z12" s="33">
        <f t="shared" si="4"/>
        <v>0</v>
      </c>
      <c r="AD12" s="1">
        <v>44</v>
      </c>
      <c r="AF12" s="33">
        <f t="shared" si="5"/>
        <v>44</v>
      </c>
      <c r="AG12" s="11"/>
      <c r="AI12" s="1">
        <v>60</v>
      </c>
      <c r="AJ12" s="1">
        <v>39</v>
      </c>
      <c r="AK12" s="63"/>
      <c r="AL12" s="33">
        <f t="shared" si="6"/>
        <v>99</v>
      </c>
      <c r="AM12" s="1">
        <v>27</v>
      </c>
      <c r="AR12" s="33">
        <f t="shared" si="7"/>
        <v>27</v>
      </c>
      <c r="AX12" s="33">
        <f t="shared" si="8"/>
        <v>0</v>
      </c>
      <c r="BC12" s="89" t="s">
        <v>95</v>
      </c>
      <c r="BD12" s="33">
        <f t="shared" si="2"/>
        <v>0</v>
      </c>
    </row>
    <row r="13" spans="1:56" x14ac:dyDescent="0.25">
      <c r="A13" s="40" t="s">
        <v>8</v>
      </c>
      <c r="B13" s="44">
        <v>12</v>
      </c>
      <c r="C13" s="11"/>
      <c r="E13" s="1">
        <v>1</v>
      </c>
      <c r="G13" s="63">
        <v>1</v>
      </c>
      <c r="H13" s="33">
        <f t="shared" si="3"/>
        <v>2</v>
      </c>
      <c r="I13" s="11"/>
      <c r="M13" s="63"/>
      <c r="N13" s="33">
        <f t="shared" si="0"/>
        <v>0</v>
      </c>
      <c r="Q13" s="1">
        <v>1</v>
      </c>
      <c r="T13" s="33">
        <f t="shared" si="1"/>
        <v>1</v>
      </c>
      <c r="U13" s="75"/>
      <c r="V13" s="4">
        <v>1</v>
      </c>
      <c r="W13" s="4"/>
      <c r="X13" s="4"/>
      <c r="Y13" s="76"/>
      <c r="Z13" s="33">
        <f t="shared" si="4"/>
        <v>1</v>
      </c>
      <c r="AF13" s="33">
        <f t="shared" si="5"/>
        <v>0</v>
      </c>
      <c r="AG13" s="11"/>
      <c r="AK13" s="63"/>
      <c r="AL13" s="33">
        <f t="shared" si="6"/>
        <v>0</v>
      </c>
      <c r="AR13" s="33">
        <f t="shared" si="7"/>
        <v>0</v>
      </c>
      <c r="AX13" s="33">
        <f t="shared" si="8"/>
        <v>0</v>
      </c>
      <c r="BC13" s="89" t="s">
        <v>95</v>
      </c>
      <c r="BD13" s="33">
        <f t="shared" si="2"/>
        <v>0</v>
      </c>
    </row>
    <row r="14" spans="1:56" x14ac:dyDescent="0.25">
      <c r="A14" s="41" t="s">
        <v>6</v>
      </c>
      <c r="B14" s="43">
        <v>13</v>
      </c>
      <c r="C14" s="11"/>
      <c r="G14" s="63"/>
      <c r="H14" s="33">
        <f t="shared" si="3"/>
        <v>0</v>
      </c>
      <c r="I14" s="11"/>
      <c r="M14" s="63"/>
      <c r="N14" s="33">
        <f t="shared" si="0"/>
        <v>0</v>
      </c>
      <c r="T14" s="33">
        <f t="shared" si="1"/>
        <v>0</v>
      </c>
      <c r="U14" s="75"/>
      <c r="V14" s="4"/>
      <c r="W14" s="4"/>
      <c r="X14" s="4"/>
      <c r="Y14" s="76"/>
      <c r="Z14" s="33">
        <f t="shared" si="4"/>
        <v>0</v>
      </c>
      <c r="AF14" s="33">
        <f t="shared" si="5"/>
        <v>0</v>
      </c>
      <c r="AG14" s="11"/>
      <c r="AK14" s="63"/>
      <c r="AL14" s="33">
        <f t="shared" si="6"/>
        <v>0</v>
      </c>
      <c r="AR14" s="33">
        <f t="shared" si="7"/>
        <v>0</v>
      </c>
      <c r="AX14" s="33">
        <f t="shared" si="8"/>
        <v>0</v>
      </c>
      <c r="BC14" s="89" t="s">
        <v>95</v>
      </c>
      <c r="BD14" s="33">
        <f t="shared" si="2"/>
        <v>0</v>
      </c>
    </row>
    <row r="15" spans="1:56" x14ac:dyDescent="0.25">
      <c r="A15" s="40" t="s">
        <v>7</v>
      </c>
      <c r="B15" s="43">
        <v>14</v>
      </c>
      <c r="C15" s="11"/>
      <c r="G15" s="63"/>
      <c r="H15" s="33">
        <f t="shared" si="3"/>
        <v>0</v>
      </c>
      <c r="I15" s="11"/>
      <c r="M15" s="63"/>
      <c r="N15" s="33">
        <f t="shared" si="0"/>
        <v>0</v>
      </c>
      <c r="O15" s="1">
        <v>49</v>
      </c>
      <c r="P15" s="1">
        <v>50</v>
      </c>
      <c r="Q15" s="1">
        <v>26</v>
      </c>
      <c r="R15" s="1">
        <v>50</v>
      </c>
      <c r="T15" s="33">
        <f t="shared" si="1"/>
        <v>175</v>
      </c>
      <c r="U15" s="75"/>
      <c r="V15" s="4"/>
      <c r="W15" s="4"/>
      <c r="X15" s="4"/>
      <c r="Y15" s="76"/>
      <c r="Z15" s="33">
        <f t="shared" si="4"/>
        <v>0</v>
      </c>
      <c r="AF15" s="33">
        <f t="shared" si="5"/>
        <v>0</v>
      </c>
      <c r="AG15" s="11"/>
      <c r="AK15" s="63"/>
      <c r="AL15" s="33">
        <f t="shared" si="6"/>
        <v>0</v>
      </c>
      <c r="AN15" s="1">
        <v>92</v>
      </c>
      <c r="AR15" s="33">
        <f t="shared" si="7"/>
        <v>92</v>
      </c>
      <c r="AX15" s="33">
        <f t="shared" si="8"/>
        <v>0</v>
      </c>
      <c r="BC15" s="89" t="s">
        <v>95</v>
      </c>
      <c r="BD15" s="33">
        <f t="shared" si="2"/>
        <v>0</v>
      </c>
    </row>
    <row r="16" spans="1:56" x14ac:dyDescent="0.25">
      <c r="A16" s="40" t="s">
        <v>14</v>
      </c>
      <c r="B16" s="37">
        <v>15</v>
      </c>
      <c r="C16" s="11"/>
      <c r="G16" s="63"/>
      <c r="H16" s="33">
        <f t="shared" si="3"/>
        <v>0</v>
      </c>
      <c r="I16" s="11"/>
      <c r="M16" s="63"/>
      <c r="N16" s="33">
        <f t="shared" si="0"/>
        <v>0</v>
      </c>
      <c r="T16" s="33">
        <f t="shared" si="1"/>
        <v>0</v>
      </c>
      <c r="U16" s="75"/>
      <c r="V16" s="4"/>
      <c r="W16" s="4"/>
      <c r="X16" s="4"/>
      <c r="Y16" s="76"/>
      <c r="Z16" s="33">
        <f t="shared" si="4"/>
        <v>0</v>
      </c>
      <c r="AF16" s="33">
        <f t="shared" si="5"/>
        <v>0</v>
      </c>
      <c r="AG16" s="11"/>
      <c r="AK16" s="63"/>
      <c r="AL16" s="33">
        <f t="shared" si="6"/>
        <v>0</v>
      </c>
      <c r="AR16" s="33">
        <f t="shared" si="7"/>
        <v>0</v>
      </c>
      <c r="AX16" s="33">
        <f t="shared" si="8"/>
        <v>0</v>
      </c>
      <c r="BC16" s="89" t="s">
        <v>95</v>
      </c>
      <c r="BD16" s="33">
        <f t="shared" si="2"/>
        <v>0</v>
      </c>
    </row>
    <row r="17" spans="1:56" x14ac:dyDescent="0.25">
      <c r="A17" s="15" t="s">
        <v>39</v>
      </c>
      <c r="B17" s="38">
        <v>16</v>
      </c>
      <c r="C17" s="12"/>
      <c r="D17" s="13"/>
      <c r="E17" s="13"/>
      <c r="F17" s="13">
        <v>5</v>
      </c>
      <c r="G17" s="64"/>
      <c r="H17" s="34">
        <f>SUM(C17:G17)</f>
        <v>5</v>
      </c>
      <c r="I17" s="12"/>
      <c r="J17" s="13"/>
      <c r="K17" s="13">
        <v>5</v>
      </c>
      <c r="L17" s="13">
        <v>7</v>
      </c>
      <c r="M17" s="64">
        <v>10</v>
      </c>
      <c r="N17" s="34">
        <f>SUM(I17:M17)</f>
        <v>22</v>
      </c>
      <c r="T17" s="34">
        <f t="shared" si="1"/>
        <v>0</v>
      </c>
      <c r="U17" s="77"/>
      <c r="V17" s="78"/>
      <c r="W17" s="78"/>
      <c r="X17" s="78"/>
      <c r="Y17" s="79"/>
      <c r="Z17" s="34">
        <f>SUM(U17:Y17)</f>
        <v>0</v>
      </c>
      <c r="AF17" s="34">
        <f>SUM(AA17:AE17)</f>
        <v>0</v>
      </c>
      <c r="AG17" s="12"/>
      <c r="AH17" s="13"/>
      <c r="AI17" s="13"/>
      <c r="AJ17" s="13"/>
      <c r="AK17" s="64"/>
      <c r="AL17" s="34">
        <f>SUM(AG17:AK17)</f>
        <v>0</v>
      </c>
      <c r="AR17" s="34">
        <f>SUM(AM17:AQ17)</f>
        <v>0</v>
      </c>
      <c r="AX17" s="34">
        <f>SUM(AS17:AW17)</f>
        <v>0</v>
      </c>
      <c r="BC17" s="89" t="s">
        <v>95</v>
      </c>
      <c r="BD17" s="34">
        <f t="shared" si="2"/>
        <v>0</v>
      </c>
    </row>
    <row r="18" spans="1:56" ht="270" x14ac:dyDescent="0.25">
      <c r="A18" s="1" t="s">
        <v>11</v>
      </c>
      <c r="B18" s="35"/>
      <c r="C18" s="4" t="s">
        <v>54</v>
      </c>
      <c r="D18" s="4" t="s">
        <v>54</v>
      </c>
      <c r="E18" s="4" t="s">
        <v>55</v>
      </c>
      <c r="F18" s="4" t="s">
        <v>56</v>
      </c>
      <c r="G18" s="4" t="s">
        <v>57</v>
      </c>
      <c r="I18" s="4" t="s">
        <v>71</v>
      </c>
      <c r="J18" s="4" t="s">
        <v>72</v>
      </c>
      <c r="K18" s="4" t="s">
        <v>73</v>
      </c>
      <c r="L18" s="73" t="s">
        <v>74</v>
      </c>
      <c r="M18" s="73" t="s">
        <v>75</v>
      </c>
      <c r="O18" s="74" t="s">
        <v>84</v>
      </c>
      <c r="P18" s="74" t="s">
        <v>84</v>
      </c>
      <c r="Q18" s="74" t="s">
        <v>85</v>
      </c>
      <c r="R18" s="74" t="s">
        <v>84</v>
      </c>
      <c r="S18" s="74" t="s">
        <v>86</v>
      </c>
      <c r="U18" s="4" t="s">
        <v>88</v>
      </c>
      <c r="V18" s="4" t="s">
        <v>89</v>
      </c>
      <c r="W18" s="4" t="s">
        <v>86</v>
      </c>
      <c r="X18" s="4" t="s">
        <v>86</v>
      </c>
      <c r="Y18" s="4" t="s">
        <v>90</v>
      </c>
      <c r="AA18" s="74" t="s">
        <v>86</v>
      </c>
      <c r="AB18" s="74" t="s">
        <v>86</v>
      </c>
      <c r="AC18" s="74" t="s">
        <v>86</v>
      </c>
      <c r="AD18" s="74" t="s">
        <v>96</v>
      </c>
      <c r="AE18" s="4" t="s">
        <v>97</v>
      </c>
      <c r="AG18" s="4" t="s">
        <v>104</v>
      </c>
      <c r="AH18" s="73" t="s">
        <v>105</v>
      </c>
      <c r="AI18" s="73" t="s">
        <v>106</v>
      </c>
      <c r="AJ18" s="73" t="s">
        <v>107</v>
      </c>
      <c r="AK18" s="80" t="s">
        <v>108</v>
      </c>
      <c r="AM18" s="74" t="s">
        <v>116</v>
      </c>
      <c r="AN18" s="74" t="s">
        <v>117</v>
      </c>
      <c r="AO18" s="74" t="s">
        <v>118</v>
      </c>
      <c r="AP18" s="74" t="s">
        <v>118</v>
      </c>
      <c r="AQ18" s="74" t="s">
        <v>118</v>
      </c>
      <c r="AS18" s="85" t="s">
        <v>125</v>
      </c>
      <c r="AT18" s="85" t="s">
        <v>129</v>
      </c>
      <c r="AU18" s="74" t="s">
        <v>118</v>
      </c>
      <c r="AV18" s="74" t="s">
        <v>118</v>
      </c>
      <c r="AW18" s="74" t="s">
        <v>118</v>
      </c>
      <c r="AX18" s="4"/>
      <c r="AY18" s="74" t="s">
        <v>118</v>
      </c>
      <c r="AZ18" s="74" t="s">
        <v>118</v>
      </c>
      <c r="BA18" s="74" t="s">
        <v>118</v>
      </c>
      <c r="BB18" s="74" t="s">
        <v>118</v>
      </c>
      <c r="BC18" s="85"/>
    </row>
    <row r="19" spans="1:56" x14ac:dyDescent="0.25">
      <c r="A19" s="1" t="s">
        <v>10</v>
      </c>
      <c r="B19" s="35"/>
      <c r="I19" s="4"/>
      <c r="K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AA19" s="4"/>
      <c r="AB19" s="4"/>
      <c r="AD19" s="4"/>
      <c r="AE19" s="4"/>
      <c r="AS19" s="4"/>
      <c r="AT19" s="4"/>
      <c r="AU19" s="4"/>
      <c r="AV19" s="4"/>
      <c r="AW19" s="4"/>
      <c r="AY19" s="4"/>
      <c r="AZ19" s="4"/>
      <c r="BA19" s="4"/>
      <c r="BB19" s="4"/>
      <c r="BC19" s="4"/>
    </row>
  </sheetData>
  <customSheetViews>
    <customSheetView guid="{86039CF8-B158-4D70-9A6F-A10C29CBD68A}">
      <pane xSplit="1" topLeftCell="AW1" activePane="topRight" state="frozen"/>
      <selection pane="topRight" activeCell="BD18" sqref="BD1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B1" activePane="topRight" state="frozen"/>
      <selection pane="topRight" activeCell="AE18" sqref="AE18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J7">
      <selection activeCell="S18" sqref="S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F5" sqref="F5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E3" sqref="E3"/>
      <pageMargins left="0.511811024" right="0.511811024" top="0.78740157499999996" bottom="0.78740157499999996" header="0.31496062000000002" footer="0.31496062000000002"/>
    </customSheetView>
    <customSheetView guid="{9B623083-AA7B-440B-95EA-C33E1AB3D963}" scale="90" showAutoFilter="1" topLeftCell="A4">
      <pane xSplit="1" topLeftCell="B1" activePane="topRight" state="frozen"/>
      <selection pane="topRight" activeCell="W17" sqref="W17"/>
      <pageMargins left="0.511811024" right="0.511811024" top="0.78740157499999996" bottom="0.78740157499999996" header="0.31496062000000002" footer="0.31496062000000002"/>
      <autoFilter ref="A1:A19" xr:uid="{287447D9-445D-4AA1-9B4E-142EB463B661}"/>
    </customSheetView>
    <customSheetView guid="{20CB6D8F-C24D-4D4B-A424-AF380F620455}" scale="90" showPageBreaks="1" topLeftCell="AM1">
      <selection activeCell="AS18" sqref="AS18:AW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3D987F8E-A6EA-454D-9537-6BFC5053CB00}" showPageBreaks="1">
      <pane xSplit="1" topLeftCell="AS1" activePane="topRight" state="frozen"/>
      <selection pane="topRight" activeCell="AY18" sqref="AY18:BB18"/>
      <pageMargins left="0.51181102362204722" right="0.51181102362204722" top="0.78740157480314965" bottom="0.78740157480314965" header="0.31496062992125984" footer="0.31496062992125984"/>
      <printOptions gridLines="1"/>
      <pageSetup paperSize="9" orientation="portrait" r:id="rId2"/>
    </customSheetView>
  </customSheetView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D19"/>
  <sheetViews>
    <sheetView topLeftCell="C1" zoomScaleNormal="85" workbookViewId="0">
      <selection activeCell="O8" sqref="O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5.28515625" style="1" customWidth="1"/>
    <col min="15" max="19" width="9.140625" style="1"/>
    <col min="20" max="20" width="15.7109375" style="1" customWidth="1"/>
    <col min="21" max="25" width="9.140625" style="1"/>
    <col min="26" max="26" width="16.140625" style="1" customWidth="1"/>
    <col min="27" max="31" width="9.140625" style="1"/>
    <col min="32" max="32" width="15" style="1" customWidth="1"/>
    <col min="33" max="37" width="9.140625" style="1"/>
    <col min="38" max="38" width="15.5703125" style="1" customWidth="1"/>
    <col min="39" max="39" width="9.7109375" style="1" customWidth="1"/>
    <col min="40" max="40" width="11" style="1" customWidth="1"/>
    <col min="41" max="43" width="9.140625" style="1"/>
    <col min="44" max="44" width="15" style="1" customWidth="1"/>
    <col min="45" max="49" width="9.140625" style="1"/>
    <col min="50" max="50" width="16.28515625" style="1" customWidth="1"/>
    <col min="51" max="55" width="9.140625" style="1"/>
    <col min="56" max="56" width="16.85546875" style="1" customWidth="1"/>
    <col min="57" max="16384" width="9.140625" style="1"/>
  </cols>
  <sheetData>
    <row r="1" spans="1:56" x14ac:dyDescent="0.25">
      <c r="A1" s="14" t="s">
        <v>9</v>
      </c>
      <c r="B1" s="42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70" t="s">
        <v>15</v>
      </c>
      <c r="AM1" s="69">
        <v>46125</v>
      </c>
      <c r="AN1" s="69">
        <v>46126</v>
      </c>
      <c r="AO1" s="69">
        <v>46127</v>
      </c>
      <c r="AP1" s="69">
        <v>46128</v>
      </c>
      <c r="AQ1" s="69">
        <v>46129</v>
      </c>
      <c r="AR1" s="71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69">
        <v>46143</v>
      </c>
      <c r="BD1" s="10" t="s">
        <v>15</v>
      </c>
    </row>
    <row r="2" spans="1:56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A2" s="11"/>
      <c r="AE2" s="63"/>
      <c r="AF2" s="33">
        <f>SUM(AA2:AE2)</f>
        <v>0</v>
      </c>
      <c r="AL2" s="33">
        <f>SUM(AG2:AK2)</f>
        <v>0</v>
      </c>
      <c r="AR2" s="33">
        <f>SUM(AM2:AQ2)</f>
        <v>0</v>
      </c>
      <c r="AS2" s="86" t="s">
        <v>123</v>
      </c>
      <c r="AT2" s="39" t="s">
        <v>95</v>
      </c>
      <c r="AX2" s="33">
        <f>SUM(AS2:AW2)</f>
        <v>0</v>
      </c>
      <c r="AY2" s="11" t="s">
        <v>137</v>
      </c>
      <c r="AZ2" s="1" t="s">
        <v>137</v>
      </c>
      <c r="BA2" s="1" t="s">
        <v>137</v>
      </c>
      <c r="BB2" s="1" t="s">
        <v>137</v>
      </c>
      <c r="BC2" s="87" t="s">
        <v>95</v>
      </c>
      <c r="BD2" s="33">
        <f t="shared" ref="BD2:BD17" si="2">SUM(AY2:BC2)</f>
        <v>0</v>
      </c>
    </row>
    <row r="3" spans="1:56" x14ac:dyDescent="0.25">
      <c r="A3" s="40" t="s">
        <v>0</v>
      </c>
      <c r="B3" s="43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A3" s="11"/>
      <c r="AE3" s="63"/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S3" s="39" t="s">
        <v>123</v>
      </c>
      <c r="AT3" s="39" t="s">
        <v>95</v>
      </c>
      <c r="AX3" s="33">
        <f t="shared" ref="AX3:AX16" si="8">SUM(AS3:AW3)</f>
        <v>0</v>
      </c>
      <c r="AY3" s="11" t="s">
        <v>137</v>
      </c>
      <c r="AZ3" s="1" t="s">
        <v>137</v>
      </c>
      <c r="BA3" s="1" t="s">
        <v>137</v>
      </c>
      <c r="BB3" s="1" t="s">
        <v>137</v>
      </c>
      <c r="BC3" s="87" t="s">
        <v>95</v>
      </c>
      <c r="BD3" s="33">
        <f t="shared" si="2"/>
        <v>0</v>
      </c>
    </row>
    <row r="4" spans="1:56" x14ac:dyDescent="0.25">
      <c r="A4" s="41" t="s">
        <v>17</v>
      </c>
      <c r="B4" s="44">
        <v>3</v>
      </c>
      <c r="H4" s="33">
        <f t="shared" si="3"/>
        <v>0</v>
      </c>
      <c r="N4" s="33">
        <f t="shared" si="0"/>
        <v>0</v>
      </c>
      <c r="P4" s="1">
        <v>5</v>
      </c>
      <c r="T4" s="33">
        <f t="shared" si="1"/>
        <v>5</v>
      </c>
      <c r="Z4" s="33">
        <f t="shared" si="4"/>
        <v>0</v>
      </c>
      <c r="AA4" s="11"/>
      <c r="AE4" s="63"/>
      <c r="AF4" s="33">
        <f t="shared" si="5"/>
        <v>0</v>
      </c>
      <c r="AL4" s="33">
        <f t="shared" si="6"/>
        <v>0</v>
      </c>
      <c r="AR4" s="33">
        <f t="shared" si="7"/>
        <v>0</v>
      </c>
      <c r="AS4" s="39" t="s">
        <v>123</v>
      </c>
      <c r="AT4" s="39" t="s">
        <v>95</v>
      </c>
      <c r="AX4" s="33">
        <f t="shared" si="8"/>
        <v>0</v>
      </c>
      <c r="AY4" s="11" t="s">
        <v>137</v>
      </c>
      <c r="AZ4" s="1" t="s">
        <v>137</v>
      </c>
      <c r="BA4" s="1" t="s">
        <v>137</v>
      </c>
      <c r="BB4" s="1" t="s">
        <v>137</v>
      </c>
      <c r="BC4" s="87" t="s">
        <v>95</v>
      </c>
      <c r="BD4" s="33">
        <f t="shared" si="2"/>
        <v>0</v>
      </c>
    </row>
    <row r="5" spans="1:56" x14ac:dyDescent="0.25">
      <c r="A5" s="41" t="s">
        <v>16</v>
      </c>
      <c r="B5" s="43">
        <v>4</v>
      </c>
      <c r="H5" s="33">
        <f t="shared" si="3"/>
        <v>0</v>
      </c>
      <c r="L5" s="39"/>
      <c r="N5" s="33">
        <f t="shared" si="0"/>
        <v>0</v>
      </c>
      <c r="T5" s="33">
        <f t="shared" si="1"/>
        <v>0</v>
      </c>
      <c r="Z5" s="33">
        <f t="shared" si="4"/>
        <v>0</v>
      </c>
      <c r="AA5" s="11"/>
      <c r="AE5" s="63"/>
      <c r="AF5" s="33">
        <f t="shared" si="5"/>
        <v>0</v>
      </c>
      <c r="AL5" s="33">
        <f t="shared" si="6"/>
        <v>0</v>
      </c>
      <c r="AR5" s="33">
        <f t="shared" si="7"/>
        <v>0</v>
      </c>
      <c r="AS5" s="39" t="s">
        <v>123</v>
      </c>
      <c r="AT5" s="39" t="s">
        <v>95</v>
      </c>
      <c r="AX5" s="33">
        <f t="shared" si="8"/>
        <v>0</v>
      </c>
      <c r="AY5" s="11" t="s">
        <v>137</v>
      </c>
      <c r="AZ5" s="1" t="s">
        <v>137</v>
      </c>
      <c r="BA5" s="1" t="s">
        <v>137</v>
      </c>
      <c r="BB5" s="1" t="s">
        <v>137</v>
      </c>
      <c r="BC5" s="87" t="s">
        <v>95</v>
      </c>
      <c r="BD5" s="33">
        <f t="shared" si="2"/>
        <v>0</v>
      </c>
    </row>
    <row r="6" spans="1:56" x14ac:dyDescent="0.25">
      <c r="A6" s="41" t="s">
        <v>1</v>
      </c>
      <c r="B6" s="43">
        <v>5</v>
      </c>
      <c r="H6" s="33">
        <f t="shared" si="3"/>
        <v>0</v>
      </c>
      <c r="L6" s="39"/>
      <c r="N6" s="33">
        <f t="shared" si="0"/>
        <v>0</v>
      </c>
      <c r="T6" s="33">
        <f t="shared" si="1"/>
        <v>0</v>
      </c>
      <c r="Z6" s="33">
        <f t="shared" si="4"/>
        <v>0</v>
      </c>
      <c r="AA6" s="11"/>
      <c r="AE6" s="63"/>
      <c r="AF6" s="33">
        <f t="shared" si="5"/>
        <v>0</v>
      </c>
      <c r="AL6" s="33">
        <f t="shared" si="6"/>
        <v>0</v>
      </c>
      <c r="AR6" s="33">
        <f t="shared" si="7"/>
        <v>0</v>
      </c>
      <c r="AS6" s="39" t="s">
        <v>123</v>
      </c>
      <c r="AT6" s="39" t="s">
        <v>95</v>
      </c>
      <c r="AX6" s="33">
        <f t="shared" si="8"/>
        <v>0</v>
      </c>
      <c r="AY6" s="11" t="s">
        <v>137</v>
      </c>
      <c r="AZ6" s="1" t="s">
        <v>137</v>
      </c>
      <c r="BA6" s="1" t="s">
        <v>137</v>
      </c>
      <c r="BB6" s="1" t="s">
        <v>137</v>
      </c>
      <c r="BC6" s="87" t="s">
        <v>95</v>
      </c>
      <c r="BD6" s="33">
        <f t="shared" si="2"/>
        <v>0</v>
      </c>
    </row>
    <row r="7" spans="1:56" x14ac:dyDescent="0.25">
      <c r="A7" s="41" t="s">
        <v>2</v>
      </c>
      <c r="B7" s="44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A7" s="11"/>
      <c r="AE7" s="63"/>
      <c r="AF7" s="33">
        <f t="shared" si="5"/>
        <v>0</v>
      </c>
      <c r="AL7" s="33">
        <f t="shared" si="6"/>
        <v>0</v>
      </c>
      <c r="AR7" s="33">
        <f t="shared" si="7"/>
        <v>0</v>
      </c>
      <c r="AS7" s="39" t="s">
        <v>123</v>
      </c>
      <c r="AT7" s="39" t="s">
        <v>95</v>
      </c>
      <c r="AX7" s="33">
        <f t="shared" si="8"/>
        <v>0</v>
      </c>
      <c r="AY7" s="11" t="s">
        <v>137</v>
      </c>
      <c r="AZ7" s="1" t="s">
        <v>137</v>
      </c>
      <c r="BA7" s="1" t="s">
        <v>137</v>
      </c>
      <c r="BB7" s="1" t="s">
        <v>137</v>
      </c>
      <c r="BC7" s="87" t="s">
        <v>95</v>
      </c>
      <c r="BD7" s="33">
        <f t="shared" si="2"/>
        <v>0</v>
      </c>
    </row>
    <row r="8" spans="1:56" x14ac:dyDescent="0.25">
      <c r="A8" s="41" t="s">
        <v>3</v>
      </c>
      <c r="B8" s="43">
        <v>7</v>
      </c>
      <c r="H8" s="33">
        <f t="shared" si="3"/>
        <v>0</v>
      </c>
      <c r="N8" s="33">
        <f t="shared" si="0"/>
        <v>0</v>
      </c>
      <c r="P8" s="1">
        <v>11</v>
      </c>
      <c r="Q8" s="1">
        <v>6</v>
      </c>
      <c r="R8" s="1">
        <v>7</v>
      </c>
      <c r="T8" s="33">
        <f t="shared" si="1"/>
        <v>24</v>
      </c>
      <c r="Z8" s="33">
        <f t="shared" si="4"/>
        <v>0</v>
      </c>
      <c r="AA8" s="11"/>
      <c r="AE8" s="63"/>
      <c r="AF8" s="33">
        <f t="shared" si="5"/>
        <v>0</v>
      </c>
      <c r="AL8" s="33">
        <f t="shared" si="6"/>
        <v>0</v>
      </c>
      <c r="AR8" s="33">
        <f t="shared" si="7"/>
        <v>0</v>
      </c>
      <c r="AS8" s="39" t="s">
        <v>123</v>
      </c>
      <c r="AT8" s="39" t="s">
        <v>95</v>
      </c>
      <c r="AX8" s="33">
        <f t="shared" si="8"/>
        <v>0</v>
      </c>
      <c r="AY8" s="11" t="s">
        <v>137</v>
      </c>
      <c r="AZ8" s="1" t="s">
        <v>137</v>
      </c>
      <c r="BA8" s="1" t="s">
        <v>137</v>
      </c>
      <c r="BB8" s="1" t="s">
        <v>137</v>
      </c>
      <c r="BC8" s="87" t="s">
        <v>95</v>
      </c>
      <c r="BD8" s="33">
        <f t="shared" si="2"/>
        <v>0</v>
      </c>
    </row>
    <row r="9" spans="1:56" x14ac:dyDescent="0.25">
      <c r="A9" s="41" t="s">
        <v>13</v>
      </c>
      <c r="B9" s="43">
        <v>8</v>
      </c>
      <c r="H9" s="33">
        <f t="shared" si="3"/>
        <v>0</v>
      </c>
      <c r="N9" s="33">
        <f t="shared" si="0"/>
        <v>0</v>
      </c>
      <c r="O9" s="1">
        <v>7</v>
      </c>
      <c r="P9" s="1">
        <v>7</v>
      </c>
      <c r="Q9" s="1">
        <v>4</v>
      </c>
      <c r="R9" s="1">
        <v>7</v>
      </c>
      <c r="T9" s="33">
        <f t="shared" si="1"/>
        <v>25</v>
      </c>
      <c r="Z9" s="33">
        <f t="shared" si="4"/>
        <v>0</v>
      </c>
      <c r="AA9" s="11"/>
      <c r="AE9" s="63"/>
      <c r="AF9" s="33">
        <f t="shared" si="5"/>
        <v>0</v>
      </c>
      <c r="AL9" s="33">
        <f t="shared" si="6"/>
        <v>0</v>
      </c>
      <c r="AR9" s="33">
        <f t="shared" si="7"/>
        <v>0</v>
      </c>
      <c r="AS9" s="39" t="s">
        <v>123</v>
      </c>
      <c r="AT9" s="39" t="s">
        <v>95</v>
      </c>
      <c r="AX9" s="33">
        <f t="shared" si="8"/>
        <v>0</v>
      </c>
      <c r="AY9" s="11" t="s">
        <v>137</v>
      </c>
      <c r="AZ9" s="1" t="s">
        <v>137</v>
      </c>
      <c r="BA9" s="1" t="s">
        <v>137</v>
      </c>
      <c r="BB9" s="1" t="s">
        <v>137</v>
      </c>
      <c r="BC9" s="87" t="s">
        <v>95</v>
      </c>
      <c r="BD9" s="33">
        <f t="shared" si="2"/>
        <v>0</v>
      </c>
    </row>
    <row r="10" spans="1:56" x14ac:dyDescent="0.25">
      <c r="A10" s="40" t="s">
        <v>12</v>
      </c>
      <c r="B10" s="44">
        <v>9</v>
      </c>
      <c r="H10" s="33">
        <f t="shared" si="3"/>
        <v>0</v>
      </c>
      <c r="N10" s="33">
        <f t="shared" si="0"/>
        <v>0</v>
      </c>
      <c r="P10" s="1">
        <v>16</v>
      </c>
      <c r="Q10" s="1">
        <v>8</v>
      </c>
      <c r="R10" s="1">
        <v>16</v>
      </c>
      <c r="T10" s="33">
        <f t="shared" si="1"/>
        <v>40</v>
      </c>
      <c r="Z10" s="33">
        <f t="shared" si="4"/>
        <v>0</v>
      </c>
      <c r="AA10" s="11"/>
      <c r="AE10" s="63"/>
      <c r="AF10" s="33">
        <f t="shared" si="5"/>
        <v>0</v>
      </c>
      <c r="AL10" s="33">
        <f t="shared" si="6"/>
        <v>0</v>
      </c>
      <c r="AR10" s="33">
        <f t="shared" si="7"/>
        <v>0</v>
      </c>
      <c r="AS10" s="39" t="s">
        <v>123</v>
      </c>
      <c r="AT10" s="39" t="s">
        <v>95</v>
      </c>
      <c r="AX10" s="33">
        <f t="shared" si="8"/>
        <v>0</v>
      </c>
      <c r="AY10" s="11" t="s">
        <v>137</v>
      </c>
      <c r="AZ10" s="1" t="s">
        <v>137</v>
      </c>
      <c r="BA10" s="1" t="s">
        <v>137</v>
      </c>
      <c r="BB10" s="1" t="s">
        <v>137</v>
      </c>
      <c r="BC10" s="87" t="s">
        <v>95</v>
      </c>
      <c r="BD10" s="33">
        <f t="shared" si="2"/>
        <v>0</v>
      </c>
    </row>
    <row r="11" spans="1:56" x14ac:dyDescent="0.25">
      <c r="A11" s="41" t="s">
        <v>4</v>
      </c>
      <c r="B11" s="43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A11" s="11"/>
      <c r="AE11" s="63"/>
      <c r="AF11" s="33">
        <f t="shared" si="5"/>
        <v>0</v>
      </c>
      <c r="AL11" s="33">
        <f t="shared" si="6"/>
        <v>0</v>
      </c>
      <c r="AR11" s="33">
        <f t="shared" si="7"/>
        <v>0</v>
      </c>
      <c r="AS11" s="39" t="s">
        <v>123</v>
      </c>
      <c r="AT11" s="39" t="s">
        <v>95</v>
      </c>
      <c r="AX11" s="33">
        <f t="shared" si="8"/>
        <v>0</v>
      </c>
      <c r="AY11" s="11" t="s">
        <v>137</v>
      </c>
      <c r="AZ11" s="1" t="s">
        <v>137</v>
      </c>
      <c r="BA11" s="1" t="s">
        <v>137</v>
      </c>
      <c r="BB11" s="1" t="s">
        <v>137</v>
      </c>
      <c r="BC11" s="87" t="s">
        <v>95</v>
      </c>
      <c r="BD11" s="33">
        <f t="shared" si="2"/>
        <v>0</v>
      </c>
    </row>
    <row r="12" spans="1:56" x14ac:dyDescent="0.25">
      <c r="A12" s="41" t="s">
        <v>5</v>
      </c>
      <c r="B12" s="43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A12" s="11"/>
      <c r="AE12" s="63"/>
      <c r="AF12" s="33">
        <f t="shared" si="5"/>
        <v>0</v>
      </c>
      <c r="AL12" s="33">
        <f t="shared" si="6"/>
        <v>0</v>
      </c>
      <c r="AR12" s="33">
        <f t="shared" si="7"/>
        <v>0</v>
      </c>
      <c r="AS12" s="39" t="s">
        <v>123</v>
      </c>
      <c r="AT12" s="39" t="s">
        <v>95</v>
      </c>
      <c r="AX12" s="33">
        <f t="shared" si="8"/>
        <v>0</v>
      </c>
      <c r="AY12" s="11" t="s">
        <v>137</v>
      </c>
      <c r="AZ12" s="1" t="s">
        <v>137</v>
      </c>
      <c r="BA12" s="1" t="s">
        <v>137</v>
      </c>
      <c r="BB12" s="1" t="s">
        <v>137</v>
      </c>
      <c r="BC12" s="87" t="s">
        <v>95</v>
      </c>
      <c r="BD12" s="33">
        <f t="shared" si="2"/>
        <v>0</v>
      </c>
    </row>
    <row r="13" spans="1:56" x14ac:dyDescent="0.25">
      <c r="A13" s="40" t="s">
        <v>8</v>
      </c>
      <c r="B13" s="44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A13" s="11"/>
      <c r="AE13" s="63"/>
      <c r="AF13" s="33">
        <f t="shared" si="5"/>
        <v>0</v>
      </c>
      <c r="AL13" s="33">
        <f t="shared" si="6"/>
        <v>0</v>
      </c>
      <c r="AR13" s="33">
        <f t="shared" si="7"/>
        <v>0</v>
      </c>
      <c r="AS13" s="39" t="s">
        <v>123</v>
      </c>
      <c r="AT13" s="39" t="s">
        <v>95</v>
      </c>
      <c r="AX13" s="33">
        <f t="shared" si="8"/>
        <v>0</v>
      </c>
      <c r="AY13" s="11" t="s">
        <v>137</v>
      </c>
      <c r="AZ13" s="1" t="s">
        <v>137</v>
      </c>
      <c r="BA13" s="1" t="s">
        <v>137</v>
      </c>
      <c r="BB13" s="1" t="s">
        <v>137</v>
      </c>
      <c r="BC13" s="87" t="s">
        <v>95</v>
      </c>
      <c r="BD13" s="33">
        <f t="shared" si="2"/>
        <v>0</v>
      </c>
    </row>
    <row r="14" spans="1:56" x14ac:dyDescent="0.25">
      <c r="A14" s="41" t="s">
        <v>6</v>
      </c>
      <c r="B14" s="43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A14" s="11"/>
      <c r="AE14" s="63"/>
      <c r="AF14" s="33">
        <f t="shared" si="5"/>
        <v>0</v>
      </c>
      <c r="AL14" s="33">
        <f t="shared" si="6"/>
        <v>0</v>
      </c>
      <c r="AR14" s="33">
        <f t="shared" si="7"/>
        <v>0</v>
      </c>
      <c r="AS14" s="39" t="s">
        <v>123</v>
      </c>
      <c r="AT14" s="39" t="s">
        <v>95</v>
      </c>
      <c r="AX14" s="33">
        <f t="shared" si="8"/>
        <v>0</v>
      </c>
      <c r="AY14" s="11" t="s">
        <v>137</v>
      </c>
      <c r="AZ14" s="1" t="s">
        <v>137</v>
      </c>
      <c r="BA14" s="1" t="s">
        <v>137</v>
      </c>
      <c r="BB14" s="1" t="s">
        <v>137</v>
      </c>
      <c r="BC14" s="87" t="s">
        <v>95</v>
      </c>
      <c r="BD14" s="33">
        <f t="shared" si="2"/>
        <v>0</v>
      </c>
    </row>
    <row r="15" spans="1:56" x14ac:dyDescent="0.25">
      <c r="A15" s="40" t="s">
        <v>7</v>
      </c>
      <c r="B15" s="43">
        <v>14</v>
      </c>
      <c r="H15" s="33">
        <f t="shared" si="3"/>
        <v>0</v>
      </c>
      <c r="N15" s="33">
        <f t="shared" si="0"/>
        <v>0</v>
      </c>
      <c r="O15" s="1">
        <v>10</v>
      </c>
      <c r="P15" s="1">
        <v>11</v>
      </c>
      <c r="Q15" s="1">
        <v>6</v>
      </c>
      <c r="R15" s="1">
        <v>10</v>
      </c>
      <c r="T15" s="33">
        <f t="shared" si="1"/>
        <v>37</v>
      </c>
      <c r="Z15" s="33">
        <f t="shared" si="4"/>
        <v>0</v>
      </c>
      <c r="AA15" s="11"/>
      <c r="AE15" s="63"/>
      <c r="AF15" s="33">
        <f t="shared" si="5"/>
        <v>0</v>
      </c>
      <c r="AL15" s="33">
        <f t="shared" si="6"/>
        <v>0</v>
      </c>
      <c r="AR15" s="33">
        <f t="shared" si="7"/>
        <v>0</v>
      </c>
      <c r="AS15" s="39" t="s">
        <v>123</v>
      </c>
      <c r="AT15" s="39" t="s">
        <v>95</v>
      </c>
      <c r="AX15" s="33">
        <f t="shared" si="8"/>
        <v>0</v>
      </c>
      <c r="AY15" s="11" t="s">
        <v>137</v>
      </c>
      <c r="AZ15" s="1" t="s">
        <v>137</v>
      </c>
      <c r="BA15" s="1" t="s">
        <v>137</v>
      </c>
      <c r="BB15" s="1" t="s">
        <v>137</v>
      </c>
      <c r="BC15" s="87" t="s">
        <v>95</v>
      </c>
      <c r="BD15" s="33">
        <f t="shared" si="2"/>
        <v>0</v>
      </c>
    </row>
    <row r="16" spans="1:56" x14ac:dyDescent="0.25">
      <c r="A16" s="40" t="s">
        <v>14</v>
      </c>
      <c r="B16" s="37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A16" s="11"/>
      <c r="AE16" s="63"/>
      <c r="AF16" s="33">
        <f t="shared" si="5"/>
        <v>0</v>
      </c>
      <c r="AL16" s="33">
        <f t="shared" si="6"/>
        <v>0</v>
      </c>
      <c r="AR16" s="33">
        <f t="shared" si="7"/>
        <v>0</v>
      </c>
      <c r="AS16" s="39" t="s">
        <v>123</v>
      </c>
      <c r="AT16" s="39" t="s">
        <v>95</v>
      </c>
      <c r="AX16" s="33">
        <f t="shared" si="8"/>
        <v>0</v>
      </c>
      <c r="AY16" s="11" t="s">
        <v>137</v>
      </c>
      <c r="AZ16" s="1" t="s">
        <v>137</v>
      </c>
      <c r="BA16" s="1" t="s">
        <v>137</v>
      </c>
      <c r="BB16" s="1" t="s">
        <v>137</v>
      </c>
      <c r="BC16" s="87" t="s">
        <v>95</v>
      </c>
      <c r="BD16" s="33">
        <f t="shared" si="2"/>
        <v>0</v>
      </c>
    </row>
    <row r="17" spans="1:56" x14ac:dyDescent="0.25">
      <c r="A17" s="15" t="s">
        <v>39</v>
      </c>
      <c r="B17" s="38">
        <v>16</v>
      </c>
      <c r="C17" s="12">
        <v>10</v>
      </c>
      <c r="D17" s="13">
        <v>10</v>
      </c>
      <c r="E17" s="13">
        <v>10</v>
      </c>
      <c r="F17" s="13">
        <v>10</v>
      </c>
      <c r="G17" s="64">
        <v>10</v>
      </c>
      <c r="H17" s="34">
        <f>SUM(C17:G17)</f>
        <v>50</v>
      </c>
      <c r="I17" s="13">
        <v>5</v>
      </c>
      <c r="J17" s="13">
        <v>5</v>
      </c>
      <c r="K17" s="13">
        <v>10</v>
      </c>
      <c r="L17" s="13">
        <v>10</v>
      </c>
      <c r="M17" s="13"/>
      <c r="N17" s="34">
        <f>SUM(I17:M17)</f>
        <v>30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2"/>
      <c r="AB17" s="13"/>
      <c r="AC17" s="13"/>
      <c r="AD17" s="13"/>
      <c r="AE17" s="64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68" t="s">
        <v>123</v>
      </c>
      <c r="AT17" s="68" t="s">
        <v>95</v>
      </c>
      <c r="AU17" s="13"/>
      <c r="AV17" s="13"/>
      <c r="AW17" s="13"/>
      <c r="AX17" s="34">
        <f>SUM(AS17:AW17)</f>
        <v>0</v>
      </c>
      <c r="AY17" s="12" t="s">
        <v>137</v>
      </c>
      <c r="AZ17" s="13" t="s">
        <v>137</v>
      </c>
      <c r="BA17" s="13" t="s">
        <v>137</v>
      </c>
      <c r="BB17" s="13" t="s">
        <v>137</v>
      </c>
      <c r="BC17" s="88" t="s">
        <v>95</v>
      </c>
      <c r="BD17" s="34">
        <f t="shared" si="2"/>
        <v>0</v>
      </c>
    </row>
    <row r="18" spans="1:56" ht="120" x14ac:dyDescent="0.25">
      <c r="A18" s="1" t="s">
        <v>11</v>
      </c>
      <c r="C18" s="4" t="s">
        <v>52</v>
      </c>
      <c r="D18" s="4" t="s">
        <v>52</v>
      </c>
      <c r="E18" s="4" t="s">
        <v>52</v>
      </c>
      <c r="F18" s="4" t="s">
        <v>52</v>
      </c>
      <c r="G18" s="4" t="s">
        <v>52</v>
      </c>
      <c r="I18" s="4" t="s">
        <v>63</v>
      </c>
      <c r="J18" s="4" t="s">
        <v>69</v>
      </c>
      <c r="K18" s="4" t="s">
        <v>52</v>
      </c>
      <c r="L18" s="4" t="s">
        <v>52</v>
      </c>
      <c r="M18" s="4"/>
      <c r="O18" s="4"/>
      <c r="P18" s="4"/>
      <c r="Q18" s="4" t="s">
        <v>78</v>
      </c>
      <c r="R18" s="4" t="s">
        <v>78</v>
      </c>
      <c r="S18" s="4"/>
      <c r="U18" s="4" t="s">
        <v>109</v>
      </c>
      <c r="V18" s="4" t="s">
        <v>109</v>
      </c>
      <c r="W18" s="4" t="s">
        <v>93</v>
      </c>
      <c r="X18" s="4" t="s">
        <v>109</v>
      </c>
      <c r="Y18" s="4" t="s">
        <v>109</v>
      </c>
      <c r="AA18" s="4" t="s">
        <v>109</v>
      </c>
      <c r="AB18" s="4" t="s">
        <v>109</v>
      </c>
      <c r="AC18" s="4" t="s">
        <v>109</v>
      </c>
      <c r="AD18" s="4" t="s">
        <v>109</v>
      </c>
      <c r="AE18" s="4" t="s">
        <v>109</v>
      </c>
      <c r="AG18" s="4" t="s">
        <v>109</v>
      </c>
      <c r="AH18" s="4" t="s">
        <v>109</v>
      </c>
      <c r="AI18" s="4" t="s">
        <v>109</v>
      </c>
      <c r="AJ18" s="4" t="s">
        <v>109</v>
      </c>
      <c r="AK18" s="4" t="s">
        <v>109</v>
      </c>
      <c r="AO18" s="4"/>
      <c r="AP18" s="4"/>
      <c r="AQ18" s="4"/>
    </row>
    <row r="19" spans="1:56" ht="165" x14ac:dyDescent="0.25">
      <c r="A19" s="1" t="s">
        <v>10</v>
      </c>
      <c r="C19" s="4"/>
      <c r="D19" s="4" t="s">
        <v>53</v>
      </c>
      <c r="E19" s="4" t="s">
        <v>53</v>
      </c>
      <c r="F19" s="4" t="s">
        <v>61</v>
      </c>
      <c r="G19" s="4" t="s">
        <v>60</v>
      </c>
      <c r="I19" s="4" t="s">
        <v>52</v>
      </c>
      <c r="K19" s="4"/>
      <c r="L19" s="4"/>
      <c r="Q19" s="4" t="s">
        <v>79</v>
      </c>
      <c r="V19" s="4"/>
      <c r="Y19" s="4"/>
      <c r="AA19" s="4"/>
    </row>
  </sheetData>
  <customSheetViews>
    <customSheetView guid="{86039CF8-B158-4D70-9A6F-A10C29CBD68A}" topLeftCell="C1">
      <selection activeCell="O8" sqref="O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B1" activePane="topRight" state="frozen"/>
      <selection pane="topRight" activeCell="I18" sqref="I18:L19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P10" sqref="P10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D1">
      <selection activeCell="L10" sqref="L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G12" sqref="G12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X1" activePane="topRight" state="frozen"/>
      <selection pane="topRight" activeCell="AF18" sqref="AF18"/>
      <pageMargins left="0.511811024" right="0.511811024" top="0.78740157499999996" bottom="0.78740157499999996" header="0.31496062000000002" footer="0.31496062000000002"/>
      <pageSetup paperSize="9" orientation="portrait" horizontalDpi="200" verticalDpi="200" r:id="rId1"/>
      <autoFilter ref="A1:B19" xr:uid="{25DC456B-508A-4267-80BC-CBF40F90DBB1}"/>
    </customSheetView>
    <customSheetView guid="{20CB6D8F-C24D-4D4B-A424-AF380F620455}" showPageBreaks="1" topLeftCell="Z7">
      <selection activeCell="AI18" sqref="AI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3D987F8E-A6EA-454D-9537-6BFC5053CB00}">
      <pane xSplit="1" topLeftCell="AO1" activePane="topRight" state="frozen"/>
      <selection pane="topRight" activeCell="BA12" sqref="BA12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D19"/>
  <sheetViews>
    <sheetView topLeftCell="B1" zoomScaleNormal="85" workbookViewId="0">
      <selection activeCell="S1" sqref="S1:S1048576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13.28515625" style="1" customWidth="1"/>
    <col min="4" max="4" width="12.28515625" style="1" customWidth="1"/>
    <col min="5" max="7" width="9.140625" style="1"/>
    <col min="8" max="8" width="15.5703125" style="1" customWidth="1"/>
    <col min="9" max="13" width="9.140625" style="1"/>
    <col min="14" max="14" width="14.7109375" style="1" customWidth="1"/>
    <col min="15" max="19" width="9.140625" style="1"/>
    <col min="20" max="20" width="15.5703125" style="1" customWidth="1"/>
    <col min="21" max="25" width="9.140625" style="1"/>
    <col min="26" max="26" width="14.85546875" style="1" customWidth="1"/>
    <col min="27" max="31" width="9.140625" style="1"/>
    <col min="32" max="32" width="15.140625" style="1" customWidth="1"/>
    <col min="33" max="37" width="9.140625" style="1"/>
    <col min="38" max="38" width="16" style="1" customWidth="1"/>
    <col min="39" max="39" width="9.85546875" style="1" customWidth="1"/>
    <col min="40" max="40" width="10.28515625" style="1" customWidth="1"/>
    <col min="41" max="43" width="9.140625" style="1"/>
    <col min="44" max="44" width="15.28515625" style="1" customWidth="1"/>
    <col min="45" max="49" width="9.140625" style="1"/>
    <col min="50" max="50" width="15.85546875" style="1" customWidth="1"/>
    <col min="51" max="16384" width="9.140625" style="1"/>
  </cols>
  <sheetData>
    <row r="1" spans="1:56" x14ac:dyDescent="0.25">
      <c r="A1" s="14" t="s">
        <v>9</v>
      </c>
      <c r="B1" s="42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70" t="s">
        <v>15</v>
      </c>
      <c r="AM1" s="69">
        <v>46125</v>
      </c>
      <c r="AN1" s="69">
        <v>46126</v>
      </c>
      <c r="AO1" s="69">
        <v>46127</v>
      </c>
      <c r="AP1" s="69">
        <v>46128</v>
      </c>
      <c r="AQ1" s="69">
        <v>46129</v>
      </c>
      <c r="AR1" s="71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19">
        <v>46143</v>
      </c>
      <c r="BD1" s="10" t="s">
        <v>15</v>
      </c>
    </row>
    <row r="2" spans="1:56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A2" s="14"/>
      <c r="AB2" s="18"/>
      <c r="AC2" s="18"/>
      <c r="AD2" s="18"/>
      <c r="AE2" s="5"/>
      <c r="AF2" s="33">
        <f>SUM(AA2:AE2)</f>
        <v>0</v>
      </c>
      <c r="AK2" s="1">
        <v>2</v>
      </c>
      <c r="AL2" s="33">
        <f>SUM(AG2:AK2)</f>
        <v>2</v>
      </c>
      <c r="AM2" s="39"/>
      <c r="AN2" s="39"/>
      <c r="AR2" s="33">
        <f>SUM(AM2:AQ2)</f>
        <v>0</v>
      </c>
      <c r="AS2" s="86" t="s">
        <v>123</v>
      </c>
      <c r="AT2" s="39" t="s">
        <v>95</v>
      </c>
      <c r="AX2" s="33">
        <f>SUM(AS2:AW2)</f>
        <v>0</v>
      </c>
      <c r="BD2" s="33">
        <f t="shared" ref="BD2:BD17" si="2">SUM(AY2:BC2)</f>
        <v>0</v>
      </c>
    </row>
    <row r="3" spans="1:56" x14ac:dyDescent="0.25">
      <c r="A3" s="40" t="s">
        <v>0</v>
      </c>
      <c r="B3" s="43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A3" s="11"/>
      <c r="AE3" s="63"/>
      <c r="AF3" s="33">
        <f t="shared" ref="AF3:AF16" si="5">SUM(AA3:AE3)</f>
        <v>0</v>
      </c>
      <c r="AL3" s="33">
        <f t="shared" ref="AL3:AL16" si="6">SUM(AG3:AK3)</f>
        <v>0</v>
      </c>
      <c r="AM3" s="39"/>
      <c r="AN3" s="39"/>
      <c r="AR3" s="33">
        <f t="shared" ref="AR3:AR16" si="7">SUM(AM3:AQ3)</f>
        <v>0</v>
      </c>
      <c r="AS3" s="39" t="s">
        <v>123</v>
      </c>
      <c r="AT3" s="39" t="s">
        <v>95</v>
      </c>
      <c r="AX3" s="33">
        <f t="shared" ref="AX3:AX16" si="8">SUM(AS3:AW3)</f>
        <v>0</v>
      </c>
      <c r="BD3" s="33">
        <f t="shared" si="2"/>
        <v>0</v>
      </c>
    </row>
    <row r="4" spans="1:56" x14ac:dyDescent="0.25">
      <c r="A4" s="41" t="s">
        <v>17</v>
      </c>
      <c r="B4" s="44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A4" s="11"/>
      <c r="AE4" s="63"/>
      <c r="AF4" s="33">
        <f t="shared" si="5"/>
        <v>0</v>
      </c>
      <c r="AL4" s="33">
        <f t="shared" si="6"/>
        <v>0</v>
      </c>
      <c r="AM4" s="39"/>
      <c r="AN4" s="39"/>
      <c r="AR4" s="33">
        <f t="shared" si="7"/>
        <v>0</v>
      </c>
      <c r="AS4" s="39" t="s">
        <v>123</v>
      </c>
      <c r="AT4" s="39" t="s">
        <v>95</v>
      </c>
      <c r="AX4" s="33">
        <f t="shared" si="8"/>
        <v>0</v>
      </c>
      <c r="BD4" s="33">
        <f t="shared" si="2"/>
        <v>0</v>
      </c>
    </row>
    <row r="5" spans="1:56" x14ac:dyDescent="0.25">
      <c r="A5" s="41" t="s">
        <v>16</v>
      </c>
      <c r="B5" s="43">
        <v>4</v>
      </c>
      <c r="H5" s="33">
        <f t="shared" si="3"/>
        <v>0</v>
      </c>
      <c r="L5" s="39"/>
      <c r="N5" s="33">
        <f t="shared" si="0"/>
        <v>0</v>
      </c>
      <c r="T5" s="33">
        <f t="shared" si="1"/>
        <v>0</v>
      </c>
      <c r="Z5" s="33">
        <f t="shared" si="4"/>
        <v>0</v>
      </c>
      <c r="AA5" s="11"/>
      <c r="AE5" s="63"/>
      <c r="AF5" s="33">
        <f t="shared" si="5"/>
        <v>0</v>
      </c>
      <c r="AL5" s="33">
        <f t="shared" si="6"/>
        <v>0</v>
      </c>
      <c r="AM5" s="39"/>
      <c r="AN5" s="39"/>
      <c r="AR5" s="33">
        <f t="shared" si="7"/>
        <v>0</v>
      </c>
      <c r="AS5" s="39" t="s">
        <v>123</v>
      </c>
      <c r="AT5" s="39" t="s">
        <v>95</v>
      </c>
      <c r="AX5" s="33">
        <f t="shared" si="8"/>
        <v>0</v>
      </c>
      <c r="BD5" s="33">
        <f t="shared" si="2"/>
        <v>0</v>
      </c>
    </row>
    <row r="6" spans="1:56" x14ac:dyDescent="0.25">
      <c r="A6" s="41" t="s">
        <v>1</v>
      </c>
      <c r="B6" s="43">
        <v>5</v>
      </c>
      <c r="H6" s="33">
        <f t="shared" si="3"/>
        <v>0</v>
      </c>
      <c r="L6" s="39"/>
      <c r="N6" s="33">
        <f t="shared" si="0"/>
        <v>0</v>
      </c>
      <c r="T6" s="33">
        <f t="shared" si="1"/>
        <v>0</v>
      </c>
      <c r="Z6" s="33">
        <f t="shared" si="4"/>
        <v>0</v>
      </c>
      <c r="AA6" s="11"/>
      <c r="AE6" s="63"/>
      <c r="AF6" s="33">
        <f t="shared" si="5"/>
        <v>0</v>
      </c>
      <c r="AL6" s="33">
        <f t="shared" si="6"/>
        <v>0</v>
      </c>
      <c r="AM6" s="39"/>
      <c r="AN6" s="39"/>
      <c r="AR6" s="33">
        <f t="shared" si="7"/>
        <v>0</v>
      </c>
      <c r="AS6" s="39" t="s">
        <v>123</v>
      </c>
      <c r="AT6" s="39" t="s">
        <v>95</v>
      </c>
      <c r="AX6" s="33">
        <f t="shared" si="8"/>
        <v>0</v>
      </c>
      <c r="BD6" s="33">
        <f t="shared" si="2"/>
        <v>0</v>
      </c>
    </row>
    <row r="7" spans="1:56" x14ac:dyDescent="0.25">
      <c r="A7" s="41" t="s">
        <v>2</v>
      </c>
      <c r="B7" s="44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A7" s="11"/>
      <c r="AE7" s="63"/>
      <c r="AF7" s="33">
        <f t="shared" si="5"/>
        <v>0</v>
      </c>
      <c r="AL7" s="33">
        <f t="shared" si="6"/>
        <v>0</v>
      </c>
      <c r="AM7" s="39"/>
      <c r="AN7" s="39"/>
      <c r="AR7" s="33">
        <f t="shared" si="7"/>
        <v>0</v>
      </c>
      <c r="AS7" s="39" t="s">
        <v>123</v>
      </c>
      <c r="AT7" s="39" t="s">
        <v>95</v>
      </c>
      <c r="AX7" s="33">
        <f t="shared" si="8"/>
        <v>0</v>
      </c>
      <c r="BD7" s="33">
        <f t="shared" si="2"/>
        <v>0</v>
      </c>
    </row>
    <row r="8" spans="1:56" x14ac:dyDescent="0.25">
      <c r="A8" s="41" t="s">
        <v>3</v>
      </c>
      <c r="B8" s="43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A8" s="11"/>
      <c r="AE8" s="63"/>
      <c r="AF8" s="33">
        <f t="shared" si="5"/>
        <v>0</v>
      </c>
      <c r="AL8" s="33">
        <f t="shared" si="6"/>
        <v>0</v>
      </c>
      <c r="AM8" s="39"/>
      <c r="AN8" s="39"/>
      <c r="AR8" s="33">
        <f t="shared" si="7"/>
        <v>0</v>
      </c>
      <c r="AS8" s="39" t="s">
        <v>123</v>
      </c>
      <c r="AT8" s="39" t="s">
        <v>95</v>
      </c>
      <c r="AX8" s="33">
        <f t="shared" si="8"/>
        <v>0</v>
      </c>
      <c r="BD8" s="33">
        <f t="shared" si="2"/>
        <v>0</v>
      </c>
    </row>
    <row r="9" spans="1:56" x14ac:dyDescent="0.25">
      <c r="A9" s="41" t="s">
        <v>13</v>
      </c>
      <c r="B9" s="43">
        <v>8</v>
      </c>
      <c r="H9" s="33">
        <f t="shared" si="3"/>
        <v>0</v>
      </c>
      <c r="N9" s="33">
        <f t="shared" si="0"/>
        <v>0</v>
      </c>
      <c r="O9" s="1">
        <v>7</v>
      </c>
      <c r="P9" s="1">
        <v>7</v>
      </c>
      <c r="Q9" s="1">
        <v>5</v>
      </c>
      <c r="R9" s="1">
        <v>7</v>
      </c>
      <c r="T9" s="33">
        <f t="shared" si="1"/>
        <v>26</v>
      </c>
      <c r="Z9" s="33">
        <f t="shared" si="4"/>
        <v>0</v>
      </c>
      <c r="AA9" s="11"/>
      <c r="AE9" s="63"/>
      <c r="AF9" s="33">
        <f t="shared" si="5"/>
        <v>0</v>
      </c>
      <c r="AL9" s="33">
        <f t="shared" si="6"/>
        <v>0</v>
      </c>
      <c r="AM9" s="39"/>
      <c r="AN9" s="39"/>
      <c r="AR9" s="33">
        <f t="shared" si="7"/>
        <v>0</v>
      </c>
      <c r="AS9" s="39" t="s">
        <v>123</v>
      </c>
      <c r="AT9" s="39" t="s">
        <v>95</v>
      </c>
      <c r="AX9" s="33">
        <f t="shared" si="8"/>
        <v>0</v>
      </c>
      <c r="BD9" s="33">
        <f t="shared" si="2"/>
        <v>0</v>
      </c>
    </row>
    <row r="10" spans="1:56" x14ac:dyDescent="0.25">
      <c r="A10" s="40" t="s">
        <v>12</v>
      </c>
      <c r="B10" s="44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A10" s="11"/>
      <c r="AE10" s="63"/>
      <c r="AF10" s="33">
        <f t="shared" si="5"/>
        <v>0</v>
      </c>
      <c r="AL10" s="33">
        <f t="shared" si="6"/>
        <v>0</v>
      </c>
      <c r="AM10" s="39"/>
      <c r="AN10" s="39"/>
      <c r="AR10" s="33">
        <f t="shared" si="7"/>
        <v>0</v>
      </c>
      <c r="AS10" s="39" t="s">
        <v>123</v>
      </c>
      <c r="AT10" s="39" t="s">
        <v>95</v>
      </c>
      <c r="AX10" s="33">
        <f t="shared" si="8"/>
        <v>0</v>
      </c>
      <c r="BD10" s="33">
        <f t="shared" si="2"/>
        <v>0</v>
      </c>
    </row>
    <row r="11" spans="1:56" x14ac:dyDescent="0.25">
      <c r="A11" s="41" t="s">
        <v>4</v>
      </c>
      <c r="B11" s="43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A11" s="11"/>
      <c r="AE11" s="63"/>
      <c r="AF11" s="33">
        <f t="shared" si="5"/>
        <v>0</v>
      </c>
      <c r="AH11" s="1">
        <v>9</v>
      </c>
      <c r="AI11" s="1">
        <v>8</v>
      </c>
      <c r="AJ11" s="1">
        <v>7</v>
      </c>
      <c r="AL11" s="33">
        <f t="shared" si="6"/>
        <v>24</v>
      </c>
      <c r="AM11" s="39">
        <v>3</v>
      </c>
      <c r="AN11" s="39"/>
      <c r="AO11" s="1">
        <v>2</v>
      </c>
      <c r="AP11" s="1">
        <v>3</v>
      </c>
      <c r="AQ11" s="1">
        <v>5</v>
      </c>
      <c r="AR11" s="33">
        <f t="shared" si="7"/>
        <v>13</v>
      </c>
      <c r="AS11" s="39" t="s">
        <v>123</v>
      </c>
      <c r="AT11" s="39" t="s">
        <v>95</v>
      </c>
      <c r="AV11" s="1">
        <v>7</v>
      </c>
      <c r="AW11" s="1">
        <v>5</v>
      </c>
      <c r="AX11" s="33">
        <f t="shared" si="8"/>
        <v>12</v>
      </c>
      <c r="BD11" s="33">
        <f t="shared" si="2"/>
        <v>0</v>
      </c>
    </row>
    <row r="12" spans="1:56" x14ac:dyDescent="0.25">
      <c r="A12" s="41" t="s">
        <v>5</v>
      </c>
      <c r="B12" s="43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A12" s="11"/>
      <c r="AE12" s="63"/>
      <c r="AF12" s="33">
        <f t="shared" si="5"/>
        <v>0</v>
      </c>
      <c r="AH12" s="1">
        <v>59</v>
      </c>
      <c r="AI12" s="1">
        <v>53</v>
      </c>
      <c r="AJ12" s="1">
        <v>53</v>
      </c>
      <c r="AL12" s="33">
        <f t="shared" si="6"/>
        <v>165</v>
      </c>
      <c r="AM12" s="39">
        <v>22</v>
      </c>
      <c r="AN12" s="39"/>
      <c r="AO12" s="1">
        <v>8</v>
      </c>
      <c r="AP12" s="1">
        <v>17</v>
      </c>
      <c r="AQ12" s="1">
        <v>43</v>
      </c>
      <c r="AR12" s="33">
        <f t="shared" si="7"/>
        <v>90</v>
      </c>
      <c r="AS12" s="39" t="s">
        <v>123</v>
      </c>
      <c r="AT12" s="39" t="s">
        <v>95</v>
      </c>
      <c r="AV12" s="1">
        <v>43</v>
      </c>
      <c r="AW12" s="1">
        <v>29</v>
      </c>
      <c r="AX12" s="33">
        <f t="shared" si="8"/>
        <v>72</v>
      </c>
      <c r="BD12" s="33">
        <f t="shared" si="2"/>
        <v>0</v>
      </c>
    </row>
    <row r="13" spans="1:56" x14ac:dyDescent="0.25">
      <c r="A13" s="40" t="s">
        <v>8</v>
      </c>
      <c r="B13" s="44">
        <v>12</v>
      </c>
      <c r="F13" s="1">
        <v>1</v>
      </c>
      <c r="H13" s="33">
        <f t="shared" si="3"/>
        <v>1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A13" s="11"/>
      <c r="AE13" s="63"/>
      <c r="AF13" s="33">
        <f t="shared" si="5"/>
        <v>0</v>
      </c>
      <c r="AK13" s="1">
        <v>1</v>
      </c>
      <c r="AL13" s="33">
        <f t="shared" si="6"/>
        <v>1</v>
      </c>
      <c r="AM13" s="39"/>
      <c r="AN13" s="39"/>
      <c r="AR13" s="33">
        <f t="shared" si="7"/>
        <v>0</v>
      </c>
      <c r="AS13" s="39" t="s">
        <v>123</v>
      </c>
      <c r="AT13" s="39" t="s">
        <v>95</v>
      </c>
      <c r="AX13" s="33">
        <f t="shared" si="8"/>
        <v>0</v>
      </c>
      <c r="BD13" s="33">
        <f t="shared" si="2"/>
        <v>0</v>
      </c>
    </row>
    <row r="14" spans="1:56" x14ac:dyDescent="0.25">
      <c r="A14" s="41" t="s">
        <v>6</v>
      </c>
      <c r="B14" s="43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A14" s="11"/>
      <c r="AE14" s="63"/>
      <c r="AF14" s="33">
        <f t="shared" si="5"/>
        <v>0</v>
      </c>
      <c r="AL14" s="33">
        <f t="shared" si="6"/>
        <v>0</v>
      </c>
      <c r="AM14" s="39"/>
      <c r="AN14" s="39">
        <v>1</v>
      </c>
      <c r="AR14" s="33">
        <f t="shared" si="7"/>
        <v>1</v>
      </c>
      <c r="AS14" s="39" t="s">
        <v>123</v>
      </c>
      <c r="AT14" s="39" t="s">
        <v>95</v>
      </c>
      <c r="AX14" s="33">
        <f t="shared" si="8"/>
        <v>0</v>
      </c>
      <c r="BD14" s="33">
        <f t="shared" si="2"/>
        <v>0</v>
      </c>
    </row>
    <row r="15" spans="1:56" x14ac:dyDescent="0.25">
      <c r="A15" s="40" t="s">
        <v>7</v>
      </c>
      <c r="B15" s="43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A15" s="11"/>
      <c r="AE15" s="63"/>
      <c r="AF15" s="33">
        <f t="shared" si="5"/>
        <v>0</v>
      </c>
      <c r="AL15" s="33">
        <f t="shared" si="6"/>
        <v>0</v>
      </c>
      <c r="AM15" s="39"/>
      <c r="AN15" s="39"/>
      <c r="AR15" s="33">
        <f t="shared" si="7"/>
        <v>0</v>
      </c>
      <c r="AS15" s="39" t="s">
        <v>123</v>
      </c>
      <c r="AT15" s="39" t="s">
        <v>95</v>
      </c>
      <c r="AU15" s="1">
        <v>175</v>
      </c>
      <c r="AX15" s="33">
        <f t="shared" si="8"/>
        <v>175</v>
      </c>
      <c r="BA15" s="1">
        <v>173</v>
      </c>
      <c r="BB15" s="1">
        <v>48</v>
      </c>
      <c r="BD15" s="33">
        <f t="shared" si="2"/>
        <v>221</v>
      </c>
    </row>
    <row r="16" spans="1:56" x14ac:dyDescent="0.25">
      <c r="A16" s="40" t="s">
        <v>14</v>
      </c>
      <c r="B16" s="37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A16" s="11"/>
      <c r="AE16" s="63"/>
      <c r="AF16" s="33">
        <f t="shared" si="5"/>
        <v>0</v>
      </c>
      <c r="AL16" s="33">
        <f t="shared" si="6"/>
        <v>0</v>
      </c>
      <c r="AN16" s="39"/>
      <c r="AR16" s="33">
        <f t="shared" si="7"/>
        <v>0</v>
      </c>
      <c r="AS16" s="39" t="s">
        <v>123</v>
      </c>
      <c r="AT16" s="39" t="s">
        <v>95</v>
      </c>
      <c r="AX16" s="33">
        <f t="shared" si="8"/>
        <v>0</v>
      </c>
      <c r="AY16" s="1">
        <v>10</v>
      </c>
      <c r="AZ16" s="1">
        <v>10</v>
      </c>
      <c r="BD16" s="33">
        <f t="shared" si="2"/>
        <v>20</v>
      </c>
    </row>
    <row r="17" spans="1:56" x14ac:dyDescent="0.25">
      <c r="A17" s="15" t="s">
        <v>39</v>
      </c>
      <c r="B17" s="38">
        <v>16</v>
      </c>
      <c r="C17" s="12">
        <v>10</v>
      </c>
      <c r="D17" s="13">
        <v>10</v>
      </c>
      <c r="E17" s="13">
        <v>10</v>
      </c>
      <c r="F17" s="13">
        <v>10</v>
      </c>
      <c r="G17" s="64">
        <v>10</v>
      </c>
      <c r="H17" s="34">
        <f>SUM(C17:G17)</f>
        <v>50</v>
      </c>
      <c r="I17" s="13">
        <v>3</v>
      </c>
      <c r="J17" s="13">
        <v>4</v>
      </c>
      <c r="K17" s="13">
        <v>7</v>
      </c>
      <c r="L17" s="13">
        <v>7</v>
      </c>
      <c r="M17" s="13">
        <v>7</v>
      </c>
      <c r="N17" s="34">
        <f>SUM(I17:M17)</f>
        <v>28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2"/>
      <c r="AB17" s="13"/>
      <c r="AC17" s="13"/>
      <c r="AD17" s="13"/>
      <c r="AE17" s="64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45"/>
      <c r="AN17" s="68"/>
      <c r="AO17" s="13"/>
      <c r="AP17" s="13"/>
      <c r="AQ17" s="13"/>
      <c r="AR17" s="34">
        <f>SUM(AM17:AQ17)</f>
        <v>0</v>
      </c>
      <c r="AS17" s="68" t="s">
        <v>123</v>
      </c>
      <c r="AT17" s="68" t="s">
        <v>95</v>
      </c>
      <c r="AU17" s="13"/>
      <c r="AV17" s="13"/>
      <c r="AW17" s="13"/>
      <c r="AX17" s="34">
        <f>SUM(AS17:AW17)</f>
        <v>0</v>
      </c>
      <c r="AY17" s="13"/>
      <c r="AZ17" s="13"/>
      <c r="BA17" s="13"/>
      <c r="BB17" s="13"/>
      <c r="BC17" s="13"/>
      <c r="BD17" s="34">
        <f t="shared" si="2"/>
        <v>0</v>
      </c>
    </row>
    <row r="18" spans="1:56" ht="225" x14ac:dyDescent="0.25">
      <c r="A18" s="1" t="s">
        <v>11</v>
      </c>
      <c r="C18" s="4" t="s">
        <v>52</v>
      </c>
      <c r="D18" s="4" t="s">
        <v>52</v>
      </c>
      <c r="E18" s="4" t="s">
        <v>52</v>
      </c>
      <c r="F18" s="4" t="s">
        <v>52</v>
      </c>
      <c r="G18" s="4" t="s">
        <v>52</v>
      </c>
      <c r="I18" s="4" t="s">
        <v>63</v>
      </c>
      <c r="J18" s="4" t="s">
        <v>69</v>
      </c>
      <c r="K18" s="4" t="s">
        <v>76</v>
      </c>
      <c r="L18" s="4" t="s">
        <v>76</v>
      </c>
      <c r="M18" s="4" t="s">
        <v>76</v>
      </c>
      <c r="O18" s="4"/>
      <c r="P18" s="4"/>
      <c r="Q18" s="4"/>
      <c r="R18" s="4"/>
      <c r="S18" s="4"/>
      <c r="U18" s="4" t="s">
        <v>88</v>
      </c>
      <c r="V18" s="4" t="s">
        <v>89</v>
      </c>
      <c r="W18" s="4" t="s">
        <v>86</v>
      </c>
      <c r="X18" s="4" t="s">
        <v>86</v>
      </c>
      <c r="Y18" s="4" t="s">
        <v>86</v>
      </c>
      <c r="AA18" s="74" t="s">
        <v>86</v>
      </c>
      <c r="AB18" s="74" t="s">
        <v>86</v>
      </c>
      <c r="AC18" s="74" t="s">
        <v>86</v>
      </c>
      <c r="AD18" s="74" t="s">
        <v>96</v>
      </c>
      <c r="AE18" s="4" t="s">
        <v>98</v>
      </c>
      <c r="AG18" s="4" t="s">
        <v>110</v>
      </c>
      <c r="AH18" s="4"/>
      <c r="AI18" s="4"/>
      <c r="AJ18" s="4"/>
      <c r="AK18" s="4" t="s">
        <v>111</v>
      </c>
      <c r="AM18" s="4" t="s">
        <v>119</v>
      </c>
      <c r="AN18" s="4" t="s">
        <v>121</v>
      </c>
      <c r="AO18" s="4" t="s">
        <v>122</v>
      </c>
      <c r="AP18" s="4" t="s">
        <v>120</v>
      </c>
      <c r="AQ18" s="4"/>
      <c r="AY18" s="4" t="s">
        <v>134</v>
      </c>
      <c r="AZ18" s="4"/>
      <c r="BA18" s="4" t="s">
        <v>135</v>
      </c>
      <c r="BB18" s="4" t="s">
        <v>136</v>
      </c>
      <c r="BC18" s="1" t="s">
        <v>95</v>
      </c>
    </row>
    <row r="19" spans="1:56" ht="255" x14ac:dyDescent="0.25">
      <c r="A19" s="1" t="s">
        <v>10</v>
      </c>
      <c r="C19" s="4"/>
      <c r="D19" s="4" t="s">
        <v>53</v>
      </c>
      <c r="E19" s="4" t="s">
        <v>53</v>
      </c>
      <c r="F19" s="4" t="s">
        <v>62</v>
      </c>
      <c r="G19" s="4" t="s">
        <v>60</v>
      </c>
      <c r="I19" s="4" t="s">
        <v>76</v>
      </c>
      <c r="J19" s="4" t="s">
        <v>76</v>
      </c>
      <c r="K19" s="4"/>
      <c r="L19" s="4"/>
      <c r="S19" s="4" t="s">
        <v>83</v>
      </c>
      <c r="AS19" s="4"/>
      <c r="AU19" s="4" t="s">
        <v>124</v>
      </c>
    </row>
  </sheetData>
  <customSheetViews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B3CDE377-BA5D-4E06-91D9-3A48E1959BA5}" topLeftCell="A6">
      <pane xSplit="1" topLeftCell="AQ1" activePane="topRight" state="frozen"/>
      <selection pane="topRight" activeCell="BD15" sqref="BD15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BZ17">
      <selection activeCell="CR18" sqref="CR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8" sqref="A18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J1" activePane="topRight" state="frozen"/>
      <selection pane="topRight" activeCell="L8" sqref="L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N1" activePane="topRight" state="frozen"/>
      <selection pane="topRight" activeCell="L18" sqref="L18"/>
      <pageMargins left="0.511811024" right="0.511811024" top="0.78740157499999996" bottom="0.78740157499999996" header="0.31496062000000002" footer="0.31496062000000002"/>
      <autoFilter ref="A1:A19" xr:uid="{AAB7C1C6-97C8-4FE8-9583-C592DF698729}"/>
    </customSheetView>
    <customSheetView guid="{20CB6D8F-C24D-4D4B-A424-AF380F620455}" showPageBreaks="1">
      <selection activeCell="L18" sqref="L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3D987F8E-A6EA-454D-9537-6BFC5053CB00}" topLeftCell="A5">
      <pane xSplit="1" topLeftCell="AR1" activePane="topRight" state="frozen"/>
      <selection pane="topRight" activeCell="BE18" sqref="BE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20"/>
  <sheetViews>
    <sheetView topLeftCell="B1" zoomScaleNormal="85" workbookViewId="0">
      <selection activeCell="Z18" sqref="Z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6" style="1" customWidth="1"/>
    <col min="9" max="13" width="9.140625" style="1"/>
    <col min="14" max="14" width="14.140625" style="1" customWidth="1"/>
    <col min="15" max="19" width="9.140625" style="1"/>
    <col min="20" max="20" width="15" style="1" customWidth="1"/>
    <col min="21" max="25" width="9.140625" style="1"/>
    <col min="26" max="26" width="15.5703125" style="1" customWidth="1"/>
    <col min="27" max="31" width="9.140625" style="1"/>
    <col min="32" max="32" width="16" style="1" customWidth="1"/>
    <col min="33" max="37" width="9.140625" style="1"/>
    <col min="38" max="38" width="16" style="1" customWidth="1"/>
    <col min="39" max="39" width="10.85546875" style="1" customWidth="1"/>
    <col min="40" max="40" width="11.28515625" style="1" customWidth="1"/>
    <col min="41" max="43" width="9.140625" style="1"/>
    <col min="44" max="44" width="15.5703125" style="1" customWidth="1"/>
    <col min="45" max="49" width="9.140625" style="1"/>
    <col min="50" max="50" width="15.28515625" style="1" customWidth="1"/>
    <col min="51" max="16384" width="9.140625" style="1"/>
  </cols>
  <sheetData>
    <row r="1" spans="1:56" x14ac:dyDescent="0.25">
      <c r="A1" s="14" t="s">
        <v>9</v>
      </c>
      <c r="B1" s="42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70" t="s">
        <v>15</v>
      </c>
      <c r="AM1" s="69">
        <v>46125</v>
      </c>
      <c r="AN1" s="69">
        <v>46126</v>
      </c>
      <c r="AO1" s="69">
        <v>46127</v>
      </c>
      <c r="AP1" s="69">
        <v>46128</v>
      </c>
      <c r="AQ1" s="69">
        <v>46129</v>
      </c>
      <c r="AR1" s="71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19">
        <v>46143</v>
      </c>
      <c r="BD1" s="10" t="s">
        <v>15</v>
      </c>
    </row>
    <row r="2" spans="1:56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86" t="s">
        <v>123</v>
      </c>
      <c r="AT2" s="39" t="s">
        <v>95</v>
      </c>
      <c r="AX2" s="33">
        <f>SUM(AS2:AW2)</f>
        <v>0</v>
      </c>
      <c r="BD2" s="33">
        <f t="shared" ref="BD2:BD17" si="2">SUM(AY2:BC2)</f>
        <v>0</v>
      </c>
    </row>
    <row r="3" spans="1:56" x14ac:dyDescent="0.25">
      <c r="A3" s="40" t="s">
        <v>0</v>
      </c>
      <c r="B3" s="43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S3" s="39" t="s">
        <v>123</v>
      </c>
      <c r="AT3" s="39" t="s">
        <v>95</v>
      </c>
      <c r="AX3" s="33">
        <f t="shared" ref="AX3:AX16" si="8">SUM(AS3:AW3)</f>
        <v>0</v>
      </c>
      <c r="BD3" s="33">
        <f t="shared" si="2"/>
        <v>0</v>
      </c>
    </row>
    <row r="4" spans="1:56" x14ac:dyDescent="0.25">
      <c r="A4" s="41" t="s">
        <v>17</v>
      </c>
      <c r="B4" s="44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N4" s="1">
        <v>13</v>
      </c>
      <c r="AR4" s="33">
        <f t="shared" si="7"/>
        <v>13</v>
      </c>
      <c r="AS4" s="39" t="s">
        <v>123</v>
      </c>
      <c r="AT4" s="39" t="s">
        <v>95</v>
      </c>
      <c r="AX4" s="33">
        <f t="shared" si="8"/>
        <v>0</v>
      </c>
      <c r="BD4" s="33">
        <f t="shared" si="2"/>
        <v>0</v>
      </c>
    </row>
    <row r="5" spans="1:56" x14ac:dyDescent="0.25">
      <c r="A5" s="41" t="s">
        <v>16</v>
      </c>
      <c r="B5" s="43">
        <v>4</v>
      </c>
      <c r="H5" s="33">
        <f t="shared" si="3"/>
        <v>0</v>
      </c>
      <c r="L5" s="39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S5" s="39" t="s">
        <v>123</v>
      </c>
      <c r="AT5" s="39" t="s">
        <v>95</v>
      </c>
      <c r="AX5" s="33">
        <f t="shared" si="8"/>
        <v>0</v>
      </c>
      <c r="BD5" s="33">
        <f t="shared" si="2"/>
        <v>0</v>
      </c>
    </row>
    <row r="6" spans="1:56" x14ac:dyDescent="0.25">
      <c r="A6" s="41" t="s">
        <v>1</v>
      </c>
      <c r="B6" s="43">
        <v>5</v>
      </c>
      <c r="H6" s="33">
        <f t="shared" si="3"/>
        <v>0</v>
      </c>
      <c r="L6" s="39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S6" s="39" t="s">
        <v>123</v>
      </c>
      <c r="AT6" s="39" t="s">
        <v>95</v>
      </c>
      <c r="AX6" s="33">
        <f t="shared" si="8"/>
        <v>0</v>
      </c>
      <c r="BD6" s="33">
        <f t="shared" si="2"/>
        <v>0</v>
      </c>
    </row>
    <row r="7" spans="1:56" x14ac:dyDescent="0.25">
      <c r="A7" s="41" t="s">
        <v>2</v>
      </c>
      <c r="B7" s="44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S7" s="39" t="s">
        <v>123</v>
      </c>
      <c r="AT7" s="39" t="s">
        <v>95</v>
      </c>
      <c r="AX7" s="33">
        <f t="shared" si="8"/>
        <v>0</v>
      </c>
      <c r="BD7" s="33">
        <f t="shared" si="2"/>
        <v>0</v>
      </c>
    </row>
    <row r="8" spans="1:56" x14ac:dyDescent="0.25">
      <c r="A8" s="41" t="s">
        <v>3</v>
      </c>
      <c r="B8" s="43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S8" s="39" t="s">
        <v>123</v>
      </c>
      <c r="AT8" s="39" t="s">
        <v>95</v>
      </c>
      <c r="AX8" s="33">
        <f t="shared" si="8"/>
        <v>0</v>
      </c>
      <c r="BD8" s="33">
        <f t="shared" si="2"/>
        <v>0</v>
      </c>
    </row>
    <row r="9" spans="1:56" x14ac:dyDescent="0.25">
      <c r="A9" s="41" t="s">
        <v>13</v>
      </c>
      <c r="B9" s="43">
        <v>8</v>
      </c>
      <c r="H9" s="33">
        <f t="shared" si="3"/>
        <v>0</v>
      </c>
      <c r="N9" s="33">
        <f t="shared" si="0"/>
        <v>0</v>
      </c>
      <c r="O9" s="1">
        <v>7</v>
      </c>
      <c r="P9" s="1">
        <v>8</v>
      </c>
      <c r="Q9" s="1">
        <v>4</v>
      </c>
      <c r="R9" s="1">
        <v>7</v>
      </c>
      <c r="T9" s="33">
        <f t="shared" si="1"/>
        <v>26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S9" s="39" t="s">
        <v>123</v>
      </c>
      <c r="AT9" s="39" t="s">
        <v>95</v>
      </c>
      <c r="AX9" s="33">
        <f t="shared" si="8"/>
        <v>0</v>
      </c>
      <c r="BD9" s="33">
        <f t="shared" si="2"/>
        <v>0</v>
      </c>
    </row>
    <row r="10" spans="1:56" x14ac:dyDescent="0.25">
      <c r="A10" s="40" t="s">
        <v>12</v>
      </c>
      <c r="B10" s="44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S10" s="39" t="s">
        <v>123</v>
      </c>
      <c r="AT10" s="39" t="s">
        <v>95</v>
      </c>
      <c r="AX10" s="33">
        <f t="shared" si="8"/>
        <v>0</v>
      </c>
      <c r="BD10" s="33">
        <f t="shared" si="2"/>
        <v>0</v>
      </c>
    </row>
    <row r="11" spans="1:56" x14ac:dyDescent="0.25">
      <c r="A11" s="41" t="s">
        <v>4</v>
      </c>
      <c r="B11" s="43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D11" s="1">
        <v>8</v>
      </c>
      <c r="AF11" s="33">
        <f t="shared" si="5"/>
        <v>8</v>
      </c>
      <c r="AG11" s="1">
        <v>3</v>
      </c>
      <c r="AH11" s="1">
        <v>7</v>
      </c>
      <c r="AI11" s="1">
        <v>8</v>
      </c>
      <c r="AJ11" s="1">
        <v>6</v>
      </c>
      <c r="AL11" s="33">
        <f t="shared" si="6"/>
        <v>24</v>
      </c>
      <c r="AM11" s="1">
        <v>8</v>
      </c>
      <c r="AO11" s="1">
        <v>7</v>
      </c>
      <c r="AP11" s="1">
        <v>6</v>
      </c>
      <c r="AR11" s="33">
        <f t="shared" si="7"/>
        <v>21</v>
      </c>
      <c r="AS11" s="39" t="s">
        <v>123</v>
      </c>
      <c r="AT11" s="39" t="s">
        <v>95</v>
      </c>
      <c r="AU11" s="1">
        <v>2</v>
      </c>
      <c r="AV11" s="1">
        <v>9</v>
      </c>
      <c r="AW11" s="1">
        <v>6</v>
      </c>
      <c r="AX11" s="33">
        <f t="shared" si="8"/>
        <v>17</v>
      </c>
      <c r="AY11" s="1">
        <v>8</v>
      </c>
      <c r="AZ11" s="1">
        <v>5</v>
      </c>
      <c r="BB11" s="1">
        <v>1</v>
      </c>
      <c r="BD11" s="33">
        <f t="shared" si="2"/>
        <v>14</v>
      </c>
    </row>
    <row r="12" spans="1:56" x14ac:dyDescent="0.25">
      <c r="A12" s="41" t="s">
        <v>5</v>
      </c>
      <c r="B12" s="43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D12" s="1">
        <v>37</v>
      </c>
      <c r="AF12" s="33">
        <f t="shared" si="5"/>
        <v>37</v>
      </c>
      <c r="AG12" s="1">
        <v>24</v>
      </c>
      <c r="AH12" s="1">
        <v>62</v>
      </c>
      <c r="AI12" s="1">
        <v>45</v>
      </c>
      <c r="AJ12" s="1">
        <v>49</v>
      </c>
      <c r="AL12" s="33">
        <f t="shared" si="6"/>
        <v>180</v>
      </c>
      <c r="AM12" s="1">
        <v>41</v>
      </c>
      <c r="AO12" s="1">
        <v>43</v>
      </c>
      <c r="AP12" s="1">
        <v>45</v>
      </c>
      <c r="AR12" s="33">
        <f t="shared" si="7"/>
        <v>129</v>
      </c>
      <c r="AS12" s="39" t="s">
        <v>123</v>
      </c>
      <c r="AT12" s="39" t="s">
        <v>95</v>
      </c>
      <c r="AU12" s="1">
        <v>15</v>
      </c>
      <c r="AV12" s="1">
        <v>46</v>
      </c>
      <c r="AW12" s="1">
        <v>35</v>
      </c>
      <c r="AX12" s="33">
        <f t="shared" si="8"/>
        <v>96</v>
      </c>
      <c r="AY12" s="1">
        <v>44</v>
      </c>
      <c r="AZ12" s="1">
        <v>27</v>
      </c>
      <c r="BB12" s="1">
        <v>5</v>
      </c>
      <c r="BD12" s="33">
        <f t="shared" si="2"/>
        <v>76</v>
      </c>
    </row>
    <row r="13" spans="1:56" x14ac:dyDescent="0.25">
      <c r="A13" s="40" t="s">
        <v>8</v>
      </c>
      <c r="B13" s="44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S13" s="39" t="s">
        <v>123</v>
      </c>
      <c r="AT13" s="39" t="s">
        <v>95</v>
      </c>
      <c r="AX13" s="33">
        <f t="shared" si="8"/>
        <v>0</v>
      </c>
      <c r="BD13" s="33">
        <f t="shared" si="2"/>
        <v>0</v>
      </c>
    </row>
    <row r="14" spans="1:56" x14ac:dyDescent="0.25">
      <c r="A14" s="41" t="s">
        <v>6</v>
      </c>
      <c r="B14" s="43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S14" s="39" t="s">
        <v>123</v>
      </c>
      <c r="AT14" s="39" t="s">
        <v>95</v>
      </c>
      <c r="AX14" s="33">
        <f t="shared" si="8"/>
        <v>0</v>
      </c>
      <c r="BD14" s="33">
        <f t="shared" si="2"/>
        <v>0</v>
      </c>
    </row>
    <row r="15" spans="1:56" x14ac:dyDescent="0.25">
      <c r="A15" s="40" t="s">
        <v>7</v>
      </c>
      <c r="B15" s="43">
        <v>14</v>
      </c>
      <c r="H15" s="33">
        <f t="shared" si="3"/>
        <v>0</v>
      </c>
      <c r="N15" s="33">
        <f t="shared" si="0"/>
        <v>0</v>
      </c>
      <c r="O15" s="1">
        <v>49</v>
      </c>
      <c r="P15" s="1">
        <v>50</v>
      </c>
      <c r="Q15" s="1">
        <v>26</v>
      </c>
      <c r="R15" s="1">
        <v>50</v>
      </c>
      <c r="T15" s="33">
        <f t="shared" si="1"/>
        <v>175</v>
      </c>
      <c r="Y15" s="1">
        <v>52</v>
      </c>
      <c r="Z15" s="33">
        <f t="shared" si="4"/>
        <v>52</v>
      </c>
      <c r="AC15" s="1">
        <v>52</v>
      </c>
      <c r="AF15" s="33">
        <f t="shared" si="5"/>
        <v>52</v>
      </c>
      <c r="AG15" s="1">
        <v>151</v>
      </c>
      <c r="AK15" s="1">
        <v>150</v>
      </c>
      <c r="AL15" s="33">
        <f t="shared" si="6"/>
        <v>301</v>
      </c>
      <c r="AN15" s="1">
        <v>1</v>
      </c>
      <c r="AR15" s="33">
        <f t="shared" si="7"/>
        <v>1</v>
      </c>
      <c r="AS15" s="39" t="s">
        <v>123</v>
      </c>
      <c r="AT15" s="39" t="s">
        <v>95</v>
      </c>
      <c r="AU15" s="1">
        <v>175</v>
      </c>
      <c r="AX15" s="33">
        <f t="shared" si="8"/>
        <v>175</v>
      </c>
      <c r="AZ15" s="1">
        <v>40</v>
      </c>
      <c r="BA15" s="1">
        <v>173</v>
      </c>
      <c r="BB15" s="1">
        <v>48</v>
      </c>
      <c r="BD15" s="33">
        <f t="shared" si="2"/>
        <v>261</v>
      </c>
    </row>
    <row r="16" spans="1:56" x14ac:dyDescent="0.25">
      <c r="A16" s="2" t="s">
        <v>14</v>
      </c>
      <c r="B16" s="37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S16" s="39" t="s">
        <v>123</v>
      </c>
      <c r="AT16" s="39" t="s">
        <v>95</v>
      </c>
      <c r="AX16" s="33">
        <f t="shared" si="8"/>
        <v>0</v>
      </c>
      <c r="BB16" s="1">
        <v>10</v>
      </c>
      <c r="BD16" s="33">
        <f t="shared" si="2"/>
        <v>10</v>
      </c>
    </row>
    <row r="17" spans="1:56" x14ac:dyDescent="0.25">
      <c r="A17" s="15" t="s">
        <v>39</v>
      </c>
      <c r="B17" s="38">
        <v>16</v>
      </c>
      <c r="C17" s="13">
        <v>8</v>
      </c>
      <c r="D17" s="13"/>
      <c r="E17" s="13">
        <v>10</v>
      </c>
      <c r="F17" s="13">
        <v>8</v>
      </c>
      <c r="G17" s="13">
        <v>9</v>
      </c>
      <c r="H17" s="34">
        <f>SUM(C17:G17)</f>
        <v>35</v>
      </c>
      <c r="I17" s="13"/>
      <c r="J17" s="13"/>
      <c r="K17" s="13">
        <v>11</v>
      </c>
      <c r="L17" s="13">
        <v>10</v>
      </c>
      <c r="M17" s="13">
        <v>12</v>
      </c>
      <c r="N17" s="34">
        <f>SUM(I17:M17)</f>
        <v>33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>
        <v>3</v>
      </c>
      <c r="AO17" s="13"/>
      <c r="AP17" s="13"/>
      <c r="AQ17" s="13"/>
      <c r="AR17" s="34">
        <f>SUM(AM17:AQ17)</f>
        <v>3</v>
      </c>
      <c r="AS17" s="68" t="s">
        <v>123</v>
      </c>
      <c r="AT17" s="68" t="s">
        <v>95</v>
      </c>
      <c r="AU17" s="13"/>
      <c r="AV17" s="13"/>
      <c r="AW17" s="13"/>
      <c r="AX17" s="34">
        <f>SUM(AS17:AW17)</f>
        <v>0</v>
      </c>
      <c r="AY17" s="13"/>
      <c r="AZ17" s="13"/>
      <c r="BA17" s="13"/>
      <c r="BB17" s="13"/>
      <c r="BC17" s="13"/>
      <c r="BD17" s="34">
        <f t="shared" si="2"/>
        <v>0</v>
      </c>
    </row>
    <row r="18" spans="1:56" ht="105" customHeight="1" x14ac:dyDescent="0.25">
      <c r="A18" s="1" t="s">
        <v>11</v>
      </c>
      <c r="C18" s="4" t="s">
        <v>51</v>
      </c>
      <c r="D18" s="4"/>
      <c r="E18" s="4" t="s">
        <v>51</v>
      </c>
      <c r="F18" s="4" t="s">
        <v>51</v>
      </c>
      <c r="G18" s="4" t="s">
        <v>51</v>
      </c>
      <c r="I18" s="4" t="s">
        <v>64</v>
      </c>
      <c r="J18" s="4" t="s">
        <v>65</v>
      </c>
      <c r="K18" s="4" t="s">
        <v>51</v>
      </c>
      <c r="L18" s="4" t="s">
        <v>51</v>
      </c>
      <c r="M18" s="4" t="s">
        <v>51</v>
      </c>
      <c r="O18" s="4" t="s">
        <v>77</v>
      </c>
      <c r="P18" s="4" t="s">
        <v>77</v>
      </c>
      <c r="Q18" s="4" t="s">
        <v>77</v>
      </c>
      <c r="R18" s="4" t="s">
        <v>77</v>
      </c>
      <c r="S18" s="74" t="s">
        <v>86</v>
      </c>
      <c r="U18" s="74" t="s">
        <v>86</v>
      </c>
      <c r="V18" s="74" t="s">
        <v>86</v>
      </c>
      <c r="W18" s="74" t="s">
        <v>86</v>
      </c>
      <c r="X18" s="74" t="s">
        <v>86</v>
      </c>
      <c r="Y18" s="4" t="s">
        <v>87</v>
      </c>
      <c r="AA18" s="74" t="s">
        <v>92</v>
      </c>
      <c r="AB18" s="74" t="s">
        <v>86</v>
      </c>
      <c r="AC18" s="4" t="s">
        <v>87</v>
      </c>
      <c r="AD18" s="4" t="s">
        <v>101</v>
      </c>
      <c r="AE18" s="4" t="s">
        <v>95</v>
      </c>
      <c r="AG18" s="4" t="s">
        <v>102</v>
      </c>
      <c r="AH18" s="4" t="s">
        <v>101</v>
      </c>
      <c r="AI18" s="4" t="s">
        <v>101</v>
      </c>
      <c r="AJ18" s="4" t="s">
        <v>101</v>
      </c>
      <c r="AK18" s="4" t="s">
        <v>103</v>
      </c>
      <c r="AM18" s="4" t="s">
        <v>101</v>
      </c>
      <c r="AN18" s="4" t="s">
        <v>115</v>
      </c>
      <c r="AO18" s="4" t="s">
        <v>101</v>
      </c>
      <c r="AP18" s="4" t="s">
        <v>101</v>
      </c>
      <c r="AQ18" s="4" t="s">
        <v>127</v>
      </c>
      <c r="AS18" s="4"/>
      <c r="AT18" s="4"/>
      <c r="AV18" s="4" t="s">
        <v>101</v>
      </c>
      <c r="AW18" s="4" t="s">
        <v>101</v>
      </c>
      <c r="AY18" s="4" t="s">
        <v>101</v>
      </c>
      <c r="AZ18" s="4" t="s">
        <v>101</v>
      </c>
      <c r="BA18" s="4" t="s">
        <v>132</v>
      </c>
      <c r="BB18" s="4" t="s">
        <v>133</v>
      </c>
      <c r="BC18" s="1" t="s">
        <v>95</v>
      </c>
    </row>
    <row r="19" spans="1:56" ht="300" x14ac:dyDescent="0.25">
      <c r="A19" s="1" t="s">
        <v>10</v>
      </c>
      <c r="Q19" s="4" t="s">
        <v>81</v>
      </c>
      <c r="V19" s="4"/>
      <c r="AA19" s="4"/>
      <c r="AB19" s="4"/>
      <c r="AC19" s="4"/>
      <c r="AD19" s="4"/>
      <c r="AE19" s="4"/>
      <c r="AS19" s="4" t="s">
        <v>125</v>
      </c>
      <c r="AT19" s="4" t="s">
        <v>126</v>
      </c>
      <c r="AU19" s="4" t="s">
        <v>128</v>
      </c>
      <c r="AY19" s="4" t="s">
        <v>130</v>
      </c>
      <c r="AZ19" s="4" t="s">
        <v>131</v>
      </c>
      <c r="BA19" s="4"/>
      <c r="BB19" s="4"/>
    </row>
    <row r="20" spans="1:56" ht="105" x14ac:dyDescent="0.25">
      <c r="Q20" s="4" t="s">
        <v>82</v>
      </c>
      <c r="V20" s="4" t="s">
        <v>41</v>
      </c>
    </row>
  </sheetData>
  <customSheetViews>
    <customSheetView guid="{86039CF8-B158-4D70-9A6F-A10C29CBD68A}" topLeftCell="B1">
      <selection activeCell="Z18" sqref="Z18"/>
      <pageMargins left="0.511811024" right="0.511811024" top="0.78740157499999996" bottom="0.78740157499999996" header="0.31496062000000002" footer="0.31496062000000002"/>
    </customSheetView>
    <customSheetView guid="{B3CDE377-BA5D-4E06-91D9-3A48E1959BA5}">
      <pane xSplit="1" topLeftCell="AQ1" activePane="topRight" state="frozen"/>
      <selection pane="topRight" activeCell="BA15" sqref="BA15:BB15"/>
      <pageMargins left="0.511811024" right="0.511811024" top="0.78740157499999996" bottom="0.78740157499999996" header="0.31496062000000002" footer="0.31496062000000002"/>
    </customSheetView>
    <customSheetView guid="{E3841903-5B68-44FD-8F09-58E03D1025C5}">
      <pane xSplit="1" topLeftCell="AQ1" activePane="topRight" state="frozen"/>
      <selection pane="topRight" activeCell="BA18" sqref="BA1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B16" sqref="B16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H1" activePane="topRight" state="frozen"/>
      <selection pane="topRight" activeCell="M9" sqref="M9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W1" activePane="topRight" state="frozen"/>
      <selection pane="topRight" activeCell="W18" sqref="W18"/>
      <pageMargins left="0.511811024" right="0.511811024" top="0.78740157499999996" bottom="0.78740157499999996" header="0.31496062000000002" footer="0.31496062000000002"/>
      <pageSetup paperSize="9" orientation="portrait" r:id="rId1"/>
      <autoFilter ref="A1:A20" xr:uid="{8F4E2748-C520-4769-BB04-8B1E5007CDA8}"/>
    </customSheetView>
    <customSheetView guid="{20CB6D8F-C24D-4D4B-A424-AF380F620455}" showPageBreaks="1" topLeftCell="C1">
      <selection activeCell="S18" sqref="S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3D987F8E-A6EA-454D-9537-6BFC5053CB00}">
      <pane xSplit="1" topLeftCell="AQ1" activePane="topRight" state="frozen"/>
      <selection pane="topRight" activeCell="BB18" sqref="BB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D19"/>
  <sheetViews>
    <sheetView zoomScaleNormal="85" workbookViewId="0">
      <selection activeCell="B6" sqref="B6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9.140625" style="1"/>
    <col min="4" max="4" width="9.42578125" style="1" customWidth="1"/>
    <col min="5" max="6" width="9.7109375" style="1" customWidth="1"/>
    <col min="7" max="7" width="10.5703125" style="1" bestFit="1" customWidth="1"/>
    <col min="8" max="8" width="14.85546875" style="1" customWidth="1"/>
    <col min="9" max="9" width="11.140625" style="1" bestFit="1" customWidth="1"/>
    <col min="10" max="10" width="11.42578125" style="1" customWidth="1"/>
    <col min="11" max="11" width="11.140625" style="1" customWidth="1"/>
    <col min="12" max="12" width="11.42578125" style="1" customWidth="1"/>
    <col min="13" max="13" width="13.28515625" style="1" customWidth="1"/>
    <col min="14" max="14" width="14.7109375" style="1" customWidth="1"/>
    <col min="15" max="15" width="13.140625" style="1" customWidth="1"/>
    <col min="16" max="16" width="12.140625" style="1" customWidth="1"/>
    <col min="17" max="17" width="11.28515625" style="1" customWidth="1"/>
    <col min="18" max="18" width="13.28515625" style="1" customWidth="1"/>
    <col min="19" max="19" width="10.85546875" style="1" customWidth="1"/>
    <col min="20" max="20" width="14.28515625" style="1" customWidth="1"/>
    <col min="21" max="21" width="11.85546875" style="1" customWidth="1"/>
    <col min="22" max="22" width="12.5703125" style="1" customWidth="1"/>
    <col min="23" max="23" width="16" style="1" customWidth="1"/>
    <col min="24" max="24" width="13" style="1" customWidth="1"/>
    <col min="25" max="25" width="14.42578125" style="1" customWidth="1"/>
    <col min="26" max="26" width="16.5703125" style="1" customWidth="1"/>
    <col min="27" max="27" width="12.5703125" style="1" customWidth="1"/>
    <col min="28" max="28" width="14.85546875" style="1" customWidth="1"/>
    <col min="29" max="31" width="9.140625" style="1"/>
    <col min="32" max="32" width="13.85546875" style="1" customWidth="1"/>
    <col min="33" max="33" width="13.42578125" style="1" customWidth="1"/>
    <col min="34" max="34" width="14.85546875" style="1" customWidth="1"/>
    <col min="35" max="36" width="17" style="1" customWidth="1"/>
    <col min="37" max="37" width="16.85546875" style="1" customWidth="1"/>
    <col min="38" max="38" width="15.85546875" style="1" customWidth="1"/>
    <col min="39" max="39" width="12.140625" style="1" customWidth="1"/>
    <col min="40" max="40" width="12" style="1" customWidth="1"/>
    <col min="41" max="42" width="9.140625" style="1"/>
    <col min="43" max="43" width="13.28515625" style="1" customWidth="1"/>
    <col min="44" max="44" width="16.85546875" style="1" customWidth="1"/>
    <col min="45" max="45" width="9.140625" style="1"/>
    <col min="46" max="46" width="9.7109375" style="1" customWidth="1"/>
    <col min="47" max="47" width="13.28515625" style="1" customWidth="1"/>
    <col min="48" max="48" width="16.140625" style="1" customWidth="1"/>
    <col min="49" max="49" width="9.140625" style="1"/>
    <col min="50" max="50" width="15.28515625" style="1" customWidth="1"/>
    <col min="51" max="51" width="13" style="1" customWidth="1"/>
    <col min="52" max="55" width="9.140625" style="1"/>
    <col min="56" max="56" width="15" style="1" customWidth="1"/>
    <col min="57" max="16384" width="9.140625" style="1"/>
  </cols>
  <sheetData>
    <row r="1" spans="1:56" x14ac:dyDescent="0.25">
      <c r="A1" s="14" t="s">
        <v>9</v>
      </c>
      <c r="B1" s="42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70" t="s">
        <v>15</v>
      </c>
      <c r="AM1" s="69">
        <v>46125</v>
      </c>
      <c r="AN1" s="69">
        <v>46126</v>
      </c>
      <c r="AO1" s="69">
        <v>46127</v>
      </c>
      <c r="AP1" s="69">
        <v>46128</v>
      </c>
      <c r="AQ1" s="69">
        <v>46129</v>
      </c>
      <c r="AR1" s="71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19">
        <v>46143</v>
      </c>
      <c r="BD1" s="10" t="s">
        <v>15</v>
      </c>
    </row>
    <row r="2" spans="1:56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B2" s="1">
        <v>1</v>
      </c>
      <c r="AF2" s="33">
        <f>SUM(AA2:AE2)</f>
        <v>1</v>
      </c>
      <c r="AG2" s="14"/>
      <c r="AH2" s="18"/>
      <c r="AI2" s="18">
        <v>1</v>
      </c>
      <c r="AJ2" s="18"/>
      <c r="AK2" s="5"/>
      <c r="AL2" s="81">
        <f>SUM(AG2:AK2)</f>
        <v>1</v>
      </c>
      <c r="AM2" s="39"/>
      <c r="AN2" s="39"/>
      <c r="AO2" s="18"/>
      <c r="AP2" s="18"/>
      <c r="AQ2" s="5"/>
      <c r="AR2" s="33">
        <f>SUM(AM2:AQ2)</f>
        <v>0</v>
      </c>
      <c r="AS2" s="82" t="s">
        <v>123</v>
      </c>
      <c r="AT2" s="83" t="s">
        <v>95</v>
      </c>
      <c r="AX2" s="33">
        <f>SUM(AS2:AW2)</f>
        <v>0</v>
      </c>
      <c r="BC2" s="83" t="s">
        <v>95</v>
      </c>
      <c r="BD2" s="33">
        <f t="shared" ref="BD2:BD17" si="2">SUM(AY2:BC2)</f>
        <v>0</v>
      </c>
    </row>
    <row r="3" spans="1:56" x14ac:dyDescent="0.25">
      <c r="A3" s="40" t="s">
        <v>0</v>
      </c>
      <c r="B3" s="43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B3" s="1">
        <v>3</v>
      </c>
      <c r="AF3" s="33">
        <f t="shared" ref="AF3:AF16" si="5">SUM(AA3:AE3)</f>
        <v>3</v>
      </c>
      <c r="AG3" s="11">
        <v>6</v>
      </c>
      <c r="AK3" s="63"/>
      <c r="AL3" s="33">
        <f t="shared" ref="AL3:AL16" si="6">SUM(AG3:AK3)</f>
        <v>6</v>
      </c>
      <c r="AM3" s="39"/>
      <c r="AN3" s="39"/>
      <c r="AQ3" s="63"/>
      <c r="AR3" s="33">
        <f t="shared" ref="AR3:AR16" si="7">SUM(AM3:AQ3)</f>
        <v>0</v>
      </c>
      <c r="AS3" s="82" t="s">
        <v>123</v>
      </c>
      <c r="AT3" s="83" t="s">
        <v>95</v>
      </c>
      <c r="AX3" s="33">
        <f t="shared" ref="AX3:AX16" si="8">SUM(AS3:AW3)</f>
        <v>0</v>
      </c>
      <c r="BC3" s="83" t="s">
        <v>95</v>
      </c>
      <c r="BD3" s="33">
        <f t="shared" si="2"/>
        <v>0</v>
      </c>
    </row>
    <row r="4" spans="1:56" x14ac:dyDescent="0.25">
      <c r="A4" s="41" t="s">
        <v>17</v>
      </c>
      <c r="B4" s="44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G4" s="11"/>
      <c r="AK4" s="63"/>
      <c r="AL4" s="33">
        <f t="shared" si="6"/>
        <v>0</v>
      </c>
      <c r="AM4" s="39"/>
      <c r="AN4" s="39"/>
      <c r="AQ4" s="63"/>
      <c r="AR4" s="33">
        <f t="shared" si="7"/>
        <v>0</v>
      </c>
      <c r="AS4" s="82" t="s">
        <v>123</v>
      </c>
      <c r="AT4" s="83" t="s">
        <v>95</v>
      </c>
      <c r="AX4" s="33">
        <f t="shared" si="8"/>
        <v>0</v>
      </c>
      <c r="BC4" s="83" t="s">
        <v>95</v>
      </c>
      <c r="BD4" s="33">
        <f t="shared" si="2"/>
        <v>0</v>
      </c>
    </row>
    <row r="5" spans="1:56" x14ac:dyDescent="0.25">
      <c r="A5" s="41" t="s">
        <v>16</v>
      </c>
      <c r="B5" s="43">
        <v>4</v>
      </c>
      <c r="H5" s="33">
        <f t="shared" si="3"/>
        <v>0</v>
      </c>
      <c r="L5" s="39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G5" s="11"/>
      <c r="AK5" s="63"/>
      <c r="AL5" s="33">
        <f t="shared" si="6"/>
        <v>0</v>
      </c>
      <c r="AM5" s="39"/>
      <c r="AN5" s="39"/>
      <c r="AQ5" s="63"/>
      <c r="AR5" s="33">
        <f t="shared" si="7"/>
        <v>0</v>
      </c>
      <c r="AS5" s="82" t="s">
        <v>123</v>
      </c>
      <c r="AT5" s="83" t="s">
        <v>95</v>
      </c>
      <c r="AX5" s="33">
        <f t="shared" si="8"/>
        <v>0</v>
      </c>
      <c r="BC5" s="83" t="s">
        <v>95</v>
      </c>
      <c r="BD5" s="33">
        <f t="shared" si="2"/>
        <v>0</v>
      </c>
    </row>
    <row r="6" spans="1:56" x14ac:dyDescent="0.25">
      <c r="A6" s="41" t="s">
        <v>1</v>
      </c>
      <c r="B6" s="43">
        <v>5</v>
      </c>
      <c r="H6" s="33">
        <f t="shared" si="3"/>
        <v>0</v>
      </c>
      <c r="L6" s="39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G6" s="11"/>
      <c r="AK6" s="63"/>
      <c r="AL6" s="33">
        <f t="shared" si="6"/>
        <v>0</v>
      </c>
      <c r="AM6" s="39"/>
      <c r="AN6" s="39"/>
      <c r="AQ6" s="63"/>
      <c r="AR6" s="33">
        <f t="shared" si="7"/>
        <v>0</v>
      </c>
      <c r="AS6" s="82" t="s">
        <v>123</v>
      </c>
      <c r="AT6" s="83" t="s">
        <v>95</v>
      </c>
      <c r="AX6" s="33">
        <f t="shared" si="8"/>
        <v>0</v>
      </c>
      <c r="BC6" s="83" t="s">
        <v>95</v>
      </c>
      <c r="BD6" s="33">
        <f t="shared" si="2"/>
        <v>0</v>
      </c>
    </row>
    <row r="7" spans="1:56" x14ac:dyDescent="0.25">
      <c r="A7" s="41" t="s">
        <v>2</v>
      </c>
      <c r="B7" s="44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G7" s="11"/>
      <c r="AK7" s="63"/>
      <c r="AL7" s="33">
        <f t="shared" si="6"/>
        <v>0</v>
      </c>
      <c r="AM7" s="39"/>
      <c r="AN7" s="39"/>
      <c r="AQ7" s="63"/>
      <c r="AR7" s="33">
        <f t="shared" si="7"/>
        <v>0</v>
      </c>
      <c r="AS7" s="82" t="s">
        <v>123</v>
      </c>
      <c r="AT7" s="83" t="s">
        <v>95</v>
      </c>
      <c r="AX7" s="33">
        <f t="shared" si="8"/>
        <v>0</v>
      </c>
      <c r="BC7" s="83" t="s">
        <v>95</v>
      </c>
      <c r="BD7" s="33">
        <f t="shared" si="2"/>
        <v>0</v>
      </c>
    </row>
    <row r="8" spans="1:56" x14ac:dyDescent="0.25">
      <c r="A8" s="41" t="s">
        <v>3</v>
      </c>
      <c r="B8" s="43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G8" s="11"/>
      <c r="AK8" s="63"/>
      <c r="AL8" s="33">
        <f t="shared" si="6"/>
        <v>0</v>
      </c>
      <c r="AM8" s="39"/>
      <c r="AN8" s="39"/>
      <c r="AQ8" s="63"/>
      <c r="AR8" s="33">
        <f t="shared" si="7"/>
        <v>0</v>
      </c>
      <c r="AS8" s="82" t="s">
        <v>123</v>
      </c>
      <c r="AT8" s="83" t="s">
        <v>95</v>
      </c>
      <c r="AX8" s="33">
        <f t="shared" si="8"/>
        <v>0</v>
      </c>
      <c r="BC8" s="83" t="s">
        <v>95</v>
      </c>
      <c r="BD8" s="33">
        <f t="shared" si="2"/>
        <v>0</v>
      </c>
    </row>
    <row r="9" spans="1:56" x14ac:dyDescent="0.25">
      <c r="A9" s="41" t="s">
        <v>13</v>
      </c>
      <c r="B9" s="43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G9" s="11"/>
      <c r="AK9" s="63"/>
      <c r="AL9" s="33">
        <f t="shared" si="6"/>
        <v>0</v>
      </c>
      <c r="AM9" s="39"/>
      <c r="AN9" s="39"/>
      <c r="AQ9" s="63"/>
      <c r="AR9" s="33">
        <f t="shared" si="7"/>
        <v>0</v>
      </c>
      <c r="AS9" s="82" t="s">
        <v>123</v>
      </c>
      <c r="AT9" s="83" t="s">
        <v>95</v>
      </c>
      <c r="AX9" s="33">
        <f t="shared" si="8"/>
        <v>0</v>
      </c>
      <c r="BC9" s="83" t="s">
        <v>95</v>
      </c>
      <c r="BD9" s="33">
        <f t="shared" si="2"/>
        <v>0</v>
      </c>
    </row>
    <row r="10" spans="1:56" x14ac:dyDescent="0.25">
      <c r="A10" s="40" t="s">
        <v>12</v>
      </c>
      <c r="B10" s="44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G10" s="11"/>
      <c r="AK10" s="63"/>
      <c r="AL10" s="33">
        <f t="shared" si="6"/>
        <v>0</v>
      </c>
      <c r="AM10" s="39"/>
      <c r="AN10" s="39"/>
      <c r="AQ10" s="63"/>
      <c r="AR10" s="33">
        <f t="shared" si="7"/>
        <v>0</v>
      </c>
      <c r="AS10" s="82" t="s">
        <v>123</v>
      </c>
      <c r="AT10" s="83" t="s">
        <v>95</v>
      </c>
      <c r="AX10" s="33">
        <f t="shared" si="8"/>
        <v>0</v>
      </c>
      <c r="BC10" s="83" t="s">
        <v>95</v>
      </c>
      <c r="BD10" s="33">
        <f t="shared" si="2"/>
        <v>0</v>
      </c>
    </row>
    <row r="11" spans="1:56" x14ac:dyDescent="0.25">
      <c r="A11" s="41" t="s">
        <v>4</v>
      </c>
      <c r="B11" s="43">
        <v>10</v>
      </c>
      <c r="H11" s="33">
        <f t="shared" si="3"/>
        <v>0</v>
      </c>
      <c r="N11" s="33">
        <f t="shared" si="0"/>
        <v>0</v>
      </c>
      <c r="O11" s="1">
        <v>2</v>
      </c>
      <c r="P11" s="1">
        <v>11</v>
      </c>
      <c r="Q11" s="1">
        <v>2</v>
      </c>
      <c r="R11" s="1">
        <v>7</v>
      </c>
      <c r="S11" s="1">
        <v>8</v>
      </c>
      <c r="T11" s="33">
        <f t="shared" si="1"/>
        <v>30</v>
      </c>
      <c r="U11" s="1">
        <v>2</v>
      </c>
      <c r="Z11" s="33">
        <f t="shared" si="4"/>
        <v>2</v>
      </c>
      <c r="AF11" s="33">
        <f t="shared" si="5"/>
        <v>0</v>
      </c>
      <c r="AG11" s="11">
        <v>6</v>
      </c>
      <c r="AH11" s="1">
        <v>6</v>
      </c>
      <c r="AI11" s="1">
        <v>10</v>
      </c>
      <c r="AJ11" s="1">
        <v>7</v>
      </c>
      <c r="AK11" s="63">
        <v>8</v>
      </c>
      <c r="AL11" s="33">
        <f t="shared" si="6"/>
        <v>37</v>
      </c>
      <c r="AM11" s="39"/>
      <c r="AN11" s="39"/>
      <c r="AO11" s="1">
        <v>9</v>
      </c>
      <c r="AP11" s="1">
        <v>6</v>
      </c>
      <c r="AQ11" s="63">
        <v>9</v>
      </c>
      <c r="AR11" s="33">
        <f t="shared" si="7"/>
        <v>24</v>
      </c>
      <c r="AS11" s="82" t="s">
        <v>123</v>
      </c>
      <c r="AT11" s="83" t="s">
        <v>95</v>
      </c>
      <c r="AU11" s="1">
        <v>7</v>
      </c>
      <c r="AV11" s="1">
        <v>11</v>
      </c>
      <c r="AW11" s="1">
        <v>10</v>
      </c>
      <c r="AX11" s="33">
        <f t="shared" si="8"/>
        <v>28</v>
      </c>
      <c r="AZ11" s="1">
        <v>4</v>
      </c>
      <c r="BC11" s="83" t="s">
        <v>95</v>
      </c>
      <c r="BD11" s="33">
        <f t="shared" si="2"/>
        <v>4</v>
      </c>
    </row>
    <row r="12" spans="1:56" x14ac:dyDescent="0.25">
      <c r="A12" s="41" t="s">
        <v>5</v>
      </c>
      <c r="B12" s="43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G12" s="11">
        <v>44</v>
      </c>
      <c r="AH12" s="1">
        <v>35</v>
      </c>
      <c r="AI12" s="1">
        <v>56</v>
      </c>
      <c r="AJ12" s="1">
        <v>39</v>
      </c>
      <c r="AK12" s="63">
        <v>27</v>
      </c>
      <c r="AL12" s="33">
        <f t="shared" si="6"/>
        <v>201</v>
      </c>
      <c r="AM12" s="39"/>
      <c r="AN12" s="39"/>
      <c r="AO12" s="1">
        <v>64</v>
      </c>
      <c r="AP12" s="1">
        <v>41</v>
      </c>
      <c r="AQ12" s="63">
        <v>61</v>
      </c>
      <c r="AR12" s="33">
        <f t="shared" si="7"/>
        <v>166</v>
      </c>
      <c r="AS12" s="82" t="s">
        <v>123</v>
      </c>
      <c r="AT12" s="83" t="s">
        <v>95</v>
      </c>
      <c r="AU12" s="1">
        <v>38</v>
      </c>
      <c r="AV12" s="1">
        <v>73</v>
      </c>
      <c r="AW12" s="1">
        <v>53</v>
      </c>
      <c r="AX12" s="33">
        <f t="shared" si="8"/>
        <v>164</v>
      </c>
      <c r="AZ12" s="1">
        <v>28</v>
      </c>
      <c r="BC12" s="83" t="s">
        <v>95</v>
      </c>
      <c r="BD12" s="33">
        <f t="shared" si="2"/>
        <v>28</v>
      </c>
    </row>
    <row r="13" spans="1:56" x14ac:dyDescent="0.25">
      <c r="A13" s="40" t="s">
        <v>8</v>
      </c>
      <c r="B13" s="44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G13" s="11"/>
      <c r="AI13" s="1">
        <v>1</v>
      </c>
      <c r="AJ13" s="1">
        <v>1</v>
      </c>
      <c r="AK13" s="63"/>
      <c r="AL13" s="33">
        <f t="shared" si="6"/>
        <v>2</v>
      </c>
      <c r="AM13" s="39"/>
      <c r="AN13" s="39"/>
      <c r="AQ13" s="63"/>
      <c r="AR13" s="33">
        <f t="shared" si="7"/>
        <v>0</v>
      </c>
      <c r="AS13" s="82" t="s">
        <v>123</v>
      </c>
      <c r="AT13" s="83" t="s">
        <v>95</v>
      </c>
      <c r="AX13" s="33">
        <f t="shared" si="8"/>
        <v>0</v>
      </c>
      <c r="BC13" s="83" t="s">
        <v>95</v>
      </c>
      <c r="BD13" s="33">
        <f t="shared" si="2"/>
        <v>0</v>
      </c>
    </row>
    <row r="14" spans="1:56" x14ac:dyDescent="0.25">
      <c r="A14" s="41" t="s">
        <v>6</v>
      </c>
      <c r="B14" s="43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G14" s="11"/>
      <c r="AK14" s="63"/>
      <c r="AL14" s="33">
        <f t="shared" si="6"/>
        <v>0</v>
      </c>
      <c r="AM14" s="39"/>
      <c r="AN14" s="39"/>
      <c r="AQ14" s="63"/>
      <c r="AR14" s="33">
        <f t="shared" si="7"/>
        <v>0</v>
      </c>
      <c r="AS14" s="82" t="s">
        <v>123</v>
      </c>
      <c r="AT14" s="83" t="s">
        <v>95</v>
      </c>
      <c r="AX14" s="33">
        <f t="shared" si="8"/>
        <v>0</v>
      </c>
      <c r="BC14" s="83" t="s">
        <v>95</v>
      </c>
      <c r="BD14" s="33">
        <f t="shared" si="2"/>
        <v>0</v>
      </c>
    </row>
    <row r="15" spans="1:56" x14ac:dyDescent="0.25">
      <c r="A15" s="40" t="s">
        <v>7</v>
      </c>
      <c r="B15" s="43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G15" s="11"/>
      <c r="AK15" s="63"/>
      <c r="AL15" s="33">
        <f t="shared" si="6"/>
        <v>0</v>
      </c>
      <c r="AM15" s="39"/>
      <c r="AN15" s="39"/>
      <c r="AQ15" s="63"/>
      <c r="AR15" s="33">
        <f t="shared" si="7"/>
        <v>0</v>
      </c>
      <c r="AS15" s="82" t="s">
        <v>123</v>
      </c>
      <c r="AT15" s="83" t="s">
        <v>95</v>
      </c>
      <c r="AX15" s="33">
        <f t="shared" si="8"/>
        <v>0</v>
      </c>
      <c r="BC15" s="83" t="s">
        <v>95</v>
      </c>
      <c r="BD15" s="33">
        <f t="shared" si="2"/>
        <v>0</v>
      </c>
    </row>
    <row r="16" spans="1:56" x14ac:dyDescent="0.25">
      <c r="A16" s="2" t="s">
        <v>14</v>
      </c>
      <c r="B16" s="37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G16" s="11"/>
      <c r="AK16" s="63"/>
      <c r="AL16" s="33">
        <f t="shared" si="6"/>
        <v>0</v>
      </c>
      <c r="AM16" s="39"/>
      <c r="AN16" s="39"/>
      <c r="AQ16" s="63"/>
      <c r="AR16" s="33">
        <f t="shared" si="7"/>
        <v>0</v>
      </c>
      <c r="AS16" s="82" t="s">
        <v>123</v>
      </c>
      <c r="AT16" s="83" t="s">
        <v>95</v>
      </c>
      <c r="AX16" s="33">
        <f t="shared" si="8"/>
        <v>0</v>
      </c>
      <c r="BB16" s="1">
        <v>6</v>
      </c>
      <c r="BC16" s="83" t="s">
        <v>95</v>
      </c>
      <c r="BD16" s="33">
        <f t="shared" si="2"/>
        <v>6</v>
      </c>
    </row>
    <row r="17" spans="1:56" x14ac:dyDescent="0.25">
      <c r="A17" s="15" t="s">
        <v>39</v>
      </c>
      <c r="B17" s="38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2"/>
      <c r="AH17" s="13"/>
      <c r="AI17" s="13"/>
      <c r="AJ17" s="13"/>
      <c r="AK17" s="64"/>
      <c r="AL17" s="34">
        <f>SUM(AG17:AK17)</f>
        <v>0</v>
      </c>
      <c r="AM17" s="68"/>
      <c r="AN17" s="68"/>
      <c r="AO17" s="13"/>
      <c r="AP17" s="13"/>
      <c r="AQ17" s="64"/>
      <c r="AR17" s="34">
        <f>SUM(AM17:AQ17)</f>
        <v>0</v>
      </c>
      <c r="AS17" s="84" t="s">
        <v>123</v>
      </c>
      <c r="AT17" s="84" t="s">
        <v>95</v>
      </c>
      <c r="AU17" s="13"/>
      <c r="AV17" s="13"/>
      <c r="AW17" s="13"/>
      <c r="AX17" s="34">
        <f>SUM(AS17:AW17)</f>
        <v>0</v>
      </c>
      <c r="AY17" s="13"/>
      <c r="AZ17" s="13"/>
      <c r="BA17" s="13"/>
      <c r="BB17" s="13"/>
      <c r="BC17" s="84" t="s">
        <v>95</v>
      </c>
      <c r="BD17" s="34">
        <f t="shared" si="2"/>
        <v>0</v>
      </c>
    </row>
    <row r="18" spans="1:56" ht="227.25" customHeight="1" x14ac:dyDescent="0.25">
      <c r="A18" s="1" t="s">
        <v>11</v>
      </c>
      <c r="C18" s="62" t="s">
        <v>58</v>
      </c>
      <c r="D18" s="62" t="s">
        <v>59</v>
      </c>
      <c r="E18" s="62" t="s">
        <v>59</v>
      </c>
      <c r="F18" s="62" t="s">
        <v>59</v>
      </c>
      <c r="G18" s="62" t="s">
        <v>59</v>
      </c>
      <c r="I18" s="62" t="s">
        <v>59</v>
      </c>
      <c r="J18" s="62" t="s">
        <v>59</v>
      </c>
      <c r="K18" s="62" t="s">
        <v>59</v>
      </c>
      <c r="L18" s="62" t="s">
        <v>59</v>
      </c>
      <c r="M18" s="62" t="s">
        <v>70</v>
      </c>
      <c r="N18" s="62"/>
      <c r="O18" s="62"/>
      <c r="P18" s="62"/>
      <c r="Q18" s="62"/>
      <c r="R18" s="62"/>
      <c r="S18" s="62"/>
      <c r="U18" s="62" t="s">
        <v>58</v>
      </c>
      <c r="V18" s="62" t="s">
        <v>59</v>
      </c>
      <c r="W18" s="62" t="s">
        <v>59</v>
      </c>
      <c r="X18" s="62" t="s">
        <v>59</v>
      </c>
      <c r="Y18" s="62"/>
      <c r="AA18" s="62" t="s">
        <v>58</v>
      </c>
      <c r="AB18" s="62" t="s">
        <v>91</v>
      </c>
      <c r="AC18" s="62" t="s">
        <v>91</v>
      </c>
      <c r="AD18" s="62" t="s">
        <v>91</v>
      </c>
      <c r="AE18" s="62"/>
      <c r="AG18" s="4" t="s">
        <v>105</v>
      </c>
      <c r="AH18" s="62" t="s">
        <v>58</v>
      </c>
      <c r="AI18" s="4" t="s">
        <v>105</v>
      </c>
      <c r="AJ18" s="62"/>
      <c r="AK18" s="62" t="s">
        <v>91</v>
      </c>
      <c r="AL18" s="62"/>
      <c r="AM18" s="62" t="s">
        <v>58</v>
      </c>
      <c r="AN18" s="62" t="s">
        <v>91</v>
      </c>
      <c r="AQ18" s="62"/>
      <c r="AT18" s="62"/>
      <c r="AU18" s="62"/>
      <c r="AV18" s="62"/>
      <c r="AY18" s="62" t="s">
        <v>58</v>
      </c>
      <c r="BA18" s="4" t="s">
        <v>138</v>
      </c>
      <c r="BB18" s="4" t="s">
        <v>139</v>
      </c>
    </row>
    <row r="19" spans="1:56" x14ac:dyDescent="0.25">
      <c r="A19" s="1" t="s">
        <v>10</v>
      </c>
    </row>
  </sheetData>
  <customSheetViews>
    <customSheetView guid="{86039CF8-B158-4D70-9A6F-A10C29CBD68A}">
      <selection activeCell="B6" sqref="B6"/>
      <pageMargins left="0.511811024" right="0.511811024" top="0.78740157499999996" bottom="0.78740157499999996" header="0.31496062000000002" footer="0.31496062000000002"/>
    </customSheetView>
    <customSheetView guid="{B3CDE377-BA5D-4E06-91D9-3A48E1959BA5}" topLeftCell="AR7">
      <selection activeCell="AU18" sqref="AU18"/>
      <pageMargins left="0.511811024" right="0.511811024" top="0.78740157499999996" bottom="0.78740157499999996" header="0.31496062000000002" footer="0.31496062000000002"/>
    </customSheetView>
    <customSheetView guid="{E3841903-5B68-44FD-8F09-58E03D1025C5}" scale="85">
      <selection activeCell="M17" sqref="M17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X1" activePane="topRight" state="frozen"/>
      <selection pane="topRight" activeCell="H19" sqref="H19"/>
      <pageMargins left="0.511811024" right="0.511811024" top="0.78740157499999996" bottom="0.78740157499999996" header="0.31496062000000002" footer="0.31496062000000002"/>
      <pageSetup paperSize="9" orientation="portrait" r:id="rId1"/>
      <autoFilter ref="A1:A19" xr:uid="{108D0074-E7BC-493B-86D9-7F0040224AC4}"/>
    </customSheetView>
    <customSheetView guid="{20CB6D8F-C24D-4D4B-A424-AF380F620455}">
      <selection activeCell="C17" sqref="C17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S1" activePane="topRight" state="frozen"/>
      <selection pane="topRight" activeCell="BB17" sqref="BB17"/>
      <pageMargins left="0.511811024" right="0.511811024" top="0.78740157499999996" bottom="0.78740157499999996" header="0.31496062000000002" footer="0.31496062000000002"/>
      <pageSetup paperSize="9" orientation="portrait" r:id="rId2"/>
    </customSheetView>
  </customSheetView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D19"/>
  <sheetViews>
    <sheetView topLeftCell="AK1" zoomScaleNormal="85" workbookViewId="0">
      <selection activeCell="C1" sqref="C1:AZ17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4.140625" style="1" customWidth="1"/>
    <col min="15" max="19" width="9.140625" style="1"/>
    <col min="20" max="20" width="13.7109375" style="1" customWidth="1"/>
    <col min="21" max="25" width="9.140625" style="1"/>
    <col min="26" max="26" width="14.28515625" style="1" customWidth="1"/>
    <col min="27" max="31" width="9.140625" style="1"/>
    <col min="32" max="32" width="15.42578125" style="1" customWidth="1"/>
    <col min="33" max="37" width="9.140625" style="1"/>
    <col min="38" max="38" width="16" style="1" customWidth="1"/>
    <col min="39" max="39" width="10.28515625" style="1" customWidth="1"/>
    <col min="40" max="40" width="10.140625" style="1" customWidth="1"/>
    <col min="41" max="43" width="9.140625" style="1"/>
    <col min="44" max="44" width="14.28515625" style="1" customWidth="1"/>
    <col min="45" max="49" width="9.140625" style="1"/>
    <col min="50" max="50" width="13.85546875" style="1" customWidth="1"/>
    <col min="51" max="16384" width="9.140625" style="1"/>
  </cols>
  <sheetData>
    <row r="1" spans="1:56" x14ac:dyDescent="0.25">
      <c r="A1" s="14" t="s">
        <v>9</v>
      </c>
      <c r="B1" s="42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9">
        <v>46136</v>
      </c>
      <c r="AX1" s="10" t="s">
        <v>15</v>
      </c>
      <c r="AY1" s="69">
        <v>46139</v>
      </c>
      <c r="AZ1" s="69">
        <v>46140</v>
      </c>
      <c r="BA1" s="69">
        <v>46141</v>
      </c>
      <c r="BB1" s="69">
        <v>46142</v>
      </c>
      <c r="BC1" s="69">
        <v>46143</v>
      </c>
      <c r="BD1" s="10" t="s">
        <v>15</v>
      </c>
    </row>
    <row r="2" spans="1:56" x14ac:dyDescent="0.25">
      <c r="A2" s="40" t="s">
        <v>18</v>
      </c>
      <c r="B2" s="43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86" t="s">
        <v>123</v>
      </c>
      <c r="AT2" s="39" t="s">
        <v>95</v>
      </c>
      <c r="AX2" s="33">
        <f>SUM(AS2:AW2)</f>
        <v>0</v>
      </c>
      <c r="BC2" s="39" t="s">
        <v>95</v>
      </c>
      <c r="BD2" s="33">
        <f t="shared" ref="BD2:BD17" si="2">SUM(AY2:BC2)</f>
        <v>0</v>
      </c>
    </row>
    <row r="3" spans="1:56" x14ac:dyDescent="0.25">
      <c r="A3" s="40" t="s">
        <v>0</v>
      </c>
      <c r="B3" s="43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S3" s="39" t="s">
        <v>123</v>
      </c>
      <c r="AT3" s="39" t="s">
        <v>95</v>
      </c>
      <c r="AX3" s="33">
        <f t="shared" ref="AX3:AX16" si="8">SUM(AS3:AW3)</f>
        <v>0</v>
      </c>
      <c r="BC3" s="39" t="s">
        <v>95</v>
      </c>
      <c r="BD3" s="33">
        <f t="shared" si="2"/>
        <v>0</v>
      </c>
    </row>
    <row r="4" spans="1:56" x14ac:dyDescent="0.25">
      <c r="A4" s="41" t="s">
        <v>17</v>
      </c>
      <c r="B4" s="44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S4" s="39" t="s">
        <v>123</v>
      </c>
      <c r="AT4" s="39" t="s">
        <v>95</v>
      </c>
      <c r="AX4" s="33">
        <f t="shared" si="8"/>
        <v>0</v>
      </c>
      <c r="BC4" s="39" t="s">
        <v>95</v>
      </c>
      <c r="BD4" s="33">
        <f t="shared" si="2"/>
        <v>0</v>
      </c>
    </row>
    <row r="5" spans="1:56" x14ac:dyDescent="0.25">
      <c r="A5" s="41" t="s">
        <v>16</v>
      </c>
      <c r="B5" s="43">
        <v>4</v>
      </c>
      <c r="H5" s="33">
        <f t="shared" si="3"/>
        <v>0</v>
      </c>
      <c r="L5" s="39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S5" s="39" t="s">
        <v>123</v>
      </c>
      <c r="AT5" s="39" t="s">
        <v>95</v>
      </c>
      <c r="AX5" s="33">
        <f t="shared" si="8"/>
        <v>0</v>
      </c>
      <c r="BC5" s="39" t="s">
        <v>95</v>
      </c>
      <c r="BD5" s="33">
        <f t="shared" si="2"/>
        <v>0</v>
      </c>
    </row>
    <row r="6" spans="1:56" x14ac:dyDescent="0.25">
      <c r="A6" s="41" t="s">
        <v>1</v>
      </c>
      <c r="B6" s="43">
        <v>5</v>
      </c>
      <c r="H6" s="33">
        <f t="shared" si="3"/>
        <v>0</v>
      </c>
      <c r="L6" s="39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S6" s="39" t="s">
        <v>123</v>
      </c>
      <c r="AT6" s="39" t="s">
        <v>95</v>
      </c>
      <c r="AX6" s="33">
        <f t="shared" si="8"/>
        <v>0</v>
      </c>
      <c r="BC6" s="39" t="s">
        <v>95</v>
      </c>
      <c r="BD6" s="33">
        <f t="shared" si="2"/>
        <v>0</v>
      </c>
    </row>
    <row r="7" spans="1:56" x14ac:dyDescent="0.25">
      <c r="A7" s="41" t="s">
        <v>2</v>
      </c>
      <c r="B7" s="44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S7" s="39" t="s">
        <v>123</v>
      </c>
      <c r="AT7" s="39" t="s">
        <v>95</v>
      </c>
      <c r="AX7" s="33">
        <f t="shared" si="8"/>
        <v>0</v>
      </c>
      <c r="BC7" s="39" t="s">
        <v>95</v>
      </c>
      <c r="BD7" s="33">
        <f t="shared" si="2"/>
        <v>0</v>
      </c>
    </row>
    <row r="8" spans="1:56" x14ac:dyDescent="0.25">
      <c r="A8" s="41" t="s">
        <v>3</v>
      </c>
      <c r="B8" s="43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S8" s="39" t="s">
        <v>123</v>
      </c>
      <c r="AT8" s="39" t="s">
        <v>95</v>
      </c>
      <c r="AX8" s="33">
        <f t="shared" si="8"/>
        <v>0</v>
      </c>
      <c r="BC8" s="39" t="s">
        <v>95</v>
      </c>
      <c r="BD8" s="33">
        <f t="shared" si="2"/>
        <v>0</v>
      </c>
    </row>
    <row r="9" spans="1:56" x14ac:dyDescent="0.25">
      <c r="A9" s="41" t="s">
        <v>13</v>
      </c>
      <c r="B9" s="43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S9" s="39" t="s">
        <v>123</v>
      </c>
      <c r="AT9" s="39" t="s">
        <v>95</v>
      </c>
      <c r="AX9" s="33">
        <f t="shared" si="8"/>
        <v>0</v>
      </c>
      <c r="BC9" s="39" t="s">
        <v>95</v>
      </c>
      <c r="BD9" s="33">
        <f t="shared" si="2"/>
        <v>0</v>
      </c>
    </row>
    <row r="10" spans="1:56" x14ac:dyDescent="0.25">
      <c r="A10" s="40" t="s">
        <v>12</v>
      </c>
      <c r="B10" s="44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S10" s="39" t="s">
        <v>123</v>
      </c>
      <c r="AT10" s="39" t="s">
        <v>95</v>
      </c>
      <c r="AX10" s="33">
        <f t="shared" si="8"/>
        <v>0</v>
      </c>
      <c r="BC10" s="39" t="s">
        <v>95</v>
      </c>
      <c r="BD10" s="33">
        <f t="shared" si="2"/>
        <v>0</v>
      </c>
    </row>
    <row r="11" spans="1:56" x14ac:dyDescent="0.25">
      <c r="A11" s="41" t="s">
        <v>4</v>
      </c>
      <c r="B11" s="43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D11" s="1">
        <v>3</v>
      </c>
      <c r="AF11" s="33">
        <f t="shared" si="5"/>
        <v>3</v>
      </c>
      <c r="AG11" s="1">
        <v>3</v>
      </c>
      <c r="AH11" s="1">
        <v>4</v>
      </c>
      <c r="AI11" s="1">
        <v>6</v>
      </c>
      <c r="AK11" s="1">
        <v>2</v>
      </c>
      <c r="AL11" s="33">
        <f t="shared" si="6"/>
        <v>15</v>
      </c>
      <c r="AM11" s="1">
        <v>5</v>
      </c>
      <c r="AN11" s="1">
        <v>3</v>
      </c>
      <c r="AO11" s="1">
        <v>3</v>
      </c>
      <c r="AP11" s="1">
        <v>5</v>
      </c>
      <c r="AQ11" s="1">
        <v>4</v>
      </c>
      <c r="AR11" s="33">
        <f t="shared" si="7"/>
        <v>20</v>
      </c>
      <c r="AS11" s="39" t="s">
        <v>123</v>
      </c>
      <c r="AT11" s="39" t="s">
        <v>95</v>
      </c>
      <c r="AU11" s="1">
        <v>4</v>
      </c>
      <c r="AV11" s="1">
        <v>4</v>
      </c>
      <c r="AW11" s="1">
        <v>3</v>
      </c>
      <c r="AX11" s="33">
        <f t="shared" si="8"/>
        <v>11</v>
      </c>
      <c r="AY11" s="1">
        <v>6</v>
      </c>
      <c r="AZ11" s="1">
        <v>5</v>
      </c>
      <c r="BA11" s="1">
        <v>5</v>
      </c>
      <c r="BB11" s="1">
        <v>2</v>
      </c>
      <c r="BC11" s="39" t="s">
        <v>95</v>
      </c>
      <c r="BD11" s="33">
        <f t="shared" si="2"/>
        <v>18</v>
      </c>
    </row>
    <row r="12" spans="1:56" x14ac:dyDescent="0.25">
      <c r="A12" s="41" t="s">
        <v>5</v>
      </c>
      <c r="B12" s="43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D12" s="1">
        <v>17</v>
      </c>
      <c r="AF12" s="33">
        <f t="shared" si="5"/>
        <v>17</v>
      </c>
      <c r="AG12" s="1">
        <v>13</v>
      </c>
      <c r="AH12" s="1">
        <v>26</v>
      </c>
      <c r="AI12" s="1">
        <v>25</v>
      </c>
      <c r="AK12" s="1">
        <v>20</v>
      </c>
      <c r="AL12" s="33">
        <f t="shared" si="6"/>
        <v>84</v>
      </c>
      <c r="AM12" s="1">
        <v>34</v>
      </c>
      <c r="AN12" s="1">
        <v>22</v>
      </c>
      <c r="AO12" s="1">
        <v>16</v>
      </c>
      <c r="AP12" s="1">
        <v>42</v>
      </c>
      <c r="AQ12" s="1">
        <v>25</v>
      </c>
      <c r="AR12" s="33">
        <f t="shared" si="7"/>
        <v>139</v>
      </c>
      <c r="AS12" s="39" t="s">
        <v>123</v>
      </c>
      <c r="AT12" s="39" t="s">
        <v>95</v>
      </c>
      <c r="AU12" s="1">
        <v>27</v>
      </c>
      <c r="AV12" s="1">
        <v>28</v>
      </c>
      <c r="AW12" s="1">
        <v>22</v>
      </c>
      <c r="AX12" s="33">
        <f t="shared" si="8"/>
        <v>77</v>
      </c>
      <c r="AY12" s="1">
        <v>33</v>
      </c>
      <c r="AZ12" s="1">
        <v>26</v>
      </c>
      <c r="BA12" s="1">
        <v>25</v>
      </c>
      <c r="BB12" s="1">
        <v>23</v>
      </c>
      <c r="BC12" s="39" t="s">
        <v>95</v>
      </c>
      <c r="BD12" s="33">
        <f t="shared" si="2"/>
        <v>107</v>
      </c>
    </row>
    <row r="13" spans="1:56" ht="18.75" customHeight="1" x14ac:dyDescent="0.25">
      <c r="A13" s="40" t="s">
        <v>8</v>
      </c>
      <c r="B13" s="44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S13" s="39" t="s">
        <v>123</v>
      </c>
      <c r="AT13" s="39" t="s">
        <v>95</v>
      </c>
      <c r="AX13" s="33">
        <f t="shared" si="8"/>
        <v>0</v>
      </c>
      <c r="BC13" s="39" t="s">
        <v>95</v>
      </c>
      <c r="BD13" s="33">
        <f t="shared" si="2"/>
        <v>0</v>
      </c>
    </row>
    <row r="14" spans="1:56" x14ac:dyDescent="0.25">
      <c r="A14" s="41" t="s">
        <v>6</v>
      </c>
      <c r="B14" s="43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S14" s="39" t="s">
        <v>123</v>
      </c>
      <c r="AT14" s="39" t="s">
        <v>95</v>
      </c>
      <c r="AX14" s="33">
        <f t="shared" si="8"/>
        <v>0</v>
      </c>
      <c r="BC14" s="39" t="s">
        <v>95</v>
      </c>
      <c r="BD14" s="33">
        <f t="shared" si="2"/>
        <v>0</v>
      </c>
    </row>
    <row r="15" spans="1:56" x14ac:dyDescent="0.25">
      <c r="A15" s="40" t="s">
        <v>7</v>
      </c>
      <c r="B15" s="43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S15" s="39" t="s">
        <v>123</v>
      </c>
      <c r="AT15" s="39" t="s">
        <v>95</v>
      </c>
      <c r="AX15" s="33">
        <f t="shared" si="8"/>
        <v>0</v>
      </c>
      <c r="BC15" s="39" t="s">
        <v>95</v>
      </c>
      <c r="BD15" s="33">
        <f t="shared" si="2"/>
        <v>0</v>
      </c>
    </row>
    <row r="16" spans="1:56" x14ac:dyDescent="0.25">
      <c r="A16" s="40" t="s">
        <v>14</v>
      </c>
      <c r="B16" s="37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S16" s="39" t="s">
        <v>123</v>
      </c>
      <c r="AT16" s="39" t="s">
        <v>95</v>
      </c>
      <c r="AX16" s="33">
        <f t="shared" si="8"/>
        <v>0</v>
      </c>
      <c r="BC16" s="39" t="s">
        <v>95</v>
      </c>
      <c r="BD16" s="33">
        <f t="shared" si="2"/>
        <v>0</v>
      </c>
    </row>
    <row r="17" spans="1:56" x14ac:dyDescent="0.25">
      <c r="A17" s="15" t="s">
        <v>39</v>
      </c>
      <c r="B17" s="38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68" t="s">
        <v>123</v>
      </c>
      <c r="AT17" s="68" t="s">
        <v>95</v>
      </c>
      <c r="AU17" s="13"/>
      <c r="AV17" s="13"/>
      <c r="AW17" s="13"/>
      <c r="AX17" s="34">
        <f>SUM(AS17:AW17)</f>
        <v>0</v>
      </c>
      <c r="AY17" s="13"/>
      <c r="AZ17" s="13"/>
      <c r="BA17" s="13"/>
      <c r="BB17" s="13"/>
      <c r="BC17" s="68" t="s">
        <v>95</v>
      </c>
      <c r="BD17" s="34">
        <f t="shared" si="2"/>
        <v>0</v>
      </c>
    </row>
    <row r="18" spans="1:56" x14ac:dyDescent="0.25">
      <c r="A18" s="1" t="s">
        <v>11</v>
      </c>
    </row>
    <row r="19" spans="1:56" x14ac:dyDescent="0.25">
      <c r="A19" s="1" t="s">
        <v>10</v>
      </c>
    </row>
  </sheetData>
  <customSheetViews>
    <customSheetView guid="{86039CF8-B158-4D70-9A6F-A10C29CBD68A}" topLeftCell="AK1">
      <selection activeCell="C1" sqref="C1:AZ17"/>
      <pageMargins left="0.511811024" right="0.511811024" top="0.78740157499999996" bottom="0.78740157499999996" header="0.31496062000000002" footer="0.31496062000000002"/>
    </customSheetView>
    <customSheetView guid="{B3CDE377-BA5D-4E06-91D9-3A48E1959BA5}" scale="85">
      <pane xSplit="1" topLeftCell="AP1" activePane="topRight" state="frozen"/>
      <selection pane="topRight" activeCell="A16" sqref="A16:XFD16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8" sqref="A8:XFD8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1" sqref="B1"/>
      <pageMargins left="0.511811024" right="0.511811024" top="0.78740157499999996" bottom="0.78740157499999996" header="0.31496062000000002" footer="0.31496062000000002"/>
    </customSheetView>
    <customSheetView guid="{C69767F5-CD39-44C1-AD4B-CE19DC8285A6}">
      <pane xSplit="1" topLeftCell="U1" activePane="topRight" state="frozen"/>
      <selection pane="topRight" activeCell="AE10" sqref="AE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8" sqref="C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H1" activePane="topRight" state="frozen"/>
      <selection pane="topRight" activeCell="A11" sqref="A11"/>
      <pageMargins left="0.511811024" right="0.511811024" top="0.78740157499999996" bottom="0.78740157499999996" header="0.31496062000000002" footer="0.31496062000000002"/>
      <autoFilter ref="A1:A19" xr:uid="{DB808372-E33D-4602-9999-31B0330257E3}"/>
    </customSheetView>
    <customSheetView guid="{20CB6D8F-C24D-4D4B-A424-AF380F620455}" showPageBreaks="1">
      <selection activeCell="L10" sqref="L10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3D987F8E-A6EA-454D-9537-6BFC5053CB00}" scale="85">
      <pane xSplit="1" topLeftCell="AJ1" activePane="topRight" state="frozen"/>
      <selection pane="topRight" activeCell="AS2" sqref="AS2:AT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:L15"/>
  <sheetViews>
    <sheetView workbookViewId="0">
      <selection activeCell="L15" sqref="L15"/>
    </sheetView>
  </sheetViews>
  <sheetFormatPr defaultRowHeight="15" x14ac:dyDescent="0.25"/>
  <sheetData>
    <row r="1" spans="12:12" x14ac:dyDescent="0.25">
      <c r="L1" s="20"/>
    </row>
    <row r="2" spans="12:12" x14ac:dyDescent="0.25">
      <c r="L2" s="20"/>
    </row>
    <row r="3" spans="12:12" x14ac:dyDescent="0.25">
      <c r="L3" s="20"/>
    </row>
    <row r="4" spans="12:12" x14ac:dyDescent="0.25">
      <c r="L4" s="20"/>
    </row>
    <row r="5" spans="12:12" x14ac:dyDescent="0.25">
      <c r="L5" s="20"/>
    </row>
    <row r="6" spans="12:12" x14ac:dyDescent="0.25">
      <c r="L6" s="20"/>
    </row>
    <row r="7" spans="12:12" x14ac:dyDescent="0.25">
      <c r="L7" s="20"/>
    </row>
    <row r="8" spans="12:12" x14ac:dyDescent="0.25">
      <c r="L8" s="20"/>
    </row>
    <row r="9" spans="12:12" x14ac:dyDescent="0.25">
      <c r="L9" s="20"/>
    </row>
    <row r="10" spans="12:12" x14ac:dyDescent="0.25">
      <c r="L10" s="20"/>
    </row>
    <row r="11" spans="12:12" x14ac:dyDescent="0.25">
      <c r="L11" s="20"/>
    </row>
    <row r="12" spans="12:12" x14ac:dyDescent="0.25">
      <c r="L12" s="20"/>
    </row>
    <row r="13" spans="12:12" x14ac:dyDescent="0.25">
      <c r="L13" s="20"/>
    </row>
    <row r="14" spans="12:12" x14ac:dyDescent="0.25">
      <c r="L14" s="20"/>
    </row>
    <row r="15" spans="12:12" x14ac:dyDescent="0.25">
      <c r="L15" s="20"/>
    </row>
  </sheetData>
  <customSheetViews>
    <customSheetView guid="{86039CF8-B158-4D70-9A6F-A10C29CBD68A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B3CDE377-BA5D-4E06-91D9-3A48E1959BA5}">
      <selection activeCell="L15" sqref="L15"/>
      <pageMargins left="0.511811024" right="0.511811024" top="0.78740157499999996" bottom="0.78740157499999996" header="0.31496062000000002" footer="0.31496062000000002"/>
    </customSheetView>
    <customSheetView guid="{E3841903-5B68-44FD-8F09-58E03D1025C5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18A482E0-C8B6-4AA1-9E04-15FA7C9CD5E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9B623083-AA7B-440B-95EA-C33E1AB3D96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D4" sqref="D4"/>
      <pageMargins left="0.511811024" right="0.511811024" top="0.78740157499999996" bottom="0.78740157499999996" header="0.31496062000000002" footer="0.31496062000000002"/>
    </customSheetView>
    <customSheetView guid="{3D987F8E-A6EA-454D-9537-6BFC5053CB00}" state="hidden">
      <selection activeCell="L15" sqref="L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GLOSSÁRIO</vt:lpstr>
      <vt:lpstr>Patrícia</vt:lpstr>
      <vt:lpstr>Leonardo</vt:lpstr>
      <vt:lpstr>TOTAL</vt:lpstr>
      <vt:lpstr>Diego</vt:lpstr>
      <vt:lpstr>Aelton</vt:lpstr>
      <vt:lpstr>Leonam</vt:lpstr>
      <vt:lpstr>Danilo</vt:lpstr>
      <vt:lpstr>Marcos</vt:lpstr>
      <vt:lpstr>Alessandro</vt:lpstr>
      <vt:lpstr>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 Saboia Fonseca</dc:creator>
  <cp:lastModifiedBy>Aelton de Jesus Nunes</cp:lastModifiedBy>
  <dcterms:created xsi:type="dcterms:W3CDTF">2025-02-20T15:04:38Z</dcterms:created>
  <dcterms:modified xsi:type="dcterms:W3CDTF">2026-05-11T12:38:36Z</dcterms:modified>
</cp:coreProperties>
</file>
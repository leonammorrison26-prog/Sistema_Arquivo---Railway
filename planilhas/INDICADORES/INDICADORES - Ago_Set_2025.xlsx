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117.xml" ContentType="application/vnd.openxmlformats-officedocument.spreadsheetml.revisionLog+xml"/>
  <Override PartName="/xl/revisions/revisionLog245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172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214.xml" ContentType="application/vnd.openxmlformats-officedocument.spreadsheetml.revisionLog+xml"/>
  <Override PartName="/xl/revisions/revisionLog235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260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162.xml" ContentType="application/vnd.openxmlformats-officedocument.spreadsheetml.revisionLog+xml"/>
  <Override PartName="/xl/revisions/revisionLog183.xml" ContentType="application/vnd.openxmlformats-officedocument.spreadsheetml.revisionLog+xml"/>
  <Override PartName="/xl/revisions/revisionLog204.xml" ContentType="application/vnd.openxmlformats-officedocument.spreadsheetml.revisionLog+xml"/>
  <Override PartName="/xl/revisions/revisionLog225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236.xml" ContentType="application/vnd.openxmlformats-officedocument.spreadsheetml.revisionLog+xml"/>
  <Override PartName="/xl/revisions/revisionLog250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152.xml" ContentType="application/vnd.openxmlformats-officedocument.spreadsheetml.revisionLog+xml"/>
  <Override PartName="/xl/revisions/revisionLog173.xml" ContentType="application/vnd.openxmlformats-officedocument.spreadsheetml.revisionLog+xml"/>
  <Override PartName="/xl/revisions/revisionLog194.xml" ContentType="application/vnd.openxmlformats-officedocument.spreadsheetml.revisionLog+xml"/>
  <Override PartName="/xl/revisions/revisionLog215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226.xml" ContentType="application/vnd.openxmlformats-officedocument.spreadsheetml.revisionLog+xml"/>
  <Override PartName="/xl/revisions/revisionLog261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163.xml" ContentType="application/vnd.openxmlformats-officedocument.spreadsheetml.revisionLog+xml"/>
  <Override PartName="/xl/revisions/revisionLog184.xml" ContentType="application/vnd.openxmlformats-officedocument.spreadsheetml.revisionLog+xml"/>
  <Override PartName="/xl/revisions/revisionLog205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216.xml" ContentType="application/vnd.openxmlformats-officedocument.spreadsheetml.revisionLog+xml"/>
  <Override PartName="/xl/revisions/revisionLog237.xml" ContentType="application/vnd.openxmlformats-officedocument.spreadsheetml.revisionLog+xml"/>
  <Override PartName="/xl/revisions/revisionLog251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153.xml" ContentType="application/vnd.openxmlformats-officedocument.spreadsheetml.revisionLog+xml"/>
  <Override PartName="/xl/revisions/revisionLog174.xml" ContentType="application/vnd.openxmlformats-officedocument.spreadsheetml.revisionLog+xml"/>
  <Override PartName="/xl/revisions/revisionLog195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206.xml" ContentType="application/vnd.openxmlformats-officedocument.spreadsheetml.revisionLog+xml"/>
  <Override PartName="/xl/revisions/revisionLog227.xml" ContentType="application/vnd.openxmlformats-officedocument.spreadsheetml.revisionLog+xml"/>
  <Override PartName="/xl/revisions/revisionLog262.xml" ContentType="application/vnd.openxmlformats-officedocument.spreadsheetml.revisionLog+xml"/>
  <Override PartName="/xl/revisions/revisionLog140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164.xml" ContentType="application/vnd.openxmlformats-officedocument.spreadsheetml.revisionLog+xml"/>
  <Override PartName="/xl/revisions/revisionLog185.xml" ContentType="application/vnd.openxmlformats-officedocument.spreadsheetml.revisionLog+xml"/>
  <Override PartName="/xl/revisions/revisionLog196.xml" ContentType="application/vnd.openxmlformats-officedocument.spreadsheetml.revisionLog+xml"/>
  <Override PartName="/xl/revisions/revisionLog217.xml" ContentType="application/vnd.openxmlformats-officedocument.spreadsheetml.revisionLog+xml"/>
  <Override PartName="/xl/revisions/revisionLog238.xml" ContentType="application/vnd.openxmlformats-officedocument.spreadsheetml.revisionLog+xml"/>
  <Override PartName="/xl/revisions/revisionLog252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154.xml" ContentType="application/vnd.openxmlformats-officedocument.spreadsheetml.revisionLog+xml"/>
  <Override PartName="/xl/revisions/revisionLog175.xml" ContentType="application/vnd.openxmlformats-officedocument.spreadsheetml.revisionLog+xml"/>
  <Override PartName="/xl/revisions/revisionLog186.xml" ContentType="application/vnd.openxmlformats-officedocument.spreadsheetml.revisionLog+xml"/>
  <Override PartName="/xl/revisions/revisionLog207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228.xml" ContentType="application/vnd.openxmlformats-officedocument.spreadsheetml.revisionLog+xml"/>
  <Override PartName="/xl/revisions/revisionLog26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165.xml" ContentType="application/vnd.openxmlformats-officedocument.spreadsheetml.revisionLog+xml"/>
  <Override PartName="/xl/revisions/revisionLog176.xml" ContentType="application/vnd.openxmlformats-officedocument.spreadsheetml.revisionLog+xml"/>
  <Override PartName="/xl/revisions/revisionLog197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218.xml" ContentType="application/vnd.openxmlformats-officedocument.spreadsheetml.revisionLog+xml"/>
  <Override PartName="/xl/revisions/revisionLog239.xml" ContentType="application/vnd.openxmlformats-officedocument.spreadsheetml.revisionLog+xml"/>
  <Override PartName="/xl/revisions/revisionLog253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155.xml" ContentType="application/vnd.openxmlformats-officedocument.spreadsheetml.revisionLog+xml"/>
  <Override PartName="/xl/revisions/revisionLog166.xml" ContentType="application/vnd.openxmlformats-officedocument.spreadsheetml.revisionLog+xml"/>
  <Override PartName="/xl/revisions/revisionLog187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208.xml" ContentType="application/vnd.openxmlformats-officedocument.spreadsheetml.revisionLog+xml"/>
  <Override PartName="/xl/revisions/revisionLog229.xml" ContentType="application/vnd.openxmlformats-officedocument.spreadsheetml.revisionLog+xml"/>
  <Override PartName="/xl/revisions/revisionLog264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156.xml" ContentType="application/vnd.openxmlformats-officedocument.spreadsheetml.revisionLog+xml"/>
  <Override PartName="/xl/revisions/revisionLog177.xml" ContentType="application/vnd.openxmlformats-officedocument.spreadsheetml.revisionLog+xml"/>
  <Override PartName="/xl/revisions/revisionLog198.xml" ContentType="application/vnd.openxmlformats-officedocument.spreadsheetml.revisionLog+xml"/>
  <Override PartName="/xl/revisions/revisionLog219.xml" ContentType="application/vnd.openxmlformats-officedocument.spreadsheetml.revisionLog+xml"/>
  <Override PartName="/xl/revisions/revisionLog240.xml" ContentType="application/vnd.openxmlformats-officedocument.spreadsheetml.revisionLog+xml"/>
  <Override PartName="/xl/revisions/revisionLog254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146.xml" ContentType="application/vnd.openxmlformats-officedocument.spreadsheetml.revisionLog+xml"/>
  <Override PartName="/xl/revisions/revisionLog167.xml" ContentType="application/vnd.openxmlformats-officedocument.spreadsheetml.revisionLog+xml"/>
  <Override PartName="/xl/revisions/revisionLog188.xml" ContentType="application/vnd.openxmlformats-officedocument.spreadsheetml.revisionLog+xml"/>
  <Override PartName="/xl/revisions/revisionLog209.xml" ContentType="application/vnd.openxmlformats-officedocument.spreadsheetml.revisionLog+xml"/>
  <Override PartName="/xl/revisions/revisionLog230.xml" ContentType="application/vnd.openxmlformats-officedocument.spreadsheetml.revisionLog+xml"/>
  <Override PartName="/xl/revisions/revisionLog265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157.xml" ContentType="application/vnd.openxmlformats-officedocument.spreadsheetml.revisionLog+xml"/>
  <Override PartName="/xl/revisions/revisionLog178.xml" ContentType="application/vnd.openxmlformats-officedocument.spreadsheetml.revisionLog+xml"/>
  <Override PartName="/xl/revisions/revisionLog199.xml" ContentType="application/vnd.openxmlformats-officedocument.spreadsheetml.revisionLog+xml"/>
  <Override PartName="/xl/revisions/revisionLog220.xml" ContentType="application/vnd.openxmlformats-officedocument.spreadsheetml.revisionLog+xml"/>
  <Override PartName="/xl/revisions/revisionLog241.xml" ContentType="application/vnd.openxmlformats-officedocument.spreadsheetml.revisionLog+xml"/>
  <Override PartName="/xl/revisions/revisionLog255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147.xml" ContentType="application/vnd.openxmlformats-officedocument.spreadsheetml.revisionLog+xml"/>
  <Override PartName="/xl/revisions/revisionLog168.xml" ContentType="application/vnd.openxmlformats-officedocument.spreadsheetml.revisionLog+xml"/>
  <Override PartName="/xl/revisions/revisionLog189.xml" ContentType="application/vnd.openxmlformats-officedocument.spreadsheetml.revisionLog+xml"/>
  <Override PartName="/xl/revisions/revisionLog210.xml" ContentType="application/vnd.openxmlformats-officedocument.spreadsheetml.revisionLog+xml"/>
  <Override PartName="/xl/revisions/revisionLog231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256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158.xml" ContentType="application/vnd.openxmlformats-officedocument.spreadsheetml.revisionLog+xml"/>
  <Override PartName="/xl/revisions/revisionLog179.xml" ContentType="application/vnd.openxmlformats-officedocument.spreadsheetml.revisionLog+xml"/>
  <Override PartName="/xl/revisions/revisionLog200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221.xml" ContentType="application/vnd.openxmlformats-officedocument.spreadsheetml.revisionLog+xml"/>
  <Override PartName="/xl/revisions/revisionLog242.xml" ContentType="application/vnd.openxmlformats-officedocument.spreadsheetml.revisionLog+xml"/>
  <Override PartName="/xl/revisions/revisionLog246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144.xml" ContentType="application/vnd.openxmlformats-officedocument.spreadsheetml.revisionLog+xml"/>
  <Override PartName="/xl/revisions/revisionLog148.xml" ContentType="application/vnd.openxmlformats-officedocument.spreadsheetml.revisionLog+xml"/>
  <Override PartName="/xl/revisions/revisionLog169.xml" ContentType="application/vnd.openxmlformats-officedocument.spreadsheetml.revisionLog+xml"/>
  <Override PartName="/xl/revisions/revisionLog190.xml" ContentType="application/vnd.openxmlformats-officedocument.spreadsheetml.revisionLog+xml"/>
  <Override PartName="/xl/revisions/revisionLog211.xml" ContentType="application/vnd.openxmlformats-officedocument.spreadsheetml.revisionLog+xml"/>
  <Override PartName="/xl/revisions/revisionLog232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257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159.xml" ContentType="application/vnd.openxmlformats-officedocument.spreadsheetml.revisionLog+xml"/>
  <Override PartName="/xl/revisions/revisionLog180.xml" ContentType="application/vnd.openxmlformats-officedocument.spreadsheetml.revisionLog+xml"/>
  <Override PartName="/xl/revisions/revisionLog201.xml" ContentType="application/vnd.openxmlformats-officedocument.spreadsheetml.revisionLog+xml"/>
  <Override PartName="/xl/revisions/revisionLog222.xml" ContentType="application/vnd.openxmlformats-officedocument.spreadsheetml.revisionLog+xml"/>
  <Override PartName="/xl/revisions/revisionLog243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247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145.xml" ContentType="application/vnd.openxmlformats-officedocument.spreadsheetml.revisionLog+xml"/>
  <Override PartName="/xl/revisions/revisionLog149.xml" ContentType="application/vnd.openxmlformats-officedocument.spreadsheetml.revisionLog+xml"/>
  <Override PartName="/xl/revisions/revisionLog170.xml" ContentType="application/vnd.openxmlformats-officedocument.spreadsheetml.revisionLog+xml"/>
  <Override PartName="/xl/revisions/revisionLog191.xml" ContentType="application/vnd.openxmlformats-officedocument.spreadsheetml.revisionLog+xml"/>
  <Override PartName="/xl/revisions/revisionLog212.xml" ContentType="application/vnd.openxmlformats-officedocument.spreadsheetml.revisionLog+xml"/>
  <Override PartName="/xl/revisions/revisionLog233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258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160.xml" ContentType="application/vnd.openxmlformats-officedocument.spreadsheetml.revisionLog+xml"/>
  <Override PartName="/xl/revisions/revisionLog181.xml" ContentType="application/vnd.openxmlformats-officedocument.spreadsheetml.revisionLog+xml"/>
  <Override PartName="/xl/revisions/revisionLog202.xml" ContentType="application/vnd.openxmlformats-officedocument.spreadsheetml.revisionLog+xml"/>
  <Override PartName="/xl/revisions/revisionLog223.xml" ContentType="application/vnd.openxmlformats-officedocument.spreadsheetml.revisionLog+xml"/>
  <Override PartName="/xl/revisions/revisionLog244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248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150.xml" ContentType="application/vnd.openxmlformats-officedocument.spreadsheetml.revisionLog+xml"/>
  <Override PartName="/xl/revisions/revisionLog171.xml" ContentType="application/vnd.openxmlformats-officedocument.spreadsheetml.revisionLog+xml"/>
  <Override PartName="/xl/revisions/revisionLog192.xml" ContentType="application/vnd.openxmlformats-officedocument.spreadsheetml.revisionLog+xml"/>
  <Override PartName="/xl/revisions/revisionLog213.xml" ContentType="application/vnd.openxmlformats-officedocument.spreadsheetml.revisionLog+xml"/>
  <Override PartName="/xl/revisions/revisionLog234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259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161.xml" ContentType="application/vnd.openxmlformats-officedocument.spreadsheetml.revisionLog+xml"/>
  <Override PartName="/xl/revisions/revisionLog182.xml" ContentType="application/vnd.openxmlformats-officedocument.spreadsheetml.revisionLog+xml"/>
  <Override PartName="/xl/revisions/revisionLog203.xml" ContentType="application/vnd.openxmlformats-officedocument.spreadsheetml.revisionLog+xml"/>
  <Override PartName="/xl/revisions/revisionLog224.xml" ContentType="application/vnd.openxmlformats-officedocument.spreadsheetml.revisionLog+xml"/>
  <Override PartName="/xl/revisions/revisionLog249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193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Atividade Semanal - Equipe\z INDICADORES - POR DIA\"/>
    </mc:Choice>
  </mc:AlternateContent>
  <xr:revisionPtr revIDLastSave="0" documentId="13_ncr:81_{DA3C79F8-64BA-45B2-909B-D05C31479E07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GLOSSÁRIO" sheetId="12" r:id="rId1"/>
    <sheet name="Patrícia" sheetId="1" r:id="rId2"/>
    <sheet name="Marcelo" sheetId="2" r:id="rId3"/>
    <sheet name="TOTAL" sheetId="3" r:id="rId4"/>
    <sheet name="Diego" sheetId="4" r:id="rId5"/>
    <sheet name="Aelton" sheetId="5" r:id="rId6"/>
    <sheet name="Leonam" sheetId="6" r:id="rId7"/>
    <sheet name="Danilo" sheetId="7" r:id="rId8"/>
    <sheet name="Marcos" sheetId="8" r:id="rId9"/>
    <sheet name="Carlos" sheetId="9" r:id="rId10"/>
    <sheet name="Alessandro" sheetId="10" r:id="rId11"/>
    <sheet name="Planilha1" sheetId="11" state="hidden" r:id="rId12"/>
  </sheets>
  <definedNames>
    <definedName name="_xlnm._FilterDatabase" localSheetId="5" hidden="1">Aelton!$A$1:$A$18</definedName>
    <definedName name="_xlnm._FilterDatabase" localSheetId="10" hidden="1">Alessandro!$A$1:$A$18</definedName>
    <definedName name="_xlnm._FilterDatabase" localSheetId="9" hidden="1">Carlos!$A$1:$A$18</definedName>
    <definedName name="_xlnm._FilterDatabase" localSheetId="7" hidden="1">Danilo!$A$1:$A$18</definedName>
    <definedName name="_xlnm._FilterDatabase" localSheetId="4" hidden="1">Diego!$A$1:$A$18</definedName>
    <definedName name="_xlnm._FilterDatabase" localSheetId="6" hidden="1">Leonam!$A$1:$BD$18</definedName>
    <definedName name="_xlnm._FilterDatabase" localSheetId="2" hidden="1">Marcelo!$A$1:$A$18</definedName>
    <definedName name="_xlnm._FilterDatabase" localSheetId="8" hidden="1">Marcos!$A$1:$A$18</definedName>
    <definedName name="_xlnm._FilterDatabase" localSheetId="1" hidden="1">Patrícia!$A$1:$A$18</definedName>
    <definedName name="_xlnm._FilterDatabase" localSheetId="3" hidden="1">TOTAL!$A$1:$A$18</definedName>
    <definedName name="_xleta.N" hidden="1">#NAME?</definedName>
    <definedName name="Z_0B55FC46_3C4C_40FA_8D19_F188F3837C28_.wvu.FilterData" localSheetId="8" hidden="1">Marcos!$A$1:$A$18</definedName>
    <definedName name="Z_1510BE18_73CC_483F_9E2C_433AE8548BC0_.wvu.FilterData" localSheetId="9" hidden="1">Carlos!$A$1:$A$18</definedName>
    <definedName name="Z_1510BE18_73CC_483F_9E2C_433AE8548BC0_.wvu.FilterData" localSheetId="4" hidden="1">Diego!$A$1:$A$18</definedName>
    <definedName name="Z_1510BE18_73CC_483F_9E2C_433AE8548BC0_.wvu.FilterData" localSheetId="6" hidden="1">Leonam!$A$1:$BD$18</definedName>
    <definedName name="Z_1510BE18_73CC_483F_9E2C_433AE8548BC0_.wvu.FilterData" localSheetId="8" hidden="1">Marcos!$A$1:$A$18</definedName>
    <definedName name="Z_18A482E0_C8B6_4AA1_9E04_15FA7C9CD5E3_.wvu.FilterData" localSheetId="5" hidden="1">Aelton!$A$1:$A$18</definedName>
    <definedName name="Z_18A482E0_C8B6_4AA1_9E04_15FA7C9CD5E3_.wvu.FilterData" localSheetId="10" hidden="1">Alessandro!$A$1:$A$18</definedName>
    <definedName name="Z_18A482E0_C8B6_4AA1_9E04_15FA7C9CD5E3_.wvu.FilterData" localSheetId="9" hidden="1">Carlos!$A$1:$A$18</definedName>
    <definedName name="Z_18A482E0_C8B6_4AA1_9E04_15FA7C9CD5E3_.wvu.FilterData" localSheetId="7" hidden="1">Danilo!$A$1:$A$18</definedName>
    <definedName name="Z_18A482E0_C8B6_4AA1_9E04_15FA7C9CD5E3_.wvu.FilterData" localSheetId="4" hidden="1">Diego!$A$1:$A$18</definedName>
    <definedName name="Z_18A482E0_C8B6_4AA1_9E04_15FA7C9CD5E3_.wvu.FilterData" localSheetId="6" hidden="1">Leonam!$A$1:$BD$18</definedName>
    <definedName name="Z_18A482E0_C8B6_4AA1_9E04_15FA7C9CD5E3_.wvu.FilterData" localSheetId="2" hidden="1">Marcelo!$A$1:$A$18</definedName>
    <definedName name="Z_18A482E0_C8B6_4AA1_9E04_15FA7C9CD5E3_.wvu.FilterData" localSheetId="8" hidden="1">Marcos!$A$1:$A$18</definedName>
    <definedName name="Z_18A482E0_C8B6_4AA1_9E04_15FA7C9CD5E3_.wvu.FilterData" localSheetId="1" hidden="1">Patrícia!$A$1:$A$18</definedName>
    <definedName name="Z_18A482E0_C8B6_4AA1_9E04_15FA7C9CD5E3_.wvu.FilterData" localSheetId="3" hidden="1">TOTAL!$A$1:$A$18</definedName>
    <definedName name="Z_1BDA250B_2920_4BD7_A433_977E2DD900C8_.wvu.FilterData" localSheetId="7" hidden="1">Danilo!$A$1:$A$31</definedName>
    <definedName name="Z_1BDA250B_2920_4BD7_A433_977E2DD900C8_.wvu.FilterData" localSheetId="8" hidden="1">Marcos!$A$1:$A$18</definedName>
    <definedName name="Z_20CB6D8F_C24D_4D4B_A424_AF380F620455_.wvu.FilterData" localSheetId="5" hidden="1">Aelton!$A$1:$A$18</definedName>
    <definedName name="Z_20CB6D8F_C24D_4D4B_A424_AF380F620455_.wvu.FilterData" localSheetId="10" hidden="1">Alessandro!$A$1:$A$18</definedName>
    <definedName name="Z_20CB6D8F_C24D_4D4B_A424_AF380F620455_.wvu.FilterData" localSheetId="9" hidden="1">Carlos!$A$1:$A$18</definedName>
    <definedName name="Z_20CB6D8F_C24D_4D4B_A424_AF380F620455_.wvu.FilterData" localSheetId="7" hidden="1">Danilo!$A$1:$A$18</definedName>
    <definedName name="Z_20CB6D8F_C24D_4D4B_A424_AF380F620455_.wvu.FilterData" localSheetId="4" hidden="1">Diego!$A$1:$A$18</definedName>
    <definedName name="Z_20CB6D8F_C24D_4D4B_A424_AF380F620455_.wvu.FilterData" localSheetId="6" hidden="1">Leonam!$A$1:$BD$18</definedName>
    <definedName name="Z_20CB6D8F_C24D_4D4B_A424_AF380F620455_.wvu.FilterData" localSheetId="2" hidden="1">Marcelo!$A$1:$A$18</definedName>
    <definedName name="Z_20CB6D8F_C24D_4D4B_A424_AF380F620455_.wvu.FilterData" localSheetId="8" hidden="1">Marcos!$A$1:$A$18</definedName>
    <definedName name="Z_20CB6D8F_C24D_4D4B_A424_AF380F620455_.wvu.FilterData" localSheetId="1" hidden="1">Patrícia!$A$1:$A$18</definedName>
    <definedName name="Z_20CB6D8F_C24D_4D4B_A424_AF380F620455_.wvu.FilterData" localSheetId="3" hidden="1">TOTAL!$A$1:$A$18</definedName>
    <definedName name="Z_26904941_D7A6_4400_A4D4_FC1C61AD552D_.wvu.FilterData" localSheetId="6" hidden="1">Leonam!$A$1:$BD$18</definedName>
    <definedName name="Z_27D1146D_2AA0_4FD6_A294_24C99A5284B4_.wvu.FilterData" localSheetId="10" hidden="1">Alessandro!$A$1:$A$18</definedName>
    <definedName name="Z_3CC06121_2B9B_48D6_95F1_5B29B3ACEAC3_.wvu.FilterData" localSheetId="6" hidden="1">Leonam!$A$1:$BD$18</definedName>
    <definedName name="Z_3D987F8E_A6EA_454D_9537_6BFC5053CB00_.wvu.FilterData" localSheetId="5" hidden="1">Aelton!$A$1:$A$18</definedName>
    <definedName name="Z_3D987F8E_A6EA_454D_9537_6BFC5053CB00_.wvu.FilterData" localSheetId="10" hidden="1">Alessandro!$A$1:$A$18</definedName>
    <definedName name="Z_3D987F8E_A6EA_454D_9537_6BFC5053CB00_.wvu.FilterData" localSheetId="9" hidden="1">Carlos!$A$1:$A$18</definedName>
    <definedName name="Z_3D987F8E_A6EA_454D_9537_6BFC5053CB00_.wvu.FilterData" localSheetId="7" hidden="1">Danilo!$A$1:$A$18</definedName>
    <definedName name="Z_3D987F8E_A6EA_454D_9537_6BFC5053CB00_.wvu.FilterData" localSheetId="4" hidden="1">Diego!$A$1:$A$18</definedName>
    <definedName name="Z_3D987F8E_A6EA_454D_9537_6BFC5053CB00_.wvu.FilterData" localSheetId="6" hidden="1">Leonam!$A$1:$BD$18</definedName>
    <definedName name="Z_3D987F8E_A6EA_454D_9537_6BFC5053CB00_.wvu.FilterData" localSheetId="2" hidden="1">Marcelo!$A$1:$A$18</definedName>
    <definedName name="Z_3D987F8E_A6EA_454D_9537_6BFC5053CB00_.wvu.FilterData" localSheetId="8" hidden="1">Marcos!$A$1:$A$18</definedName>
    <definedName name="Z_3D987F8E_A6EA_454D_9537_6BFC5053CB00_.wvu.FilterData" localSheetId="1" hidden="1">Patrícia!$A$1:$A$18</definedName>
    <definedName name="Z_3D987F8E_A6EA_454D_9537_6BFC5053CB00_.wvu.FilterData" localSheetId="3" hidden="1">TOTAL!$A$1:$A$18</definedName>
    <definedName name="Z_4079B0E0_0C38_4415_85D0_9ADAAD8545C0_.wvu.FilterData" localSheetId="7" hidden="1">Danilo!$A$1:$A$31</definedName>
    <definedName name="Z_4079B0E0_0C38_4415_85D0_9ADAAD8545C0_.wvu.FilterData" localSheetId="4" hidden="1">Diego!$A$1:$A$18</definedName>
    <definedName name="Z_4079B0E0_0C38_4415_85D0_9ADAAD8545C0_.wvu.FilterData" localSheetId="3" hidden="1">TOTAL!$A$1:$A$18</definedName>
    <definedName name="Z_4C2581D1_FB98_41CF_B2FE_518BD27D9442_.wvu.FilterData" localSheetId="5" hidden="1">Aelton!$A$1:$A$18</definedName>
    <definedName name="Z_4C2581D1_FB98_41CF_B2FE_518BD27D9442_.wvu.FilterData" localSheetId="6" hidden="1">Leonam!$A$1:$BD$18</definedName>
    <definedName name="Z_4C2581D1_FB98_41CF_B2FE_518BD27D9442_.wvu.FilterData" localSheetId="8" hidden="1">Marcos!$A$1:$A$18</definedName>
    <definedName name="Z_4E060732_83F8_4DF4_BA69_E86233C09DEB_.wvu.FilterData" localSheetId="4" hidden="1">Diego!$A$1:$A$18</definedName>
    <definedName name="Z_527DBFB3_F830_471C_A755_D892B2B1A236_.wvu.FilterData" localSheetId="8" hidden="1">Marcos!$A$1:$A$18</definedName>
    <definedName name="Z_6192735B_895E_467E_8A7A_A96CA401E8FC_.wvu.FilterData" localSheetId="5" hidden="1">Aelton!$A$1:$A$18</definedName>
    <definedName name="Z_6192735B_895E_467E_8A7A_A96CA401E8FC_.wvu.FilterData" localSheetId="4" hidden="1">Diego!$A$1:$A$18</definedName>
    <definedName name="Z_6192735B_895E_467E_8A7A_A96CA401E8FC_.wvu.FilterData" localSheetId="8" hidden="1">Marcos!$A$1:$A$18</definedName>
    <definedName name="Z_61D1DCE3_0F76_42AD_BA8D_EA23AEA54BEF_.wvu.FilterData" localSheetId="8" hidden="1">Marcos!$A$1:$A$18</definedName>
    <definedName name="Z_63529BB9_7B0C_4CFB_832A_9827D1497A2D_.wvu.FilterData" localSheetId="10" hidden="1">Alessandro!$A$1:$A$18</definedName>
    <definedName name="Z_63529BB9_7B0C_4CFB_832A_9827D1497A2D_.wvu.FilterData" localSheetId="7" hidden="1">Danilo!$A$1:$A$31</definedName>
    <definedName name="Z_7127A2CF_8838_43D3_998B_5F5427E8950C_.wvu.FilterData" localSheetId="4" hidden="1">Diego!$A$1:$A$18</definedName>
    <definedName name="Z_738B9F68_9A21_4046_A982_E676530BDBAD_.wvu.FilterData" localSheetId="6" hidden="1">Leonam!$A$1:$BD$18</definedName>
    <definedName name="Z_746A910F_57F7_4BB6_BAEE_91398E13A270_.wvu.FilterData" localSheetId="4" hidden="1">Diego!$A$1:$A$18</definedName>
    <definedName name="Z_82015759_A7A4_4B45_A07B_67FCECB10C26_.wvu.FilterData" localSheetId="7" hidden="1">Danilo!$A$1:$A$31</definedName>
    <definedName name="Z_82015759_A7A4_4B45_A07B_67FCECB10C26_.wvu.FilterData" localSheetId="8" hidden="1">Marcos!$A$1:$A$18</definedName>
    <definedName name="Z_86039CF8_B158_4D70_9A6F_A10C29CBD68A_.wvu.FilterData" localSheetId="5" hidden="1">Aelton!$A$1:$A$18</definedName>
    <definedName name="Z_86039CF8_B158_4D70_9A6F_A10C29CBD68A_.wvu.FilterData" localSheetId="10" hidden="1">Alessandro!$A$1:$A$18</definedName>
    <definedName name="Z_86039CF8_B158_4D70_9A6F_A10C29CBD68A_.wvu.FilterData" localSheetId="9" hidden="1">Carlos!$A$1:$A$18</definedName>
    <definedName name="Z_86039CF8_B158_4D70_9A6F_A10C29CBD68A_.wvu.FilterData" localSheetId="7" hidden="1">Danilo!$A$1:$A$18</definedName>
    <definedName name="Z_86039CF8_B158_4D70_9A6F_A10C29CBD68A_.wvu.FilterData" localSheetId="4" hidden="1">Diego!$A$1:$A$18</definedName>
    <definedName name="Z_86039CF8_B158_4D70_9A6F_A10C29CBD68A_.wvu.FilterData" localSheetId="6" hidden="1">Leonam!$A$1:$BD$18</definedName>
    <definedName name="Z_86039CF8_B158_4D70_9A6F_A10C29CBD68A_.wvu.FilterData" localSheetId="2" hidden="1">Marcelo!$A$1:$A$18</definedName>
    <definedName name="Z_86039CF8_B158_4D70_9A6F_A10C29CBD68A_.wvu.FilterData" localSheetId="8" hidden="1">Marcos!$A$1:$A$18</definedName>
    <definedName name="Z_86039CF8_B158_4D70_9A6F_A10C29CBD68A_.wvu.FilterData" localSheetId="1" hidden="1">Patrícia!$A$1:$A$18</definedName>
    <definedName name="Z_86039CF8_B158_4D70_9A6F_A10C29CBD68A_.wvu.FilterData" localSheetId="3" hidden="1">TOTAL!$A$1:$A$18</definedName>
    <definedName name="Z_8AAB51A6_A0E3_4A5A_83CE_A375636D0BFE_.wvu.FilterData" localSheetId="5" hidden="1">Aelton!$A$1:$A$18</definedName>
    <definedName name="Z_8B8567AE_2A03_4707_8762_CDE0AA44BA28_.wvu.FilterData" localSheetId="5" hidden="1">Aelton!$A$1:$A$18</definedName>
    <definedName name="Z_8B8567AE_2A03_4707_8762_CDE0AA44BA28_.wvu.FilterData" localSheetId="4" hidden="1">Diego!$A$1:$A$18</definedName>
    <definedName name="Z_8B8567AE_2A03_4707_8762_CDE0AA44BA28_.wvu.FilterData" localSheetId="8" hidden="1">Marcos!$A$1:$A$18</definedName>
    <definedName name="Z_931E1DCD_AE31_4DFC_AEE0_716590C2FB18_.wvu.FilterData" localSheetId="3" hidden="1">TOTAL!$A$1:$A$18</definedName>
    <definedName name="Z_983ADA86_E669_487C_9992_26F9F57FF6A8_.wvu.FilterData" localSheetId="4" hidden="1">Diego!$A$1:$A$18</definedName>
    <definedName name="Z_9B623083_AA7B_440B_95EA_C33E1AB3D963_.wvu.FilterData" localSheetId="5" hidden="1">Aelton!$A$1:$A$18</definedName>
    <definedName name="Z_9B623083_AA7B_440B_95EA_C33E1AB3D963_.wvu.FilterData" localSheetId="10" hidden="1">Alessandro!$A$1:$A$18</definedName>
    <definedName name="Z_9B623083_AA7B_440B_95EA_C33E1AB3D963_.wvu.FilterData" localSheetId="9" hidden="1">Carlos!$A$1:$A$18</definedName>
    <definedName name="Z_9B623083_AA7B_440B_95EA_C33E1AB3D963_.wvu.FilterData" localSheetId="7" hidden="1">Danilo!$A$1:$A$18</definedName>
    <definedName name="Z_9B623083_AA7B_440B_95EA_C33E1AB3D963_.wvu.FilterData" localSheetId="4" hidden="1">Diego!$A$1:$A$18</definedName>
    <definedName name="Z_9B623083_AA7B_440B_95EA_C33E1AB3D963_.wvu.FilterData" localSheetId="6" hidden="1">Leonam!$A$1:$BD$18</definedName>
    <definedName name="Z_9B623083_AA7B_440B_95EA_C33E1AB3D963_.wvu.FilterData" localSheetId="2" hidden="1">Marcelo!$A$1:$A$18</definedName>
    <definedName name="Z_9B623083_AA7B_440B_95EA_C33E1AB3D963_.wvu.FilterData" localSheetId="8" hidden="1">Marcos!$A$1:$A$18</definedName>
    <definedName name="Z_9B623083_AA7B_440B_95EA_C33E1AB3D963_.wvu.FilterData" localSheetId="1" hidden="1">Patrícia!$A$1:$A$18</definedName>
    <definedName name="Z_9B623083_AA7B_440B_95EA_C33E1AB3D963_.wvu.FilterData" localSheetId="3" hidden="1">TOTAL!$A$1:$A$18</definedName>
    <definedName name="Z_B3CDE377_BA5D_4E06_91D9_3A48E1959BA5_.wvu.FilterData" localSheetId="5" hidden="1">Aelton!$A$1:$A$18</definedName>
    <definedName name="Z_B3CDE377_BA5D_4E06_91D9_3A48E1959BA5_.wvu.FilterData" localSheetId="10" hidden="1">Alessandro!$A$1:$A$18</definedName>
    <definedName name="Z_B3CDE377_BA5D_4E06_91D9_3A48E1959BA5_.wvu.FilterData" localSheetId="9" hidden="1">Carlos!$A$1:$A$18</definedName>
    <definedName name="Z_B3CDE377_BA5D_4E06_91D9_3A48E1959BA5_.wvu.FilterData" localSheetId="7" hidden="1">Danilo!$A$1:$A$18</definedName>
    <definedName name="Z_B3CDE377_BA5D_4E06_91D9_3A48E1959BA5_.wvu.FilterData" localSheetId="4" hidden="1">Diego!$A$1:$A$18</definedName>
    <definedName name="Z_B3CDE377_BA5D_4E06_91D9_3A48E1959BA5_.wvu.FilterData" localSheetId="6" hidden="1">Leonam!$A$1:$BD$18</definedName>
    <definedName name="Z_B3CDE377_BA5D_4E06_91D9_3A48E1959BA5_.wvu.FilterData" localSheetId="2" hidden="1">Marcelo!$A$1:$A$18</definedName>
    <definedName name="Z_B3CDE377_BA5D_4E06_91D9_3A48E1959BA5_.wvu.FilterData" localSheetId="8" hidden="1">Marcos!$A$1:$A$18</definedName>
    <definedName name="Z_B3CDE377_BA5D_4E06_91D9_3A48E1959BA5_.wvu.FilterData" localSheetId="1" hidden="1">Patrícia!$A$1:$A$18</definedName>
    <definedName name="Z_B3CDE377_BA5D_4E06_91D9_3A48E1959BA5_.wvu.FilterData" localSheetId="3" hidden="1">TOTAL!$A$1:$A$18</definedName>
    <definedName name="Z_C1ADD972_3048_4C11_83EA_7D7DA864B713_.wvu.FilterData" localSheetId="5" hidden="1">Aelton!$A$1:$A$18</definedName>
    <definedName name="Z_C1ADD972_3048_4C11_83EA_7D7DA864B713_.wvu.FilterData" localSheetId="4" hidden="1">Diego!$A$1:$A$18</definedName>
    <definedName name="Z_C1ADD972_3048_4C11_83EA_7D7DA864B713_.wvu.FilterData" localSheetId="6" hidden="1">Leonam!$A$1:$BD$18</definedName>
    <definedName name="Z_C1ADD972_3048_4C11_83EA_7D7DA864B713_.wvu.FilterData" localSheetId="8" hidden="1">Marcos!$A$1:$A$18</definedName>
    <definedName name="Z_C9005B68_77F0_401C_8512_BE258B93D9F2_.wvu.FilterData" localSheetId="4" hidden="1">Diego!$A$1:$A$18</definedName>
    <definedName name="Z_CE4DE222_11C2_412F_9CD7_EACF481F4CE0_.wvu.FilterData" localSheetId="8" hidden="1">Marcos!$A$1:$A$18</definedName>
    <definedName name="Z_D053F25B_24B7_4DEA_9B1C_24248F2011C5_.wvu.FilterData" localSheetId="5" hidden="1">Aelton!$A$1:$A$18</definedName>
    <definedName name="Z_D52625D1_E6F2_417B_8A99_DF0FDA1E26C0_.wvu.FilterData" localSheetId="5" hidden="1">Aelton!$A$1:$A$18</definedName>
    <definedName name="Z_D52625D1_E6F2_417B_8A99_DF0FDA1E26C0_.wvu.FilterData" localSheetId="6" hidden="1">Leonam!$A$1:$BD$18</definedName>
    <definedName name="Z_D52625D1_E6F2_417B_8A99_DF0FDA1E26C0_.wvu.FilterData" localSheetId="3" hidden="1">TOTAL!$A$1:$A$18</definedName>
    <definedName name="Z_DC414A74_72F4_4549_81B1_CAD9C736E1BE_.wvu.FilterData" localSheetId="10" hidden="1">Alessandro!$A$1:$A$18</definedName>
    <definedName name="Z_DC414A74_72F4_4549_81B1_CAD9C736E1BE_.wvu.FilterData" localSheetId="4" hidden="1">Diego!$A$1:$A$18</definedName>
    <definedName name="Z_DC414A74_72F4_4549_81B1_CAD9C736E1BE_.wvu.FilterData" localSheetId="6" hidden="1">Leonam!$A$1:$BD$18</definedName>
    <definedName name="Z_DCD5909B_4D76_4BA3_B983_3ECE6B582A70_.wvu.FilterData" localSheetId="4" hidden="1">Diego!$A$1:$A$18</definedName>
    <definedName name="Z_DCD5909B_4D76_4BA3_B983_3ECE6B582A70_.wvu.FilterData" localSheetId="8" hidden="1">Marcos!$A$1:$A$18</definedName>
    <definedName name="Z_E0978B37_608F_4A77_B1C8_D080ABC76CC9_.wvu.FilterData" localSheetId="5" hidden="1">Aelton!$A$1:$A$18</definedName>
    <definedName name="Z_E0978B37_608F_4A77_B1C8_D080ABC76CC9_.wvu.FilterData" localSheetId="7" hidden="1">Danilo!$A$1:$A$31</definedName>
    <definedName name="Z_E0978B37_608F_4A77_B1C8_D080ABC76CC9_.wvu.FilterData" localSheetId="4" hidden="1">Diego!$A$1:$A$18</definedName>
    <definedName name="Z_E0978B37_608F_4A77_B1C8_D080ABC76CC9_.wvu.FilterData" localSheetId="6" hidden="1">Leonam!$A$1:$BD$18</definedName>
    <definedName name="Z_E2C6012C_29C5_476E_8662_2FBB90014003_.wvu.FilterData" localSheetId="9" hidden="1">Carlos!$A$1:$A$18</definedName>
    <definedName name="Z_E2C6012C_29C5_476E_8662_2FBB90014003_.wvu.FilterData" localSheetId="7" hidden="1">Danilo!$A$1:$A$31</definedName>
    <definedName name="Z_E2C6012C_29C5_476E_8662_2FBB90014003_.wvu.FilterData" localSheetId="6" hidden="1">Leonam!$A$1:$BD$18</definedName>
    <definedName name="Z_E2C6012C_29C5_476E_8662_2FBB90014003_.wvu.FilterData" localSheetId="8" hidden="1">Marcos!$A$1:$A$18</definedName>
    <definedName name="Z_E3841903_5B68_44FD_8F09_58E03D1025C5_.wvu.FilterData" localSheetId="5" hidden="1">Aelton!$A$1:$A$18</definedName>
    <definedName name="Z_E3841903_5B68_44FD_8F09_58E03D1025C5_.wvu.FilterData" localSheetId="10" hidden="1">Alessandro!$A$1:$A$18</definedName>
    <definedName name="Z_E3841903_5B68_44FD_8F09_58E03D1025C5_.wvu.FilterData" localSheetId="9" hidden="1">Carlos!$A$1:$A$18</definedName>
    <definedName name="Z_E3841903_5B68_44FD_8F09_58E03D1025C5_.wvu.FilterData" localSheetId="7" hidden="1">Danilo!$A$1:$A$18</definedName>
    <definedName name="Z_E3841903_5B68_44FD_8F09_58E03D1025C5_.wvu.FilterData" localSheetId="4" hidden="1">Diego!$A$1:$A$18</definedName>
    <definedName name="Z_E3841903_5B68_44FD_8F09_58E03D1025C5_.wvu.FilterData" localSheetId="6" hidden="1">Leonam!$A$1:$BD$18</definedName>
    <definedName name="Z_E3841903_5B68_44FD_8F09_58E03D1025C5_.wvu.FilterData" localSheetId="2" hidden="1">Marcelo!$A$1:$A$18</definedName>
    <definedName name="Z_E3841903_5B68_44FD_8F09_58E03D1025C5_.wvu.FilterData" localSheetId="8" hidden="1">Marcos!$A$1:$A$18</definedName>
    <definedName name="Z_E3841903_5B68_44FD_8F09_58E03D1025C5_.wvu.FilterData" localSheetId="1" hidden="1">Patrícia!$A$1:$A$18</definedName>
    <definedName name="Z_E3841903_5B68_44FD_8F09_58E03D1025C5_.wvu.FilterData" localSheetId="3" hidden="1">TOTAL!$A$1:$A$18</definedName>
    <definedName name="Z_E3BDEF0F_8CAB_47D6_8677_524136F6334A_.wvu.FilterData" localSheetId="5" hidden="1">Aelton!$A$1:$A$18</definedName>
    <definedName name="Z_E3BDEF0F_8CAB_47D6_8677_524136F6334A_.wvu.FilterData" localSheetId="8" hidden="1">Marcos!$A$1:$A$18</definedName>
    <definedName name="Z_F2A70F1D_FC6F_4CDB_909A_694615A9BAA7_.wvu.FilterData" localSheetId="6" hidden="1">Leonam!$A$1:$BD$18</definedName>
    <definedName name="Z_F746DF90_E320_4742_9A38_81866CC9E10D_.wvu.FilterData" localSheetId="4" hidden="1">Diego!$A$1:$A$18</definedName>
  </definedNames>
  <calcPr calcId="191029"/>
  <customWorkbookViews>
    <customWorkbookView name="Alessandro Borges de Araújo - Modo de exibição pessoal" guid="{3D987F8E-A6EA-454D-9537-6BFC5053CB00}" mergeInterval="0" personalView="1" maximized="1" xWindow="-8" yWindow="-8" windowWidth="1616" windowHeight="876" activeSheetId="10"/>
    <customWorkbookView name="Danilo Rafael Basilio da Silva - Modo de exibição pessoal" guid="{B3CDE377-BA5D-4E06-91D9-3A48E1959BA5}" mergeInterval="0" personalView="1" maximized="1" xWindow="-8" yWindow="-8" windowWidth="1616" windowHeight="876" activeSheetId="7"/>
    <customWorkbookView name="Aelton de Jesus Nunes - Modo de exibição pessoal" guid="{86039CF8-B158-4D70-9A6F-A10C29CBD68A}" mergeInterval="0" personalView="1" maximized="1" xWindow="-8" yWindow="-8" windowWidth="1616" windowHeight="876" activeSheetId="5"/>
    <customWorkbookView name="Patrícia Ferreira Costa Alves - Modo de exibição pessoal" guid="{552DFCCD-1786-4D75-8B10-27DD730384DD}" mergeInterval="0" personalView="1" xWindow="2175" yWindow="114" windowWidth="1440" windowHeight="759" activeSheetId="1"/>
    <customWorkbookView name="Carlos da Silva Dias - Modo de exibição pessoal" guid="{C69767F5-CD39-44C1-AD4B-CE19DC8285A6}" mergeInterval="0" personalView="1" maximized="1" xWindow="-8" yWindow="-8" windowWidth="1616" windowHeight="876" activeSheetId="9"/>
    <customWorkbookView name="Leonam Morrison Monteiro de Oliveira - Modo de exibição pessoal" guid="{9B623083-AA7B-440B-95EA-C33E1AB3D963}" autoUpdate="1" mergeInterval="15" personalView="1" maximized="1" xWindow="-1608" yWindow="-8" windowWidth="1616" windowHeight="868" activeSheetId="6"/>
    <customWorkbookView name="Marcelo Lucio Saboia Fonseca - Modo de exibição pessoal" guid="{18A482E0-C8B6-4AA1-9E04-15FA7C9CD5E3}" mergeInterval="0" personalView="1" maximized="1" xWindow="1672" yWindow="-8" windowWidth="1696" windowHeight="1018" activeSheetId="3"/>
    <customWorkbookView name="Diego Santos de Abreu - Modo de exibição pessoal" guid="{20CB6D8F-C24D-4D4B-A424-AF380F620455}" mergeInterval="0" personalView="1" maximized="1" xWindow="-8" yWindow="-8" windowWidth="1616" windowHeight="876" activeSheetId="4"/>
    <customWorkbookView name="Marcos Neves de Almeida - Modo de exibição pessoal" guid="{E3841903-5B68-44FD-8F09-58E03D1025C5}" mergeInterval="0" personalView="1" maximized="1" xWindow="-8" yWindow="-8" windowWidth="1616" windowHeight="876" activeSheetId="8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I13" i="3"/>
  <c r="H12" i="5"/>
  <c r="AR12" i="4"/>
  <c r="C12" i="3"/>
  <c r="K11" i="3"/>
  <c r="J11" i="3"/>
  <c r="I11" i="3"/>
  <c r="H11" i="3" l="1"/>
  <c r="AR4" i="10"/>
  <c r="AR2" i="9"/>
  <c r="AR2" i="4"/>
  <c r="G2" i="3"/>
  <c r="Z2" i="8"/>
  <c r="H2" i="4"/>
  <c r="C2" i="3" s="1"/>
  <c r="C11" i="3"/>
  <c r="C16" i="3"/>
  <c r="C15" i="3"/>
  <c r="C3" i="3"/>
  <c r="C6" i="3"/>
  <c r="C7" i="3"/>
  <c r="C8" i="3"/>
  <c r="C9" i="3"/>
  <c r="C10" i="3"/>
  <c r="C13" i="3"/>
  <c r="C14" i="3"/>
  <c r="BD16" i="10" l="1"/>
  <c r="AX16" i="10"/>
  <c r="AR16" i="10"/>
  <c r="AL16" i="10"/>
  <c r="AF16" i="10"/>
  <c r="Z16" i="10"/>
  <c r="T16" i="10"/>
  <c r="N16" i="10"/>
  <c r="H16" i="10"/>
  <c r="BD15" i="10"/>
  <c r="AX15" i="10"/>
  <c r="AR15" i="10"/>
  <c r="AL15" i="10"/>
  <c r="AF15" i="10"/>
  <c r="Z15" i="10"/>
  <c r="T15" i="10"/>
  <c r="N15" i="10"/>
  <c r="H15" i="10"/>
  <c r="BD14" i="10"/>
  <c r="AX14" i="10"/>
  <c r="AR14" i="10"/>
  <c r="AL14" i="10"/>
  <c r="AF14" i="10"/>
  <c r="Z14" i="10"/>
  <c r="T14" i="10"/>
  <c r="N14" i="10"/>
  <c r="H14" i="10"/>
  <c r="BD13" i="10"/>
  <c r="AX13" i="10"/>
  <c r="AR13" i="10"/>
  <c r="AF13" i="10"/>
  <c r="Z13" i="10"/>
  <c r="T13" i="10"/>
  <c r="N13" i="10"/>
  <c r="H13" i="10"/>
  <c r="BD12" i="10"/>
  <c r="AX12" i="10"/>
  <c r="AR12" i="10"/>
  <c r="AL12" i="10"/>
  <c r="AF12" i="10"/>
  <c r="Z12" i="10"/>
  <c r="T12" i="10"/>
  <c r="N12" i="10"/>
  <c r="H12" i="10"/>
  <c r="BD11" i="10"/>
  <c r="AX11" i="10"/>
  <c r="AR11" i="10"/>
  <c r="AL11" i="10"/>
  <c r="AF11" i="10"/>
  <c r="Z11" i="10"/>
  <c r="T11" i="10"/>
  <c r="N11" i="10"/>
  <c r="H11" i="10"/>
  <c r="BD10" i="10"/>
  <c r="AX10" i="10"/>
  <c r="AR10" i="10"/>
  <c r="AL10" i="10"/>
  <c r="AF10" i="10"/>
  <c r="Z10" i="10"/>
  <c r="T10" i="10"/>
  <c r="N10" i="10"/>
  <c r="H10" i="10"/>
  <c r="BD9" i="10"/>
  <c r="AX9" i="10"/>
  <c r="AR9" i="10"/>
  <c r="AL9" i="10"/>
  <c r="AF9" i="10"/>
  <c r="Z9" i="10"/>
  <c r="T9" i="10"/>
  <c r="N9" i="10"/>
  <c r="H9" i="10"/>
  <c r="BD8" i="10"/>
  <c r="AX8" i="10"/>
  <c r="AR8" i="10"/>
  <c r="AL8" i="10"/>
  <c r="AF8" i="10"/>
  <c r="Z8" i="10"/>
  <c r="T8" i="10"/>
  <c r="N8" i="10"/>
  <c r="H8" i="10"/>
  <c r="BD7" i="10"/>
  <c r="AX7" i="10"/>
  <c r="AR7" i="10"/>
  <c r="AL7" i="10"/>
  <c r="AF7" i="10"/>
  <c r="Z7" i="10"/>
  <c r="T7" i="10"/>
  <c r="N7" i="10"/>
  <c r="H7" i="10"/>
  <c r="BD6" i="10"/>
  <c r="AX6" i="10"/>
  <c r="AR6" i="10"/>
  <c r="AL6" i="10"/>
  <c r="AF6" i="10"/>
  <c r="Z6" i="10"/>
  <c r="T6" i="10"/>
  <c r="N6" i="10"/>
  <c r="H6" i="10"/>
  <c r="BD5" i="10"/>
  <c r="AX5" i="10"/>
  <c r="AR5" i="10"/>
  <c r="AL5" i="10"/>
  <c r="AF5" i="10"/>
  <c r="Z5" i="10"/>
  <c r="T5" i="10"/>
  <c r="N5" i="10"/>
  <c r="H5" i="10"/>
  <c r="C5" i="3" s="1"/>
  <c r="BD4" i="10"/>
  <c r="AX4" i="10"/>
  <c r="AL4" i="10"/>
  <c r="AF4" i="10"/>
  <c r="Z4" i="10"/>
  <c r="T4" i="10"/>
  <c r="N4" i="10"/>
  <c r="H4" i="10"/>
  <c r="BD3" i="10"/>
  <c r="AX3" i="10"/>
  <c r="AR3" i="10"/>
  <c r="AL3" i="10"/>
  <c r="AF3" i="10"/>
  <c r="Z3" i="10"/>
  <c r="T3" i="10"/>
  <c r="N3" i="10"/>
  <c r="H3" i="10"/>
  <c r="BD2" i="10"/>
  <c r="AX2" i="10"/>
  <c r="AR2" i="10"/>
  <c r="AL2" i="10"/>
  <c r="AF2" i="10"/>
  <c r="Z2" i="10"/>
  <c r="T2" i="10"/>
  <c r="N2" i="10"/>
  <c r="H2" i="10"/>
  <c r="BD16" i="9"/>
  <c r="AX16" i="9"/>
  <c r="AR16" i="9"/>
  <c r="AL16" i="9"/>
  <c r="AF16" i="9"/>
  <c r="Z16" i="9"/>
  <c r="T16" i="9"/>
  <c r="N16" i="9"/>
  <c r="H16" i="9"/>
  <c r="BD15" i="9"/>
  <c r="AX15" i="9"/>
  <c r="AR15" i="9"/>
  <c r="AL15" i="9"/>
  <c r="AF15" i="9"/>
  <c r="Z15" i="9"/>
  <c r="T15" i="9"/>
  <c r="N15" i="9"/>
  <c r="H15" i="9"/>
  <c r="BD14" i="9"/>
  <c r="AX14" i="9"/>
  <c r="AR14" i="9"/>
  <c r="AL14" i="9"/>
  <c r="AF14" i="9"/>
  <c r="Z14" i="9"/>
  <c r="T14" i="9"/>
  <c r="N14" i="9"/>
  <c r="H14" i="9"/>
  <c r="BD13" i="9"/>
  <c r="AX13" i="9"/>
  <c r="AR13" i="9"/>
  <c r="AL13" i="9"/>
  <c r="AF13" i="9"/>
  <c r="Z13" i="9"/>
  <c r="T13" i="9"/>
  <c r="N13" i="9"/>
  <c r="H13" i="9"/>
  <c r="BD12" i="9"/>
  <c r="AX12" i="9"/>
  <c r="AR12" i="9"/>
  <c r="AL12" i="9"/>
  <c r="AF12" i="9"/>
  <c r="Z12" i="9"/>
  <c r="T12" i="9"/>
  <c r="N12" i="9"/>
  <c r="H12" i="9"/>
  <c r="BD11" i="9"/>
  <c r="AX11" i="9"/>
  <c r="AR11" i="9"/>
  <c r="AL11" i="9"/>
  <c r="AF11" i="9"/>
  <c r="Z11" i="9"/>
  <c r="T11" i="9"/>
  <c r="N11" i="9"/>
  <c r="H11" i="9"/>
  <c r="BD10" i="9"/>
  <c r="AX10" i="9"/>
  <c r="AR10" i="9"/>
  <c r="AL10" i="9"/>
  <c r="AF10" i="9"/>
  <c r="Z10" i="9"/>
  <c r="T10" i="9"/>
  <c r="N10" i="9"/>
  <c r="H10" i="9"/>
  <c r="BD9" i="9"/>
  <c r="AX9" i="9"/>
  <c r="AR9" i="9"/>
  <c r="AL9" i="9"/>
  <c r="AF9" i="9"/>
  <c r="Z9" i="9"/>
  <c r="T9" i="9"/>
  <c r="N9" i="9"/>
  <c r="H9" i="9"/>
  <c r="BD8" i="9"/>
  <c r="AX8" i="9"/>
  <c r="AR8" i="9"/>
  <c r="AL8" i="9"/>
  <c r="AF8" i="9"/>
  <c r="Z8" i="9"/>
  <c r="T8" i="9"/>
  <c r="N8" i="9"/>
  <c r="H8" i="9"/>
  <c r="BD7" i="9"/>
  <c r="AX7" i="9"/>
  <c r="AR7" i="9"/>
  <c r="AL7" i="9"/>
  <c r="AF7" i="9"/>
  <c r="Z7" i="9"/>
  <c r="T7" i="9"/>
  <c r="N7" i="9"/>
  <c r="H7" i="9"/>
  <c r="BD6" i="9"/>
  <c r="AX6" i="9"/>
  <c r="AR6" i="9"/>
  <c r="AL6" i="9"/>
  <c r="AF6" i="9"/>
  <c r="Z6" i="9"/>
  <c r="T6" i="9"/>
  <c r="N6" i="9"/>
  <c r="H6" i="9"/>
  <c r="BD5" i="9"/>
  <c r="AX5" i="9"/>
  <c r="AR5" i="9"/>
  <c r="AL5" i="9"/>
  <c r="AF5" i="9"/>
  <c r="Z5" i="9"/>
  <c r="T5" i="9"/>
  <c r="N5" i="9"/>
  <c r="H5" i="9"/>
  <c r="BD4" i="9"/>
  <c r="AX4" i="9"/>
  <c r="AR4" i="9"/>
  <c r="AL4" i="9"/>
  <c r="AF4" i="9"/>
  <c r="Z4" i="9"/>
  <c r="T4" i="9"/>
  <c r="N4" i="9"/>
  <c r="H4" i="9"/>
  <c r="BD3" i="9"/>
  <c r="AX3" i="9"/>
  <c r="AR3" i="9"/>
  <c r="AL3" i="9"/>
  <c r="AF3" i="9"/>
  <c r="Z3" i="9"/>
  <c r="T3" i="9"/>
  <c r="N3" i="9"/>
  <c r="H3" i="9"/>
  <c r="BD2" i="9"/>
  <c r="AX2" i="9"/>
  <c r="AL2" i="9"/>
  <c r="AF2" i="9"/>
  <c r="Z2" i="9"/>
  <c r="T2" i="9"/>
  <c r="N2" i="9"/>
  <c r="H2" i="9"/>
  <c r="BD16" i="8"/>
  <c r="AX16" i="8"/>
  <c r="AR16" i="8"/>
  <c r="AL16" i="8"/>
  <c r="AF16" i="8"/>
  <c r="Z16" i="8"/>
  <c r="T16" i="8"/>
  <c r="N16" i="8"/>
  <c r="H16" i="8"/>
  <c r="BD15" i="8"/>
  <c r="AX15" i="8"/>
  <c r="AR15" i="8"/>
  <c r="AL15" i="8"/>
  <c r="AF15" i="8"/>
  <c r="Z15" i="8"/>
  <c r="T15" i="8"/>
  <c r="N15" i="8"/>
  <c r="H15" i="8"/>
  <c r="BD14" i="8"/>
  <c r="AX14" i="8"/>
  <c r="AR14" i="8"/>
  <c r="AL14" i="8"/>
  <c r="AF14" i="8"/>
  <c r="Z14" i="8"/>
  <c r="T14" i="8"/>
  <c r="N14" i="8"/>
  <c r="H14" i="8"/>
  <c r="BD13" i="8"/>
  <c r="AX13" i="8"/>
  <c r="AR13" i="8"/>
  <c r="AL13" i="8"/>
  <c r="AF13" i="8"/>
  <c r="Z13" i="8"/>
  <c r="T13" i="8"/>
  <c r="N13" i="8"/>
  <c r="H13" i="8"/>
  <c r="BD12" i="8"/>
  <c r="AX12" i="8"/>
  <c r="AR12" i="8"/>
  <c r="AL12" i="8"/>
  <c r="AF12" i="8"/>
  <c r="Z12" i="8"/>
  <c r="T12" i="8"/>
  <c r="N12" i="8"/>
  <c r="H12" i="8"/>
  <c r="BD11" i="8"/>
  <c r="AX11" i="8"/>
  <c r="AR11" i="8"/>
  <c r="AL11" i="8"/>
  <c r="AF11" i="8"/>
  <c r="Z11" i="8"/>
  <c r="T11" i="8"/>
  <c r="N11" i="8"/>
  <c r="H11" i="8"/>
  <c r="BD10" i="8"/>
  <c r="AX10" i="8"/>
  <c r="AR10" i="8"/>
  <c r="AL10" i="8"/>
  <c r="AF10" i="8"/>
  <c r="Z10" i="8"/>
  <c r="T10" i="8"/>
  <c r="N10" i="8"/>
  <c r="H10" i="8"/>
  <c r="BD9" i="8"/>
  <c r="AX9" i="8"/>
  <c r="AR9" i="8"/>
  <c r="AL9" i="8"/>
  <c r="AF9" i="8"/>
  <c r="Z9" i="8"/>
  <c r="T9" i="8"/>
  <c r="N9" i="8"/>
  <c r="H9" i="8"/>
  <c r="BD8" i="8"/>
  <c r="AX8" i="8"/>
  <c r="AR8" i="8"/>
  <c r="AL8" i="8"/>
  <c r="AF8" i="8"/>
  <c r="Z8" i="8"/>
  <c r="T8" i="8"/>
  <c r="N8" i="8"/>
  <c r="H8" i="8"/>
  <c r="BD7" i="8"/>
  <c r="AX7" i="8"/>
  <c r="AR7" i="8"/>
  <c r="AL7" i="8"/>
  <c r="AF7" i="8"/>
  <c r="Z7" i="8"/>
  <c r="T7" i="8"/>
  <c r="N7" i="8"/>
  <c r="H7" i="8"/>
  <c r="BD6" i="8"/>
  <c r="AX6" i="8"/>
  <c r="AR6" i="8"/>
  <c r="AL6" i="8"/>
  <c r="AF6" i="8"/>
  <c r="Z6" i="8"/>
  <c r="T6" i="8"/>
  <c r="N6" i="8"/>
  <c r="H6" i="8"/>
  <c r="BD5" i="8"/>
  <c r="AX5" i="8"/>
  <c r="AR5" i="8"/>
  <c r="AL5" i="8"/>
  <c r="AF5" i="8"/>
  <c r="Z5" i="8"/>
  <c r="T5" i="8"/>
  <c r="N5" i="8"/>
  <c r="H5" i="8"/>
  <c r="BD4" i="8"/>
  <c r="AX4" i="8"/>
  <c r="AR4" i="8"/>
  <c r="AL4" i="8"/>
  <c r="AF4" i="8"/>
  <c r="Z4" i="8"/>
  <c r="T4" i="8"/>
  <c r="N4" i="8"/>
  <c r="H4" i="8"/>
  <c r="BD3" i="8"/>
  <c r="AX3" i="8"/>
  <c r="AR3" i="8"/>
  <c r="AL3" i="8"/>
  <c r="AF3" i="8"/>
  <c r="Z3" i="8"/>
  <c r="T3" i="8"/>
  <c r="N3" i="8"/>
  <c r="H3" i="8"/>
  <c r="BD2" i="8"/>
  <c r="AX2" i="8"/>
  <c r="J2" i="3" s="1"/>
  <c r="AR2" i="8"/>
  <c r="AL2" i="8"/>
  <c r="AF2" i="8"/>
  <c r="T2" i="8"/>
  <c r="N2" i="8"/>
  <c r="H2" i="8"/>
  <c r="BD16" i="7"/>
  <c r="AX16" i="7"/>
  <c r="AR16" i="7"/>
  <c r="AL16" i="7"/>
  <c r="AF16" i="7"/>
  <c r="Z16" i="7"/>
  <c r="T16" i="7"/>
  <c r="N16" i="7"/>
  <c r="H16" i="7"/>
  <c r="BD15" i="7"/>
  <c r="AX15" i="7"/>
  <c r="AR15" i="7"/>
  <c r="AL15" i="7"/>
  <c r="AF15" i="7"/>
  <c r="Z15" i="7"/>
  <c r="T15" i="7"/>
  <c r="N15" i="7"/>
  <c r="H15" i="7"/>
  <c r="BD14" i="7"/>
  <c r="AX14" i="7"/>
  <c r="AR14" i="7"/>
  <c r="AL14" i="7"/>
  <c r="AF14" i="7"/>
  <c r="Z14" i="7"/>
  <c r="T14" i="7"/>
  <c r="N14" i="7"/>
  <c r="H14" i="7"/>
  <c r="BD13" i="7"/>
  <c r="AX13" i="7"/>
  <c r="AR13" i="7"/>
  <c r="AL13" i="7"/>
  <c r="AF13" i="7"/>
  <c r="Z13" i="7"/>
  <c r="T13" i="7"/>
  <c r="N13" i="7"/>
  <c r="H13" i="7"/>
  <c r="BD12" i="7"/>
  <c r="AX12" i="7"/>
  <c r="AR12" i="7"/>
  <c r="AL12" i="7"/>
  <c r="AF12" i="7"/>
  <c r="Z12" i="7"/>
  <c r="T12" i="7"/>
  <c r="N12" i="7"/>
  <c r="H12" i="7"/>
  <c r="BD11" i="7"/>
  <c r="AX11" i="7"/>
  <c r="AR11" i="7"/>
  <c r="AL11" i="7"/>
  <c r="AF11" i="7"/>
  <c r="Z11" i="7"/>
  <c r="T11" i="7"/>
  <c r="N11" i="7"/>
  <c r="H11" i="7"/>
  <c r="BD10" i="7"/>
  <c r="AX10" i="7"/>
  <c r="AR10" i="7"/>
  <c r="AL10" i="7"/>
  <c r="AF10" i="7"/>
  <c r="Z10" i="7"/>
  <c r="T10" i="7"/>
  <c r="N10" i="7"/>
  <c r="H10" i="7"/>
  <c r="BD9" i="7"/>
  <c r="AX9" i="7"/>
  <c r="AR9" i="7"/>
  <c r="AL9" i="7"/>
  <c r="AF9" i="7"/>
  <c r="Z9" i="7"/>
  <c r="T9" i="7"/>
  <c r="N9" i="7"/>
  <c r="H9" i="7"/>
  <c r="BD8" i="7"/>
  <c r="AX8" i="7"/>
  <c r="AR8" i="7"/>
  <c r="AL8" i="7"/>
  <c r="AF8" i="7"/>
  <c r="Z8" i="7"/>
  <c r="T8" i="7"/>
  <c r="N8" i="7"/>
  <c r="H8" i="7"/>
  <c r="BD7" i="7"/>
  <c r="AX7" i="7"/>
  <c r="AR7" i="7"/>
  <c r="AL7" i="7"/>
  <c r="AF7" i="7"/>
  <c r="Z7" i="7"/>
  <c r="T7" i="7"/>
  <c r="N7" i="7"/>
  <c r="H7" i="7"/>
  <c r="BD6" i="7"/>
  <c r="AX6" i="7"/>
  <c r="AR6" i="7"/>
  <c r="AL6" i="7"/>
  <c r="AF6" i="7"/>
  <c r="Z6" i="7"/>
  <c r="T6" i="7"/>
  <c r="N6" i="7"/>
  <c r="H6" i="7"/>
  <c r="BD5" i="7"/>
  <c r="AX5" i="7"/>
  <c r="AR5" i="7"/>
  <c r="AL5" i="7"/>
  <c r="AF5" i="7"/>
  <c r="Z5" i="7"/>
  <c r="T5" i="7"/>
  <c r="N5" i="7"/>
  <c r="H5" i="7"/>
  <c r="BD4" i="7"/>
  <c r="AX4" i="7"/>
  <c r="AR4" i="7"/>
  <c r="AL4" i="7"/>
  <c r="AF4" i="7"/>
  <c r="Z4" i="7"/>
  <c r="T4" i="7"/>
  <c r="N4" i="7"/>
  <c r="H4" i="7"/>
  <c r="BD3" i="7"/>
  <c r="AX3" i="7"/>
  <c r="AR3" i="7"/>
  <c r="AL3" i="7"/>
  <c r="AF3" i="7"/>
  <c r="Z3" i="7"/>
  <c r="T3" i="7"/>
  <c r="N3" i="7"/>
  <c r="H3" i="7"/>
  <c r="BD2" i="7"/>
  <c r="AX2" i="7"/>
  <c r="AR2" i="7"/>
  <c r="AL2" i="7"/>
  <c r="AF2" i="7"/>
  <c r="Z2" i="7"/>
  <c r="T2" i="7"/>
  <c r="N2" i="7"/>
  <c r="H2" i="7"/>
  <c r="BD16" i="6"/>
  <c r="AX16" i="6"/>
  <c r="AR16" i="6"/>
  <c r="AL16" i="6"/>
  <c r="AF16" i="6"/>
  <c r="Z16" i="6"/>
  <c r="T16" i="6"/>
  <c r="N16" i="6"/>
  <c r="H16" i="6"/>
  <c r="BD15" i="6"/>
  <c r="AX15" i="6"/>
  <c r="AR15" i="6"/>
  <c r="AL15" i="6"/>
  <c r="AF15" i="6"/>
  <c r="Z15" i="6"/>
  <c r="T15" i="6"/>
  <c r="N15" i="6"/>
  <c r="H15" i="6"/>
  <c r="BD14" i="6"/>
  <c r="AX14" i="6"/>
  <c r="AR14" i="6"/>
  <c r="AL14" i="6"/>
  <c r="AF14" i="6"/>
  <c r="Z14" i="6"/>
  <c r="T14" i="6"/>
  <c r="N14" i="6"/>
  <c r="H14" i="6"/>
  <c r="BD13" i="6"/>
  <c r="AX13" i="6"/>
  <c r="AR13" i="6"/>
  <c r="AL13" i="6"/>
  <c r="AF13" i="6"/>
  <c r="Z13" i="6"/>
  <c r="T13" i="6"/>
  <c r="N13" i="6"/>
  <c r="H13" i="6"/>
  <c r="BD12" i="6"/>
  <c r="AX12" i="6"/>
  <c r="AR12" i="6"/>
  <c r="AL12" i="6"/>
  <c r="AF12" i="6"/>
  <c r="Z12" i="6"/>
  <c r="T12" i="6"/>
  <c r="N12" i="6"/>
  <c r="H12" i="6"/>
  <c r="BD11" i="6"/>
  <c r="AX11" i="6"/>
  <c r="AR11" i="6"/>
  <c r="AL11" i="6"/>
  <c r="AF11" i="6"/>
  <c r="Z11" i="6"/>
  <c r="T11" i="6"/>
  <c r="N11" i="6"/>
  <c r="H11" i="6"/>
  <c r="BD10" i="6"/>
  <c r="AX10" i="6"/>
  <c r="AR10" i="6"/>
  <c r="AL10" i="6"/>
  <c r="AF10" i="6"/>
  <c r="Z10" i="6"/>
  <c r="T10" i="6"/>
  <c r="N10" i="6"/>
  <c r="H10" i="6"/>
  <c r="BD9" i="6"/>
  <c r="AX9" i="6"/>
  <c r="AR9" i="6"/>
  <c r="AL9" i="6"/>
  <c r="AF9" i="6"/>
  <c r="Z9" i="6"/>
  <c r="T9" i="6"/>
  <c r="N9" i="6"/>
  <c r="H9" i="6"/>
  <c r="BD8" i="6"/>
  <c r="AX8" i="6"/>
  <c r="AR8" i="6"/>
  <c r="AL8" i="6"/>
  <c r="AF8" i="6"/>
  <c r="Z8" i="6"/>
  <c r="T8" i="6"/>
  <c r="N8" i="6"/>
  <c r="H8" i="6"/>
  <c r="BD7" i="6"/>
  <c r="AX7" i="6"/>
  <c r="AR7" i="6"/>
  <c r="AL7" i="6"/>
  <c r="AF7" i="6"/>
  <c r="Z7" i="6"/>
  <c r="T7" i="6"/>
  <c r="N7" i="6"/>
  <c r="H7" i="6"/>
  <c r="BD6" i="6"/>
  <c r="AX6" i="6"/>
  <c r="AR6" i="6"/>
  <c r="AL6" i="6"/>
  <c r="AF6" i="6"/>
  <c r="Z6" i="6"/>
  <c r="T6" i="6"/>
  <c r="N6" i="6"/>
  <c r="H6" i="6"/>
  <c r="BD5" i="6"/>
  <c r="AX5" i="6"/>
  <c r="AR5" i="6"/>
  <c r="AL5" i="6"/>
  <c r="AF5" i="6"/>
  <c r="Z5" i="6"/>
  <c r="T5" i="6"/>
  <c r="N5" i="6"/>
  <c r="H5" i="6"/>
  <c r="BD4" i="6"/>
  <c r="AX4" i="6"/>
  <c r="AR4" i="6"/>
  <c r="AL4" i="6"/>
  <c r="AF4" i="6"/>
  <c r="Z4" i="6"/>
  <c r="T4" i="6"/>
  <c r="N4" i="6"/>
  <c r="H4" i="6"/>
  <c r="BD3" i="6"/>
  <c r="AX3" i="6"/>
  <c r="AR3" i="6"/>
  <c r="AL3" i="6"/>
  <c r="AF3" i="6"/>
  <c r="Z3" i="6"/>
  <c r="T3" i="6"/>
  <c r="N3" i="6"/>
  <c r="H3" i="6"/>
  <c r="BD2" i="6"/>
  <c r="AX2" i="6"/>
  <c r="AR2" i="6"/>
  <c r="AL2" i="6"/>
  <c r="AF2" i="6"/>
  <c r="Z2" i="6"/>
  <c r="T2" i="6"/>
  <c r="N2" i="6"/>
  <c r="H2" i="6"/>
  <c r="BD16" i="5"/>
  <c r="AX16" i="5"/>
  <c r="AR16" i="5"/>
  <c r="AL16" i="5"/>
  <c r="AF16" i="5"/>
  <c r="Z16" i="5"/>
  <c r="T16" i="5"/>
  <c r="N16" i="5"/>
  <c r="H16" i="5"/>
  <c r="BD15" i="5"/>
  <c r="AX15" i="5"/>
  <c r="AR15" i="5"/>
  <c r="AL15" i="5"/>
  <c r="AF15" i="5"/>
  <c r="Z15" i="5"/>
  <c r="T15" i="5"/>
  <c r="N15" i="5"/>
  <c r="H15" i="5"/>
  <c r="BD14" i="5"/>
  <c r="AX14" i="5"/>
  <c r="AR14" i="5"/>
  <c r="AL14" i="5"/>
  <c r="AF14" i="5"/>
  <c r="Z14" i="5"/>
  <c r="T14" i="5"/>
  <c r="N14" i="5"/>
  <c r="H14" i="5"/>
  <c r="BD13" i="5"/>
  <c r="AX13" i="5"/>
  <c r="AR13" i="5"/>
  <c r="AL13" i="5"/>
  <c r="AF13" i="5"/>
  <c r="Z13" i="5"/>
  <c r="T13" i="5"/>
  <c r="N13" i="5"/>
  <c r="H13" i="5"/>
  <c r="BD12" i="5"/>
  <c r="AX12" i="5"/>
  <c r="AR12" i="5"/>
  <c r="AL12" i="5"/>
  <c r="AF12" i="5"/>
  <c r="Z12" i="5"/>
  <c r="T12" i="5"/>
  <c r="N12" i="5"/>
  <c r="BD11" i="5"/>
  <c r="AX11" i="5"/>
  <c r="AR11" i="5"/>
  <c r="AL11" i="5"/>
  <c r="AF11" i="5"/>
  <c r="Z11" i="5"/>
  <c r="T11" i="5"/>
  <c r="N11" i="5"/>
  <c r="H11" i="5"/>
  <c r="BD10" i="5"/>
  <c r="AX10" i="5"/>
  <c r="AR10" i="5"/>
  <c r="AL10" i="5"/>
  <c r="AF10" i="5"/>
  <c r="Z10" i="5"/>
  <c r="T10" i="5"/>
  <c r="N10" i="5"/>
  <c r="H10" i="5"/>
  <c r="BD9" i="5"/>
  <c r="AX9" i="5"/>
  <c r="AR9" i="5"/>
  <c r="AL9" i="5"/>
  <c r="AF9" i="5"/>
  <c r="Z9" i="5"/>
  <c r="T9" i="5"/>
  <c r="N9" i="5"/>
  <c r="H9" i="5"/>
  <c r="BD8" i="5"/>
  <c r="AX8" i="5"/>
  <c r="AR8" i="5"/>
  <c r="AL8" i="5"/>
  <c r="AF8" i="5"/>
  <c r="Z8" i="5"/>
  <c r="T8" i="5"/>
  <c r="N8" i="5"/>
  <c r="H8" i="5"/>
  <c r="BD7" i="5"/>
  <c r="AX7" i="5"/>
  <c r="AR7" i="5"/>
  <c r="AL7" i="5"/>
  <c r="AF7" i="5"/>
  <c r="Z7" i="5"/>
  <c r="T7" i="5"/>
  <c r="N7" i="5"/>
  <c r="H7" i="5"/>
  <c r="BD6" i="5"/>
  <c r="AX6" i="5"/>
  <c r="AR6" i="5"/>
  <c r="AL6" i="5"/>
  <c r="AF6" i="5"/>
  <c r="Z6" i="5"/>
  <c r="T6" i="5"/>
  <c r="N6" i="5"/>
  <c r="H6" i="5"/>
  <c r="BD5" i="5"/>
  <c r="AX5" i="5"/>
  <c r="AR5" i="5"/>
  <c r="AL5" i="5"/>
  <c r="AF5" i="5"/>
  <c r="Z5" i="5"/>
  <c r="T5" i="5"/>
  <c r="N5" i="5"/>
  <c r="H5" i="5"/>
  <c r="BD4" i="5"/>
  <c r="AX4" i="5"/>
  <c r="AR4" i="5"/>
  <c r="AL4" i="5"/>
  <c r="AF4" i="5"/>
  <c r="Z4" i="5"/>
  <c r="T4" i="5"/>
  <c r="N4" i="5"/>
  <c r="H4" i="5"/>
  <c r="BD3" i="5"/>
  <c r="AX3" i="5"/>
  <c r="AR3" i="5"/>
  <c r="AL3" i="5"/>
  <c r="AF3" i="5"/>
  <c r="Z3" i="5"/>
  <c r="T3" i="5"/>
  <c r="N3" i="5"/>
  <c r="H3" i="5"/>
  <c r="BD2" i="5"/>
  <c r="K2" i="3" s="1"/>
  <c r="AX2" i="5"/>
  <c r="AR2" i="5"/>
  <c r="AL2" i="5"/>
  <c r="AF2" i="5"/>
  <c r="Z2" i="5"/>
  <c r="T2" i="5"/>
  <c r="N2" i="5"/>
  <c r="H2" i="5"/>
  <c r="I15" i="3"/>
  <c r="I9" i="3"/>
  <c r="I7" i="3"/>
  <c r="I5" i="3"/>
  <c r="I3" i="3"/>
  <c r="I16" i="3"/>
  <c r="I14" i="3"/>
  <c r="I12" i="3"/>
  <c r="I10" i="3"/>
  <c r="I8" i="3"/>
  <c r="I6" i="3"/>
  <c r="I4" i="3"/>
  <c r="BD16" i="1"/>
  <c r="AX16" i="1"/>
  <c r="AR16" i="1"/>
  <c r="AL16" i="1"/>
  <c r="AF16" i="1"/>
  <c r="Z16" i="1"/>
  <c r="T16" i="1"/>
  <c r="N16" i="1"/>
  <c r="H16" i="1"/>
  <c r="BD15" i="1"/>
  <c r="AX15" i="1"/>
  <c r="AR15" i="1"/>
  <c r="AL15" i="1"/>
  <c r="AF15" i="1"/>
  <c r="Z15" i="1"/>
  <c r="T15" i="1"/>
  <c r="N15" i="1"/>
  <c r="H15" i="1"/>
  <c r="BD14" i="1"/>
  <c r="AX14" i="1"/>
  <c r="AR14" i="1"/>
  <c r="AL14" i="1"/>
  <c r="AF14" i="1"/>
  <c r="Z14" i="1"/>
  <c r="T14" i="1"/>
  <c r="N14" i="1"/>
  <c r="H14" i="1"/>
  <c r="BD13" i="1"/>
  <c r="AX13" i="1"/>
  <c r="AR13" i="1"/>
  <c r="AL13" i="1"/>
  <c r="AF13" i="1"/>
  <c r="Z13" i="1"/>
  <c r="T13" i="1"/>
  <c r="N13" i="1"/>
  <c r="H13" i="1"/>
  <c r="BD12" i="1"/>
  <c r="AX12" i="1"/>
  <c r="AR12" i="1"/>
  <c r="AL12" i="1"/>
  <c r="AF12" i="1"/>
  <c r="Z12" i="1"/>
  <c r="T12" i="1"/>
  <c r="N12" i="1"/>
  <c r="H12" i="1"/>
  <c r="BD11" i="1"/>
  <c r="AX11" i="1"/>
  <c r="AR11" i="1"/>
  <c r="AL11" i="1"/>
  <c r="AF11" i="1"/>
  <c r="Z11" i="1"/>
  <c r="T11" i="1"/>
  <c r="N11" i="1"/>
  <c r="H11" i="1"/>
  <c r="BD10" i="1"/>
  <c r="AX10" i="1"/>
  <c r="AR10" i="1"/>
  <c r="AL10" i="1"/>
  <c r="AF10" i="1"/>
  <c r="Z10" i="1"/>
  <c r="T10" i="1"/>
  <c r="N10" i="1"/>
  <c r="H10" i="1"/>
  <c r="BD9" i="1"/>
  <c r="AX9" i="1"/>
  <c r="AR9" i="1"/>
  <c r="AL9" i="1"/>
  <c r="AF9" i="1"/>
  <c r="Z9" i="1"/>
  <c r="T9" i="1"/>
  <c r="N9" i="1"/>
  <c r="H9" i="1"/>
  <c r="BD8" i="1"/>
  <c r="AX8" i="1"/>
  <c r="AR8" i="1"/>
  <c r="AL8" i="1"/>
  <c r="AF8" i="1"/>
  <c r="Z8" i="1"/>
  <c r="T8" i="1"/>
  <c r="N8" i="1"/>
  <c r="H8" i="1"/>
  <c r="BD7" i="1"/>
  <c r="AX7" i="1"/>
  <c r="AR7" i="1"/>
  <c r="AL7" i="1"/>
  <c r="AF7" i="1"/>
  <c r="Z7" i="1"/>
  <c r="T7" i="1"/>
  <c r="N7" i="1"/>
  <c r="H7" i="1"/>
  <c r="BD6" i="1"/>
  <c r="AX6" i="1"/>
  <c r="AR6" i="1"/>
  <c r="AL6" i="1"/>
  <c r="AF6" i="1"/>
  <c r="Z6" i="1"/>
  <c r="T6" i="1"/>
  <c r="N6" i="1"/>
  <c r="H6" i="1"/>
  <c r="BD5" i="1"/>
  <c r="AX5" i="1"/>
  <c r="AR5" i="1"/>
  <c r="AL5" i="1"/>
  <c r="AF5" i="1"/>
  <c r="Z5" i="1"/>
  <c r="T5" i="1"/>
  <c r="N5" i="1"/>
  <c r="H5" i="1"/>
  <c r="BD4" i="1"/>
  <c r="AX4" i="1"/>
  <c r="AR4" i="1"/>
  <c r="AL4" i="1"/>
  <c r="AF4" i="1"/>
  <c r="Z4" i="1"/>
  <c r="T4" i="1"/>
  <c r="N4" i="1"/>
  <c r="H4" i="1"/>
  <c r="BD3" i="1"/>
  <c r="AX3" i="1"/>
  <c r="AR3" i="1"/>
  <c r="AL3" i="1"/>
  <c r="AF3" i="1"/>
  <c r="Z3" i="1"/>
  <c r="T3" i="1"/>
  <c r="N3" i="1"/>
  <c r="H3" i="1"/>
  <c r="BD2" i="1"/>
  <c r="AX2" i="1"/>
  <c r="AR2" i="1"/>
  <c r="AL2" i="1"/>
  <c r="AF2" i="1"/>
  <c r="Z2" i="1"/>
  <c r="T2" i="1"/>
  <c r="N2" i="1"/>
  <c r="H2" i="1"/>
  <c r="BD16" i="2"/>
  <c r="AX16" i="2"/>
  <c r="AR16" i="2"/>
  <c r="AL16" i="2"/>
  <c r="AF16" i="2"/>
  <c r="Z16" i="2"/>
  <c r="T16" i="2"/>
  <c r="N16" i="2"/>
  <c r="H16" i="2"/>
  <c r="BD15" i="2"/>
  <c r="AX15" i="2"/>
  <c r="AR15" i="2"/>
  <c r="AL15" i="2"/>
  <c r="AF15" i="2"/>
  <c r="Z15" i="2"/>
  <c r="T15" i="2"/>
  <c r="N15" i="2"/>
  <c r="H15" i="2"/>
  <c r="BD14" i="2"/>
  <c r="AX14" i="2"/>
  <c r="AR14" i="2"/>
  <c r="AL14" i="2"/>
  <c r="AF14" i="2"/>
  <c r="Z14" i="2"/>
  <c r="T14" i="2"/>
  <c r="N14" i="2"/>
  <c r="H14" i="2"/>
  <c r="BD13" i="2"/>
  <c r="AX13" i="2"/>
  <c r="AR13" i="2"/>
  <c r="AL13" i="2"/>
  <c r="AF13" i="2"/>
  <c r="Z13" i="2"/>
  <c r="T13" i="2"/>
  <c r="N13" i="2"/>
  <c r="H13" i="2"/>
  <c r="BD12" i="2"/>
  <c r="AX12" i="2"/>
  <c r="AR12" i="2"/>
  <c r="AL12" i="2"/>
  <c r="AF12" i="2"/>
  <c r="Z12" i="2"/>
  <c r="T12" i="2"/>
  <c r="N12" i="2"/>
  <c r="H12" i="2"/>
  <c r="BD11" i="2"/>
  <c r="AX11" i="2"/>
  <c r="AR11" i="2"/>
  <c r="AL11" i="2"/>
  <c r="AF11" i="2"/>
  <c r="Z11" i="2"/>
  <c r="T11" i="2"/>
  <c r="N11" i="2"/>
  <c r="H11" i="2"/>
  <c r="BD10" i="2"/>
  <c r="AX10" i="2"/>
  <c r="AR10" i="2"/>
  <c r="AL10" i="2"/>
  <c r="AF10" i="2"/>
  <c r="Z10" i="2"/>
  <c r="T10" i="2"/>
  <c r="N10" i="2"/>
  <c r="H10" i="2"/>
  <c r="BD9" i="2"/>
  <c r="AX9" i="2"/>
  <c r="AR9" i="2"/>
  <c r="AL9" i="2"/>
  <c r="AF9" i="2"/>
  <c r="Z9" i="2"/>
  <c r="T9" i="2"/>
  <c r="N9" i="2"/>
  <c r="H9" i="2"/>
  <c r="BD8" i="2"/>
  <c r="AX8" i="2"/>
  <c r="AR8" i="2"/>
  <c r="AL8" i="2"/>
  <c r="AF8" i="2"/>
  <c r="Z8" i="2"/>
  <c r="T8" i="2"/>
  <c r="N8" i="2"/>
  <c r="H8" i="2"/>
  <c r="BD7" i="2"/>
  <c r="AX7" i="2"/>
  <c r="AR7" i="2"/>
  <c r="AL7" i="2"/>
  <c r="AF7" i="2"/>
  <c r="Z7" i="2"/>
  <c r="T7" i="2"/>
  <c r="N7" i="2"/>
  <c r="H7" i="2"/>
  <c r="BD6" i="2"/>
  <c r="AX6" i="2"/>
  <c r="AR6" i="2"/>
  <c r="AL6" i="2"/>
  <c r="AF6" i="2"/>
  <c r="Z6" i="2"/>
  <c r="T6" i="2"/>
  <c r="N6" i="2"/>
  <c r="H6" i="2"/>
  <c r="BD5" i="2"/>
  <c r="AX5" i="2"/>
  <c r="AR5" i="2"/>
  <c r="AL5" i="2"/>
  <c r="AF5" i="2"/>
  <c r="Z5" i="2"/>
  <c r="T5" i="2"/>
  <c r="N5" i="2"/>
  <c r="H5" i="2"/>
  <c r="BD4" i="2"/>
  <c r="AX4" i="2"/>
  <c r="AR4" i="2"/>
  <c r="AL4" i="2"/>
  <c r="AF4" i="2"/>
  <c r="Z4" i="2"/>
  <c r="T4" i="2"/>
  <c r="N4" i="2"/>
  <c r="H4" i="2"/>
  <c r="BD3" i="2"/>
  <c r="AX3" i="2"/>
  <c r="AR3" i="2"/>
  <c r="AL3" i="2"/>
  <c r="AF3" i="2"/>
  <c r="Z3" i="2"/>
  <c r="T3" i="2"/>
  <c r="N3" i="2"/>
  <c r="H3" i="2"/>
  <c r="BD2" i="2"/>
  <c r="AX2" i="2"/>
  <c r="AR2" i="2"/>
  <c r="AL2" i="2"/>
  <c r="AF2" i="2"/>
  <c r="Z2" i="2"/>
  <c r="T2" i="2"/>
  <c r="N2" i="2"/>
  <c r="H2" i="2"/>
  <c r="BD16" i="4"/>
  <c r="AX16" i="4"/>
  <c r="AR16" i="4"/>
  <c r="AL16" i="4"/>
  <c r="AF16" i="4"/>
  <c r="Z16" i="4"/>
  <c r="T16" i="4"/>
  <c r="N16" i="4"/>
  <c r="H16" i="4"/>
  <c r="BD15" i="4"/>
  <c r="AX15" i="4"/>
  <c r="AR15" i="4"/>
  <c r="AL15" i="4"/>
  <c r="AF15" i="4"/>
  <c r="Z15" i="4"/>
  <c r="T15" i="4"/>
  <c r="N15" i="4"/>
  <c r="H15" i="4"/>
  <c r="BD14" i="4"/>
  <c r="AX14" i="4"/>
  <c r="AR14" i="4"/>
  <c r="AL14" i="4"/>
  <c r="AF14" i="4"/>
  <c r="Z14" i="4"/>
  <c r="T14" i="4"/>
  <c r="N14" i="4"/>
  <c r="H14" i="4"/>
  <c r="BD13" i="4"/>
  <c r="AX13" i="4"/>
  <c r="AR13" i="4"/>
  <c r="AL13" i="4"/>
  <c r="AF13" i="4"/>
  <c r="Z13" i="4"/>
  <c r="T13" i="4"/>
  <c r="N13" i="4"/>
  <c r="H13" i="4"/>
  <c r="BD12" i="4"/>
  <c r="AX12" i="4"/>
  <c r="AL12" i="4"/>
  <c r="AF12" i="4"/>
  <c r="Z12" i="4"/>
  <c r="T12" i="4"/>
  <c r="N12" i="4"/>
  <c r="H12" i="4"/>
  <c r="BD11" i="4"/>
  <c r="AX11" i="4"/>
  <c r="AR11" i="4"/>
  <c r="AL11" i="4"/>
  <c r="AF11" i="4"/>
  <c r="Z11" i="4"/>
  <c r="T11" i="4"/>
  <c r="N11" i="4"/>
  <c r="H11" i="4"/>
  <c r="BD10" i="4"/>
  <c r="AX10" i="4"/>
  <c r="AR10" i="4"/>
  <c r="AL10" i="4"/>
  <c r="AF10" i="4"/>
  <c r="Z10" i="4"/>
  <c r="T10" i="4"/>
  <c r="N10" i="4"/>
  <c r="H10" i="4"/>
  <c r="BD9" i="4"/>
  <c r="AX9" i="4"/>
  <c r="AR9" i="4"/>
  <c r="AL9" i="4"/>
  <c r="AF9" i="4"/>
  <c r="Z9" i="4"/>
  <c r="T9" i="4"/>
  <c r="N9" i="4"/>
  <c r="H9" i="4"/>
  <c r="BD8" i="4"/>
  <c r="AX8" i="4"/>
  <c r="AR8" i="4"/>
  <c r="AL8" i="4"/>
  <c r="AF8" i="4"/>
  <c r="Z8" i="4"/>
  <c r="T8" i="4"/>
  <c r="N8" i="4"/>
  <c r="H8" i="4"/>
  <c r="BD7" i="4"/>
  <c r="AX7" i="4"/>
  <c r="AR7" i="4"/>
  <c r="AL7" i="4"/>
  <c r="AF7" i="4"/>
  <c r="Z7" i="4"/>
  <c r="T7" i="4"/>
  <c r="N7" i="4"/>
  <c r="H7" i="4"/>
  <c r="BD6" i="4"/>
  <c r="AX6" i="4"/>
  <c r="AR6" i="4"/>
  <c r="AL6" i="4"/>
  <c r="AF6" i="4"/>
  <c r="Z6" i="4"/>
  <c r="T6" i="4"/>
  <c r="N6" i="4"/>
  <c r="H6" i="4"/>
  <c r="BD5" i="4"/>
  <c r="AX5" i="4"/>
  <c r="AR5" i="4"/>
  <c r="AL5" i="4"/>
  <c r="AF5" i="4"/>
  <c r="Z5" i="4"/>
  <c r="T5" i="4"/>
  <c r="N5" i="4"/>
  <c r="H5" i="4"/>
  <c r="BD4" i="4"/>
  <c r="AX4" i="4"/>
  <c r="AR4" i="4"/>
  <c r="AL4" i="4"/>
  <c r="AF4" i="4"/>
  <c r="Z4" i="4"/>
  <c r="T4" i="4"/>
  <c r="N4" i="4"/>
  <c r="H4" i="4"/>
  <c r="C4" i="3" s="1"/>
  <c r="BD3" i="4"/>
  <c r="AX3" i="4"/>
  <c r="AR3" i="4"/>
  <c r="AL3" i="4"/>
  <c r="AF3" i="4"/>
  <c r="Z3" i="4"/>
  <c r="T3" i="4"/>
  <c r="N3" i="4"/>
  <c r="H3" i="4"/>
  <c r="BD2" i="4"/>
  <c r="AX2" i="4"/>
  <c r="AL2" i="4"/>
  <c r="AF2" i="4"/>
  <c r="Z2" i="4"/>
  <c r="T2" i="4"/>
  <c r="N2" i="4"/>
  <c r="D2" i="3" l="1"/>
  <c r="J3" i="3"/>
  <c r="J8" i="3"/>
  <c r="J9" i="3"/>
  <c r="J5" i="3"/>
  <c r="J13" i="3"/>
  <c r="J4" i="3"/>
  <c r="J6" i="3"/>
  <c r="J14" i="3"/>
  <c r="J7" i="3"/>
  <c r="J15" i="3"/>
  <c r="J10" i="3"/>
  <c r="J16" i="3"/>
  <c r="J12" i="3"/>
  <c r="H9" i="3"/>
  <c r="K5" i="3"/>
  <c r="H8" i="3"/>
  <c r="K13" i="3"/>
  <c r="H16" i="3"/>
  <c r="K6" i="3"/>
  <c r="K14" i="3"/>
  <c r="I2" i="3"/>
  <c r="K16" i="3"/>
  <c r="H2" i="3"/>
  <c r="K7" i="3"/>
  <c r="H10" i="3"/>
  <c r="K15" i="3"/>
  <c r="H3" i="3"/>
  <c r="K8" i="3"/>
  <c r="H4" i="3"/>
  <c r="K9" i="3"/>
  <c r="H12" i="3"/>
  <c r="H5" i="3"/>
  <c r="K10" i="3"/>
  <c r="H13" i="3"/>
  <c r="K3" i="3"/>
  <c r="H6" i="3"/>
  <c r="H14" i="3"/>
  <c r="K4" i="3"/>
  <c r="H7" i="3"/>
  <c r="K12" i="3"/>
  <c r="H15" i="3"/>
  <c r="G16" i="3"/>
  <c r="F16" i="3"/>
  <c r="E16" i="3"/>
  <c r="D16" i="3"/>
  <c r="F15" i="3"/>
  <c r="E15" i="3"/>
  <c r="D15" i="3"/>
  <c r="G14" i="3"/>
  <c r="F14" i="3"/>
  <c r="E14" i="3"/>
  <c r="D14" i="3"/>
  <c r="G13" i="3"/>
  <c r="F13" i="3"/>
  <c r="E13" i="3"/>
  <c r="D13" i="3"/>
  <c r="G12" i="3"/>
  <c r="F12" i="3"/>
  <c r="E12" i="3"/>
  <c r="D12" i="3"/>
  <c r="G11" i="3"/>
  <c r="F11" i="3"/>
  <c r="E11" i="3"/>
  <c r="D11" i="3"/>
  <c r="G10" i="3"/>
  <c r="F10" i="3"/>
  <c r="E10" i="3"/>
  <c r="D10" i="3"/>
  <c r="G9" i="3"/>
  <c r="F9" i="3"/>
  <c r="E9" i="3"/>
  <c r="D9" i="3"/>
  <c r="G8" i="3"/>
  <c r="F8" i="3"/>
  <c r="E8" i="3"/>
  <c r="D8" i="3"/>
  <c r="G7" i="3"/>
  <c r="F7" i="3"/>
  <c r="E7" i="3"/>
  <c r="D7" i="3"/>
  <c r="G6" i="3"/>
  <c r="F6" i="3"/>
  <c r="E6" i="3"/>
  <c r="D6" i="3"/>
  <c r="G5" i="3"/>
  <c r="F5" i="3"/>
  <c r="E5" i="3"/>
  <c r="D5" i="3"/>
  <c r="G4" i="3"/>
  <c r="F4" i="3"/>
  <c r="E4" i="3"/>
  <c r="D4" i="3"/>
  <c r="G3" i="3"/>
  <c r="F3" i="3"/>
  <c r="E3" i="3"/>
  <c r="D3" i="3"/>
  <c r="F2" i="3"/>
  <c r="E2" i="3"/>
</calcChain>
</file>

<file path=xl/sharedStrings.xml><?xml version="1.0" encoding="utf-8"?>
<sst xmlns="http://schemas.openxmlformats.org/spreadsheetml/2006/main" count="589" uniqueCount="127">
  <si>
    <t>Caixas consultadas em pesquisa de desarquivamento</t>
  </si>
  <si>
    <t>Caixas separadas para classificação</t>
  </si>
  <si>
    <t>Processos/Documentos classificados</t>
  </si>
  <si>
    <t>Caixas separadas para eliminação</t>
  </si>
  <si>
    <t>Caixas inventariadas</t>
  </si>
  <si>
    <t>Processos/documentos inventariados</t>
  </si>
  <si>
    <t>Orientação técnica / atendimentos realizados</t>
  </si>
  <si>
    <t>Caixas remanejadas</t>
  </si>
  <si>
    <t>Documentos administrativos produzidos (Despacho, Nota Técnica, minutas diversas)</t>
  </si>
  <si>
    <t>INDICADORES</t>
  </si>
  <si>
    <t>OBSERVAÇÃO</t>
  </si>
  <si>
    <t xml:space="preserve">OUTRA ATIVIDADE. QUAL? </t>
  </si>
  <si>
    <t>Processos/Documentos listados para eliminação</t>
  </si>
  <si>
    <t>Caixas listadas para eliminação</t>
  </si>
  <si>
    <t>Caixas conferidas</t>
  </si>
  <si>
    <t>TOTAL SEMANA</t>
  </si>
  <si>
    <t>Recebimento de Documentos - Guia de Transferência</t>
  </si>
  <si>
    <t>Retorno de Processos/Documentos Desarquivados</t>
  </si>
  <si>
    <t>Desarquivamento de Processos/Documentos - Saída de Guia Fora</t>
  </si>
  <si>
    <t>Caixas remanejada</t>
  </si>
  <si>
    <t>Fonte</t>
  </si>
  <si>
    <t>SEI</t>
  </si>
  <si>
    <t>CONTAGEM INDIVIDUAL (das caixas abertas para verificação de conteúdo em contexto de pesquisa para desarquivamento)</t>
  </si>
  <si>
    <t>PLANILHA</t>
  </si>
  <si>
    <t>CONTAGEM INDIVIDUAL (das caixas "puxadas" nas estantes como uma pré-seleção para eliminação)</t>
  </si>
  <si>
    <t xml:space="preserve">Caixas listadas para eliminação </t>
  </si>
  <si>
    <t>SEI, E-MAIL, TELEFONE</t>
  </si>
  <si>
    <t>CONTAGEM INDIVIDUAL (de caixas deslocadas visando reorganização temporária ou permanente)</t>
  </si>
  <si>
    <t>CONTAGEM INDIVIDUAL (de caixas para simples conferência de quantitativo ou do conteúdo do espelho em atividades diversas)</t>
  </si>
  <si>
    <t>FONTE</t>
  </si>
  <si>
    <t>SEI (Depachos ou Ofícios assinados na unidade Diarq)</t>
  </si>
  <si>
    <t>CONTAGEM INDIVIDUAL (Caixas abertas para verificação de conteúdo em contexto de pesquisa para desarquivamento)</t>
  </si>
  <si>
    <t>SEI  (Depachos ou Ofícios assinados na unidade Diarq)</t>
  </si>
  <si>
    <t>CONTAGEM INDIVIDUAL (Caixas  "puxadas" nas estantes como uma pré-seleção para classificação)</t>
  </si>
  <si>
    <t>CONTAGEM INDIVIDUAL (Caixas "puxadas" nas estantes como uma pré-seleção para eliminação)</t>
  </si>
  <si>
    <t>CONTAGEM INDIVIDUAL (Caixas deslocadas/movimentadas visando reorganização temporária ou permanente)</t>
  </si>
  <si>
    <t>CONTAGEM INDIVIDUAL (Caixas consultadas para simples 'conferência de quantitativo' ou do 'conteúdo do espelho' em atividades diversas)</t>
  </si>
  <si>
    <t>SEI (Depachos, Ofícios ou outros documentos assinados na unidade Diarq)</t>
  </si>
  <si>
    <t xml:space="preserve"> Procura de caixas para 
eliminação.</t>
  </si>
  <si>
    <t xml:space="preserve">procurando processo solicitado </t>
  </si>
  <si>
    <t xml:space="preserve"> Inventário de fotos  LBA</t>
  </si>
  <si>
    <t>1. Procura de caixas para eliminação.
2. Acompanhamento da conferência dos parimônios no Bloco A, sala G-15</t>
  </si>
  <si>
    <t>Palestra no Arquivo Nacional
Fomos liberados do Ponto Eletrônico.</t>
  </si>
  <si>
    <t xml:space="preserve"> Pesquisa e busca pelo processo
71000.004542/2005-12 (SESAN)</t>
  </si>
  <si>
    <r>
      <t xml:space="preserve"> Pesquisa e busca pelo processo
71000.004542/2005-12 (SESAN)
</t>
    </r>
    <r>
      <rPr>
        <sz val="11"/>
        <color rgb="FFFF0000"/>
        <rFont val="Aptos Narrow"/>
        <family val="2"/>
        <scheme val="minor"/>
      </rPr>
      <t>Não encontrado registro de entrada neste arquivo.</t>
    </r>
  </si>
  <si>
    <t xml:space="preserve">1. E-mail de orientação de desarquivamento para o Wederson da CGPC.
2. Pesquisa e busca pelo processo  44000.006180/1997-51 </t>
  </si>
  <si>
    <t>1. Pesquisa e busca pelo processo  44000.006180/1997-51.
2. Pesquisa e busca pela pasta funcional - DYLENY TEIXEIRA ALVES DA SILVA</t>
  </si>
  <si>
    <t xml:space="preserve"> 1. Pesquisa e busca pelo processo  44000.006180/1997-51.
2. Inventário de fotos LBA.</t>
  </si>
  <si>
    <t>Inventário de Fotos LBA.</t>
  </si>
  <si>
    <t xml:space="preserve">Procura de caixas para eliminação.
</t>
  </si>
  <si>
    <t xml:space="preserve"> Procura de caixas para eliminação.
</t>
  </si>
  <si>
    <t xml:space="preserve"> Pesquisa e busca pelo processo  44000.006180/1997-51 </t>
  </si>
  <si>
    <t xml:space="preserve">  Inventário de fotos LBA.</t>
  </si>
  <si>
    <t xml:space="preserve">Pesquisa e busca dos cadernos de protocoloda SESAN-Apoio no bloco A </t>
  </si>
  <si>
    <t>Inventário de fotos LBA.</t>
  </si>
  <si>
    <t>Inventário de Fotos LBA</t>
  </si>
  <si>
    <r>
      <t xml:space="preserve"> Inventário de fotos  </t>
    </r>
    <r>
      <rPr>
        <b/>
        <sz val="11"/>
        <color theme="1"/>
        <rFont val="Aptos Narrow"/>
        <family val="2"/>
        <scheme val="minor"/>
      </rPr>
      <t>LBA</t>
    </r>
  </si>
  <si>
    <r>
      <t xml:space="preserve">Correções e Formatação de campos da planilha do </t>
    </r>
    <r>
      <rPr>
        <b/>
        <sz val="11"/>
        <color theme="1"/>
        <rFont val="Aptos Narrow"/>
        <family val="2"/>
        <scheme val="minor"/>
      </rPr>
      <t>ARCEN</t>
    </r>
    <r>
      <rPr>
        <sz val="11"/>
        <color theme="1"/>
        <rFont val="Aptos Narrow"/>
        <family val="2"/>
        <scheme val="minor"/>
      </rPr>
      <t xml:space="preserve">
(Otimização e padronização)</t>
    </r>
  </si>
  <si>
    <t>Atestado 
Médico</t>
  </si>
  <si>
    <t>1. Pesquisa e buca
processo 71010.117059/2008-13.
2. Pesquisa e busca processo 
23132.000438/95-22.</t>
  </si>
  <si>
    <t xml:space="preserve"> Pesquisa e busca processo 
23132.000438/95-22
FUNDESPORTE.</t>
  </si>
  <si>
    <t>1.  Pesquisa e busca processo 
23132.000438/95-22
FUNDESPORTE.
2. Inventário de Fotos LBA.
1 caixa</t>
  </si>
  <si>
    <t>atestado</t>
  </si>
  <si>
    <t>video conferencia - referente ao GODOCS</t>
  </si>
  <si>
    <t>Mexendo com o sistema GOLDOCS</t>
  </si>
  <si>
    <t>Pesquisa e busca pelo processo  44000.006180/1997-51.</t>
  </si>
  <si>
    <t>realizando o invetário do patrimonio  bloco A</t>
  </si>
  <si>
    <t xml:space="preserve"> Pesquisa e busca de 30 processos do esporte </t>
  </si>
  <si>
    <t>Inventário de Fotos LBA.
2 caixas</t>
  </si>
  <si>
    <t>Contagem dos patrimônios da sala G-15 - Bloco A.
Resultado: Positivo, nada faltando.</t>
  </si>
  <si>
    <t>1. Busca por caixas de fotos LBA.
Total: 14 caixas.
2. Pesquisa e busca por 30 processosdo MESP.
Solicitação e-mail de 26/08/2025, por Carlos Henrique Ribeiro de Sousa.</t>
  </si>
  <si>
    <t>Pesquisa e busca por 30 processosdo MESP.
Solicitação e-mail de 26/08/2025, por Carlos Henrique Ribeiro de Sousa.</t>
  </si>
  <si>
    <t xml:space="preserve"> Busca por caixas de fotos LBA. - Total: 14 caixas</t>
  </si>
  <si>
    <t>PROCURANDO CAIXAS DA LBA</t>
  </si>
  <si>
    <t>fazendo um - Resumo - Pesquisa na planilha Retorno SOS</t>
  </si>
  <si>
    <t>recebimento das fotos da LBA do bloco A</t>
  </si>
  <si>
    <t>Inventário de Fotos LBA.
3 caixas</t>
  </si>
  <si>
    <t>Pesquisa e busca por caixas de fotos LBA no Bloco A - G-15</t>
  </si>
  <si>
    <t>1. Pesquisa e busca por caixas de fotos LBA no 
Bloco A - G-15.
2. Acompanhamento movimentação caixas fotos LBA, do Bloco A para o DNIT.</t>
  </si>
  <si>
    <t>Selecionando fostos LBA bloco A para envio DNIT</t>
  </si>
  <si>
    <t xml:space="preserve">revisando  as alterações feitas no relatoria </t>
  </si>
  <si>
    <t>1. Analisando a Pasta de Rede, o Arquivo LBA 
para otimização das planilhas.
2. Inventário de Fotos LBA.
1 caixa.</t>
  </si>
  <si>
    <r>
      <t xml:space="preserve"> Pesquisa e busca de </t>
    </r>
    <r>
      <rPr>
        <b/>
        <sz val="11"/>
        <color theme="1"/>
        <rFont val="Aptos Narrow"/>
        <family val="2"/>
        <scheme val="minor"/>
      </rPr>
      <t>30 processos</t>
    </r>
    <r>
      <rPr>
        <sz val="11"/>
        <color theme="1"/>
        <rFont val="Aptos Narrow"/>
        <family val="2"/>
        <scheme val="minor"/>
      </rPr>
      <t xml:space="preserve"> do esporte </t>
    </r>
  </si>
  <si>
    <t xml:space="preserve">PROCURANDO  O PROCESSO DA LBA </t>
  </si>
  <si>
    <t>AFASTAMENTO POR MOTIVO DE SAÚDE</t>
  </si>
  <si>
    <t>NÃO HOUVE ATIVIDADES COM INVENTÁRIO DE FOTOS: MOTIVOS DE SAÚDE</t>
  </si>
  <si>
    <t>Inventário de fotos em planilha.</t>
  </si>
  <si>
    <r>
      <rPr>
        <sz val="11"/>
        <color rgb="FFFF0000"/>
        <rFont val="Aptos Narrow"/>
        <family val="2"/>
        <scheme val="minor"/>
      </rPr>
      <t>1. Curso Redação Oficial On-line - 8h30 às 12h.</t>
    </r>
    <r>
      <rPr>
        <sz val="11"/>
        <color theme="1"/>
        <rFont val="Aptos Narrow"/>
        <family val="2"/>
        <scheme val="minor"/>
      </rPr>
      <t xml:space="preserve">
2.   Inventário de Fotos LBA.
1 caixa e 2 álbuns.</t>
    </r>
  </si>
  <si>
    <r>
      <rPr>
        <sz val="11"/>
        <color rgb="FFFF0000"/>
        <rFont val="Aptos Narrow"/>
        <family val="2"/>
        <scheme val="minor"/>
      </rPr>
      <t xml:space="preserve"> 1. Curso Redação Oficial On-line -
 8h30 às 12h.</t>
    </r>
    <r>
      <rPr>
        <sz val="11"/>
        <color theme="1"/>
        <rFont val="Aptos Narrow"/>
        <family val="2"/>
        <scheme val="minor"/>
      </rPr>
      <t xml:space="preserve">
2. Pesquisa e busca por processo da LBA,
 imóvel Rio de Janeiro.
Solicitação por e-mail da SNAS, 
Gustavo encaminhou em 8/9/2025.
Encontrados 2 processos.</t>
    </r>
  </si>
  <si>
    <r>
      <t xml:space="preserve"> </t>
    </r>
    <r>
      <rPr>
        <sz val="11"/>
        <color rgb="FFFF0000"/>
        <rFont val="Aptos Narrow"/>
        <family val="2"/>
        <scheme val="minor"/>
      </rPr>
      <t>1. Curso Redação Oficial On-line -
 8h30 às 12h</t>
    </r>
    <r>
      <rPr>
        <sz val="11"/>
        <color theme="1"/>
        <rFont val="Aptos Narrow"/>
        <family val="2"/>
        <scheme val="minor"/>
      </rPr>
      <t>.
2.   Inventário de Fotos LBA.
7 álbuns.</t>
    </r>
  </si>
  <si>
    <r>
      <t xml:space="preserve"> </t>
    </r>
    <r>
      <rPr>
        <sz val="11"/>
        <color rgb="FFFF0000"/>
        <rFont val="Aptos Narrow"/>
        <family val="2"/>
        <scheme val="minor"/>
      </rPr>
      <t>1. Curso Redação Oficial On-line -
 8h30 às 12h.</t>
    </r>
    <r>
      <rPr>
        <sz val="11"/>
        <color theme="1"/>
        <rFont val="Aptos Narrow"/>
        <family val="2"/>
        <scheme val="minor"/>
      </rPr>
      <t xml:space="preserve">
2.</t>
    </r>
    <r>
      <rPr>
        <sz val="11"/>
        <rFont val="Aptos Narrow"/>
        <family val="2"/>
        <scheme val="minor"/>
      </rPr>
      <t xml:space="preserve"> Inventário de Fotos LBA.
4 álbuns.</t>
    </r>
  </si>
  <si>
    <r>
      <t xml:space="preserve"> </t>
    </r>
    <r>
      <rPr>
        <sz val="11"/>
        <color rgb="FFFF0000"/>
        <rFont val="Aptos Narrow"/>
        <family val="2"/>
        <scheme val="minor"/>
      </rPr>
      <t>1. Curso Redação Oficial On-line -
 8h30 às 12h.</t>
    </r>
    <r>
      <rPr>
        <sz val="11"/>
        <color theme="1"/>
        <rFont val="Aptos Narrow"/>
        <family val="2"/>
        <scheme val="minor"/>
      </rPr>
      <t xml:space="preserve">
2. Documento produzido:
E-mail para fins de registro DIARQ.</t>
    </r>
  </si>
  <si>
    <r>
      <t xml:space="preserve"> </t>
    </r>
    <r>
      <rPr>
        <b/>
        <sz val="11"/>
        <color theme="1"/>
        <rFont val="Aptos Narrow"/>
        <family val="2"/>
        <scheme val="minor"/>
      </rPr>
      <t>1. Curso Redação Oficial On-line -
 8h30 às 12h</t>
    </r>
    <r>
      <rPr>
        <sz val="11"/>
        <color theme="1"/>
        <rFont val="Aptos Narrow"/>
        <family val="2"/>
        <scheme val="minor"/>
      </rPr>
      <t xml:space="preserve">. Inventário de fotos  </t>
    </r>
    <r>
      <rPr>
        <b/>
        <sz val="11"/>
        <color theme="1"/>
        <rFont val="Aptos Narrow"/>
        <family val="2"/>
        <scheme val="minor"/>
      </rPr>
      <t>LBA</t>
    </r>
  </si>
  <si>
    <t xml:space="preserve">fazendo curso de Redação Oficial e Linguagem Simples </t>
  </si>
  <si>
    <t xml:space="preserve">04/08 a 08/08/2025 </t>
  </si>
  <si>
    <t xml:space="preserve">11/08 a 15/08/2025 </t>
  </si>
  <si>
    <t>CONTAGEM INDIVIDUAL (das caixas "puxadas" nas estantes como uma pré-seleção para classificação)</t>
  </si>
  <si>
    <t xml:space="preserve">18/08 a 22/08/2025 </t>
  </si>
  <si>
    <t xml:space="preserve">25/08 a 29/08/2025 </t>
  </si>
  <si>
    <t xml:space="preserve">01/09 a 05/09/2025 </t>
  </si>
  <si>
    <t xml:space="preserve">08/09 a 12/09/2025 </t>
  </si>
  <si>
    <t xml:space="preserve">15/09 a 19/09/2025 </t>
  </si>
  <si>
    <t xml:space="preserve">29/09 a 03/10/2025 </t>
  </si>
  <si>
    <t xml:space="preserve">22/09 a 26/09/2025 </t>
  </si>
  <si>
    <t>1. Contagem total do Inventário
 de fotos LBA.
2. Preparação desarquivamento 30 processos, ida ao Bloco A.
3. Desarquivamento Pasta Funcional.</t>
  </si>
  <si>
    <t>1. Preparação desarquivamento 30 processos, ida ao Bloco A.
2. Acompanhamento visita dos professores da UNB nos Arquivos do DNIT, a respeito das fotos LBA.</t>
  </si>
  <si>
    <t>1. Preparação desarquivamento 30 processos.</t>
  </si>
  <si>
    <t>1. Preparação desarquivamento 30 processos.
2. Desarquivamento 30 processos.</t>
  </si>
  <si>
    <t>1. Tratando do desarqivamento dos 30 processos, pois já estão digitalizados no antigo SEI do  Esporte.
2.  Criação de 30 Despachos, o da demanda principal e dos 29 processos que foram exportados do SEI Esporte para DIARQ. Então tramitamos para CPAD 01/2025 da Corregedoria do Ministério do Esporte</t>
  </si>
  <si>
    <r>
      <t xml:space="preserve">Revisão da planilha de Inventário de fotos </t>
    </r>
    <r>
      <rPr>
        <b/>
        <sz val="11"/>
        <color theme="1"/>
        <rFont val="Aptos Narrow"/>
        <family val="2"/>
        <scheme val="minor"/>
      </rPr>
      <t>LBA</t>
    </r>
  </si>
  <si>
    <t xml:space="preserve">RECEBIMENTO DE 140 CAIXAS </t>
  </si>
  <si>
    <t>INVETARIO DE SLIDES DA LBA</t>
  </si>
  <si>
    <t xml:space="preserve">ENTREGANDO AS DOCUMENTAÇÃO DA EMPRESA NOVA </t>
  </si>
  <si>
    <t>1. Conferência de 29 Despachos se foram enviados corretamento para o setor CPAD01/2025.
2. Criação de Despacho.</t>
  </si>
  <si>
    <t xml:space="preserve"> 1. Preparação do envio das 70 caixas
 para o DEFNAS.
2. Criação de modelo de e-mail de autorização de saída das 70 caixas, enviado para a Patrícia.</t>
  </si>
  <si>
    <t>Censura de PDF's para enviar para o Arquivo Nacional.</t>
  </si>
  <si>
    <t xml:space="preserve"> 1. Envio de 70 caixas para o DEFNAS e 
recebimento de 70 caixas DEFNAS.
2. Censura de PDF's para enviar para o Arquivo Nacional.</t>
  </si>
  <si>
    <t>Folga autorizada por Patrícia.</t>
  </si>
  <si>
    <t>Conversa entre os terceirizados sobre a demanda da apostila que a Patrícia entregou.
Resultado: Microfilmes somente resultado total; Mapas não foi possível devido serem anexos de processos; Fotos conseguiremos dar o resultado;
Contagem das caixas total do Acervo conseguiremos.</t>
  </si>
  <si>
    <t xml:space="preserve"> 1. Confraternização: Aniversário do 
Danilo.
2. Reunião com a chefe Patrícia para tratar dos tópicos da apostila.
3. Entreguei o resultado total de microfilmes e fotos da LBA, que constam nas planilhas, para a Patrícia.</t>
  </si>
  <si>
    <t xml:space="preserve">Conferência caixas do DEFNAS.
</t>
  </si>
  <si>
    <t xml:space="preserve">1. Conferência caixas do DEFNAS.
2. Pesquisa e busca por processos DEFNAS.
</t>
  </si>
  <si>
    <t xml:space="preserve"> Confraternização: Aniversário do 
Danilo.
</t>
  </si>
  <si>
    <t>Juntada e entrega de documentação para nova empresa
(GE Serviços)</t>
  </si>
  <si>
    <t>conferindo patrimonio</t>
  </si>
  <si>
    <t xml:space="preserve">procurando processo </t>
  </si>
  <si>
    <t xml:space="preserve"> 1. Confraternização: Aniversário 
2. Reunião com a chefe Patrícia para tratar dos tópicos da apostila.
3. Entreguei o resultado total de microfilmes e fotos da LBA, que constam nas planilhas, para a Patrícia.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</si>
</sst>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b/>
      <sz val="16"/>
      <color theme="1"/>
      <name val="Aptos Narrow"/>
      <family val="2"/>
      <scheme val="minor"/>
    </font>
    <font>
      <b/>
      <sz val="9"/>
      <color theme="1"/>
      <name val="Calibri"/>
      <family val="2"/>
    </font>
    <font>
      <b/>
      <sz val="9"/>
      <name val="Calibri"/>
      <family val="2"/>
    </font>
    <font>
      <b/>
      <sz val="18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EDEDED"/>
      </patternFill>
    </fill>
    <fill>
      <patternFill patternType="solid">
        <fgColor rgb="FFF2F2F2"/>
        <bgColor rgb="FFDDDDD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DDDDD"/>
      </patternFill>
    </fill>
    <fill>
      <patternFill patternType="solid">
        <fgColor rgb="FFFFFF00"/>
        <bgColor rgb="FFEDEDED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4" borderId="1" xfId="0" applyFill="1" applyBorder="1" applyAlignment="1">
      <alignment horizontal="center" vertical="center"/>
    </xf>
    <xf numFmtId="16" fontId="0" fillId="4" borderId="1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7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right" vertical="center" wrapText="1"/>
    </xf>
    <xf numFmtId="0" fontId="1" fillId="3" borderId="6" xfId="0" applyFont="1" applyFill="1" applyBorder="1" applyAlignment="1">
      <alignment horizontal="right" vertical="center" wrapText="1"/>
    </xf>
    <xf numFmtId="0" fontId="0" fillId="4" borderId="0" xfId="0" applyFill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16" fontId="0" fillId="0" borderId="12" xfId="0" applyNumberFormat="1" applyBorder="1" applyAlignment="1">
      <alignment horizontal="center" vertical="center"/>
    </xf>
    <xf numFmtId="16" fontId="0" fillId="4" borderId="12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1" fillId="6" borderId="4" xfId="0" applyFont="1" applyFill="1" applyBorder="1" applyAlignment="1">
      <alignment horizontal="right" vertical="center" wrapText="1"/>
    </xf>
    <xf numFmtId="0" fontId="1" fillId="3" borderId="4" xfId="0" applyFont="1" applyFill="1" applyBorder="1" applyAlignment="1">
      <alignment horizontal="right" vertical="center" wrapText="1"/>
    </xf>
    <xf numFmtId="3" fontId="0" fillId="0" borderId="8" xfId="0" applyNumberFormat="1" applyBorder="1" applyAlignment="1">
      <alignment horizontal="center" vertical="center"/>
    </xf>
    <xf numFmtId="3" fontId="0" fillId="5" borderId="4" xfId="0" applyNumberFormat="1" applyFill="1" applyBorder="1" applyAlignment="1">
      <alignment horizontal="center" vertical="center"/>
    </xf>
    <xf numFmtId="3" fontId="0" fillId="10" borderId="4" xfId="0" applyNumberFormat="1" applyFill="1" applyBorder="1" applyAlignment="1">
      <alignment horizontal="center" vertical="center"/>
    </xf>
    <xf numFmtId="0" fontId="0" fillId="0" borderId="0" xfId="0" applyAlignment="1">
      <alignment horizontal="center" textRotation="255" wrapText="1" readingOrder="2"/>
    </xf>
    <xf numFmtId="0" fontId="5" fillId="5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7" borderId="4" xfId="0" applyFont="1" applyFill="1" applyBorder="1" applyAlignment="1">
      <alignment horizontal="right" vertical="center" wrapText="1"/>
    </xf>
    <xf numFmtId="0" fontId="10" fillId="2" borderId="4" xfId="0" applyFont="1" applyFill="1" applyBorder="1" applyAlignment="1">
      <alignment horizontal="right" vertical="center" wrapText="1"/>
    </xf>
    <xf numFmtId="0" fontId="10" fillId="6" borderId="4" xfId="0" applyFont="1" applyFill="1" applyBorder="1" applyAlignment="1">
      <alignment horizontal="right" vertical="center" wrapText="1"/>
    </xf>
    <xf numFmtId="0" fontId="10" fillId="3" borderId="4" xfId="0" applyFont="1" applyFill="1" applyBorder="1" applyAlignment="1">
      <alignment horizontal="right" vertical="center" wrapText="1"/>
    </xf>
    <xf numFmtId="0" fontId="8" fillId="5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0" fillId="11" borderId="0" xfId="0" applyFill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usernames" Target="revisions/userNames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117" Type="http://schemas.openxmlformats.org/officeDocument/2006/relationships/revisionLog" Target="revisionLog117.xml"/><Relationship Id="rId299" Type="http://schemas.openxmlformats.org/officeDocument/2006/relationships/revisionLog" Target="revisionLog245.xml"/><Relationship Id="rId63" Type="http://schemas.openxmlformats.org/officeDocument/2006/relationships/revisionLog" Target="revisionLog63.xml"/><Relationship Id="rId159" Type="http://schemas.openxmlformats.org/officeDocument/2006/relationships/revisionLog" Target="revisionLog16.xml"/><Relationship Id="rId170" Type="http://schemas.openxmlformats.org/officeDocument/2006/relationships/revisionLog" Target="revisionLog27.xml"/><Relationship Id="rId226" Type="http://schemas.openxmlformats.org/officeDocument/2006/relationships/revisionLog" Target="revisionLog172.xml"/><Relationship Id="rId107" Type="http://schemas.openxmlformats.org/officeDocument/2006/relationships/revisionLog" Target="revisionLog107.xml"/><Relationship Id="rId268" Type="http://schemas.openxmlformats.org/officeDocument/2006/relationships/revisionLog" Target="revisionLog214.xml"/><Relationship Id="rId289" Type="http://schemas.openxmlformats.org/officeDocument/2006/relationships/revisionLog" Target="revisionLog235.xml"/><Relationship Id="rId149" Type="http://schemas.openxmlformats.org/officeDocument/2006/relationships/revisionLog" Target="revisionLog143.xml"/><Relationship Id="rId128" Type="http://schemas.openxmlformats.org/officeDocument/2006/relationships/revisionLog" Target="revisionLog1.xml"/><Relationship Id="rId74" Type="http://schemas.openxmlformats.org/officeDocument/2006/relationships/revisionLog" Target="revisionLog74.xml"/><Relationship Id="rId314" Type="http://schemas.openxmlformats.org/officeDocument/2006/relationships/revisionLog" Target="revisionLog260.xml"/><Relationship Id="rId95" Type="http://schemas.openxmlformats.org/officeDocument/2006/relationships/revisionLog" Target="revisionLog95.xml"/><Relationship Id="rId160" Type="http://schemas.openxmlformats.org/officeDocument/2006/relationships/revisionLog" Target="revisionLog17.xml"/><Relationship Id="rId181" Type="http://schemas.openxmlformats.org/officeDocument/2006/relationships/revisionLog" Target="revisionLog38.xml"/><Relationship Id="rId216" Type="http://schemas.openxmlformats.org/officeDocument/2006/relationships/revisionLog" Target="revisionLog162.xml"/><Relationship Id="rId237" Type="http://schemas.openxmlformats.org/officeDocument/2006/relationships/revisionLog" Target="revisionLog183.xml"/><Relationship Id="rId258" Type="http://schemas.openxmlformats.org/officeDocument/2006/relationships/revisionLog" Target="revisionLog204.xml"/><Relationship Id="rId279" Type="http://schemas.openxmlformats.org/officeDocument/2006/relationships/revisionLog" Target="revisionLog225.xml"/><Relationship Id="rId139" Type="http://schemas.openxmlformats.org/officeDocument/2006/relationships/revisionLog" Target="revisionLog138.xml"/><Relationship Id="rId118" Type="http://schemas.openxmlformats.org/officeDocument/2006/relationships/revisionLog" Target="revisionLog118.xml"/><Relationship Id="rId64" Type="http://schemas.openxmlformats.org/officeDocument/2006/relationships/revisionLog" Target="revisionLog64.xml"/><Relationship Id="rId290" Type="http://schemas.openxmlformats.org/officeDocument/2006/relationships/revisionLog" Target="revisionLog236.xml"/><Relationship Id="rId304" Type="http://schemas.openxmlformats.org/officeDocument/2006/relationships/revisionLog" Target="revisionLog250.xml"/><Relationship Id="rId85" Type="http://schemas.openxmlformats.org/officeDocument/2006/relationships/revisionLog" Target="revisionLog85.xml"/><Relationship Id="rId150" Type="http://schemas.openxmlformats.org/officeDocument/2006/relationships/revisionLog" Target="revisionLog7.xml"/><Relationship Id="rId171" Type="http://schemas.openxmlformats.org/officeDocument/2006/relationships/revisionLog" Target="revisionLog28.xml"/><Relationship Id="rId192" Type="http://schemas.openxmlformats.org/officeDocument/2006/relationships/revisionLog" Target="revisionLog49.xml"/><Relationship Id="rId206" Type="http://schemas.openxmlformats.org/officeDocument/2006/relationships/revisionLog" Target="revisionLog152.xml"/><Relationship Id="rId227" Type="http://schemas.openxmlformats.org/officeDocument/2006/relationships/revisionLog" Target="revisionLog173.xml"/><Relationship Id="rId248" Type="http://schemas.openxmlformats.org/officeDocument/2006/relationships/revisionLog" Target="revisionLog194.xml"/><Relationship Id="rId269" Type="http://schemas.openxmlformats.org/officeDocument/2006/relationships/revisionLog" Target="revisionLog215.xml"/><Relationship Id="rId129" Type="http://schemas.openxmlformats.org/officeDocument/2006/relationships/revisionLog" Target="revisionLog128.xml"/><Relationship Id="rId108" Type="http://schemas.openxmlformats.org/officeDocument/2006/relationships/revisionLog" Target="revisionLog108.xml"/><Relationship Id="rId280" Type="http://schemas.openxmlformats.org/officeDocument/2006/relationships/revisionLog" Target="revisionLog226.xml"/><Relationship Id="rId315" Type="http://schemas.openxmlformats.org/officeDocument/2006/relationships/revisionLog" Target="revisionLog261.xml"/><Relationship Id="rId75" Type="http://schemas.openxmlformats.org/officeDocument/2006/relationships/revisionLog" Target="revisionLog75.xml"/><Relationship Id="rId96" Type="http://schemas.openxmlformats.org/officeDocument/2006/relationships/revisionLog" Target="revisionLog96.xml"/><Relationship Id="rId140" Type="http://schemas.openxmlformats.org/officeDocument/2006/relationships/revisionLog" Target="revisionLog139.xml"/><Relationship Id="rId161" Type="http://schemas.openxmlformats.org/officeDocument/2006/relationships/revisionLog" Target="revisionLog18.xml"/><Relationship Id="rId182" Type="http://schemas.openxmlformats.org/officeDocument/2006/relationships/revisionLog" Target="revisionLog39.xml"/><Relationship Id="rId217" Type="http://schemas.openxmlformats.org/officeDocument/2006/relationships/revisionLog" Target="revisionLog163.xml"/><Relationship Id="rId238" Type="http://schemas.openxmlformats.org/officeDocument/2006/relationships/revisionLog" Target="revisionLog184.xml"/><Relationship Id="rId259" Type="http://schemas.openxmlformats.org/officeDocument/2006/relationships/revisionLog" Target="revisionLog205.xml"/><Relationship Id="rId119" Type="http://schemas.openxmlformats.org/officeDocument/2006/relationships/revisionLog" Target="revisionLog119.xml"/><Relationship Id="rId270" Type="http://schemas.openxmlformats.org/officeDocument/2006/relationships/revisionLog" Target="revisionLog216.xml"/><Relationship Id="rId291" Type="http://schemas.openxmlformats.org/officeDocument/2006/relationships/revisionLog" Target="revisionLog237.xml"/><Relationship Id="rId305" Type="http://schemas.openxmlformats.org/officeDocument/2006/relationships/revisionLog" Target="revisionLog251.xml"/><Relationship Id="rId65" Type="http://schemas.openxmlformats.org/officeDocument/2006/relationships/revisionLog" Target="revisionLog65.xml"/><Relationship Id="rId86" Type="http://schemas.openxmlformats.org/officeDocument/2006/relationships/revisionLog" Target="revisionLog86.xml"/><Relationship Id="rId130" Type="http://schemas.openxmlformats.org/officeDocument/2006/relationships/revisionLog" Target="revisionLog129.xml"/><Relationship Id="rId151" Type="http://schemas.openxmlformats.org/officeDocument/2006/relationships/revisionLog" Target="revisionLog8.xml"/><Relationship Id="rId172" Type="http://schemas.openxmlformats.org/officeDocument/2006/relationships/revisionLog" Target="revisionLog29.xml"/><Relationship Id="rId193" Type="http://schemas.openxmlformats.org/officeDocument/2006/relationships/revisionLog" Target="revisionLog50.xml"/><Relationship Id="rId207" Type="http://schemas.openxmlformats.org/officeDocument/2006/relationships/revisionLog" Target="revisionLog153.xml"/><Relationship Id="rId228" Type="http://schemas.openxmlformats.org/officeDocument/2006/relationships/revisionLog" Target="revisionLog174.xml"/><Relationship Id="rId249" Type="http://schemas.openxmlformats.org/officeDocument/2006/relationships/revisionLog" Target="revisionLog195.xml"/><Relationship Id="rId109" Type="http://schemas.openxmlformats.org/officeDocument/2006/relationships/revisionLog" Target="revisionLog109.xml"/><Relationship Id="rId260" Type="http://schemas.openxmlformats.org/officeDocument/2006/relationships/revisionLog" Target="revisionLog206.xml"/><Relationship Id="rId281" Type="http://schemas.openxmlformats.org/officeDocument/2006/relationships/revisionLog" Target="revisionLog227.xml"/><Relationship Id="rId316" Type="http://schemas.openxmlformats.org/officeDocument/2006/relationships/revisionLog" Target="revisionLog262.xml"/><Relationship Id="rId141" Type="http://schemas.openxmlformats.org/officeDocument/2006/relationships/revisionLog" Target="revisionLog140.xml"/><Relationship Id="rId55" Type="http://schemas.openxmlformats.org/officeDocument/2006/relationships/revisionLog" Target="revisionLog55.xml"/><Relationship Id="rId76" Type="http://schemas.openxmlformats.org/officeDocument/2006/relationships/revisionLog" Target="revisionLog76.xml"/><Relationship Id="rId97" Type="http://schemas.openxmlformats.org/officeDocument/2006/relationships/revisionLog" Target="revisionLog97.xml"/><Relationship Id="rId120" Type="http://schemas.openxmlformats.org/officeDocument/2006/relationships/revisionLog" Target="revisionLog120.xml"/><Relationship Id="rId162" Type="http://schemas.openxmlformats.org/officeDocument/2006/relationships/revisionLog" Target="revisionLog19.xml"/><Relationship Id="rId183" Type="http://schemas.openxmlformats.org/officeDocument/2006/relationships/revisionLog" Target="revisionLog40.xml"/><Relationship Id="rId218" Type="http://schemas.openxmlformats.org/officeDocument/2006/relationships/revisionLog" Target="revisionLog164.xml"/><Relationship Id="rId239" Type="http://schemas.openxmlformats.org/officeDocument/2006/relationships/revisionLog" Target="revisionLog185.xml"/><Relationship Id="rId250" Type="http://schemas.openxmlformats.org/officeDocument/2006/relationships/revisionLog" Target="revisionLog196.xml"/><Relationship Id="rId271" Type="http://schemas.openxmlformats.org/officeDocument/2006/relationships/revisionLog" Target="revisionLog217.xml"/><Relationship Id="rId292" Type="http://schemas.openxmlformats.org/officeDocument/2006/relationships/revisionLog" Target="revisionLog238.xml"/><Relationship Id="rId306" Type="http://schemas.openxmlformats.org/officeDocument/2006/relationships/revisionLog" Target="revisionLog252.xml"/><Relationship Id="rId131" Type="http://schemas.openxmlformats.org/officeDocument/2006/relationships/revisionLog" Target="revisionLog130.xml"/><Relationship Id="rId66" Type="http://schemas.openxmlformats.org/officeDocument/2006/relationships/revisionLog" Target="revisionLog66.xml"/><Relationship Id="rId87" Type="http://schemas.openxmlformats.org/officeDocument/2006/relationships/revisionLog" Target="revisionLog87.xml"/><Relationship Id="rId110" Type="http://schemas.openxmlformats.org/officeDocument/2006/relationships/revisionLog" Target="revisionLog110.xml"/><Relationship Id="rId152" Type="http://schemas.openxmlformats.org/officeDocument/2006/relationships/revisionLog" Target="revisionLog9.xml"/><Relationship Id="rId173" Type="http://schemas.openxmlformats.org/officeDocument/2006/relationships/revisionLog" Target="revisionLog30.xml"/><Relationship Id="rId194" Type="http://schemas.openxmlformats.org/officeDocument/2006/relationships/revisionLog" Target="revisionLog51.xml"/><Relationship Id="rId208" Type="http://schemas.openxmlformats.org/officeDocument/2006/relationships/revisionLog" Target="revisionLog154.xml"/><Relationship Id="rId229" Type="http://schemas.openxmlformats.org/officeDocument/2006/relationships/revisionLog" Target="revisionLog175.xml"/><Relationship Id="rId240" Type="http://schemas.openxmlformats.org/officeDocument/2006/relationships/revisionLog" Target="revisionLog186.xml"/><Relationship Id="rId261" Type="http://schemas.openxmlformats.org/officeDocument/2006/relationships/revisionLog" Target="revisionLog207.xml"/><Relationship Id="rId56" Type="http://schemas.openxmlformats.org/officeDocument/2006/relationships/revisionLog" Target="revisionLog56.xml"/><Relationship Id="rId77" Type="http://schemas.openxmlformats.org/officeDocument/2006/relationships/revisionLog" Target="revisionLog77.xml"/><Relationship Id="rId100" Type="http://schemas.openxmlformats.org/officeDocument/2006/relationships/revisionLog" Target="revisionLog100.xml"/><Relationship Id="rId282" Type="http://schemas.openxmlformats.org/officeDocument/2006/relationships/revisionLog" Target="revisionLog228.xml"/><Relationship Id="rId317" Type="http://schemas.openxmlformats.org/officeDocument/2006/relationships/revisionLog" Target="revisionLog263.xml"/><Relationship Id="rId142" Type="http://schemas.openxmlformats.org/officeDocument/2006/relationships/revisionLog" Target="revisionLog2.xml"/><Relationship Id="rId163" Type="http://schemas.openxmlformats.org/officeDocument/2006/relationships/revisionLog" Target="revisionLog20.xml"/><Relationship Id="rId98" Type="http://schemas.openxmlformats.org/officeDocument/2006/relationships/revisionLog" Target="revisionLog98.xml"/><Relationship Id="rId121" Type="http://schemas.openxmlformats.org/officeDocument/2006/relationships/revisionLog" Target="revisionLog121.xml"/><Relationship Id="rId184" Type="http://schemas.openxmlformats.org/officeDocument/2006/relationships/revisionLog" Target="revisionLog41.xml"/><Relationship Id="rId219" Type="http://schemas.openxmlformats.org/officeDocument/2006/relationships/revisionLog" Target="revisionLog165.xml"/><Relationship Id="rId230" Type="http://schemas.openxmlformats.org/officeDocument/2006/relationships/revisionLog" Target="revisionLog176.xml"/><Relationship Id="rId251" Type="http://schemas.openxmlformats.org/officeDocument/2006/relationships/revisionLog" Target="revisionLog197.xml"/><Relationship Id="rId67" Type="http://schemas.openxmlformats.org/officeDocument/2006/relationships/revisionLog" Target="revisionLog67.xml"/><Relationship Id="rId272" Type="http://schemas.openxmlformats.org/officeDocument/2006/relationships/revisionLog" Target="revisionLog218.xml"/><Relationship Id="rId293" Type="http://schemas.openxmlformats.org/officeDocument/2006/relationships/revisionLog" Target="revisionLog239.xml"/><Relationship Id="rId307" Type="http://schemas.openxmlformats.org/officeDocument/2006/relationships/revisionLog" Target="revisionLog253.xml"/><Relationship Id="rId132" Type="http://schemas.openxmlformats.org/officeDocument/2006/relationships/revisionLog" Target="revisionLog131.xml"/><Relationship Id="rId111" Type="http://schemas.openxmlformats.org/officeDocument/2006/relationships/revisionLog" Target="revisionLog111.xml"/><Relationship Id="rId88" Type="http://schemas.openxmlformats.org/officeDocument/2006/relationships/revisionLog" Target="revisionLog88.xml"/><Relationship Id="rId153" Type="http://schemas.openxmlformats.org/officeDocument/2006/relationships/revisionLog" Target="revisionLog10.xml"/><Relationship Id="rId174" Type="http://schemas.openxmlformats.org/officeDocument/2006/relationships/revisionLog" Target="revisionLog31.xml"/><Relationship Id="rId195" Type="http://schemas.openxmlformats.org/officeDocument/2006/relationships/revisionLog" Target="revisionLog52.xml"/><Relationship Id="rId209" Type="http://schemas.openxmlformats.org/officeDocument/2006/relationships/revisionLog" Target="revisionLog155.xml"/><Relationship Id="rId220" Type="http://schemas.openxmlformats.org/officeDocument/2006/relationships/revisionLog" Target="revisionLog166.xml"/><Relationship Id="rId241" Type="http://schemas.openxmlformats.org/officeDocument/2006/relationships/revisionLog" Target="revisionLog187.xml"/><Relationship Id="rId57" Type="http://schemas.openxmlformats.org/officeDocument/2006/relationships/revisionLog" Target="revisionLog57.xml"/><Relationship Id="rId262" Type="http://schemas.openxmlformats.org/officeDocument/2006/relationships/revisionLog" Target="revisionLog208.xml"/><Relationship Id="rId283" Type="http://schemas.openxmlformats.org/officeDocument/2006/relationships/revisionLog" Target="revisionLog229.xml"/><Relationship Id="rId318" Type="http://schemas.openxmlformats.org/officeDocument/2006/relationships/revisionLog" Target="revisionLog264.xml"/><Relationship Id="rId143" Type="http://schemas.openxmlformats.org/officeDocument/2006/relationships/revisionLog" Target="revisionLog3.xml"/><Relationship Id="rId164" Type="http://schemas.openxmlformats.org/officeDocument/2006/relationships/revisionLog" Target="revisionLog21.xml"/><Relationship Id="rId78" Type="http://schemas.openxmlformats.org/officeDocument/2006/relationships/revisionLog" Target="revisionLog78.xml"/><Relationship Id="rId99" Type="http://schemas.openxmlformats.org/officeDocument/2006/relationships/revisionLog" Target="revisionLog99.xml"/><Relationship Id="rId101" Type="http://schemas.openxmlformats.org/officeDocument/2006/relationships/revisionLog" Target="revisionLog101.xml"/><Relationship Id="rId122" Type="http://schemas.openxmlformats.org/officeDocument/2006/relationships/revisionLog" Target="revisionLog122.xml"/><Relationship Id="rId185" Type="http://schemas.openxmlformats.org/officeDocument/2006/relationships/revisionLog" Target="revisionLog42.xml"/><Relationship Id="rId210" Type="http://schemas.openxmlformats.org/officeDocument/2006/relationships/revisionLog" Target="revisionLog156.xml"/><Relationship Id="rId231" Type="http://schemas.openxmlformats.org/officeDocument/2006/relationships/revisionLog" Target="revisionLog177.xml"/><Relationship Id="rId252" Type="http://schemas.openxmlformats.org/officeDocument/2006/relationships/revisionLog" Target="revisionLog198.xml"/><Relationship Id="rId273" Type="http://schemas.openxmlformats.org/officeDocument/2006/relationships/revisionLog" Target="revisionLog219.xml"/><Relationship Id="rId294" Type="http://schemas.openxmlformats.org/officeDocument/2006/relationships/revisionLog" Target="revisionLog240.xml"/><Relationship Id="rId308" Type="http://schemas.openxmlformats.org/officeDocument/2006/relationships/revisionLog" Target="revisionLog254.xml"/><Relationship Id="rId133" Type="http://schemas.openxmlformats.org/officeDocument/2006/relationships/revisionLog" Target="revisionLog132.xml"/><Relationship Id="rId68" Type="http://schemas.openxmlformats.org/officeDocument/2006/relationships/revisionLog" Target="revisionLog68.xml"/><Relationship Id="rId89" Type="http://schemas.openxmlformats.org/officeDocument/2006/relationships/revisionLog" Target="revisionLog89.xml"/><Relationship Id="rId112" Type="http://schemas.openxmlformats.org/officeDocument/2006/relationships/revisionLog" Target="revisionLog112.xml"/><Relationship Id="rId154" Type="http://schemas.openxmlformats.org/officeDocument/2006/relationships/revisionLog" Target="revisionLog11.xml"/><Relationship Id="rId175" Type="http://schemas.openxmlformats.org/officeDocument/2006/relationships/revisionLog" Target="revisionLog32.xml"/><Relationship Id="rId196" Type="http://schemas.openxmlformats.org/officeDocument/2006/relationships/revisionLog" Target="revisionLog53.xml"/><Relationship Id="rId200" Type="http://schemas.openxmlformats.org/officeDocument/2006/relationships/revisionLog" Target="revisionLog146.xml"/><Relationship Id="rId221" Type="http://schemas.openxmlformats.org/officeDocument/2006/relationships/revisionLog" Target="revisionLog167.xml"/><Relationship Id="rId242" Type="http://schemas.openxmlformats.org/officeDocument/2006/relationships/revisionLog" Target="revisionLog188.xml"/><Relationship Id="rId263" Type="http://schemas.openxmlformats.org/officeDocument/2006/relationships/revisionLog" Target="revisionLog209.xml"/><Relationship Id="rId284" Type="http://schemas.openxmlformats.org/officeDocument/2006/relationships/revisionLog" Target="revisionLog230.xml"/><Relationship Id="rId319" Type="http://schemas.openxmlformats.org/officeDocument/2006/relationships/revisionLog" Target="revisionLog265.xml"/><Relationship Id="rId144" Type="http://schemas.openxmlformats.org/officeDocument/2006/relationships/revisionLog" Target="revisionLog4.xml"/><Relationship Id="rId123" Type="http://schemas.openxmlformats.org/officeDocument/2006/relationships/revisionLog" Target="revisionLog123.xml"/><Relationship Id="rId58" Type="http://schemas.openxmlformats.org/officeDocument/2006/relationships/revisionLog" Target="revisionLog58.xml"/><Relationship Id="rId79" Type="http://schemas.openxmlformats.org/officeDocument/2006/relationships/revisionLog" Target="revisionLog79.xml"/><Relationship Id="rId102" Type="http://schemas.openxmlformats.org/officeDocument/2006/relationships/revisionLog" Target="revisionLog102.xml"/><Relationship Id="rId90" Type="http://schemas.openxmlformats.org/officeDocument/2006/relationships/revisionLog" Target="revisionLog90.xml"/><Relationship Id="rId165" Type="http://schemas.openxmlformats.org/officeDocument/2006/relationships/revisionLog" Target="revisionLog22.xml"/><Relationship Id="rId186" Type="http://schemas.openxmlformats.org/officeDocument/2006/relationships/revisionLog" Target="revisionLog43.xml"/><Relationship Id="rId211" Type="http://schemas.openxmlformats.org/officeDocument/2006/relationships/revisionLog" Target="revisionLog157.xml"/><Relationship Id="rId232" Type="http://schemas.openxmlformats.org/officeDocument/2006/relationships/revisionLog" Target="revisionLog178.xml"/><Relationship Id="rId253" Type="http://schemas.openxmlformats.org/officeDocument/2006/relationships/revisionLog" Target="revisionLog199.xml"/><Relationship Id="rId274" Type="http://schemas.openxmlformats.org/officeDocument/2006/relationships/revisionLog" Target="revisionLog220.xml"/><Relationship Id="rId295" Type="http://schemas.openxmlformats.org/officeDocument/2006/relationships/revisionLog" Target="revisionLog241.xml"/><Relationship Id="rId309" Type="http://schemas.openxmlformats.org/officeDocument/2006/relationships/revisionLog" Target="revisionLog255.xml"/><Relationship Id="rId134" Type="http://schemas.openxmlformats.org/officeDocument/2006/relationships/revisionLog" Target="revisionLog133.xml"/><Relationship Id="rId113" Type="http://schemas.openxmlformats.org/officeDocument/2006/relationships/revisionLog" Target="revisionLog113.xml"/><Relationship Id="rId69" Type="http://schemas.openxmlformats.org/officeDocument/2006/relationships/revisionLog" Target="revisionLog69.xml"/><Relationship Id="rId80" Type="http://schemas.openxmlformats.org/officeDocument/2006/relationships/revisionLog" Target="revisionLog80.xml"/><Relationship Id="rId155" Type="http://schemas.openxmlformats.org/officeDocument/2006/relationships/revisionLog" Target="revisionLog12.xml"/><Relationship Id="rId176" Type="http://schemas.openxmlformats.org/officeDocument/2006/relationships/revisionLog" Target="revisionLog33.xml"/><Relationship Id="rId197" Type="http://schemas.openxmlformats.org/officeDocument/2006/relationships/revisionLog" Target="revisionLog54.xml"/><Relationship Id="rId201" Type="http://schemas.openxmlformats.org/officeDocument/2006/relationships/revisionLog" Target="revisionLog147.xml"/><Relationship Id="rId222" Type="http://schemas.openxmlformats.org/officeDocument/2006/relationships/revisionLog" Target="revisionLog168.xml"/><Relationship Id="rId243" Type="http://schemas.openxmlformats.org/officeDocument/2006/relationships/revisionLog" Target="revisionLog189.xml"/><Relationship Id="rId264" Type="http://schemas.openxmlformats.org/officeDocument/2006/relationships/revisionLog" Target="revisionLog210.xml"/><Relationship Id="rId285" Type="http://schemas.openxmlformats.org/officeDocument/2006/relationships/revisionLog" Target="revisionLog231.xml"/><Relationship Id="rId124" Type="http://schemas.openxmlformats.org/officeDocument/2006/relationships/revisionLog" Target="revisionLog124.xml"/><Relationship Id="rId103" Type="http://schemas.openxmlformats.org/officeDocument/2006/relationships/revisionLog" Target="revisionLog103.xml"/><Relationship Id="rId59" Type="http://schemas.openxmlformats.org/officeDocument/2006/relationships/revisionLog" Target="revisionLog59.xml"/><Relationship Id="rId310" Type="http://schemas.openxmlformats.org/officeDocument/2006/relationships/revisionLog" Target="revisionLog256.xml"/><Relationship Id="rId166" Type="http://schemas.openxmlformats.org/officeDocument/2006/relationships/revisionLog" Target="revisionLog23.xml"/><Relationship Id="rId70" Type="http://schemas.openxmlformats.org/officeDocument/2006/relationships/revisionLog" Target="revisionLog70.xml"/><Relationship Id="rId91" Type="http://schemas.openxmlformats.org/officeDocument/2006/relationships/revisionLog" Target="revisionLog91.xml"/><Relationship Id="rId145" Type="http://schemas.openxmlformats.org/officeDocument/2006/relationships/revisionLog" Target="revisionLog5.xml"/><Relationship Id="rId187" Type="http://schemas.openxmlformats.org/officeDocument/2006/relationships/revisionLog" Target="revisionLog44.xml"/><Relationship Id="rId212" Type="http://schemas.openxmlformats.org/officeDocument/2006/relationships/revisionLog" Target="revisionLog158.xml"/><Relationship Id="rId233" Type="http://schemas.openxmlformats.org/officeDocument/2006/relationships/revisionLog" Target="revisionLog179.xml"/><Relationship Id="rId254" Type="http://schemas.openxmlformats.org/officeDocument/2006/relationships/revisionLog" Target="revisionLog200.xml"/><Relationship Id="rId114" Type="http://schemas.openxmlformats.org/officeDocument/2006/relationships/revisionLog" Target="revisionLog114.xml"/><Relationship Id="rId275" Type="http://schemas.openxmlformats.org/officeDocument/2006/relationships/revisionLog" Target="revisionLog221.xml"/><Relationship Id="rId296" Type="http://schemas.openxmlformats.org/officeDocument/2006/relationships/revisionLog" Target="revisionLog242.xml"/><Relationship Id="rId300" Type="http://schemas.openxmlformats.org/officeDocument/2006/relationships/revisionLog" Target="revisionLog246.xml"/><Relationship Id="rId156" Type="http://schemas.openxmlformats.org/officeDocument/2006/relationships/revisionLog" Target="revisionLog13.xml"/><Relationship Id="rId60" Type="http://schemas.openxmlformats.org/officeDocument/2006/relationships/revisionLog" Target="revisionLog60.xml"/><Relationship Id="rId81" Type="http://schemas.openxmlformats.org/officeDocument/2006/relationships/revisionLog" Target="revisionLog81.xml"/><Relationship Id="rId135" Type="http://schemas.openxmlformats.org/officeDocument/2006/relationships/revisionLog" Target="revisionLog134.xml"/><Relationship Id="rId177" Type="http://schemas.openxmlformats.org/officeDocument/2006/relationships/revisionLog" Target="revisionLog34.xml"/><Relationship Id="rId198" Type="http://schemas.openxmlformats.org/officeDocument/2006/relationships/revisionLog" Target="revisionLog144.xml"/><Relationship Id="rId202" Type="http://schemas.openxmlformats.org/officeDocument/2006/relationships/revisionLog" Target="revisionLog148.xml"/><Relationship Id="rId223" Type="http://schemas.openxmlformats.org/officeDocument/2006/relationships/revisionLog" Target="revisionLog169.xml"/><Relationship Id="rId244" Type="http://schemas.openxmlformats.org/officeDocument/2006/relationships/revisionLog" Target="revisionLog190.xml"/><Relationship Id="rId265" Type="http://schemas.openxmlformats.org/officeDocument/2006/relationships/revisionLog" Target="revisionLog211.xml"/><Relationship Id="rId286" Type="http://schemas.openxmlformats.org/officeDocument/2006/relationships/revisionLog" Target="revisionLog232.xml"/><Relationship Id="rId146" Type="http://schemas.openxmlformats.org/officeDocument/2006/relationships/revisionLog" Target="revisionLog6.xml"/><Relationship Id="rId104" Type="http://schemas.openxmlformats.org/officeDocument/2006/relationships/revisionLog" Target="revisionLog104.xml"/><Relationship Id="rId125" Type="http://schemas.openxmlformats.org/officeDocument/2006/relationships/revisionLog" Target="revisionLog125.xml"/><Relationship Id="rId167" Type="http://schemas.openxmlformats.org/officeDocument/2006/relationships/revisionLog" Target="revisionLog24.xml"/><Relationship Id="rId188" Type="http://schemas.openxmlformats.org/officeDocument/2006/relationships/revisionLog" Target="revisionLog45.xml"/><Relationship Id="rId311" Type="http://schemas.openxmlformats.org/officeDocument/2006/relationships/revisionLog" Target="revisionLog257.xml"/><Relationship Id="rId92" Type="http://schemas.openxmlformats.org/officeDocument/2006/relationships/revisionLog" Target="revisionLog92.xml"/><Relationship Id="rId71" Type="http://schemas.openxmlformats.org/officeDocument/2006/relationships/revisionLog" Target="revisionLog71.xml"/><Relationship Id="rId213" Type="http://schemas.openxmlformats.org/officeDocument/2006/relationships/revisionLog" Target="revisionLog159.xml"/><Relationship Id="rId234" Type="http://schemas.openxmlformats.org/officeDocument/2006/relationships/revisionLog" Target="revisionLog180.xml"/><Relationship Id="rId255" Type="http://schemas.openxmlformats.org/officeDocument/2006/relationships/revisionLog" Target="revisionLog201.xml"/><Relationship Id="rId276" Type="http://schemas.openxmlformats.org/officeDocument/2006/relationships/revisionLog" Target="revisionLog222.xml"/><Relationship Id="rId297" Type="http://schemas.openxmlformats.org/officeDocument/2006/relationships/revisionLog" Target="revisionLog243.xml"/><Relationship Id="rId136" Type="http://schemas.openxmlformats.org/officeDocument/2006/relationships/revisionLog" Target="revisionLog135.xml"/><Relationship Id="rId157" Type="http://schemas.openxmlformats.org/officeDocument/2006/relationships/revisionLog" Target="revisionLog14.xml"/><Relationship Id="rId115" Type="http://schemas.openxmlformats.org/officeDocument/2006/relationships/revisionLog" Target="revisionLog115.xml"/><Relationship Id="rId178" Type="http://schemas.openxmlformats.org/officeDocument/2006/relationships/revisionLog" Target="revisionLog35.xml"/><Relationship Id="rId301" Type="http://schemas.openxmlformats.org/officeDocument/2006/relationships/revisionLog" Target="revisionLog247.xml"/><Relationship Id="rId61" Type="http://schemas.openxmlformats.org/officeDocument/2006/relationships/revisionLog" Target="revisionLog61.xml"/><Relationship Id="rId82" Type="http://schemas.openxmlformats.org/officeDocument/2006/relationships/revisionLog" Target="revisionLog82.xml"/><Relationship Id="rId199" Type="http://schemas.openxmlformats.org/officeDocument/2006/relationships/revisionLog" Target="revisionLog145.xml"/><Relationship Id="rId203" Type="http://schemas.openxmlformats.org/officeDocument/2006/relationships/revisionLog" Target="revisionLog149.xml"/><Relationship Id="rId224" Type="http://schemas.openxmlformats.org/officeDocument/2006/relationships/revisionLog" Target="revisionLog170.xml"/><Relationship Id="rId245" Type="http://schemas.openxmlformats.org/officeDocument/2006/relationships/revisionLog" Target="revisionLog191.xml"/><Relationship Id="rId266" Type="http://schemas.openxmlformats.org/officeDocument/2006/relationships/revisionLog" Target="revisionLog212.xml"/><Relationship Id="rId287" Type="http://schemas.openxmlformats.org/officeDocument/2006/relationships/revisionLog" Target="revisionLog233.xml"/><Relationship Id="rId147" Type="http://schemas.openxmlformats.org/officeDocument/2006/relationships/revisionLog" Target="revisionLog141.xml"/><Relationship Id="rId126" Type="http://schemas.openxmlformats.org/officeDocument/2006/relationships/revisionLog" Target="revisionLog126.xml"/><Relationship Id="rId105" Type="http://schemas.openxmlformats.org/officeDocument/2006/relationships/revisionLog" Target="revisionLog105.xml"/><Relationship Id="rId168" Type="http://schemas.openxmlformats.org/officeDocument/2006/relationships/revisionLog" Target="revisionLog25.xml"/><Relationship Id="rId312" Type="http://schemas.openxmlformats.org/officeDocument/2006/relationships/revisionLog" Target="revisionLog258.xml"/><Relationship Id="rId72" Type="http://schemas.openxmlformats.org/officeDocument/2006/relationships/revisionLog" Target="revisionLog72.xml"/><Relationship Id="rId93" Type="http://schemas.openxmlformats.org/officeDocument/2006/relationships/revisionLog" Target="revisionLog93.xml"/><Relationship Id="rId189" Type="http://schemas.openxmlformats.org/officeDocument/2006/relationships/revisionLog" Target="revisionLog46.xml"/><Relationship Id="rId214" Type="http://schemas.openxmlformats.org/officeDocument/2006/relationships/revisionLog" Target="revisionLog160.xml"/><Relationship Id="rId235" Type="http://schemas.openxmlformats.org/officeDocument/2006/relationships/revisionLog" Target="revisionLog181.xml"/><Relationship Id="rId256" Type="http://schemas.openxmlformats.org/officeDocument/2006/relationships/revisionLog" Target="revisionLog202.xml"/><Relationship Id="rId277" Type="http://schemas.openxmlformats.org/officeDocument/2006/relationships/revisionLog" Target="revisionLog223.xml"/><Relationship Id="rId298" Type="http://schemas.openxmlformats.org/officeDocument/2006/relationships/revisionLog" Target="revisionLog244.xml"/><Relationship Id="rId137" Type="http://schemas.openxmlformats.org/officeDocument/2006/relationships/revisionLog" Target="revisionLog136.xml"/><Relationship Id="rId158" Type="http://schemas.openxmlformats.org/officeDocument/2006/relationships/revisionLog" Target="revisionLog15.xml"/><Relationship Id="rId116" Type="http://schemas.openxmlformats.org/officeDocument/2006/relationships/revisionLog" Target="revisionLog116.xml"/><Relationship Id="rId302" Type="http://schemas.openxmlformats.org/officeDocument/2006/relationships/revisionLog" Target="revisionLog248.xml"/><Relationship Id="rId62" Type="http://schemas.openxmlformats.org/officeDocument/2006/relationships/revisionLog" Target="revisionLog62.xml"/><Relationship Id="rId83" Type="http://schemas.openxmlformats.org/officeDocument/2006/relationships/revisionLog" Target="revisionLog83.xml"/><Relationship Id="rId179" Type="http://schemas.openxmlformats.org/officeDocument/2006/relationships/revisionLog" Target="revisionLog36.xml"/><Relationship Id="rId190" Type="http://schemas.openxmlformats.org/officeDocument/2006/relationships/revisionLog" Target="revisionLog47.xml"/><Relationship Id="rId204" Type="http://schemas.openxmlformats.org/officeDocument/2006/relationships/revisionLog" Target="revisionLog150.xml"/><Relationship Id="rId225" Type="http://schemas.openxmlformats.org/officeDocument/2006/relationships/revisionLog" Target="revisionLog171.xml"/><Relationship Id="rId246" Type="http://schemas.openxmlformats.org/officeDocument/2006/relationships/revisionLog" Target="revisionLog192.xml"/><Relationship Id="rId267" Type="http://schemas.openxmlformats.org/officeDocument/2006/relationships/revisionLog" Target="revisionLog213.xml"/><Relationship Id="rId288" Type="http://schemas.openxmlformats.org/officeDocument/2006/relationships/revisionLog" Target="revisionLog234.xml"/><Relationship Id="rId127" Type="http://schemas.openxmlformats.org/officeDocument/2006/relationships/revisionLog" Target="revisionLog127.xml"/><Relationship Id="rId106" Type="http://schemas.openxmlformats.org/officeDocument/2006/relationships/revisionLog" Target="revisionLog106.xml"/><Relationship Id="rId313" Type="http://schemas.openxmlformats.org/officeDocument/2006/relationships/revisionLog" Target="revisionLog259.xml"/><Relationship Id="rId148" Type="http://schemas.openxmlformats.org/officeDocument/2006/relationships/revisionLog" Target="revisionLog142.xml"/><Relationship Id="rId73" Type="http://schemas.openxmlformats.org/officeDocument/2006/relationships/revisionLog" Target="revisionLog73.xml"/><Relationship Id="rId94" Type="http://schemas.openxmlformats.org/officeDocument/2006/relationships/revisionLog" Target="revisionLog94.xml"/><Relationship Id="rId169" Type="http://schemas.openxmlformats.org/officeDocument/2006/relationships/revisionLog" Target="revisionLog26.xml"/><Relationship Id="rId180" Type="http://schemas.openxmlformats.org/officeDocument/2006/relationships/revisionLog" Target="revisionLog37.xml"/><Relationship Id="rId215" Type="http://schemas.openxmlformats.org/officeDocument/2006/relationships/revisionLog" Target="revisionLog161.xml"/><Relationship Id="rId236" Type="http://schemas.openxmlformats.org/officeDocument/2006/relationships/revisionLog" Target="revisionLog182.xml"/><Relationship Id="rId257" Type="http://schemas.openxmlformats.org/officeDocument/2006/relationships/revisionLog" Target="revisionLog203.xml"/><Relationship Id="rId278" Type="http://schemas.openxmlformats.org/officeDocument/2006/relationships/revisionLog" Target="revisionLog224.xml"/><Relationship Id="rId303" Type="http://schemas.openxmlformats.org/officeDocument/2006/relationships/revisionLog" Target="revisionLog249.xml"/><Relationship Id="rId138" Type="http://schemas.openxmlformats.org/officeDocument/2006/relationships/revisionLog" Target="revisionLog137.xml"/><Relationship Id="rId84" Type="http://schemas.openxmlformats.org/officeDocument/2006/relationships/revisionLog" Target="revisionLog84.xml"/><Relationship Id="rId191" Type="http://schemas.openxmlformats.org/officeDocument/2006/relationships/revisionLog" Target="revisionLog48.xml"/><Relationship Id="rId205" Type="http://schemas.openxmlformats.org/officeDocument/2006/relationships/revisionLog" Target="revisionLog151.xml"/><Relationship Id="rId247" Type="http://schemas.openxmlformats.org/officeDocument/2006/relationships/revisionLog" Target="revisionLog193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E787697A-FFCB-439E-930E-64FD0D4513AE}" diskRevisions="1" revisionId="5474" version="319">
  <header guid="{C2A20258-9F99-4BA6-8D33-29922802D4E5}" dateTime="2025-06-17T10:35:39" maxSheetId="11" userName="Diego Santos de Abreu" r:id="rId55" minRId="409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B8AB6974-7EDB-45FA-9C7D-C7C33D208ED2}" dateTime="2025-06-17T14:21:29" maxSheetId="11" userName="Aelton de Jesus Nunes" r:id="rId56" minRId="410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5FC4A4AA-C513-4499-87A2-17BE513D072E}" dateTime="2025-06-17T16:29:51" maxSheetId="11" userName="Alessandro Borges de Araújo" r:id="rId57" minRId="42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0D211863-7B01-42AE-ABC7-9F594F675E90}" dateTime="2025-06-18T09:37:40" maxSheetId="11" userName="Aelton de Jesus Nunes" r:id="rId58" minRId="42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FAED8AEA-6E7B-4628-99EB-4E0905F51807}" dateTime="2025-06-18T09:38:11" maxSheetId="11" userName="Aelton de Jesus Nunes" r:id="rId59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57CAA7D8-C811-4D71-925B-5E6001EC62C3}" dateTime="2025-06-18T11:47:51" maxSheetId="11" userName="Aelton de Jesus Nunes" r:id="rId60" minRId="443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E6060BCB-0942-4B32-8304-71D61CB4501D}" dateTime="2025-06-23T09:06:05" maxSheetId="11" userName="Diego Santos de Abreu" r:id="rId61" minRId="444" maxRId="445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6738F86D-A203-4323-AB0F-6A3FF0764D5D}" dateTime="2025-06-23T09:06:57" maxSheetId="11" userName="Diego Santos de Abreu" r:id="rId62" minRId="456" maxRId="457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0E85D1D3-6685-423E-B6C2-BE713FEA6AD0}" dateTime="2025-06-23T09:30:23" maxSheetId="11" userName="Aelton de Jesus Nunes" r:id="rId63" minRId="468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5C2DE769-E122-4EA6-9D26-1EAC9385BF1B}" dateTime="2025-06-23T11:08:23" maxSheetId="11" userName="Marcos Neves de Almeida" r:id="rId64" minRId="479" maxRId="48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BBA62815-17E3-4ACE-9956-12B3C216B36C}" dateTime="2025-06-23T11:55:39" maxSheetId="11" userName="Aelton de Jesus Nunes" r:id="rId65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31AF84EC-32E5-47CB-8451-6AA07EDE80EB}" dateTime="2025-06-23T14:26:56" maxSheetId="11" userName="Marcos Neves de Almeida" r:id="rId66" minRId="502" maxRId="503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EC178EE0-458C-4BA3-BCA4-7C9EC117678C}" dateTime="2025-06-23T14:39:04" maxSheetId="11" userName="Marcelo Lucio Saboia Fonseca" r:id="rId67" minRId="514" maxRId="657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A41475EE-9C72-495F-ABDD-637FB86B2DFE}" dateTime="2025-06-23T14:39:56" maxSheetId="11" userName="Marcelo Lucio Saboia Fonseca" r:id="rId68" minRId="668" maxRId="76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E733585E-D972-4E38-BA2E-428D853B915F}" dateTime="2025-06-23T14:43:01" maxSheetId="11" userName="Marcelo Lucio Saboia Fonseca" r:id="rId69" minRId="767" maxRId="81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6B1EA82C-7CC1-447D-8CA1-7FC8D4D2AEC8}" dateTime="2025-06-23T14:55:42" maxSheetId="11" userName="Marcelo Lucio Saboia Fonseca" r:id="rId70" minRId="823" maxRId="88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B5728835-9EE6-43F1-A7E4-DD4A0655F141}" dateTime="2025-06-23T14:56:36" maxSheetId="11" userName="Marcelo Lucio Saboia Fonseca" r:id="rId71" minRId="883" maxRId="944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1C2BF7C2-EF06-4828-9BD7-A525B059DC37}" dateTime="2025-06-23T15:55:14" maxSheetId="11" userName="Marcos Neves de Almeida" r:id="rId72" minRId="955" maxRId="95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73623C34-6BB4-4B62-A588-F1539C727C0F}" dateTime="2025-06-23T16:13:14" maxSheetId="11" userName="Danilo Rafael Basilio da Silva" r:id="rId73" minRId="957" maxRId="96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8DE7F9F2-B9D2-4A2F-9677-5B418716B24A}" dateTime="2025-06-23T16:14:34" maxSheetId="11" userName="Danilo Rafael Basilio da Silva" r:id="rId74" minRId="973" maxRId="975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D35917B6-584C-46EA-B41F-AF7D167CC4CD}" dateTime="2025-06-23T16:22:04" maxSheetId="11" userName="Danilo Rafael Basilio da Silva" r:id="rId75" minRId="976" maxRId="978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116A085C-DDA2-46F4-B994-A3F75C001AC1}" dateTime="2025-06-23T16:22:57" maxSheetId="11" userName="Danilo Rafael Basilio da Silva" r:id="rId76" minRId="979" maxRId="98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7061076B-CCC6-4801-8FB8-D383CACB00B6}" dateTime="2025-06-24T14:11:48" maxSheetId="11" userName="Aelton de Jesus Nunes" r:id="rId77" minRId="982" maxRId="983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3BB41796-97F8-46A5-B16F-6725533D5BD5}" dateTime="2025-06-24T14:12:01" maxSheetId="11" userName="Aelton de Jesus Nunes" r:id="rId78" minRId="994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4607D3AC-E4CA-4739-8695-02BEE3BC0EFC}" dateTime="2025-06-24T14:21:44" maxSheetId="11" userName="Marcos Neves de Almeida" r:id="rId79" minRId="995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472717AA-4920-4D9F-B021-CEF53A0CE841}" dateTime="2025-06-25T08:48:27" maxSheetId="11" userName="Diego Santos de Abreu" r:id="rId80" minRId="99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698DCC24-B2DE-471B-A357-42D61F98E566}" dateTime="2025-06-25T09:06:04" maxSheetId="11" userName="Aelton de Jesus Nunes" r:id="rId81" minRId="1007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2B12844F-6836-4C07-9484-18EC49F3C63D}" dateTime="2025-06-25T09:07:29" maxSheetId="11" userName="Aelton de Jesus Nunes" r:id="rId8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34D2C02F-668D-4E49-B5B0-57BE23DFCBF4}" dateTime="2025-06-27T08:44:50" maxSheetId="11" userName="Aelton de Jesus Nunes" r:id="rId83" minRId="1028" maxRId="1029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9BD581DE-482F-4717-BC75-8ED5FF195969}" dateTime="2025-06-27T08:46:00" maxSheetId="11" userName="Aelton de Jesus Nunes" r:id="rId84" minRId="1030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30061F5A-B321-4195-B7F7-D69326FFD281}" dateTime="2025-06-27T08:46:12" maxSheetId="11" userName="Aelton de Jesus Nunes" r:id="rId85" minRId="1031" maxRId="103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DCB6D322-A23B-40EA-8373-87ACE44DA04A}" dateTime="2025-06-27T08:46:37" maxSheetId="11" userName="Aelton de Jesus Nunes" r:id="rId86" minRId="1033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AB2D9A6A-22BE-4AB7-9721-3CAFC5D72514}" dateTime="2025-06-30T14:46:25" maxSheetId="11" userName="Leonam Morrison Monteiro de Oliveira" r:id="rId87" minRId="1044" maxRId="1048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0B8491E4-EECE-47C7-8CD9-94EC4A42CAD4}" dateTime="2025-06-30T14:51:50" maxSheetId="11" userName="Leonam Morrison Monteiro de Oliveira" r:id="rId88" minRId="1059" maxRId="106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5D12D7E9-F1AA-45BA-85A4-AB591BF34ACE}" dateTime="2025-06-30T16:23:23" maxSheetId="11" userName="Marcelo Lucio Saboia Fonseca" r:id="rId89" minRId="1067" maxRId="1080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E71769EA-C438-4939-B0E7-BCF68E4551D8}" dateTime="2025-06-30T17:02:42" maxSheetId="11" userName="Aelton de Jesus Nunes" r:id="rId90" minRId="1081" maxRId="1083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C6E65B04-48EE-4DA9-8B0C-1E5203118E3E}" dateTime="2025-06-30T17:10:29" maxSheetId="11" userName="Aelton de Jesus Nunes" r:id="rId91" minRId="1094" maxRId="1095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AF9D9B8B-1089-48CC-93BB-EBFC1DCCDFE8}" dateTime="2025-07-01T08:06:53" maxSheetId="11" userName="Diego Santos de Abreu" r:id="rId92" minRId="1096" maxRId="1097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9E3DC30A-B4FB-426F-8868-B99823AB0285}" dateTime="2025-07-01T08:11:34" maxSheetId="11" userName="Marcos Neves de Almeida" r:id="rId93" minRId="1098" maxRId="1103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B1DB94A4-46E9-4332-B4E8-72856882E069}" dateTime="2025-07-01T08:12:39" maxSheetId="11" userName="Diego Santos de Abreu" r:id="rId94" minRId="1114" maxRId="112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80AED98A-17CB-404E-AE3F-8AE3CA3A66F5}" dateTime="2025-07-01T08:13:05" maxSheetId="11" userName="Marcos Neves de Almeida" r:id="rId95" minRId="1132" maxRId="113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ACB44729-EC22-431D-9C70-BD3FAAC317C1}" dateTime="2025-07-01T08:13:34" maxSheetId="11" userName="Marcos Neves de Almeida" r:id="rId96" minRId="1137" maxRId="1138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ED22F57B-EEAF-40E3-BD9F-5646C6BC91F5}" dateTime="2025-07-01T08:48:41" maxSheetId="11" userName="Danilo Rafael Basilio da Silva" r:id="rId97" minRId="1139" maxRId="1142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233BD1B5-A3DB-4A71-9BE1-4018D718EA4E}" dateTime="2025-07-01T08:56:12" maxSheetId="11" userName="Danilo Rafael Basilio da Silva" r:id="rId98" minRId="1153" maxRId="1158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44D68C41-1E87-414F-BC79-B94A59D5363B}" dateTime="2025-07-01T08:56:23" maxSheetId="11" userName="Danilo Rafael Basilio da Silva" r:id="rId99" minRId="1159" maxRId="1160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A17E9AE9-F670-4C22-8D4D-1CC83C482CE6}" dateTime="2025-07-02T08:11:51" maxSheetId="11" userName="Marcos Neves de Almeida" r:id="rId100" minRId="1161" maxRId="1163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36E35AF3-5CF6-4AFA-97CB-3185885EBBCE}" dateTime="2025-07-02T08:14:49" maxSheetId="11" userName="Diego Santos de Abreu" r:id="rId101" minRId="1174" maxRId="117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644AAE0E-3E58-481F-BABB-1CDAF1259B8E}" dateTime="2025-07-02T08:32:09" maxSheetId="11" userName="Leonam Morrison Monteiro de Oliveira" r:id="rId102" minRId="1177" maxRId="1178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57273D63-CE7C-4AD5-B03E-B2EFF0645817}" dateTime="2025-07-02T08:33:19" maxSheetId="11" userName="Leonam Morrison Monteiro de Oliveira" r:id="rId103" minRId="1179" maxRId="118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4336DFCB-D222-473B-8951-7795B20C560F}" dateTime="2025-07-02T12:03:09" maxSheetId="12" userName="Alessandro Borges de Araújo" r:id="rId104" minRId="1182" maxRId="1215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E4F9DB1A-3600-4E88-9276-FAA03CD33852}" dateTime="2025-07-02T12:05:30" maxSheetId="12" userName="Alessandro Borges de Araújo" r:id="rId105" minRId="1226" maxRId="1229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BBD1CD35-87F3-4234-92C1-46B5BD699A6E}" dateTime="2025-07-02T12:21:55" maxSheetId="12" userName="Alessandro Borges de Araújo" r:id="rId106" minRId="1230" maxRId="123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048922DC-F892-40A6-9740-2F152A5F296B}" dateTime="2025-07-02T12:24:56" maxSheetId="12" userName="Alessandro Borges de Araújo" r:id="rId107" minRId="1237" maxRId="1240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D82757E6-C895-4657-BA2E-2D23F7E1AA1B}" dateTime="2025-07-02T12:27:40" maxSheetId="12" userName="Alessandro Borges de Araújo" r:id="rId108" minRId="1241" maxRId="1244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83F52A6-C665-4DC5-A45F-C5664BE7D784}" dateTime="2025-07-02T12:41:49" maxSheetId="12" userName="Alessandro Borges de Araújo" r:id="rId109" minRId="1245" maxRId="127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784CB48D-B056-4A93-B7BF-2956053BF1BB}" dateTime="2025-07-02T15:20:39" maxSheetId="12" userName="Marcelo Lucio Saboia Fonseca" r:id="rId110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BBB3BDF2-6720-4667-AE68-ADB3B4D5D42D}" dateTime="2025-07-02T16:51:39" maxSheetId="12" userName="Alessandro Borges de Araújo" r:id="rId11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46F322B1-24FD-4330-B7B9-A08B56A2333B}" dateTime="2025-07-02T17:04:33" maxSheetId="12" userName="Aelton de Jesus Nunes" r:id="rId112" minRId="1293" maxRId="1295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6D957AFC-A7D8-4FBC-A874-0ECB5755F0D4}" dateTime="2025-07-03T08:17:44" maxSheetId="12" userName="Diego Santos de Abreu" r:id="rId113" minRId="1306" maxRId="1307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D4EF0178-72E6-49D8-A92E-0F4BD3C8AEE9}" dateTime="2025-07-03T08:35:30" maxSheetId="12" userName="Marcos Neves de Almeida" r:id="rId114" minRId="1318" maxRId="1319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9B071BC7-BF4A-49C0-8607-3B6DF5F7B594}" dateTime="2025-07-03T10:18:22" maxSheetId="12" userName="Marcelo Lucio Saboia Fonseca" r:id="rId115" minRId="1320" maxRId="132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A0432D1-B842-4893-B375-E1C9B47D1C73}" dateTime="2025-07-03T14:06:33" maxSheetId="12" userName="Leonam Morrison Monteiro de Oliveira" r:id="rId116" minRId="1327" maxRId="1335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76D778D4-834E-465E-A864-B9D77DB6CD8C}" dateTime="2025-07-04T08:17:02" maxSheetId="12" userName="Marcos Neves de Almeida" r:id="rId117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8765B11-DB09-40FC-BAD5-43E039B12C16}" dateTime="2025-07-04T08:24:34" maxSheetId="12" userName="Leonam Morrison Monteiro de Oliveira" r:id="rId118" minRId="1356" maxRId="1360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DE627E2-429D-4C2B-90D8-B454DCC95361}" dateTime="2025-07-04T08:24:41" maxSheetId="12" userName="Diego Santos de Abreu" r:id="rId119" minRId="1371" maxRId="1373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97927210-1037-4367-B4CB-742C1ECD0470}" dateTime="2025-07-04T08:26:55" maxSheetId="12" userName="Diego Santos de Abreu" r:id="rId120" minRId="1384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B33EF6C6-1769-4CED-AF65-EAE074E270E4}" dateTime="2025-07-04T08:28:13" maxSheetId="12" userName="Diego Santos de Abreu" r:id="rId121" minRId="1385" maxRId="138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47B2323B-7A57-4E41-8643-03BEC73E7A5C}" dateTime="2025-07-04T08:35:43" maxSheetId="12" userName="Leonam Morrison Monteiro de Oliveira" r:id="rId122" minRId="1387" maxRId="1388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1FC6B015-0E1F-4EE2-B768-B877C103DECE}" dateTime="2025-07-04T08:46:21" maxSheetId="12" userName="Aelton de Jesus Nunes" r:id="rId123" minRId="1389" maxRId="1390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2793C3D-ECD7-4002-9EC3-FE9A23D9C109}" dateTime="2025-07-04T08:48:45" maxSheetId="12" userName="Aelton de Jesus Nunes" r:id="rId124" minRId="140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4B3B6EEE-F3B1-481C-BC28-7C9A0669A8D4}" dateTime="2025-07-04T08:50:28" maxSheetId="12" userName="Aelton de Jesus Nunes" r:id="rId125" minRId="141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B414C00A-8591-436E-ACE7-8F963CECEC45}" dateTime="2025-07-04T08:51:00" maxSheetId="12" userName="Aelton de Jesus Nunes" r:id="rId12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DA37686-3FE7-4B6C-BB56-6FA32C0B5DDC}" dateTime="2025-07-04T14:04:01" maxSheetId="12" userName="Marcos Neves de Almeida" r:id="rId127" minRId="1433" maxRId="1435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DEB64982-3361-476D-93A4-405DF6BD3D45}" dateTime="2025-07-07T13:47:58" maxSheetId="12" userName="Leonam Morrison Monteiro de Oliveira" r:id="rId128" minRId="144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D65CBC1D-0FC6-48AF-B8D6-00CB776B93CD}" dateTime="2025-07-07T16:52:10" maxSheetId="12" userName="Aelton de Jesus Nunes" r:id="rId129" minRId="1457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4B3A73D5-5754-45C0-BB41-1B6381367915}" dateTime="2025-07-07T16:52:18" maxSheetId="12" userName="Aelton de Jesus Nunes" r:id="rId130" minRId="1468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8E40EFBD-213C-40AE-A066-931F1EC4F524}" dateTime="2025-07-07T16:53:26" maxSheetId="12" userName="Aelton de Jesus Nunes" r:id="rId13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EEBA2687-C2B6-4D86-8625-54BDD5FE3E4E}" dateTime="2025-07-07T17:00:49" maxSheetId="12" userName="Aelton de Jesus Nunes" r:id="rId132" minRId="1479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580AB304-7D79-4B21-BA9D-D3DE7EEAB853}" dateTime="2025-07-07T17:06:10" maxSheetId="12" userName="Aelton de Jesus Nunes" r:id="rId133" minRId="1480" maxRId="148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3B7888E-71C1-4149-BB47-31529F67C0ED}" dateTime="2025-07-08T07:33:35" maxSheetId="12" userName="Diego Santos de Abreu" r:id="rId134" minRId="1493" maxRId="1499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4336F9F2-0643-41D7-84E1-6C5F80B6A6F6}" dateTime="2025-07-08T07:34:16" maxSheetId="12" userName="Diego Santos de Abreu" r:id="rId135" minRId="1510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DAE0A615-A07F-40C8-B1C3-F10021169B19}" dateTime="2025-07-08T07:35:14" maxSheetId="12" userName="Diego Santos de Abreu" r:id="rId136" minRId="151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1C7AC174-A991-414F-9066-34FB3BBB60FA}" dateTime="2025-07-08T09:02:10" maxSheetId="12" userName="Danilo Rafael Basilio da Silva" r:id="rId137" minRId="1512" maxRId="1519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1B6D03F7-AEFB-4777-8DF3-6C01A199BB43}" dateTime="2025-07-08T10:19:14" maxSheetId="12" userName="Alessandro Borges de Araújo" r:id="rId138" minRId="1530" maxRId="154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642F65B8-8C22-459C-AB33-8545736869C3}" dateTime="2025-07-08T10:27:05" maxSheetId="12" userName="Alessandro Borges de Araújo" r:id="rId139" minRId="1553" maxRId="1557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1A4ECC90-1D88-41AE-968D-9B4AF7F258EF}" dateTime="2025-07-08T10:31:09" maxSheetId="12" userName="Alessandro Borges de Araújo" r:id="rId140" minRId="1558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D96BCFEC-8975-40BE-9FD1-7C302405B573}" dateTime="2025-07-09T07:11:10" maxSheetId="12" userName="Diego Santos de Abreu" r:id="rId141" minRId="1559" maxRId="1560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B225C906-2E17-476C-9030-C2208D3E1773}" dateTime="2025-07-09T17:51:22" maxSheetId="12" userName="Aelton de Jesus Nunes" r:id="rId142" minRId="1561" maxRId="156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6BFFFAB9-E3B5-4F95-89A6-58D105A7B6BE}" dateTime="2025-07-09T17:52:42" maxSheetId="12" userName="Aelton de Jesus Nunes" r:id="rId143" minRId="1573" maxRId="157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768B5FC0-31B9-423D-B97A-9142552E8320}" dateTime="2025-07-10T07:47:19" maxSheetId="12" userName="Diego Santos de Abreu" r:id="rId144" minRId="1587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C75F8921-B831-44C0-9C1D-6CA402D99E2F}" dateTime="2025-07-10T10:15:45" maxSheetId="12" userName="Marcelo Lucio Saboia Fonseca" r:id="rId145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94DA70BD-4D53-4481-9F49-BCF561C35078}" dateTime="2025-07-10T10:59:29" maxSheetId="12" userName="Danilo Rafael Basilio da Silva" r:id="rId146" minRId="1598" maxRId="160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7ED2A9A1-9876-4104-8892-DA3349DEE470}" dateTime="2025-07-10T16:57:21" maxSheetId="12" userName="Aelton de Jesus Nunes" r:id="rId147" minRId="1617" maxRId="1618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1D9B5513-83FF-4845-81E7-DA7B1DC60461}" dateTime="2025-07-10T16:57:48" maxSheetId="12" userName="Aelton de Jesus Nunes" r:id="rId148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2BD85202-9697-4E06-B3C7-4CB08A44C07E}" dateTime="2025-07-14T08:53:25" maxSheetId="12" userName="Leonam Morrison Monteiro de Oliveira" r:id="rId149" minRId="1639" maxRId="165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6198617A-E83E-4250-9205-AE1B7884AEBA}" dateTime="2025-07-14T09:23:07" maxSheetId="12" userName="Marcos Neves de Almeida" r:id="rId150" minRId="166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5EC3309C-AAE7-418A-A3C4-C5D8EEAC8FC3}" dateTime="2025-07-14T09:33:25" maxSheetId="12" userName="Diego Santos de Abreu" r:id="rId151" minRId="1673" maxRId="1675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50157FDE-1F06-4320-BD71-E5AAA8B61947}" dateTime="2025-07-14T09:34:17" maxSheetId="12" userName="Marcos Neves de Almeida" r:id="rId15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1CA5C498-4029-4F15-9A80-824B30748959}" dateTime="2025-07-14T14:22:17" maxSheetId="12" userName="Aelton de Jesus Nunes" r:id="rId153" minRId="169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F2EDA826-BE51-4873-B19E-CE31A076224A}" dateTime="2025-07-14T14:25:56" maxSheetId="12" userName="Aelton de Jesus Nunes" r:id="rId154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C40375A3-4AA4-4131-BE5F-BAEFC30E8B0E}" dateTime="2025-07-14T14:53:58" maxSheetId="12" userName="Marcos Neves de Almeida" r:id="rId155" minRId="1717" maxRId="172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C4CE3E6C-A55A-4DA6-A3DE-80809BDCD81D}" dateTime="2025-07-14T14:54:34" maxSheetId="12" userName="Marcos Neves de Almeida" r:id="rId15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005555E9-04FC-4857-88CE-A3AF5FCB5B00}" dateTime="2025-07-14T14:58:07" maxSheetId="12" userName="Aelton de Jesus Nunes" r:id="rId157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0FB0AA51-2A56-4A90-BD8D-A93A1675FAB0}" dateTime="2025-07-14T16:33:29" maxSheetId="12" userName="Leonam Morrison Monteiro de Oliveira" r:id="rId158" minRId="1742" maxRId="1744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E1EB0D1B-6669-41E7-A18C-2D07D40E6D64}" dateTime="2025-07-15T08:37:51" maxSheetId="12" userName="Marcos Neves de Almeida" r:id="rId159" minRId="1755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8E175AA6-42CF-4C2B-BDD0-9665BDCE73F1}" dateTime="2025-07-15T08:41:24" maxSheetId="12" userName="Diego Santos de Abreu" r:id="rId160" minRId="1766" maxRId="1767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6FD043B8-4983-4EAB-B476-8002D4F2A05C}" dateTime="2025-07-15T08:41:45" maxSheetId="12" userName="Marcos Neves de Almeida" r:id="rId161" minRId="1778" maxRId="1779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F9CB36B-082E-4199-B0BC-0276E896CD81}" dateTime="2025-07-15T09:39:26" maxSheetId="12" userName="Danilo Rafael Basilio da Silva" r:id="rId162" minRId="1780" maxRId="1784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CD44FD89-0FC6-477E-A360-A41B7942AC84}" dateTime="2025-07-15T10:25:57" maxSheetId="12" userName="Marcelo Lucio Saboia Fonseca" r:id="rId163" minRId="1785" maxRId="1790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67A1924A-F4F5-4836-85E9-54C0904D7B69}" dateTime="2025-07-15T14:54:31" maxSheetId="12" userName="Marcos Neves de Almeida" r:id="rId164" minRId="179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7D604176-F694-453C-A202-56BA2BC872C7}" dateTime="2025-07-16T08:39:31" maxSheetId="12" userName="Diego Santos de Abreu" r:id="rId165" minRId="1802" maxRId="1804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C3B5F709-4A55-4883-92E4-231EA90D43A4}" dateTime="2025-07-17T09:04:42" maxSheetId="12" userName="Diego Santos de Abreu" r:id="rId166" minRId="1815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12932EDA-9E18-499E-AF91-4B02EF059A54}" dateTime="2025-07-17T10:30:45" maxSheetId="12" userName="Marcos Neves de Almeida" r:id="rId167" minRId="1826" maxRId="1828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FBBB3DB-F483-481C-A76B-FE43766462D9}" dateTime="2025-07-17T15:48:45" maxSheetId="12" userName="Diego Santos de Abreu" r:id="rId168" minRId="1829" maxRId="1830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96C487A5-2CCD-49A6-A2FC-173DE8CC1839}" dateTime="2025-07-18T10:27:02" maxSheetId="12" userName="Marcos Neves de Almeida" r:id="rId169" minRId="183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1BC85DB1-45FF-4C54-BE3A-6E97783A38B8}" dateTime="2025-07-18T12:56:54" maxSheetId="12" userName="Aelton de Jesus Nunes" r:id="rId170" minRId="1842" maxRId="185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71EFB9D8-2F13-4F5C-A64C-EC46B506B5A6}" dateTime="2025-07-18T15:10:43" maxSheetId="12" userName="Marcos Neves de Almeida" r:id="rId171" minRId="186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C3DF7BE6-0DBA-4D51-906D-0EE3177325E2}" dateTime="2025-07-18T15:47:26" maxSheetId="12" userName="Diego Santos de Abreu" r:id="rId172" minRId="1873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DE81EC7F-954D-4345-A192-E513067E427B}" dateTime="2025-07-21T14:37:33" maxSheetId="12" userName="Leonam Morrison Monteiro de Oliveira" r:id="rId173" minRId="1874" maxRId="188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53479FD7-DBE2-41AF-831E-3C1AE0BD04CF}" dateTime="2025-07-21T17:11:30" maxSheetId="12" userName="Alessandro Borges de Araújo" r:id="rId174" minRId="1893" maxRId="1895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CEEA310A-44ED-4144-9DFF-505668B4AF1E}" dateTime="2025-07-21T17:28:58" maxSheetId="12" userName="Alessandro Borges de Araújo" r:id="rId175" minRId="190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B5B1B346-27BD-4D99-A522-9B1256D469B2}" dateTime="2025-07-21T17:35:42" maxSheetId="12" userName="Alessandro Borges de Araújo" r:id="rId176" minRId="1907" maxRId="192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81679073-B184-4069-9AF8-4C8D916C26E4}" dateTime="2025-07-22T09:35:24" maxSheetId="12" userName="Marcos Neves de Almeida" r:id="rId177" minRId="193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236D26CA-8265-4DEF-9F8F-52453BE94300}" dateTime="2025-07-22T11:06:21" maxSheetId="12" userName="Danilo Rafael Basilio da Silva" r:id="rId178" minRId="1943" maxRId="1950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87152681-3D32-4CF6-8401-F02FA7A957A5}" dateTime="2025-07-22T14:29:21" maxSheetId="12" userName="Leonam Morrison Monteiro de Oliveira" r:id="rId179" minRId="1961" maxRId="196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D5C1F1BD-CC0F-4096-90D5-A314B4751CB2}" dateTime="2025-07-22T15:40:59" maxSheetId="12" userName="Marcos Neves de Almeida" r:id="rId180" minRId="1973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4D6B5A80-BD36-4BA5-BB75-9DAEE1F19CC2}" dateTime="2025-07-23T08:46:32" maxSheetId="12" userName="Diego Santos de Abreu" r:id="rId181" minRId="1984" maxRId="198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59B11DF2-AA61-47F0-98D6-EDB1A9F3DC7E}" dateTime="2025-07-24T08:44:24" maxSheetId="12" userName="Diego Santos de Abreu" r:id="rId182" minRId="1997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972FF11C-218B-4C14-8680-ED9E9BD36CDD}" dateTime="2025-07-24T09:15:24" maxSheetId="12" userName="Leonam Morrison Monteiro de Oliveira" r:id="rId183" minRId="2008" maxRId="201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71111141-B88A-4907-87B6-5DC696638B0C}" dateTime="2025-07-24T14:21:18" maxSheetId="12" userName="Marcos Neves de Almeida" r:id="rId184" minRId="202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8BFBBFD4-1A1F-4928-A0C2-526B83A01C21}" dateTime="2025-07-25T13:58:00" maxSheetId="12" userName="Marcos Neves de Almeida" r:id="rId185" minRId="2033" maxRId="204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2E64F331-A301-447D-9AE1-AF917ABCFBF2}" dateTime="2025-07-25T14:26:28" maxSheetId="12" userName="Aelton de Jesus Nunes" r:id="rId186" minRId="2047" maxRId="2054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74BC1C4-1028-495F-933A-15A305133D29}" dateTime="2025-07-25T14:27:19" maxSheetId="12" userName="Aelton de Jesus Nunes" r:id="rId187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80C96B8C-429E-451D-BD59-0C2E8AAA1737}" dateTime="2025-07-25T14:30:45" maxSheetId="12" userName="Marcos Neves de Almeida" r:id="rId188" minRId="2075" maxRId="2078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CE552CD0-BE16-47CC-858D-01284F9EC131}" dateTime="2025-07-25T14:32:57" maxSheetId="12" userName="Marcos Neves de Almeida" r:id="rId189" minRId="2089" maxRId="2090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97FA5DC2-34AE-4623-8FA3-3B07CE4A6E78}" dateTime="2025-07-25T14:37:35" maxSheetId="12" userName="Diego Santos de Abreu" r:id="rId190" minRId="2091" maxRId="2104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B4FDE012-1682-45A8-9481-5E77AC2C2266}" dateTime="2025-07-25T14:37:48" maxSheetId="12" userName="Aelton de Jesus Nunes" r:id="rId191" minRId="2115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9E6B3FC0-93C1-4B61-8B77-CDDD9AF5CB3E}" dateTime="2025-07-25T14:38:19" maxSheetId="12" userName="Aelton de Jesus Nunes" r:id="rId192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29313CDA-ADCD-42AC-89D0-FF7321B0743F}" dateTime="2025-07-25T14:41:14" maxSheetId="12" userName="Diego Santos de Abreu" r:id="rId193" minRId="212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04ACE0C8-E943-4C0F-83BC-0063ED092B89}" dateTime="2025-07-25T14:43:59" maxSheetId="12" userName="Diego Santos de Abreu" r:id="rId194" minRId="2127" maxRId="214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84D1FDD7-477D-4DAB-9065-E4E63944C382}" dateTime="2025-07-25T15:28:52" maxSheetId="12" userName="Danilo Rafael Basilio da Silva" r:id="rId195" minRId="2152" maxRId="2169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EE7C99F3-53D5-45C6-8759-CEE281BC21FC}" dateTime="2025-07-25T15:30:50" maxSheetId="12" userName="Danilo Rafael Basilio da Silva" r:id="rId196" minRId="2170" maxRId="2176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3E3117F-4C77-4800-8451-BBBBBA88B8DB}" dateTime="2025-07-28T12:42:17" maxSheetId="12" userName="Leonam Morrison Monteiro de Oliveira" r:id="rId197" minRId="2177" maxRId="2181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7F20B9CC-837B-48AC-8E0F-66F9CFB28C71}" dateTime="2025-07-28T14:24:19" maxSheetId="13" userName="Marcelo Lucio Saboia Fonseca" r:id="rId198" minRId="2192" maxRId="2224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AF8A8F2-4855-4580-8C18-AD33068A23EB}" dateTime="2025-07-28T14:30:05" maxSheetId="13" userName="Marcelo Lucio Saboia Fonseca" r:id="rId199" minRId="2225" maxRId="2241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04F03647-3A0F-4836-A971-F9EDC970FE6A}" dateTime="2025-07-28T15:06:54" maxSheetId="13" userName="Marcelo Lucio Saboia Fonseca" r:id="rId200" minRId="2242" maxRId="2263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9ADB692-44C3-410D-8B9E-CB9D2B8ADA2A}" dateTime="2025-07-28T15:53:27" maxSheetId="13" userName="Diego Santos de Abreu" r:id="rId201" minRId="2264" maxRId="2267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BB0A5DD0-52B7-4853-B769-EEC1F17BEFD9}" dateTime="2025-07-28T16:20:17" maxSheetId="13" userName="Alessandro Borges de Araújo" r:id="rId202" minRId="2278" maxRId="2287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6F1920C4-45C2-4C32-8C42-13073B887826}" dateTime="2025-07-28T16:21:54" maxSheetId="13" userName="Alessandro Borges de Araújo" r:id="rId203" minRId="2288" maxRId="2303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7231BE5-C4C9-4276-A25A-F8AA8ACFB4AE}" dateTime="2025-07-29T09:13:16" maxSheetId="13" userName="Marcos Neves de Almeida" r:id="rId204" minRId="2314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4A9F66E-9194-4193-AA84-29092AF78BC3}" dateTime="2025-07-29T15:50:04" maxSheetId="13" userName="Diego Santos de Abreu" r:id="rId205" minRId="2325" maxRId="2327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9A6FBBD2-6B3E-45ED-AD3F-08E43883B40E}" dateTime="2025-07-30T12:38:30" maxSheetId="13" userName="Alessandro Borges de Araújo" r:id="rId206" minRId="2338" maxRId="2339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5496B0F-BFB0-48A4-9330-501CCA9D732D}" dateTime="2025-07-31T08:12:06" maxSheetId="13" userName="Marcos Neves de Almeida" r:id="rId207" minRId="2350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3B69941-77E3-4590-8FC6-FD32D97E6E79}" dateTime="2025-07-31T08:15:16" maxSheetId="13" userName="Marcos Neves de Almeida" r:id="rId208" minRId="2361" maxRId="2364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B11E8F78-7545-46F4-AD6D-9BB4489D0E48}" dateTime="2025-07-31T08:16:12" maxSheetId="13" userName="Marcos Neves de Almeida" r:id="rId209" minRId="2365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431EAEBF-B2FA-4C72-A705-69DEEF005ABF}" dateTime="2025-07-31T14:27:40" maxSheetId="13" userName="Leonam Morrison Monteiro de Oliveira" r:id="rId210" minRId="2366" maxRId="2379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750F02C7-1454-4104-BDCD-89700ECB9E6B}" dateTime="2025-07-31T16:53:44" maxSheetId="13" userName="Alessandro Borges de Araújo" r:id="rId211" minRId="2390" maxRId="2391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EC98C081-0588-4B5C-B9E0-0976823FA023}" dateTime="2025-08-01T08:21:03" maxSheetId="13" userName="Diego Santos de Abreu" r:id="rId212" minRId="2402" maxRId="2406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151087AD-FFA2-4A00-8ADC-F1ACC6D1209F}" dateTime="2025-08-01T08:21:10" maxSheetId="13" userName="Marcos Neves de Almeida" r:id="rId213" minRId="2407" maxRId="2411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78A189D5-01F7-411B-8460-A35EE3662084}" dateTime="2025-08-01T08:53:15" maxSheetId="13" userName="Danilo Rafael Basilio da Silva" r:id="rId214" minRId="2412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E812C86C-7781-4FDA-8A53-4DF43E3421E1}" dateTime="2025-08-01T10:04:51" maxSheetId="13" userName="Leonam Morrison Monteiro de Oliveira" r:id="rId215" minRId="2423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CC291BC1-9E0E-4F17-AE94-26453A1B3787}" dateTime="2025-08-01T10:52:58" maxSheetId="13" userName="Aelton de Jesus Nunes" r:id="rId216" minRId="2434" maxRId="2440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DEC4C029-7614-41C5-874C-7DCEEF34950F}" dateTime="2025-08-01T10:53:26" maxSheetId="13" userName="Aelton de Jesus Nunes" r:id="rId217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1F1677DF-203A-4468-B429-BA604C8CCD40}" dateTime="2025-08-01T11:14:01" maxSheetId="13" userName="Diego Santos de Abreu" r:id="rId218" minRId="2461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9EB227E7-B774-4D6E-A62A-7175F0877B52}" dateTime="2025-08-01T13:32:33" maxSheetId="13" userName="Aelton de Jesus Nunes" r:id="rId219" minRId="2472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AE3DF47-C871-427F-B723-40831DD724C5}" dateTime="2025-08-01T14:04:40" maxSheetId="13" userName="Marcos Neves de Almeida" r:id="rId220" minRId="2473" maxRId="2474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74E5801-FD68-48E8-9E2C-AB5F5288E5B4}" dateTime="2025-08-01T14:31:39" maxSheetId="13" userName="Leonam Morrison Monteiro de Oliveira" r:id="rId221" minRId="2485" maxRId="2486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CDE7F404-4446-4163-BA90-E595EF95D9FD}" dateTime="2025-08-04T09:03:37" maxSheetId="13" userName="Danilo Rafael Basilio da Silva" r:id="rId222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2F8670C2-8A39-4B10-8F1D-74FA2BB9E709}" dateTime="2025-08-04T09:11:01" maxSheetId="13" userName="Danilo Rafael Basilio da Silva" r:id="rId223" minRId="2507" maxRId="2514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EB1D8139-EDEC-4F1C-A1BE-460AA21A239E}" dateTime="2025-08-04T09:11:19" maxSheetId="13" userName="Danilo Rafael Basilio da Silva" r:id="rId224" minRId="2515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E4178AF7-1B69-4644-80E6-84C7A3101801}" dateTime="2025-08-05T08:48:43" maxSheetId="13" userName="Aelton de Jesus Nunes" r:id="rId225" minRId="2516" maxRId="2537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E2E9E516-ECCA-41E3-A41C-607F2D07EB7B}" dateTime="2025-08-05T08:49:13" maxSheetId="13" userName="Aelton de Jesus Nunes" r:id="rId226" minRId="2548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E1397A03-2492-464C-981B-9CFF72BF5ABC}" dateTime="2025-08-05T14:06:57" maxSheetId="13" userName="Aelton de Jesus Nunes" r:id="rId227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9E26D4B2-5C1A-4651-AA8C-88FA2A31492D}" dateTime="2025-08-05T16:17:28" maxSheetId="13" userName="Aelton de Jesus Nunes" r:id="rId228" minRId="2569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0DDFBC5A-01CC-4DE8-AE2F-1D1B300DF5A2}" dateTime="2025-08-08T14:18:02" maxSheetId="13" userName="Aelton de Jesus Nunes" r:id="rId229" minRId="2570" maxRId="2571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97C1F4A-65F5-4796-B2BD-11E48B3F763B}" dateTime="2025-08-08T14:18:41" maxSheetId="13" userName="Aelton de Jesus Nunes" r:id="rId230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B8748154-3646-473B-A66E-52A09CE7F068}" dateTime="2025-08-08T14:21:56" maxSheetId="13" userName="Aelton de Jesus Nunes" r:id="rId231" minRId="2572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0E6B5D8A-3D90-4D03-854F-D9B13E607682}" dateTime="2025-08-13T10:17:55" maxSheetId="13" userName="Marcos Neves de Almeida" r:id="rId232" minRId="2583" maxRId="2595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E7B51E9-2847-4F37-A37B-327EC4369D3D}" dateTime="2025-08-13T10:18:05" maxSheetId="13" userName="Marcos Neves de Almeida" r:id="rId233" minRId="2606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92F6B190-F2AD-4339-8A62-9FFB390FBD9C}" dateTime="2025-08-14T08:22:19" maxSheetId="13" userName="Marcos Neves de Almeida" r:id="rId234" minRId="2607" maxRId="2609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124F073-60D0-40E3-9302-F36C346FFD6F}" dateTime="2025-08-15T09:21:48" maxSheetId="13" userName="Aelton de Jesus Nunes" r:id="rId235" minRId="2610" maxRId="2636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EEB1805D-6F9F-4F58-B1E0-01618D23E5A2}" dateTime="2025-08-15T15:18:51" maxSheetId="13" userName="Marcelo Lucio Saboia Fonseca" r:id="rId236" minRId="2647" maxRId="2757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B7944166-45A3-42E0-A2D4-2E989DD8364F}" dateTime="2025-08-15T15:24:19" maxSheetId="13" userName="Marcelo Lucio Saboia Fonseca" r:id="rId237" minRId="2768" maxRId="4533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BB4B693-1BB5-432F-BC68-401131DA896C}" dateTime="2025-08-15T15:31:10" maxSheetId="13" userName="Diego Santos de Abreu" r:id="rId238" minRId="4534" maxRId="4546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EFD864A3-16AE-4805-9F6D-9A6E823A6261}" dateTime="2025-08-15T17:21:26" maxSheetId="13" userName="Aelton de Jesus Nunes" r:id="rId239" minRId="4557" maxRId="4569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8D25D084-D3F8-49CA-B852-2E7CE5D0E81C}" dateTime="2025-08-19T10:26:15" maxSheetId="13" userName="Danilo Rafael Basilio da Silva" r:id="rId240" minRId="4580" maxRId="4593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16DB54F0-F57A-4326-BB4B-07C1B82335E9}" dateTime="2025-08-19T12:23:17" maxSheetId="13" userName="Alessandro Borges de Araújo" r:id="rId241" minRId="4604" maxRId="4614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39E6290-C0E0-4B64-89E5-08619B8453BC}" dateTime="2025-08-19T12:28:12" maxSheetId="13" userName="Alessandro Borges de Araújo" r:id="rId242" minRId="4625" maxRId="4626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6445D118-B233-4C09-8367-77A1C5AE8D81}" dateTime="2025-08-19T14:04:48" maxSheetId="13" userName="Marcos Neves de Almeida" r:id="rId243" minRId="4627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C74CD3CD-7918-4698-BE96-D387D9310BCC}" dateTime="2025-08-20T15:50:40" maxSheetId="13" userName="Aelton de Jesus Nunes" r:id="rId244" minRId="4638" maxRId="4640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F8BC54F-7074-4FBD-94F0-639408A8D9D2}" dateTime="2025-08-21T13:49:13" maxSheetId="13" userName="Marcos Neves de Almeida" r:id="rId245" minRId="4641" maxRId="4642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849F89C9-B698-4FC1-BDB4-7E0571BA9902}" dateTime="2025-08-21T13:50:03" maxSheetId="13" userName="Marcos Neves de Almeida" r:id="rId246" minRId="4653" maxRId="4654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02D49108-3CB2-4180-8956-952EA5CB931B}" dateTime="2025-08-21T13:53:01" maxSheetId="13" userName="Marcos Neves de Almeida" r:id="rId247" minRId="4655" maxRId="4668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BFA38DDF-539F-40D6-987A-B72C189F3E08}" dateTime="2025-08-22T08:53:44" maxSheetId="13" userName="Aelton de Jesus Nunes" r:id="rId248" minRId="4679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49EECD2-332D-4A1F-BC82-B5B39B81F66E}" dateTime="2025-08-22T08:54:12" maxSheetId="13" userName="Aelton de Jesus Nunes" r:id="rId249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10A0A9BC-3CBC-45C7-B396-FA7A27194D17}" dateTime="2025-08-22T08:54:21" maxSheetId="13" userName="Aelton de Jesus Nunes" r:id="rId250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8FC29708-77F3-46CB-88CC-B46AF96E5484}" dateTime="2025-08-25T09:05:01" maxSheetId="13" userName="Marcos Neves de Almeida" r:id="rId251" minRId="4710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D0F37C4E-B5A8-4A88-8D9B-6061370F7815}" dateTime="2025-08-25T14:19:41" maxSheetId="13" userName="Diego Santos de Abreu" r:id="rId252" minRId="4721" maxRId="4725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F73418B7-1654-4369-B048-A94FF1F68BEE}" dateTime="2025-08-25T14:20:17" maxSheetId="13" userName="Diego Santos de Abreu" r:id="rId253" minRId="4736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6C1A33E3-A00D-40EB-AF09-BAE884F86A5B}" dateTime="2025-08-25T14:34:40" maxSheetId="13" userName="Leonam Morrison Monteiro de Oliveira" r:id="rId254" minRId="4737" maxRId="4750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4D3A545E-88E7-4641-A396-9FE314C02A25}" dateTime="2025-08-25T14:35:43" maxSheetId="13" userName="Leonam Morrison Monteiro de Oliveira" r:id="rId255" minRId="4751" maxRId="4756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7B88E7D6-A47B-40BD-B029-0BA1B34B5413}" dateTime="2025-08-25T14:37:46" maxSheetId="13" userName="Leonam Morrison Monteiro de Oliveira" r:id="rId256" minRId="4757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9ED2C222-9C55-4DF1-B214-C2874279F320}" dateTime="2025-08-25T14:39:38" maxSheetId="13" userName="Leonam Morrison Monteiro de Oliveira" r:id="rId257" minRId="4758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1D19659A-0C30-42E4-BE7B-C665104C9E80}" dateTime="2025-08-27T10:02:11" maxSheetId="13" userName="Marcos Neves de Almeida" r:id="rId258" minRId="4759" maxRId="4760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51CA026B-2545-4B21-B0A8-48A20D7A0742}" dateTime="2025-08-27T15:51:38" maxSheetId="13" userName="Leonam Morrison Monteiro de Oliveira" r:id="rId259" minRId="4771" maxRId="4773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C674499F-6CA1-4378-ABE3-97D884BDD23F}" dateTime="2025-08-28T10:27:50" maxSheetId="13" userName="Aelton de Jesus Nunes" r:id="rId260" minRId="4784" maxRId="4785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58E91DA-AD04-41BE-B03A-62A19048E810}" dateTime="2025-08-28T10:28:16" maxSheetId="13" userName="Aelton de Jesus Nunes" r:id="rId261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9C868E09-0FCA-42D8-BA14-9FA2AC9149C0}" dateTime="2025-08-28T10:29:37" maxSheetId="13" userName="Aelton de Jesus Nunes" r:id="rId262" minRId="4806" maxRId="4808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812A0361-FF10-4790-87FB-A974F45B2C28}" dateTime="2025-08-28T10:35:23" maxSheetId="13" userName="Aelton de Jesus Nunes" r:id="rId263" minRId="4809" maxRId="4811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353C0A8C-C169-4741-9EB4-056B22FF26DE}" dateTime="2025-08-28T16:37:58" maxSheetId="13" userName="Marcos Neves de Almeida" r:id="rId264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6B7D521C-3C14-48C0-8321-A604093DC7F2}" dateTime="2025-09-01T09:04:17" maxSheetId="13" userName="Aelton de Jesus Nunes" r:id="rId265" minRId="4822" maxRId="4823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EDFB0D25-9882-4E2B-B78F-19B81C282C06}" dateTime="2025-09-01T09:38:40" maxSheetId="13" userName="Marcos Neves de Almeida" r:id="rId266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52BBAEFD-1533-4909-9225-5C820278516E}" dateTime="2025-09-01T15:12:45" maxSheetId="13" userName="Danilo Rafael Basilio da Silva" r:id="rId267" minRId="4844" maxRId="4852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53E1A8D9-C1BE-4101-B55C-49BB94AD3947}" dateTime="2025-09-01T15:14:17" maxSheetId="13" userName="Danilo Rafael Basilio da Silva" r:id="rId268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FF8A0C54-1996-495C-9EF1-58197668FD2A}" dateTime="2025-09-01T17:21:16" maxSheetId="13" userName="Leonam Morrison Monteiro de Oliveira" r:id="rId269" minRId="4863" maxRId="4867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B1397779-2E88-4D4A-B29E-AA08BEDD495B}" dateTime="2025-09-02T08:09:19" maxSheetId="13" userName="Diego Santos de Abreu" r:id="rId270" minRId="4878" maxRId="4884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B45031FA-0A19-450E-A289-C3BD779BF4B7}" dateTime="2025-09-02T08:09:35" maxSheetId="13" userName="Diego Santos de Abreu" r:id="rId271" minRId="4895" maxRId="4896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A62E3CA1-D542-4FF0-8D75-99637BDE5FD0}" dateTime="2025-09-02T15:00:30" maxSheetId="13" userName="Leonam Morrison Monteiro de Oliveira" r:id="rId272" minRId="4897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80B090DB-3FE3-45C3-9589-149D656BDB51}" dateTime="2025-09-03T14:57:09" maxSheetId="13" userName="Leonam Morrison Monteiro de Oliveira" r:id="rId273" minRId="4908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54496B74-2100-487F-8BE2-A0073FB4544A}" dateTime="2025-09-03T16:57:54" maxSheetId="13" userName="Aelton de Jesus Nunes" r:id="rId274" minRId="4919" maxRId="4925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B6E39C32-4260-40EC-864B-18D6318EA4E5}" dateTime="2025-09-04T09:51:43" maxSheetId="13" userName="Marcos Neves de Almeida" r:id="rId275" minRId="4936" maxRId="4942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EFD17A32-F590-4294-A91D-C77BC0777436}" dateTime="2025-09-04T16:58:32" maxSheetId="13" userName="Aelton de Jesus Nunes" r:id="rId276" minRId="4953" maxRId="4954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68D7CE37-AE68-4CD1-8D68-4104D978C9C2}" dateTime="2025-09-08T14:04:10" maxSheetId="13" userName="Leonam Morrison Monteiro de Oliveira" r:id="rId277" minRId="4965" maxRId="4966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48F4DF5F-AF10-4FE2-BB2A-9D5679DD58B5}" dateTime="2025-09-08T14:07:47" maxSheetId="13" userName="Aelton de Jesus Nunes" r:id="rId278" minRId="4977" maxRId="4978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885EBD2E-A849-46D0-A5B8-231C5F6139BC}" dateTime="2025-09-08T14:58:11" maxSheetId="13" userName="Marcelo Lucio Saboia Fonseca" r:id="rId27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716D001-6C33-4496-A871-0992341AE588}" dateTime="2025-09-08T16:19:22" maxSheetId="13" userName="Alessandro Borges de Araújo" r:id="rId280" minRId="4999" maxRId="501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84699D81-F7EA-4A0E-B1D1-648AD62B4EB3}" dateTime="2025-09-08T16:23:53" maxSheetId="13" userName="Alessandro Borges de Araújo" r:id="rId281" minRId="502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6923982D-359A-48EE-AC7F-647A78971229}" dateTime="2025-09-08T16:28:39" maxSheetId="13" userName="Alessandro Borges de Araújo" r:id="rId282" minRId="5033" maxRId="504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83D3C53D-E1E1-44B0-9C8D-5A35A4782F39}" dateTime="2025-09-08T17:57:32" maxSheetId="13" userName="Alessandro Borges de Araújo" r:id="rId283" minRId="504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EA6C4CB-43FD-43CC-A9C2-E8AA7C18302F}" dateTime="2025-09-12T09:22:52" maxSheetId="13" userName="Diego Santos de Abreu" r:id="rId284" minRId="5057" maxRId="506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4EFF3618-1475-46E4-A526-FB7A3A61B083}" dateTime="2025-09-12T14:30:12" maxSheetId="13" userName="Danilo Rafael Basilio da Silva" r:id="rId285" minRId="5078" maxRId="508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79C3AAE-5A18-4269-9FE1-F4212B7A03F6}" dateTime="2025-09-12T14:31:46" maxSheetId="13" userName="Danilo Rafael Basilio da Silva" r:id="rId286" minRId="5082" maxRId="508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889D6528-15EE-4C79-9F1B-B277DC428578}" dateTime="2025-09-12T14:35:09" maxSheetId="13" userName="Danilo Rafael Basilio da Silva" r:id="rId287" minRId="5084" maxRId="508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E76D9FD-6F1B-4F55-BD8B-EFC52D1A5E4F}" dateTime="2025-09-12T14:38:16" maxSheetId="13" userName="Aelton de Jesus Nunes" r:id="rId288" minRId="5090" maxRId="509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EC34D369-03DE-4A81-A1C4-BFA68215130D}" dateTime="2025-09-12T14:39:21" maxSheetId="13" userName="Aelton de Jesus Nunes" r:id="rId289" minRId="5110" maxRId="511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30A50FE-1E79-4C81-887E-665B7864445E}" dateTime="2025-09-15T11:01:52" maxSheetId="13" userName="Alessandro Borges de Araújo" r:id="rId290" minRId="5113" maxRId="511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88DA7AB-A7CE-495D-8743-44192202C632}" dateTime="2025-09-15T15:03:42" maxSheetId="13" userName="Leonam Morrison Monteiro de Oliveira" r:id="rId291" minRId="5128" maxRId="513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E0B21CA-3270-41DF-8CAB-A58D30C50CB7}" dateTime="2025-09-17T15:43:34" maxSheetId="13" userName="Marcelo Lucio Saboia Fonseca" r:id="rId292" minRId="5143" maxRId="516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F480BB49-82E0-429D-A6E3-CC7C66324DE5}" dateTime="2025-09-17T16:08:11" maxSheetId="13" userName="Marcelo Lucio Saboia Fonseca" r:id="rId293" minRId="5171" maxRId="517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953CE10-1C2D-406B-82D6-DE25CE796A06}" dateTime="2025-09-17T17:09:36" maxSheetId="13" userName="Marcelo Lucio Saboia Fonseca" r:id="rId29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6614B792-847C-4684-BE6C-852D5F9B3BBB}" dateTime="2025-09-17T17:29:13" maxSheetId="13" userName="Marcelo Lucio Saboia Fonseca" r:id="rId295" minRId="519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FF15EAC9-8ACB-40AF-BFBC-8F0A34E9B6BF}" dateTime="2025-09-18T17:03:47" maxSheetId="13" userName="Aelton de Jesus Nunes" r:id="rId296" minRId="5200" maxRId="520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902D87F-CA0D-44AA-9B96-5DA7804CBD3F}" dateTime="2025-09-18T17:04:15" maxSheetId="13" userName="Aelton de Jesus Nunes" r:id="rId29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687119F1-9149-4D08-AF67-FD1AA484503D}" dateTime="2025-09-19T07:52:10" maxSheetId="13" userName="Aelton de Jesus Nunes" r:id="rId298" minRId="522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815E976-2A29-4A9C-B4CA-9A4B59245148}" dateTime="2025-09-19T18:00:33" maxSheetId="13" userName="Aelton de Jesus Nunes" r:id="rId299" minRId="5229" maxRId="523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4FBC604-23D8-43E8-A522-986B83E44F8B}" dateTime="2025-09-24T12:04:35" maxSheetId="13" userName="Alessandro Borges de Araújo" r:id="rId300" minRId="5231" maxRId="523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445402E-EA53-42AB-8249-0DBB91530294}" dateTime="2025-09-29T08:33:32" maxSheetId="13" userName="Diego Santos de Abreu" r:id="rId301" minRId="5248" maxRId="525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9F49963B-12B8-4C0C-B1C4-343F6BF91923}" dateTime="2025-09-29T15:48:22" maxSheetId="13" userName="Aelton de Jesus Nunes" r:id="rId302" minRId="5268" maxRId="527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AFE1FCE-A9CD-43FE-91D4-4824086FC2BE}" dateTime="2025-09-29T15:48:31" maxSheetId="13" userName="Aelton de Jesus Nunes" r:id="rId30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4628614-D8F3-459E-BEF6-E0E010DD8CB3}" dateTime="2025-09-30T10:08:55" maxSheetId="13" userName="Marcos Neves de Almeida" r:id="rId304" minRId="5285" maxRId="530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852D81EA-177D-4649-AD23-110340031253}" dateTime="2025-10-03T14:44:54" maxSheetId="13" userName="Aelton de Jesus Nunes" r:id="rId305" minRId="5313" maxRId="532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B4F37C0-831E-44E7-B239-F507EF641D49}" dateTime="2025-10-03T15:58:54" maxSheetId="13" userName="Aelton de Jesus Nunes" r:id="rId306" minRId="533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E22151C-2CB4-4CAE-987B-1057571872DC}" dateTime="2025-10-03T15:59:35" maxSheetId="13" userName="Aelton de Jesus Nunes" r:id="rId307" minRId="533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45867DCA-3B97-4108-8EEE-5F3AAF6E88D5}" dateTime="2025-10-03T16:08:07" maxSheetId="13" userName="Aelton de Jesus Nunes" r:id="rId308" minRId="533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25CFAA7-97E4-40D7-89F0-A9B059D09322}" dateTime="2025-10-10T09:40:27" maxSheetId="13" userName="Alessandro Borges de Araújo" r:id="rId309" minRId="5335" maxRId="534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9EB98AA2-6070-48D3-B129-D0F7EF0826F5}" dateTime="2025-10-10T09:41:14" maxSheetId="13" userName="Alessandro Borges de Araújo" r:id="rId31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6E66E9C5-7DE0-4551-B39C-FA507736A088}" dateTime="2025-10-10T09:59:21" maxSheetId="13" userName="Alessandro Borges de Araújo" r:id="rId311" minRId="5366" maxRId="537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F8515F9-6E1E-4C0D-9F82-E0650D8FB6B2}" dateTime="2025-10-10T10:09:07" maxSheetId="13" userName="Alessandro Borges de Araújo" r:id="rId312" minRId="5373" maxRId="538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29E1A38-E965-42B6-80EB-36AABABE91D0}" dateTime="2025-10-13T14:22:34" maxSheetId="13" userName="Marcos Neves de Almeida" r:id="rId313" minRId="5393" maxRId="539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62EB3698-C5E6-460C-BCEC-5661C6B3C307}" dateTime="2025-10-13T14:24:31" maxSheetId="13" userName="Marcos Neves de Almeida" r:id="rId314" minRId="5410" maxRId="541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E1E07A7-27F4-415F-B65B-888DBF2AA538}" dateTime="2025-10-13T14:26:17" maxSheetId="13" userName="Danilo Rafael Basilio da Silva" r:id="rId315" minRId="5415" maxRId="542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E6A50F6-E666-4209-BAE9-82D4BB281296}" dateTime="2025-10-13T14:30:32" maxSheetId="13" userName="Danilo Rafael Basilio da Silva" r:id="rId316" minRId="544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4085CCE7-7F6A-4958-8AAA-856ABD86ABB8}" dateTime="2025-10-13T14:45:38" maxSheetId="13" userName="Marcos Neves de Almeida" r:id="rId31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9859496-B33C-437B-8424-74C5FFD12D05}" dateTime="2025-10-21T08:52:01" maxSheetId="13" userName="Alessandro Borges de Araújo" r:id="rId318" minRId="5451" maxRId="545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E787697A-FFCB-439E-930E-64FD0D4513AE}" dateTime="2025-10-30T11:59:25" maxSheetId="13" userName="Alessandro Borges de Araújo" r:id="rId319" minRId="5463" maxRId="5474">
    <sheetIdMap count="12">
      <sheetId val="12"/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46" sId="8">
    <nc r="AE17" t="inlineStr">
      <is>
        <t xml:space="preserve">3 caixas digitalizadas da folhas para a planilha 103 filmes </t>
      </is>
    </nc>
  </rcc>
  <rfmt sheetId="8" sqref="AF17">
    <dxf>
      <alignment wrapText="1"/>
    </dxf>
  </rfmt>
  <rfmt sheetId="8" sqref="AE17">
    <dxf>
      <alignment wrapText="1"/>
    </dxf>
  </rfmt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Danilo!$A$1:$A$31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61" sId="5" odxf="1" dxf="1">
    <nc r="AI16">
      <v>30</v>
    </nc>
    <odxf>
      <border outline="0">
        <bottom style="thin">
          <color indexed="64"/>
        </bottom>
      </border>
    </odxf>
    <ndxf>
      <border outline="0">
        <bottom/>
      </border>
    </ndxf>
  </rcc>
  <rcc rId="1562" sId="5" odxf="1" dxf="1">
    <nc r="AI17" t="inlineStr">
      <is>
        <t>Conferência das caixas da 
CGPC/DEFNAS.</t>
      </is>
    </nc>
    <odxf>
      <alignment wrapText="0"/>
    </odxf>
    <ndxf>
      <alignment wrapText="1"/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73" sId="5">
    <nc r="AH2">
      <v>1</v>
    </nc>
  </rcc>
  <rcc rId="1574" sId="5">
    <nc r="AH4">
      <v>1</v>
    </nc>
  </rcc>
  <rcc rId="1575" sId="5">
    <nc r="AH13">
      <v>1</v>
    </nc>
  </rcc>
  <rfmt sheetId="5" sqref="AH16" start="0" length="0">
    <dxf>
      <border outline="0">
        <bottom/>
      </border>
    </dxf>
  </rfmt>
  <rcc rId="1576" sId="5" odxf="1" dxf="1">
    <nc r="AH17" t="inlineStr">
      <is>
        <t>1. Ida ao Bloco A com os chefes, Patrícia e Marcelo, para ver localização dos microfilmes para inventáriá-los. 
2.  Ida ao Bloco A para localização e análise das prováveis caixas onde possa estar o processo do FUNDESPORTE.</t>
      </is>
    </nc>
    <odxf>
      <alignment wrapText="0"/>
    </odxf>
    <ndxf>
      <alignment wrapText="1"/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7" sId="4">
    <nc r="AI15">
      <v>51</v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B2:B16" start="0" length="2147483647">
    <dxf>
      <font>
        <sz val="10"/>
      </font>
    </dxf>
  </rfmt>
  <rfmt sheetId="3" sqref="B2:B16" start="0" length="2147483647">
    <dxf>
      <font>
        <sz val="9"/>
      </font>
    </dxf>
  </rfmt>
  <rcv guid="{18A482E0-C8B6-4AA1-9E04-15FA7C9CD5E3}" action="delete"/>
  <rdn rId="0" localSheetId="1" customView="1" name="Z_18A482E0_C8B6_4AA1_9E04_15FA7C9CD5E3_.wvu.FilterData" hidden="1" oldHidden="1">
    <formula>Patrícia!$A$1:$A$18</formula>
    <oldFormula>Patrícia!$A$1:$A$18</oldFormula>
  </rdn>
  <rdn rId="0" localSheetId="2" customView="1" name="Z_18A482E0_C8B6_4AA1_9E04_15FA7C9CD5E3_.wvu.FilterData" hidden="1" oldHidden="1">
    <formula>Marcelo!$A$1:$A$18</formula>
    <oldFormula>Marcelo!$A$1:$A$18</oldFormula>
  </rdn>
  <rdn rId="0" localSheetId="3" customView="1" name="Z_18A482E0_C8B6_4AA1_9E04_15FA7C9CD5E3_.wvu.FilterData" hidden="1" oldHidden="1">
    <formula>TOTAL!$A$1:$A$18</formula>
    <oldFormula>TOTAL!$A$1:$A$18</oldFormula>
  </rdn>
  <rdn rId="0" localSheetId="4" customView="1" name="Z_18A482E0_C8B6_4AA1_9E04_15FA7C9CD5E3_.wvu.FilterData" hidden="1" oldHidden="1">
    <formula>Diego!$A$1:$A$18</formula>
    <oldFormula>Diego!$A$1:$A$18</oldFormula>
  </rdn>
  <rdn rId="0" localSheetId="5" customView="1" name="Z_18A482E0_C8B6_4AA1_9E04_15FA7C9CD5E3_.wvu.FilterData" hidden="1" oldHidden="1">
    <formula>Aelton!$A$1:$A$18</formula>
    <oldFormula>Aelton!$A$1:$A$18</oldFormula>
  </rdn>
  <rdn rId="0" localSheetId="6" customView="1" name="Z_18A482E0_C8B6_4AA1_9E04_15FA7C9CD5E3_.wvu.FilterData" hidden="1" oldHidden="1">
    <formula>Leonam!$A$1:$BD$18</formula>
    <oldFormula>Leonam!$A$1:$BD$18</oldFormula>
  </rdn>
  <rdn rId="0" localSheetId="7" customView="1" name="Z_18A482E0_C8B6_4AA1_9E04_15FA7C9CD5E3_.wvu.FilterData" hidden="1" oldHidden="1">
    <formula>Danilo!$A$1:$A$31</formula>
    <oldFormula>Danilo!$A$1:$A$31</oldFormula>
  </rdn>
  <rdn rId="0" localSheetId="8" customView="1" name="Z_18A482E0_C8B6_4AA1_9E04_15FA7C9CD5E3_.wvu.FilterData" hidden="1" oldHidden="1">
    <formula>Marcos!$A$1:$A$18</formula>
    <oldFormula>Marcos!$A$1:$A$18</oldFormula>
  </rdn>
  <rdn rId="0" localSheetId="9" customView="1" name="Z_18A482E0_C8B6_4AA1_9E04_15FA7C9CD5E3_.wvu.FilterData" hidden="1" oldHidden="1">
    <formula>Carlos!$A$1:$A$18</formula>
    <oldFormula>Carlos!$A$1:$A$18</oldFormula>
  </rdn>
  <rdn rId="0" localSheetId="10" customView="1" name="Z_18A482E0_C8B6_4AA1_9E04_15FA7C9CD5E3_.wvu.FilterData" hidden="1" oldHidden="1">
    <formula>Alessandro!$A$1:$A$18</formula>
    <oldFormula>Alessandro!$A$1:$A$18</oldFormula>
  </rdn>
  <rcv guid="{18A482E0-C8B6-4AA1-9E04-15FA7C9CD5E3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xfDxf="1" sqref="AG17" start="0" length="0">
    <dxf>
      <alignment horizontal="center" vertical="center"/>
    </dxf>
  </rfmt>
  <rfmt sheetId="7" xfDxf="1" sqref="AG18" start="0" length="0">
    <dxf>
      <alignment horizontal="center" vertical="center"/>
    </dxf>
  </rfmt>
  <rfmt sheetId="7" sqref="AG17:AG18">
    <dxf>
      <alignment wrapText="1"/>
    </dxf>
  </rfmt>
  <rfmt sheetId="7" xfDxf="1" sqref="AG17" start="0" length="0">
    <dxf>
      <alignment horizontal="center" vertical="center" wrapText="1"/>
    </dxf>
  </rfmt>
  <rfmt sheetId="7" xfDxf="1" sqref="AG18" start="0" length="0">
    <dxf>
      <alignment horizontal="center" vertical="center" wrapText="1"/>
    </dxf>
  </rfmt>
  <rcc rId="1598" sId="7">
    <nc r="AG17" t="inlineStr">
      <is>
        <t>Envio de 70 caixas para DAP/CGPC. Recebimento de 70 caixas para DAP/CGPC</t>
      </is>
    </nc>
  </rcc>
  <rcc rId="1599" sId="7">
    <nc r="AJ17" t="inlineStr">
      <is>
        <t xml:space="preserve"> </t>
      </is>
    </nc>
  </rcc>
  <rm rId="1600" sheetId="7" source="AH3" destination="AH2" sourceSheetId="7">
    <rfmt sheetId="7" sqref="AH2" start="0" length="0">
      <dxf>
        <alignment horizontal="center" vertical="center"/>
      </dxf>
    </rfmt>
  </rm>
  <rcc rId="1601" sId="7">
    <nc r="AH11">
      <v>3</v>
    </nc>
  </rcc>
  <rcc rId="1602" sId="7">
    <nc r="AH12">
      <v>108</v>
    </nc>
  </rcc>
  <rcc rId="1603" sId="7">
    <nc r="AI15">
      <v>51</v>
    </nc>
  </rcc>
  <rcc rId="1604" sId="7">
    <nc r="AG18" t="inlineStr">
      <is>
        <t xml:space="preserve">PROCURANDO CAIXAS PARA ELIMINAÇÃO PRA SEU CARLOS </t>
      </is>
    </nc>
  </rcc>
  <rcc rId="1605" sId="7">
    <nc r="AG6">
      <v>10</v>
    </nc>
  </rcc>
  <rcc rId="1606" sId="7">
    <nc r="AG8">
      <v>10</v>
    </nc>
  </rcc>
  <rcv guid="{B3CDE377-BA5D-4E06-91D9-3A48E1959BA5}" action="delete"/>
  <rdn rId="0" localSheetId="1" customView="1" name="Z_B3CDE377_BA5D_4E06_91D9_3A48E1959BA5_.wvu.FilterData" hidden="1" oldHidden="1">
    <formula>Patrícia!$A$1:$A$18</formula>
    <oldFormula>Patrícia!$A$1:$A$18</oldFormula>
  </rdn>
  <rdn rId="0" localSheetId="2" customView="1" name="Z_B3CDE377_BA5D_4E06_91D9_3A48E1959BA5_.wvu.FilterData" hidden="1" oldHidden="1">
    <formula>Marcelo!$A$1:$A$18</formula>
    <oldFormula>Marcelo!$A$1:$A$18</oldFormula>
  </rdn>
  <rdn rId="0" localSheetId="3" customView="1" name="Z_B3CDE377_BA5D_4E06_91D9_3A48E1959BA5_.wvu.FilterData" hidden="1" oldHidden="1">
    <formula>TOTAL!$A$1:$A$18</formula>
    <oldFormula>TOTAL!$A$1:$A$18</oldFormula>
  </rdn>
  <rdn rId="0" localSheetId="4" customView="1" name="Z_B3CDE377_BA5D_4E06_91D9_3A48E1959BA5_.wvu.FilterData" hidden="1" oldHidden="1">
    <formula>Diego!$A$1:$A$18</formula>
    <oldFormula>Diego!$A$1:$A$18</oldFormula>
  </rdn>
  <rdn rId="0" localSheetId="5" customView="1" name="Z_B3CDE377_BA5D_4E06_91D9_3A48E1959BA5_.wvu.FilterData" hidden="1" oldHidden="1">
    <formula>Aelton!$A$1:$A$18</formula>
    <oldFormula>Aelton!$A$1:$A$18</oldFormula>
  </rdn>
  <rdn rId="0" localSheetId="6" customView="1" name="Z_B3CDE377_BA5D_4E06_91D9_3A48E1959BA5_.wvu.FilterData" hidden="1" oldHidden="1">
    <formula>Leonam!$A$1:$BD$18</formula>
    <oldFormula>Leonam!$A$1:$BD$18</oldFormula>
  </rdn>
  <rdn rId="0" localSheetId="7" customView="1" name="Z_B3CDE377_BA5D_4E06_91D9_3A48E1959BA5_.wvu.FilterData" hidden="1" oldHidden="1">
    <formula>Danilo!$A$1:$A$31</formula>
    <oldFormula>Danilo!$A$1:$A$31</oldFormula>
  </rdn>
  <rdn rId="0" localSheetId="8" customView="1" name="Z_B3CDE377_BA5D_4E06_91D9_3A48E1959BA5_.wvu.FilterData" hidden="1" oldHidden="1">
    <formula>Marcos!$A$1:$A$18</formula>
    <oldFormula>Marcos!$A$1:$A$18</oldFormula>
  </rdn>
  <rdn rId="0" localSheetId="9" customView="1" name="Z_B3CDE377_BA5D_4E06_91D9_3A48E1959BA5_.wvu.FilterData" hidden="1" oldHidden="1">
    <formula>Carlos!$A$1:$A$18</formula>
    <oldFormula>Carlos!$A$1:$A$18</oldFormula>
  </rdn>
  <rdn rId="0" localSheetId="10" customView="1" name="Z_B3CDE377_BA5D_4E06_91D9_3A48E1959BA5_.wvu.FilterData" hidden="1" oldHidden="1">
    <formula>Alessandro!$A$1:$A$18</formula>
    <oldFormula>Alessandro!$A$1:$A$18</oldFormula>
  </rdn>
  <rcv guid="{B3CDE377-BA5D-4E06-91D9-3A48E1959BA5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2" sId="8">
    <nc r="AG18" t="inlineStr">
      <is>
        <t xml:space="preserve">ATESTADO 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3" sId="4" odxf="1" dxf="1">
    <nc r="AJ18" t="inlineStr">
      <is>
        <t>passando a planilha escrita dos micros-filmes para planilha digital</t>
      </is>
    </nc>
    <odxf>
      <alignment wrapText="0"/>
    </odxf>
    <ndxf>
      <alignment wrapText="1"/>
    </ndxf>
  </rcc>
  <rcc rId="1674" sId="4" odxf="1" dxf="1">
    <nc r="AK18" t="inlineStr">
      <is>
        <t>passando a planilha escrita dos micros-filmes para planilha digital</t>
      </is>
    </nc>
    <odxf>
      <alignment wrapText="0"/>
    </odxf>
    <ndxf>
      <alignment wrapText="1"/>
    </ndxf>
  </rcc>
  <rcc rId="1675" sId="4" odxf="1" dxf="1">
    <nc r="AK17" t="inlineStr">
      <is>
        <t xml:space="preserve">confatrenização da festa junina </t>
      </is>
    </nc>
    <odxf>
      <alignment wrapText="0"/>
    </odxf>
    <ndxf>
      <alignment wrapText="1"/>
    </ndxf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6" sId="5" odxf="1" dxf="1" numFmtId="21">
    <oc r="AK1">
      <v>45849</v>
    </oc>
    <nc r="AK1" t="inlineStr">
      <is>
        <t>11/07/2025
Atestado Médico</t>
      </is>
    </nc>
    <odxf>
      <alignment wrapText="0"/>
    </odxf>
    <ndxf>
      <alignment wrapText="1"/>
    </ndxf>
  </rcc>
  <rfmt sheetId="5" sqref="AK1">
    <dxf>
      <fill>
        <patternFill patternType="solid">
          <bgColor theme="9" tint="0.79998168889431442"/>
        </patternFill>
      </fill>
    </dxf>
  </rfmt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7" sId="8">
    <oc r="AG18" t="inlineStr">
      <is>
        <t xml:space="preserve">ATESTADO </t>
      </is>
    </oc>
    <nc r="AG18" t="inlineStr">
      <is>
        <t>ATESTADO MÉDICO</t>
      </is>
    </nc>
  </rcc>
  <rcc rId="1718" sId="8">
    <nc r="AH18" t="inlineStr">
      <is>
        <t>ATESTADO MÉDICO</t>
      </is>
    </nc>
  </rcc>
  <rcc rId="1719" sId="8">
    <nc r="AI18" t="inlineStr">
      <is>
        <t>ATESTADO MÉDICO</t>
      </is>
    </nc>
  </rcc>
  <rcc rId="1720" sId="8">
    <nc r="AJ18" t="inlineStr">
      <is>
        <t>ATESTADO MÉDICO</t>
      </is>
    </nc>
  </rcc>
  <rfmt sheetId="8" sqref="AM18" start="0" length="0">
    <dxf>
      <alignment wrapText="1"/>
    </dxf>
  </rfmt>
  <rcc rId="1721" sId="8">
    <nc r="AM18" t="inlineStr">
      <is>
        <t xml:space="preserve">4 caixas digitalizadas da folhas para a planilha 141 filmes 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F18">
    <dxf>
      <alignment textRotation="255"/>
    </dxf>
  </rfmt>
  <rfmt sheetId="8" sqref="AF18">
    <dxf>
      <alignment textRotation="180"/>
    </dxf>
  </rfmt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2" sId="6" odxf="1" dxf="1">
    <nc r="AM17" t="inlineStr">
      <is>
        <t xml:space="preserve">fazendo etiquetas para os micros-filmes </t>
      </is>
    </nc>
    <odxf>
      <alignment wrapText="0"/>
    </odxf>
    <ndxf>
      <alignment wrapText="1"/>
    </ndxf>
  </rcc>
  <rcc rId="1743" sId="6">
    <nc r="AM16">
      <v>10</v>
    </nc>
  </rcc>
  <rcc rId="1744" sId="6">
    <nc r="AM5">
      <v>1</v>
    </nc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Danilo!$A$1:$A$31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G18">
    <dxf>
      <alignment vertical="top"/>
    </dxf>
  </rfmt>
  <rfmt sheetId="8" sqref="AG18">
    <dxf>
      <alignment vertical="center"/>
    </dxf>
  </rfmt>
  <rfmt sheetId="8" sqref="AG18">
    <dxf>
      <alignment wrapText="1"/>
    </dxf>
  </rfmt>
  <rfmt sheetId="8" sqref="AH18">
    <dxf>
      <alignment wrapText="1"/>
    </dxf>
  </rfmt>
  <rfmt sheetId="8" sqref="AI18">
    <dxf>
      <alignment wrapText="1"/>
    </dxf>
  </rfmt>
  <rfmt sheetId="8" sqref="AJ18">
    <dxf>
      <alignment wrapText="1"/>
    </dxf>
  </rfmt>
  <rcc rId="1755" sId="8">
    <nc r="AK18" t="inlineStr">
      <is>
        <t>ATESTADO MÉDICO</t>
      </is>
    </nc>
  </rcc>
  <rfmt sheetId="8" sqref="AK18">
    <dxf>
      <alignment wrapText="1"/>
    </dxf>
  </rfmt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6" sId="4">
    <nc r="AM15">
      <v>40</v>
    </nc>
  </rcc>
  <rcc rId="1767" sId="4">
    <nc r="AM17" t="inlineStr">
      <is>
        <t xml:space="preserve">Separando caixas para eliminação </t>
      </is>
    </nc>
  </rcc>
  <rfmt sheetId="4" sqref="AM17">
    <dxf>
      <alignment wrapText="1"/>
    </dxf>
  </rfmt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M17" start="0" length="0">
    <dxf>
      <alignment wrapText="1"/>
    </dxf>
  </rfmt>
  <rcc rId="1778" sId="8">
    <nc r="AM17" t="inlineStr">
      <is>
        <t xml:space="preserve">4 caixas digitalizadas da folhas para a planilha 139 filmes </t>
      </is>
    </nc>
  </rcc>
  <rcc rId="1779" sId="8">
    <oc r="AM18" t="inlineStr">
      <is>
        <t xml:space="preserve">4 caixas digitalizadas da folhas para a planilha 141 filmes </t>
      </is>
    </oc>
    <nc r="AM18" t="inlineStr">
      <is>
        <t xml:space="preserve">4 caixas digitalizadas da folhas para a planilha 139 filmes </t>
      </is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0" sId="7" odxf="1" dxf="1">
    <nc r="AI17" t="inlineStr">
      <is>
        <t>passando a planilha escrita dos micros-filmes para planilha digital</t>
      </is>
    </nc>
    <odxf>
      <alignment wrapText="0"/>
    </odxf>
    <ndxf>
      <alignment wrapText="1"/>
    </ndxf>
  </rcc>
  <rcc rId="1781" sId="7" odxf="1" dxf="1">
    <oc r="AJ17" t="inlineStr">
      <is>
        <t xml:space="preserve"> </t>
      </is>
    </oc>
    <nc r="AJ17" t="inlineStr">
      <is>
        <t>passando a planilha escrita dos micros-filmes para planilha digital</t>
      </is>
    </nc>
    <odxf>
      <alignment wrapText="0"/>
    </odxf>
    <ndxf>
      <alignment wrapText="1"/>
    </ndxf>
  </rcc>
  <rcc rId="1782" sId="7" odxf="1" dxf="1">
    <nc r="AK17" t="inlineStr">
      <is>
        <t xml:space="preserve">confatrenização da festa junina </t>
      </is>
    </nc>
    <odxf>
      <alignment wrapText="0"/>
    </odxf>
    <ndxf>
      <alignment wrapText="1"/>
    </ndxf>
  </rcc>
  <rfmt sheetId="7" sqref="AI18">
    <dxf>
      <alignment wrapText="1"/>
    </dxf>
  </rfmt>
  <rcc rId="1783" sId="7">
    <nc r="AJ18" t="inlineStr">
      <is>
        <t>CAFÉ DA MANHÃ CGLA</t>
      </is>
    </nc>
  </rcc>
  <rfmt sheetId="7" sqref="AJ18">
    <dxf>
      <alignment wrapText="1"/>
    </dxf>
  </rfmt>
  <rcc rId="1784" sId="6">
    <oc r="AJ18" t="inlineStr">
      <is>
        <t xml:space="preserve">fazendo curso </t>
      </is>
    </oc>
    <nc r="AJ18" t="inlineStr">
      <is>
        <t>fazendo curso / café da manhã CGLA</t>
      </is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5" sId="9">
    <nc r="W12">
      <v>5</v>
    </nc>
  </rcc>
  <rcc rId="1786" sId="9">
    <nc r="W11">
      <v>4</v>
    </nc>
  </rcc>
  <rcc rId="1787" sId="9">
    <nc r="AB12">
      <v>12</v>
    </nc>
  </rcc>
  <rcc rId="1788" sId="9">
    <nc r="AB11">
      <v>12</v>
    </nc>
  </rcc>
  <rcc rId="1789" sId="9">
    <nc r="AH12">
      <v>14</v>
    </nc>
  </rcc>
  <rcc rId="1790" sId="9">
    <nc r="AH11">
      <v>14</v>
    </nc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N17" start="0" length="0">
    <dxf>
      <alignment wrapText="1"/>
    </dxf>
  </rfmt>
  <rcc rId="1791" sId="8">
    <nc r="AN17" t="inlineStr">
      <is>
        <t xml:space="preserve">4 caixas digitalizadas da folhas para a planilha 137 filmes 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2" sId="4">
    <nc r="AN15">
      <v>20</v>
    </nc>
  </rcc>
  <rcc rId="1803" sId="4" odxf="1" dxf="1">
    <nc r="AN18" t="inlineStr">
      <is>
        <t>passando a planilha escrita dos micros-filmes para planilha digital</t>
      </is>
    </nc>
    <odxf>
      <alignment wrapText="0"/>
    </odxf>
    <ndxf>
      <alignment wrapText="1"/>
    </ndxf>
  </rcc>
  <rcc rId="1804" sId="4">
    <nc r="AN5">
      <v>7</v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5" sId="4" odxf="1" dxf="1">
    <nc r="AO18" t="inlineStr">
      <is>
        <t>passando a planilha escrita dos micros-filmes para planilha digital</t>
      </is>
    </nc>
    <odxf>
      <alignment wrapText="0"/>
    </odxf>
    <ndxf>
      <alignment wrapText="1"/>
    </ndxf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6" sId="8">
    <nc r="AO13">
      <v>1</v>
    </nc>
  </rcc>
  <rcc rId="1827" sId="8">
    <nc r="AO12">
      <v>1</v>
    </nc>
  </rcc>
  <rfmt sheetId="8" sqref="AO17" start="0" length="0">
    <dxf>
      <alignment wrapText="1"/>
    </dxf>
  </rfmt>
  <rcc rId="1828" sId="8">
    <nc r="AO17" t="inlineStr">
      <is>
        <t xml:space="preserve">3 caixas digitalizadas da folhas para a planilha 73 filmes </t>
      </is>
    </nc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9" sId="4">
    <nc r="AP15">
      <v>11</v>
    </nc>
  </rcc>
  <rcc rId="1830" sId="4" odxf="1" dxf="1">
    <nc r="AP18" t="inlineStr">
      <is>
        <t>passando a planilha escrita dos micros-filmes para planilha digital</t>
      </is>
    </nc>
    <odxf>
      <alignment wrapText="0"/>
    </odxf>
    <ndxf>
      <alignment wrapText="1"/>
    </ndxf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P17" start="0" length="0">
    <dxf>
      <alignment wrapText="1"/>
    </dxf>
  </rfmt>
  <rcc rId="1831" sId="8">
    <nc r="AP17" t="inlineStr">
      <is>
        <t xml:space="preserve">3 caixas digitalizadas da folhas para a planilha 81 filmes 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2" sId="5">
    <nc r="AM12">
      <v>70</v>
    </nc>
  </rcc>
  <rcc rId="1843" sId="5">
    <nc r="AN12">
      <v>68</v>
    </nc>
  </rcc>
  <rcc rId="1844" sId="5">
    <nc r="AO12">
      <v>66</v>
    </nc>
  </rcc>
  <rcc rId="1845" sId="5">
    <nc r="AP12">
      <v>63</v>
    </nc>
  </rcc>
  <rcc rId="1846" sId="5">
    <nc r="AQ12">
      <v>70</v>
    </nc>
  </rcc>
  <rfmt sheetId="5" sqref="AM16" start="0" length="0">
    <dxf>
      <border outline="0">
        <bottom/>
      </border>
    </dxf>
  </rfmt>
  <rfmt sheetId="5" sqref="AN16" start="0" length="0">
    <dxf>
      <border outline="0">
        <bottom/>
      </border>
    </dxf>
  </rfmt>
  <rfmt sheetId="5" sqref="AO16" start="0" length="0">
    <dxf>
      <border outline="0">
        <bottom/>
      </border>
    </dxf>
  </rfmt>
  <rfmt sheetId="5" sqref="AP16" start="0" length="0">
    <dxf>
      <border outline="0">
        <bottom/>
      </border>
    </dxf>
  </rfmt>
  <rfmt sheetId="5" sqref="AQ16" start="0" length="0">
    <dxf>
      <border outline="0">
        <bottom/>
      </border>
    </dxf>
  </rfmt>
  <rcc rId="1847" sId="5" odxf="1" dxf="1">
    <nc r="AM17" t="inlineStr">
      <is>
        <t>Inventário microfilmes.
2 Caixas
70 microfilmes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848" sId="5" odxf="1" dxf="1">
    <nc r="AN17" t="inlineStr">
      <is>
        <t>Inventário microfilmes.
2 Caixas
68 microfilmes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849" sId="5" odxf="1" dxf="1">
    <nc r="AO17" t="inlineStr">
      <is>
        <t>Inventário microfilmes.
2 Caixas
66 microfilmes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850" sId="5" odxf="1" dxf="1">
    <nc r="AP17" t="inlineStr">
      <is>
        <t>Inventário microfilmes.
2 Caixas
63 microfilmes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851" sId="5" odxf="1" dxf="1">
    <nc r="AQ17" t="inlineStr">
      <is>
        <t>Inventário microfilmes.
2 Caixas
70 microfilmes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Q17" start="0" length="0">
    <dxf>
      <alignment wrapText="1"/>
    </dxf>
  </rfmt>
  <rcc rId="1862" sId="8">
    <nc r="AQ17" t="inlineStr">
      <is>
        <t xml:space="preserve">3 caixas digitalizadas da folhas para a planilha 68 filmes 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3" sId="4" odxf="1" dxf="1">
    <nc r="AQ18" t="inlineStr">
      <is>
        <t>passando a planilha escrita dos micros-filmes para planilha digital</t>
      </is>
    </nc>
    <odxf>
      <alignment wrapText="0"/>
    </odxf>
    <ndxf>
      <alignment wrapText="1"/>
    </ndxf>
  </rc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4" sId="6">
    <nc r="AO17" t="inlineStr">
      <is>
        <t>atestado</t>
      </is>
    </nc>
  </rcc>
  <rcc rId="1875" sId="6">
    <nc r="AP17" t="inlineStr">
      <is>
        <t>atestado</t>
      </is>
    </nc>
  </rcc>
  <rcc rId="1876" sId="6">
    <nc r="AQ17" t="inlineStr">
      <is>
        <t>atestado</t>
      </is>
    </nc>
  </rcc>
  <rcc rId="1877" sId="6" odxf="1" dxf="1">
    <nc r="AM18" t="inlineStr">
      <is>
        <t xml:space="preserve">fazendo curso </t>
      </is>
    </nc>
    <odxf>
      <alignment wrapText="0"/>
    </odxf>
    <ndxf>
      <alignment wrapText="1"/>
    </ndxf>
  </rcc>
  <rcc rId="1878" sId="6" odxf="1" dxf="1">
    <nc r="AN18" t="inlineStr">
      <is>
        <t xml:space="preserve">fazendo curso </t>
      </is>
    </nc>
    <odxf>
      <alignment wrapText="0"/>
    </odxf>
    <ndxf>
      <alignment wrapText="1"/>
    </ndxf>
  </rcc>
  <rcc rId="1879" sId="6" odxf="1" dxf="1">
    <nc r="AN17" t="inlineStr">
      <is>
        <t>passando a planilha escrita dos micros-filmes para planilha digital</t>
      </is>
    </nc>
    <odxf>
      <alignment wrapText="0"/>
    </odxf>
    <ndxf>
      <alignment wrapText="1"/>
    </ndxf>
  </rcc>
  <rcc rId="1880" sId="6">
    <oc r="AM17" t="inlineStr">
      <is>
        <t xml:space="preserve">fazendo etiquetas para os micros-filmes </t>
      </is>
    </oc>
    <nc r="AM17" t="inlineStr">
      <is>
        <t>01-fazendo etiquetas para os micros-filmes                   02- passando a planilha escrita dos micros-filmes para planilha digital</t>
      </is>
    </nc>
  </rcc>
  <rfmt sheetId="6" sqref="AS17" start="0" length="0">
    <dxf>
      <alignment wrapText="1"/>
    </dxf>
  </rfmt>
  <rcc rId="1881" sId="6" odxf="1" dxf="1">
    <nc r="AS18" t="inlineStr">
      <is>
        <t xml:space="preserve">fazendo curso </t>
      </is>
    </nc>
    <odxf>
      <alignment wrapText="0"/>
    </odxf>
    <ndxf>
      <alignment wrapText="1"/>
    </ndxf>
  </rcc>
  <rcc rId="1882" sId="6">
    <nc r="AS17" t="inlineStr">
      <is>
        <t>01-procurando caixas para eliminação para seu Carlos                   02- passando a planilha escrita dos micros-filmes para planilha digital</t>
      </is>
    </nc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Danilo!$A$1:$A$31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3" sId="10" odxf="1" dxf="1">
    <nc r="AH17" t="inlineStr">
      <is>
        <t>Consolidação da Planilha do ARCEM
(Em andamento)</t>
      </is>
    </nc>
    <odxf>
      <alignment wrapText="0" readingOrder="0"/>
    </odxf>
    <ndxf>
      <alignment wrapText="1" readingOrder="0"/>
    </ndxf>
  </rcc>
  <rcc rId="1894" sId="10" odxf="1" dxf="1">
    <nc r="AI17" t="inlineStr">
      <is>
        <t>Consolidação da Planilha do ARCEM
(Em andamento)</t>
      </is>
    </nc>
    <odxf>
      <alignment wrapText="0" readingOrder="0"/>
    </odxf>
    <ndxf>
      <alignment wrapText="1" readingOrder="0"/>
    </ndxf>
  </rcc>
  <rcc rId="1895" sId="10" odxf="1" dxf="1">
    <nc r="AJ17" t="inlineStr">
      <is>
        <t>Consolidação da Planilha do ARCEM
(Em andamento)</t>
      </is>
    </nc>
    <odxf>
      <alignment wrapText="0" readingOrder="0"/>
    </odxf>
    <ndxf>
      <alignment wrapText="1" readingOrder="0"/>
    </ndxf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Danilo!$A$1:$A$31</formula>
    <oldFormula>Danilo!$A$1:$A$31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9" customView="1" name="Z_3D987F8E_A6EA_454D_9537_6BFC5053CB00_.wvu.FilterData" hidden="1" oldHidden="1">
    <formula>Carlos!$A$1:$A$18</formula>
    <oldFormula>Carlos!$A$1:$A$18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cv guid="{3D987F8E-A6EA-454D-9537-6BFC5053CB00}" action="add"/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6" sId="10">
    <nc r="AJ13">
      <v>1</v>
    </nc>
  </rcc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7" sId="10" odxf="1" dxf="1">
    <nc r="AK17" t="inlineStr">
      <is>
        <t>EVENTO
FESTA 
JULINA</t>
      </is>
    </nc>
    <odxf>
      <alignment wrapText="0" readingOrder="0"/>
    </odxf>
    <ndxf>
      <alignment wrapText="1" readingOrder="0"/>
    </ndxf>
  </rcc>
  <rcc rId="1908" sId="10">
    <nc r="AM11">
      <v>3</v>
    </nc>
  </rcc>
  <rcc rId="1909" sId="10">
    <nc r="AN11">
      <v>3</v>
    </nc>
  </rcc>
  <rcc rId="1910" sId="10">
    <nc r="AO11">
      <v>3</v>
    </nc>
  </rcc>
  <rcc rId="1911" sId="10">
    <nc r="AP11">
      <v>3</v>
    </nc>
  </rcc>
  <rcc rId="1912" sId="10">
    <nc r="AM12">
      <v>78</v>
    </nc>
  </rcc>
  <rcc rId="1913" sId="10">
    <nc r="AN12">
      <v>43</v>
    </nc>
  </rcc>
  <rcc rId="1914" sId="10">
    <nc r="AO12">
      <v>31</v>
    </nc>
  </rcc>
  <rcc rId="1915" sId="10">
    <nc r="AP12">
      <v>40</v>
    </nc>
  </rcc>
  <rcc rId="1916" sId="10">
    <nc r="AO15">
      <v>227</v>
    </nc>
  </rcc>
  <rcc rId="1917" sId="10">
    <nc r="AP15">
      <v>264</v>
    </nc>
  </rcc>
  <rcc rId="1918" sId="10">
    <nc r="AQ15">
      <v>1235</v>
    </nc>
  </rcc>
  <rcc rId="1919" sId="10">
    <nc r="AO17" t="inlineStr">
      <is>
        <t>caixa remanejadas pra identificação se faz parte Microfilmagens/LBA</t>
      </is>
    </nc>
  </rcc>
  <rfmt sheetId="10" sqref="AO17">
    <dxf>
      <alignment wrapText="1" readingOrder="0"/>
    </dxf>
  </rfmt>
  <rcc rId="1920" sId="10" odxf="1" dxf="1">
    <nc r="AP17" t="inlineStr">
      <is>
        <t>caixa remanejadas pra identificação se faz parte Microfilmagens/LBA</t>
      </is>
    </nc>
    <odxf>
      <alignment wrapText="0" readingOrder="0"/>
    </odxf>
    <ndxf>
      <alignment wrapText="1" readingOrder="0"/>
    </ndxf>
  </rcc>
  <rcc rId="1921" sId="10" odxf="1" dxf="1">
    <nc r="AQ17" t="inlineStr">
      <is>
        <t>caixa remanejadas pra identificação se faz parte Microfilmagens/LBA</t>
      </is>
    </nc>
    <odxf>
      <alignment wrapText="0" readingOrder="0"/>
    </odxf>
    <ndxf>
      <alignment wrapText="1" readingOrder="0"/>
    </ndxf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Danilo!$A$1:$A$31</formula>
    <oldFormula>Danilo!$A$1:$A$31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9" customView="1" name="Z_3D987F8E_A6EA_454D_9537_6BFC5053CB00_.wvu.FilterData" hidden="1" oldHidden="1">
    <formula>Carlos!$A$1:$A$18</formula>
    <oldFormula>Carlos!$A$1:$A$18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cv guid="{3D987F8E-A6EA-454D-9537-6BFC5053CB00}" action="add"/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S17">
    <dxf>
      <alignment wrapText="1"/>
    </dxf>
  </rfmt>
  <rcc rId="1932" sId="8">
    <nc r="AS17" t="inlineStr">
      <is>
        <t xml:space="preserve">PROCURANDO CAIXA PARA SEU CARLOS E 2 CAIXAS DIGITALIZADAS DA FOLHA PARA PLANILHA 66 FILMES    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43" sId="7">
    <nc r="AM15">
      <v>40</v>
    </nc>
  </rcc>
  <rcc rId="1944" sId="7">
    <nc r="AN15">
      <v>20</v>
    </nc>
  </rcc>
  <rcc rId="1945" sId="7">
    <nc r="AP15">
      <v>11</v>
    </nc>
  </rcc>
  <rcc rId="1946" sId="7" odxf="1" dxf="1">
    <nc r="AM17" t="inlineStr">
      <is>
        <t xml:space="preserve">Separando caixas para eliminação </t>
      </is>
    </nc>
    <odxf>
      <alignment wrapText="0"/>
    </odxf>
    <ndxf>
      <alignment wrapText="1"/>
    </ndxf>
  </rcc>
  <rcc rId="1947" sId="7" odxf="1" dxf="1">
    <nc r="AN18" t="inlineStr">
      <is>
        <t>passando a planilha escrita dos micros-filmes para planilha digital</t>
      </is>
    </nc>
    <odxf>
      <alignment wrapText="0"/>
    </odxf>
    <ndxf>
      <alignment wrapText="1"/>
    </ndxf>
  </rcc>
  <rcc rId="1948" sId="7" odxf="1" dxf="1">
    <nc r="AO18" t="inlineStr">
      <is>
        <t>passando a planilha escrita dos micros-filmes para planilha digital</t>
      </is>
    </nc>
    <odxf>
      <alignment wrapText="0"/>
    </odxf>
    <ndxf>
      <alignment wrapText="1"/>
    </ndxf>
  </rcc>
  <rcc rId="1949" sId="7" odxf="1" dxf="1">
    <nc r="AP18" t="inlineStr">
      <is>
        <t>passando a planilha escrita dos micros-filmes para planilha digital</t>
      </is>
    </nc>
    <odxf>
      <alignment wrapText="0"/>
    </odxf>
    <ndxf>
      <alignment wrapText="1"/>
    </ndxf>
  </rcc>
  <rcc rId="1950" sId="7" odxf="1" dxf="1">
    <nc r="AQ18" t="inlineStr">
      <is>
        <t>passando a planilha escrita dos micros-filmes para planilha digital</t>
      </is>
    </nc>
    <odxf>
      <alignment wrapText="0"/>
    </odxf>
    <ndxf>
      <alignment wrapText="1"/>
    </ndxf>
  </rcc>
  <rcv guid="{B3CDE377-BA5D-4E06-91D9-3A48E1959BA5}" action="delete"/>
  <rdn rId="0" localSheetId="1" customView="1" name="Z_B3CDE377_BA5D_4E06_91D9_3A48E1959BA5_.wvu.FilterData" hidden="1" oldHidden="1">
    <formula>Patrícia!$A$1:$A$18</formula>
    <oldFormula>Patrícia!$A$1:$A$18</oldFormula>
  </rdn>
  <rdn rId="0" localSheetId="2" customView="1" name="Z_B3CDE377_BA5D_4E06_91D9_3A48E1959BA5_.wvu.FilterData" hidden="1" oldHidden="1">
    <formula>Marcelo!$A$1:$A$18</formula>
    <oldFormula>Marcelo!$A$1:$A$18</oldFormula>
  </rdn>
  <rdn rId="0" localSheetId="3" customView="1" name="Z_B3CDE377_BA5D_4E06_91D9_3A48E1959BA5_.wvu.FilterData" hidden="1" oldHidden="1">
    <formula>TOTAL!$A$1:$A$18</formula>
    <oldFormula>TOTAL!$A$1:$A$18</oldFormula>
  </rdn>
  <rdn rId="0" localSheetId="4" customView="1" name="Z_B3CDE377_BA5D_4E06_91D9_3A48E1959BA5_.wvu.FilterData" hidden="1" oldHidden="1">
    <formula>Diego!$A$1:$A$18</formula>
    <oldFormula>Diego!$A$1:$A$18</oldFormula>
  </rdn>
  <rdn rId="0" localSheetId="5" customView="1" name="Z_B3CDE377_BA5D_4E06_91D9_3A48E1959BA5_.wvu.FilterData" hidden="1" oldHidden="1">
    <formula>Aelton!$A$1:$A$18</formula>
    <oldFormula>Aelton!$A$1:$A$18</oldFormula>
  </rdn>
  <rdn rId="0" localSheetId="6" customView="1" name="Z_B3CDE377_BA5D_4E06_91D9_3A48E1959BA5_.wvu.FilterData" hidden="1" oldHidden="1">
    <formula>Leonam!$A$1:$BD$18</formula>
    <oldFormula>Leonam!$A$1:$BD$18</oldFormula>
  </rdn>
  <rdn rId="0" localSheetId="7" customView="1" name="Z_B3CDE377_BA5D_4E06_91D9_3A48E1959BA5_.wvu.FilterData" hidden="1" oldHidden="1">
    <formula>Danilo!$A$1:$A$31</formula>
    <oldFormula>Danilo!$A$1:$A$31</oldFormula>
  </rdn>
  <rdn rId="0" localSheetId="8" customView="1" name="Z_B3CDE377_BA5D_4E06_91D9_3A48E1959BA5_.wvu.FilterData" hidden="1" oldHidden="1">
    <formula>Marcos!$A$1:$A$18</formula>
    <oldFormula>Marcos!$A$1:$A$18</oldFormula>
  </rdn>
  <rdn rId="0" localSheetId="9" customView="1" name="Z_B3CDE377_BA5D_4E06_91D9_3A48E1959BA5_.wvu.FilterData" hidden="1" oldHidden="1">
    <formula>Carlos!$A$1:$A$18</formula>
    <oldFormula>Carlos!$A$1:$A$18</oldFormula>
  </rdn>
  <rdn rId="0" localSheetId="10" customView="1" name="Z_B3CDE377_BA5D_4E06_91D9_3A48E1959BA5_.wvu.FilterData" hidden="1" oldHidden="1">
    <formula>Alessandro!$A$1:$A$18</formula>
    <oldFormula>Alessandro!$A$1:$A$18</oldFormula>
  </rdn>
  <rcv guid="{B3CDE377-BA5D-4E06-91D9-3A48E1959BA5}" action="add"/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1" sId="6" odxf="1" dxf="1">
    <nc r="AT17" t="inlineStr">
      <is>
        <t>01-procurando caixas para eliminação para seu Carlos                   02- passando a planilha escrita dos micros-filmes para planilha digital</t>
      </is>
    </nc>
    <odxf>
      <alignment wrapText="0"/>
    </odxf>
    <ndxf>
      <alignment wrapText="1"/>
    </ndxf>
  </rcc>
  <rcc rId="1962" sId="6" odxf="1" dxf="1">
    <nc r="AT18" t="inlineStr">
      <is>
        <t xml:space="preserve">fazendo curso </t>
      </is>
    </nc>
    <odxf>
      <alignment wrapText="0"/>
    </odxf>
    <ndxf>
      <alignment wrapText="1"/>
    </ndxf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Danilo!$A$1:$A$31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T17" start="0" length="0">
    <dxf>
      <alignment wrapText="1"/>
    </dxf>
  </rfmt>
  <rcc rId="1973" sId="8">
    <nc r="AT17" t="inlineStr">
      <is>
        <t xml:space="preserve">PROCURANDO CAIXA PARA SEU CARLOS E 1 CAIXAS DIGITALIZADAS DA FOLHA PARA PLANILHA 33 FILMES    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4" sId="4" odxf="1" dxf="1">
    <nc r="AT17" t="inlineStr">
      <is>
        <t xml:space="preserve">Separando caixas para eliminação </t>
      </is>
    </nc>
    <odxf>
      <alignment wrapText="0"/>
    </odxf>
    <ndxf>
      <alignment wrapText="1"/>
    </ndxf>
  </rcc>
  <rcc rId="1985" sId="4" odxf="1" dxf="1">
    <nc r="AT18" t="inlineStr">
      <is>
        <t>passando a planilha escrita dos micros-filmes para planilha digital</t>
      </is>
    </nc>
    <odxf>
      <alignment wrapText="0"/>
    </odxf>
    <ndxf>
      <alignment wrapText="1"/>
    </ndxf>
  </rcc>
  <rcc rId="1986" sId="4">
    <nc r="AS17" t="inlineStr">
      <is>
        <t xml:space="preserve">Falta comunicada a chefia </t>
      </is>
    </nc>
  </rcc>
  <rfmt sheetId="4" sqref="AS17">
    <dxf>
      <alignment wrapText="1"/>
    </dxf>
  </rfmt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7" sId="4" odxf="1" dxf="1">
    <nc r="AU18" t="inlineStr">
      <is>
        <t>passando a planilha escrita dos micros-filmes para planilha digital</t>
      </is>
    </nc>
    <odxf>
      <alignment wrapText="0"/>
    </odxf>
    <ndxf>
      <alignment wrapText="1"/>
    </ndxf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8" sId="6" xfDxf="1" dxf="1">
    <nc r="AU17" t="inlineStr">
      <is>
        <t>passando a planilha escrita dos micros-filmes para planilha digital</t>
      </is>
    </nc>
    <ndxf>
      <alignment horizontal="center" vertical="center"/>
    </ndxf>
  </rcc>
  <rcc rId="2009" sId="6" xfDxf="1" dxf="1">
    <nc r="AV17" t="inlineStr">
      <is>
        <t>passando a planilha escrita dos micros-filmes para planilha digital</t>
      </is>
    </nc>
    <ndxf>
      <alignment horizontal="center" vertical="center"/>
    </ndxf>
  </rcc>
  <rfmt sheetId="6" sqref="AU17:AV17">
    <dxf>
      <alignment wrapText="1"/>
    </dxf>
  </rfmt>
  <rcc rId="2010" sId="6" odxf="1" dxf="1">
    <nc r="AU18" t="inlineStr">
      <is>
        <t xml:space="preserve">fazendo curso </t>
      </is>
    </nc>
    <odxf>
      <alignment wrapText="0"/>
    </odxf>
    <ndxf>
      <alignment wrapText="1"/>
    </ndxf>
  </rcc>
  <rcc rId="2011" sId="6" odxf="1" dxf="1">
    <nc r="AV18" t="inlineStr">
      <is>
        <t xml:space="preserve">fazendo curso </t>
      </is>
    </nc>
    <odxf>
      <alignment wrapText="0"/>
    </odxf>
    <ndxf>
      <alignment wrapText="1"/>
    </ndxf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Danilo!$A$1:$A$31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2" sId="8">
    <nc r="AU17" t="inlineStr">
      <is>
        <t>REVISANDO PLANILHA DE MICROFILMES LBA</t>
      </is>
    </nc>
  </rcc>
  <rfmt sheetId="8" sqref="AU17">
    <dxf>
      <alignment wrapText="1"/>
    </dxf>
  </rfmt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3" sId="8">
    <nc r="AM11">
      <v>4</v>
    </nc>
  </rcc>
  <rcc rId="2034" sId="8">
    <nc r="AM12">
      <v>139</v>
    </nc>
  </rcc>
  <rcc rId="2035" sId="8">
    <nc r="AN11">
      <v>4</v>
    </nc>
  </rcc>
  <rcc rId="2036" sId="8">
    <nc r="AN12">
      <v>137</v>
    </nc>
  </rcc>
  <rcc rId="2037" sId="8">
    <nc r="AO11">
      <v>3</v>
    </nc>
  </rcc>
  <rcc rId="2038" sId="8">
    <oc r="AO12">
      <v>1</v>
    </oc>
    <nc r="AO12">
      <v>74</v>
    </nc>
  </rcc>
  <rcc rId="2039" sId="8">
    <nc r="AP11">
      <v>3</v>
    </nc>
  </rcc>
  <rcc rId="2040" sId="8">
    <nc r="AP12">
      <v>81</v>
    </nc>
  </rcc>
  <rcc rId="2041" sId="8">
    <nc r="AQ11">
      <v>3</v>
    </nc>
  </rcc>
  <rcc rId="2042" sId="8">
    <nc r="AQ12">
      <v>68</v>
    </nc>
  </rcc>
  <rcc rId="2043" sId="8" odxf="1" dxf="1">
    <nc r="AV17" t="inlineStr">
      <is>
        <t>REVISANDO PLANILHA DE MICROFILMES LBA</t>
      </is>
    </nc>
    <odxf>
      <alignment wrapText="0"/>
    </odxf>
    <ndxf>
      <alignment wrapText="1"/>
    </ndxf>
  </rcc>
  <rcc rId="2044" sId="8">
    <nc r="AW11">
      <v>1</v>
    </nc>
  </rcc>
  <rcc rId="2045" sId="8">
    <nc r="AW12">
      <v>11</v>
    </nc>
  </rcc>
  <rfmt sheetId="8" sqref="AW17" start="0" length="0">
    <dxf>
      <alignment wrapText="1"/>
    </dxf>
  </rfmt>
  <rcc rId="2046" sId="8">
    <nc r="AW17" t="inlineStr">
      <is>
        <t xml:space="preserve">Procurando caixas de fitas de VHS e 1 caixas digitalizadas da folhas para a planilha 11 fitas VHS,  </t>
      </is>
    </nc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7" sId="5">
    <nc r="AS12">
      <v>36</v>
    </nc>
  </rcc>
  <rcc rId="2048" sId="5">
    <nc r="AV15">
      <v>6</v>
    </nc>
  </rcc>
  <rfmt sheetId="5" sqref="AS16" start="0" length="0">
    <dxf>
      <border outline="0">
        <bottom/>
      </border>
    </dxf>
  </rfmt>
  <rfmt sheetId="5" sqref="AT16" start="0" length="0">
    <dxf>
      <border outline="0">
        <bottom/>
      </border>
    </dxf>
  </rfmt>
  <rfmt sheetId="5" sqref="AU16" start="0" length="0">
    <dxf>
      <border outline="0">
        <bottom/>
      </border>
    </dxf>
  </rfmt>
  <rfmt sheetId="5" sqref="AV16" start="0" length="0">
    <dxf>
      <border outline="0">
        <bottom/>
      </border>
    </dxf>
  </rfmt>
  <rcc rId="2049" sId="5" odxf="1" dxf="1">
    <nc r="AW16">
      <v>7</v>
    </nc>
    <odxf>
      <border outline="0">
        <bottom style="thin">
          <color indexed="64"/>
        </bottom>
      </border>
    </odxf>
    <ndxf>
      <border outline="0">
        <bottom/>
      </border>
    </ndxf>
  </rcc>
  <rcc rId="2050" sId="5" odxf="1" dxf="1">
    <nc r="AS17" t="inlineStr">
      <is>
        <t>Inventário microfilmes.
7 Caixas
34 VHS e 2 DVD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051" sId="5" odxf="1" dxf="1">
    <nc r="AT17" t="inlineStr">
      <is>
        <t>Preenchimento Planilha
 Inventário audiovisuais LBA.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052" sId="5" odxf="1" dxf="1">
    <nc r="AU17" t="inlineStr">
      <is>
        <t>Preenchimento Planilha
 Inventário audiovisuais LBA.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053" sId="5" odxf="1" dxf="1">
    <nc r="AV17" t="inlineStr">
      <is>
        <t>1. Preenchimento Planilha
 Inventário audiovisuais LBA.
2. Guarda e remanejamento das caixas  LBA que o professor Bruno pesquisou.
Total 13 caixas.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054" sId="5" odxf="1" dxf="1">
    <nc r="AW17" t="inlineStr">
      <is>
        <t xml:space="preserve">  Pesquisa e busca por processo 
referente ao  214/95 (SIAFI nº 138116)
FUNDESPORTE.
23132.000438/95-22.
Total: 13
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5" sId="8">
    <nc r="AS11">
      <v>2</v>
    </nc>
  </rcc>
  <rcc rId="2076" sId="8">
    <nc r="AS12">
      <v>66</v>
    </nc>
  </rcc>
  <rcc rId="2077" sId="8">
    <nc r="AT11">
      <v>1</v>
    </nc>
  </rcc>
  <rcc rId="2078" sId="8">
    <nc r="AT12">
      <v>33</v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9" sId="8">
    <oc r="AU17" t="inlineStr">
      <is>
        <t>REVISANDO PLANILHA DE MICROFILMES LBA</t>
      </is>
    </oc>
    <nc r="AU17" t="inlineStr">
      <is>
        <t>REVISANDO PLANILHA DE MICRO FILMES LBA</t>
      </is>
    </nc>
  </rcc>
  <rcc rId="2090" sId="8">
    <oc r="AV17" t="inlineStr">
      <is>
        <t>REVISANDO PLANILHA DE MICROFILMES LBA</t>
      </is>
    </oc>
    <nc r="AV17" t="inlineStr">
      <is>
        <t>REVISANDO PLANILHA DE MICRO FILMES LBA</t>
      </is>
    </nc>
  </rcc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91" sId="4">
    <nc r="AJ12">
      <v>34</v>
    </nc>
  </rcc>
  <rcc rId="2092" sId="4">
    <nc r="AK12">
      <v>30</v>
    </nc>
  </rcc>
  <rcc rId="2093" sId="4">
    <nc r="AN11">
      <v>26</v>
    </nc>
  </rcc>
  <rcc rId="2094" sId="4">
    <nc r="AO11">
      <v>53</v>
    </nc>
  </rcc>
  <rcc rId="2095" sId="4">
    <nc r="AP11">
      <v>47</v>
    </nc>
  </rcc>
  <rcc rId="2096" sId="4">
    <nc r="AQ11">
      <v>52</v>
    </nc>
  </rcc>
  <rcc rId="2097" sId="4">
    <nc r="AT11">
      <v>52</v>
    </nc>
  </rcc>
  <rcc rId="2098" sId="4">
    <nc r="AU11">
      <v>43</v>
    </nc>
  </rcc>
  <rcc rId="2099" sId="4">
    <nc r="AV11">
      <v>35</v>
    </nc>
  </rcc>
  <rcc rId="2100" sId="4">
    <nc r="AV15">
      <v>15</v>
    </nc>
  </rcc>
  <rcc rId="2101" sId="4">
    <nc r="AV17" t="inlineStr">
      <is>
        <t xml:space="preserve">PROCURANDO CAIXAS PARA ELIMINAÇÃO </t>
      </is>
    </nc>
  </rcc>
  <rfmt sheetId="4" sqref="AV17">
    <dxf>
      <alignment wrapText="1"/>
    </dxf>
  </rfmt>
  <rcc rId="2102" sId="4">
    <nc r="AW17" t="inlineStr">
      <is>
        <t>PROCURANDO CAIXAS DE VHS</t>
      </is>
    </nc>
  </rcc>
  <rcc rId="2103" sId="4">
    <nc r="AW18" t="inlineStr">
      <is>
        <t>PLANILHANDO FITAS VHS</t>
      </is>
    </nc>
  </rcc>
  <rfmt sheetId="4" sqref="AW18">
    <dxf>
      <alignment wrapText="1"/>
    </dxf>
  </rfmt>
  <rfmt sheetId="4" sqref="AW17">
    <dxf>
      <alignment wrapText="1"/>
    </dxf>
  </rfmt>
  <rcc rId="2104" sId="4">
    <nc r="AS11" t="inlineStr">
      <is>
        <t>FOLGA</t>
      </is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15" sId="5">
    <oc r="AW17" t="inlineStr">
      <is>
        <t xml:space="preserve">  Pesquisa e busca por processo 
referente ao  214/95 (SIAFI nº 138116)
FUNDESPORTE.
23132.000438/95-22.
Total: 13
</t>
      </is>
    </oc>
    <nc r="AW17" t="inlineStr">
      <is>
        <t xml:space="preserve">  Pesquisa e busca por processo 
referente ao  214/95 (SIAFI nº 138116)
FUNDESPORTE.
23132.000438/95-22.
Total: 13 caixas.
</t>
      </is>
    </nc>
  </rcc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6" sId="4">
    <oc r="AN11">
      <v>26</v>
    </oc>
    <nc r="AN11">
      <v>52</v>
    </nc>
  </rcc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7" sId="4">
    <oc r="AI1">
      <v>45847</v>
    </oc>
    <nc r="AI1" t="inlineStr">
      <is>
        <t>09/JU</t>
      </is>
    </nc>
  </rcc>
  <rcc rId="2128" sId="4">
    <nc r="AN12">
      <v>52</v>
    </nc>
  </rcc>
  <rcc rId="2129" sId="4">
    <oc r="AN11">
      <v>52</v>
    </oc>
    <nc r="AN11"/>
  </rcc>
  <rcc rId="2130" sId="4">
    <nc r="AO12">
      <v>53</v>
    </nc>
  </rcc>
  <rcc rId="2131" sId="4">
    <oc r="AO11">
      <v>53</v>
    </oc>
    <nc r="AO11"/>
  </rcc>
  <rcc rId="2132" sId="4">
    <nc r="AP12">
      <v>47</v>
    </nc>
  </rcc>
  <rcc rId="2133" sId="4">
    <oc r="AP11">
      <v>47</v>
    </oc>
    <nc r="AP11"/>
  </rcc>
  <rcc rId="2134" sId="4">
    <nc r="AQ12">
      <v>52</v>
    </nc>
  </rcc>
  <rcc rId="2135" sId="4">
    <oc r="AQ11">
      <v>52</v>
    </oc>
    <nc r="AQ11"/>
  </rcc>
  <rcc rId="2136" sId="4">
    <nc r="AT12">
      <v>52</v>
    </nc>
  </rcc>
  <rcc rId="2137" sId="4">
    <oc r="AT11">
      <v>52</v>
    </oc>
    <nc r="AT11"/>
  </rcc>
  <rcc rId="2138" sId="4">
    <nc r="AU12">
      <v>43</v>
    </nc>
  </rcc>
  <rcc rId="2139" sId="4">
    <oc r="AU11">
      <v>43</v>
    </oc>
    <nc r="AU11"/>
  </rcc>
  <rcc rId="2140" sId="4">
    <nc r="AV12">
      <v>35</v>
    </nc>
  </rcc>
  <rcc rId="2141" sId="4">
    <oc r="AV11">
      <v>35</v>
    </oc>
    <nc r="AV11"/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52" sId="7">
    <nc r="AU12">
      <v>43</v>
    </nc>
  </rcc>
  <rcc rId="2153" sId="7">
    <nc r="AV15">
      <v>15</v>
    </nc>
  </rcc>
  <rcc rId="2154" sId="7" odxf="1" dxf="1">
    <nc r="AT17" t="inlineStr">
      <is>
        <t xml:space="preserve">Separando caixas para eliminação </t>
      </is>
    </nc>
    <odxf>
      <alignment wrapText="0"/>
    </odxf>
    <ndxf>
      <alignment wrapText="1"/>
    </ndxf>
  </rcc>
  <rcc rId="2155" sId="7" odxf="1" dxf="1">
    <nc r="AV17" t="inlineStr">
      <is>
        <t xml:space="preserve">PROCURANDO CAIXAS PARA ELIMINAÇÃO </t>
      </is>
    </nc>
    <odxf>
      <alignment wrapText="0"/>
    </odxf>
    <ndxf>
      <alignment wrapText="1"/>
    </ndxf>
  </rcc>
  <rcc rId="2156" sId="7" odxf="1" dxf="1">
    <nc r="AW17" t="inlineStr">
      <is>
        <t>PROCURANDO CAIXAS DE VHS</t>
      </is>
    </nc>
    <odxf>
      <alignment wrapText="0"/>
    </odxf>
    <ndxf>
      <alignment wrapText="1"/>
    </ndxf>
  </rcc>
  <rcc rId="2157" sId="7" odxf="1" dxf="1">
    <nc r="AT18" t="inlineStr">
      <is>
        <t>passando a planilha escrita dos micros-filmes para planilha digital</t>
      </is>
    </nc>
    <odxf>
      <alignment wrapText="0"/>
    </odxf>
    <ndxf>
      <alignment wrapText="1"/>
    </ndxf>
  </rcc>
  <rcc rId="2158" sId="7" odxf="1" dxf="1">
    <nc r="AU18" t="inlineStr">
      <is>
        <t>passando a planilha escrita dos micros-filmes para planilha digital</t>
      </is>
    </nc>
    <odxf>
      <alignment wrapText="0"/>
    </odxf>
    <ndxf>
      <alignment wrapText="1"/>
    </ndxf>
  </rcc>
  <rfmt sheetId="7" sqref="AW18" start="0" length="0">
    <dxf>
      <alignment wrapText="1"/>
    </dxf>
  </rfmt>
  <rcc rId="2159" sId="7">
    <nc r="AN12">
      <v>60</v>
    </nc>
  </rcc>
  <rcc rId="2160" sId="7">
    <nc r="AO12">
      <v>63</v>
    </nc>
  </rcc>
  <rcc rId="2161" sId="7">
    <nc r="AP12">
      <v>54</v>
    </nc>
  </rcc>
  <rcc rId="2162" sId="7">
    <nc r="AQ12">
      <v>63</v>
    </nc>
  </rcc>
  <rcc rId="2163" sId="7">
    <nc r="AW12">
      <v>30</v>
    </nc>
  </rcc>
  <rcc rId="2164" sId="7">
    <nc r="AV12">
      <v>25</v>
    </nc>
  </rcc>
  <rcc rId="2165" sId="7">
    <nc r="AT12">
      <v>40</v>
    </nc>
  </rcc>
  <rcc rId="2166" sId="7">
    <nc r="AS12">
      <v>62</v>
    </nc>
  </rcc>
  <rcc rId="2167" sId="7" odxf="1" dxf="1">
    <nc r="AS18" t="inlineStr">
      <is>
        <t>passando a planilha escrita dos micros-filmes para planilha digital</t>
      </is>
    </nc>
    <odxf>
      <alignment wrapText="0"/>
    </odxf>
    <ndxf>
      <alignment wrapText="1"/>
    </ndxf>
  </rcc>
  <rcc rId="2168" sId="7" odxf="1" dxf="1">
    <nc r="AV18" t="inlineStr">
      <is>
        <t>passando a planilha escrita dos micros-filmes para planilha digital</t>
      </is>
    </nc>
    <ndxf>
      <alignment wrapText="1"/>
    </ndxf>
  </rcc>
  <rcc rId="2169" sId="7">
    <nc r="AW18" t="inlineStr">
      <is>
        <t>passando a planilha escrita dos micros-filmes para planilha digital</t>
      </is>
    </nc>
  </rcc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0" sId="7">
    <oc r="AT12">
      <v>40</v>
    </oc>
    <nc r="AT12">
      <v>60</v>
    </nc>
  </rcc>
  <rcc rId="2171" sId="7">
    <oc r="AS12">
      <v>62</v>
    </oc>
    <nc r="AS12">
      <v>65</v>
    </nc>
  </rcc>
  <rcc rId="2172" sId="7">
    <oc r="AV12">
      <v>25</v>
    </oc>
    <nc r="AV12">
      <v>45</v>
    </nc>
  </rcc>
  <rcc rId="2173" sId="7">
    <oc r="AW12">
      <v>30</v>
    </oc>
    <nc r="AW12">
      <v>40</v>
    </nc>
  </rcc>
  <rcc rId="2174" sId="7">
    <oc r="AU12">
      <v>43</v>
    </oc>
    <nc r="AU12">
      <v>50</v>
    </nc>
  </rcc>
  <rcc rId="2175" sId="7">
    <nc r="AM12">
      <v>40</v>
    </nc>
  </rcc>
  <rcc rId="2176" sId="7" odxf="1" dxf="1">
    <nc r="AM18" t="inlineStr">
      <is>
        <t>passando a planilha escrita dos micros-filmes para planilha digital</t>
      </is>
    </nc>
    <odxf>
      <alignment wrapText="0"/>
    </odxf>
    <ndxf>
      <alignment wrapText="1"/>
    </ndxf>
  </rcc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7" sId="6">
    <nc r="AS15">
      <v>40</v>
    </nc>
  </rcc>
  <rcc rId="2178" sId="6">
    <nc r="AT15">
      <v>20</v>
    </nc>
  </rcc>
  <rcc rId="2179" sId="6">
    <nc r="AV15">
      <v>11</v>
    </nc>
  </rcc>
  <rcc rId="2180" sId="6" odxf="1" dxf="1">
    <nc r="AW18" t="inlineStr">
      <is>
        <t xml:space="preserve">fazendo curso </t>
      </is>
    </nc>
    <odxf>
      <alignment wrapText="0"/>
    </odxf>
    <ndxf>
      <alignment wrapText="1"/>
    </ndxf>
  </rcc>
  <rcc rId="2181" sId="6" odxf="1" dxf="1">
    <nc r="AW17" t="inlineStr">
      <is>
        <t>passando a planilha escrita dos micros-filmes para planilha digital</t>
      </is>
    </nc>
    <odxf>
      <alignment wrapText="0"/>
    </odxf>
    <ndxf>
      <alignment wrapText="1"/>
    </ndxf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Danilo!$A$1:$A$31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9" sId="4">
    <nc r="P15">
      <v>11</v>
    </nc>
  </rc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0" sId="5" odxf="1" dxf="1">
    <nc r="P17" t="inlineStr">
      <is>
        <t xml:space="preserve">Digitalização material da LBA, solicitado pela professora Gracyelle - Email de 12/02/2025. </t>
      </is>
    </nc>
    <odxf>
      <alignment wrapText="0"/>
    </odxf>
    <ndxf>
      <alignment wrapText="1"/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1" sId="7">
    <nc r="S15">
      <v>5</v>
    </nc>
  </rcc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2" sId="5" odxf="1" dxf="1">
    <nc r="Q17" t="inlineStr">
      <is>
        <t xml:space="preserve">Digitalização material da LBA, solicitado pela professora Gracyelle - Email de 12/02/2025. </t>
      </is>
    </nc>
    <odxf>
      <alignment wrapText="0"/>
    </odxf>
    <ndxf>
      <alignment wrapText="1"/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3" sId="5">
    <nc r="Q4">
      <v>6</v>
    </nc>
  </rcc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4" sId="4">
    <nc r="Q17" t="inlineStr">
      <is>
        <t>DIGITALIZANDO LIVROS DA LBA</t>
      </is>
    </nc>
  </rcc>
  <rfmt sheetId="4" sqref="Q17">
    <dxf>
      <alignment wrapText="1"/>
    </dxf>
  </rfmt>
  <rcc rId="445" sId="4">
    <nc r="Q18" t="inlineStr">
      <is>
        <t xml:space="preserve">ALMOÇO PELA PARTE DA TARDE </t>
      </is>
    </nc>
  </rcc>
  <rfmt sheetId="4" sqref="Q18">
    <dxf>
      <alignment wrapText="1"/>
    </dxf>
  </rfmt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6" sId="8" odxf="1" dxf="1">
    <nc r="Q17" t="inlineStr">
      <is>
        <t>DIGITALIZANDO LIVROS DA LBA</t>
      </is>
    </nc>
    <odxf>
      <alignment wrapText="0"/>
    </odxf>
    <ndxf>
      <alignment wrapText="1"/>
    </ndxf>
  </rcc>
  <rcc rId="457" sId="8" odxf="1" dxf="1">
    <nc r="Q18" t="inlineStr">
      <is>
        <t xml:space="preserve">ALMOÇO PELA PARTE DA TARDE </t>
      </is>
    </nc>
    <odxf>
      <alignment wrapText="0"/>
    </odxf>
    <ndxf>
      <alignment wrapText="1"/>
    </ndxf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Q16" start="0" length="0">
    <dxf>
      <border outline="0">
        <bottom/>
      </border>
    </dxf>
  </rfmt>
  <rcc rId="468" sId="5">
    <oc r="Q17" t="inlineStr">
      <is>
        <t xml:space="preserve">Digitalização material da LBA, solicitado pela professora Gracyelle - Email de 12/02/2025. </t>
      </is>
    </oc>
    <nc r="Q17" t="inlineStr">
      <is>
        <t>1. Digitalização material da LBA, solicitado pela professora Gracyelle - Email de 12/02/2025.
2. À tarde fui levar minha filha ao dentista.</t>
      </is>
    </nc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9" sId="4">
    <nc r="R15" t="inlineStr">
      <is>
        <t>FER</t>
      </is>
    </nc>
  </rcc>
  <rcc rId="480" sId="4">
    <nc r="R17" t="inlineStr">
      <is>
        <t>FERIADO</t>
      </is>
    </nc>
  </rcc>
  <rfmt sheetId="4" sqref="R17">
    <dxf>
      <alignment wrapText="1"/>
    </dxf>
  </rfmt>
  <rfmt sheetId="4" sqref="S17">
    <dxf>
      <alignment wrapText="0"/>
    </dxf>
  </rfmt>
  <rfmt sheetId="4" sqref="S17">
    <dxf>
      <alignment wrapText="1"/>
    </dxf>
  </rfmt>
  <rcc rId="481" sId="4">
    <nc r="S17" t="inlineStr">
      <is>
        <t>FERIADO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2" sId="4">
    <oc r="R15" t="inlineStr">
      <is>
        <t>FER</t>
      </is>
    </oc>
    <nc r="R15"/>
  </rcc>
  <rcc rId="503" sId="4">
    <oc r="S17" t="inlineStr">
      <is>
        <t>FERIADO</t>
      </is>
    </oc>
    <nc r="S17" t="inlineStr">
      <is>
        <t>PONTO FACULTATIVO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4" sId="3">
    <oc r="C1" t="inlineStr">
      <is>
        <t xml:space="preserve">03/06 a 06/06/2025 </t>
      </is>
    </oc>
    <nc r="C1" t="inlineStr">
      <is>
        <t xml:space="preserve">02/06 a 06/06/2025 </t>
      </is>
    </nc>
  </rcc>
  <rcc rId="515" sId="3" odxf="1" dxf="1">
    <nc r="D1" t="inlineStr">
      <is>
        <t xml:space="preserve">09/06 a 13/06/2025 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9"/>
        <color rgb="FF000000"/>
        <name val="Calibri"/>
        <family val="2"/>
        <scheme val="none"/>
      </font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16" sId="3" odxf="1" dxf="1">
    <nc r="E1" t="inlineStr">
      <is>
        <t xml:space="preserve">16/06 a 20/06/2025 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9"/>
        <color rgb="FF000000"/>
        <name val="Calibri"/>
        <family val="2"/>
        <scheme val="none"/>
      </font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17" sId="3" odxf="1" dxf="1">
    <nc r="F1" t="inlineStr">
      <is>
        <t xml:space="preserve">23/06 a 27/06/2025 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9"/>
        <color rgb="FF000000"/>
        <name val="Calibri"/>
        <family val="2"/>
        <scheme val="none"/>
      </font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18" sId="3" odxf="1" dxf="1">
    <nc r="G1" t="inlineStr">
      <is>
        <t xml:space="preserve">30/06 a 04/07/2025 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9"/>
        <color rgb="FF000000"/>
        <name val="Calibri"/>
        <family val="2"/>
        <scheme val="none"/>
      </font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19" sId="3" odxf="1" dxf="1">
    <nc r="H1" t="inlineStr">
      <is>
        <t xml:space="preserve">07/07 a 11/07/2025 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9"/>
        <color rgb="FF000000"/>
        <name val="Calibri"/>
        <family val="2"/>
        <scheme val="none"/>
      </font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20" sId="3" odxf="1" dxf="1">
    <nc r="I1" t="inlineStr">
      <is>
        <t xml:space="preserve">14/07 a 18/07/2025 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9"/>
        <color rgb="FF000000"/>
        <name val="Calibri"/>
        <family val="2"/>
        <scheme val="none"/>
      </font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21" sId="3" odxf="1" dxf="1">
    <nc r="J1" t="inlineStr">
      <is>
        <t xml:space="preserve">21/07 a 25/07/2025 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9"/>
        <color rgb="FF000000"/>
        <name val="Calibri"/>
        <family val="2"/>
        <scheme val="none"/>
      </font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22" sId="3" odxf="1" dxf="1">
    <nc r="K1" t="inlineStr">
      <is>
        <t xml:space="preserve">28/07 a 1/08/2025 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b/>
        <sz val="9"/>
        <color rgb="FF000000"/>
        <name val="Calibri"/>
        <family val="2"/>
        <scheme val="none"/>
      </font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C2" start="0" length="0">
    <dxf>
      <numFmt numFmtId="3" formatCode="#,##0"/>
    </dxf>
  </rfmt>
  <rfmt sheetId="3" sqref="D2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2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2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23" sId="3" odxf="1" dxf="1">
    <nc r="G2">
      <f>'C:\Users\marcelo.saboia\Documents\backup - diarq - 13.06.25\Atividade Semanal - Equipe\z. INDICADORES - POR DIA\[INDICADORES - Junho-Julho_2025_backup.xlsx]Diego'!AF2+'C:\Users\marcelo.saboia\Documents\backup - diarq - 13.06.25\Atividade Semanal - Equipe\z. INDICADORES - POR DIA\[INDICADORES - Junho-Julho_2025_backup.xlsx]Aelton'!AF2+'C:\Users\marcelo.saboia\Documents\backup - diarq - 13.06.25\Atividade Semanal - Equipe\z. INDICADORES - POR DIA\[INDICADORES - Junho-Julho_2025_backup.xlsx]Leonam'!AF2+'C:\Users\marcelo.saboia\Documents\backup - diarq - 13.06.25\Atividade Semanal - Equipe\z. INDICADORES - POR DIA\[INDICADORES - Junho-Julho_2025_backup.xlsx]Danilo'!AF2+'C:\Users\marcelo.saboia\Documents\backup - diarq - 13.06.25\Atividade Semanal - Equipe\z. INDICADORES - POR DIA\[INDICADORES - Junho-Julho_2025_backup.xlsx]Marcos'!AF2+'C:\Users\marcelo.saboia\Documents\backup - diarq - 13.06.25\Atividade Semanal - Equipe\z. INDICADORES - POR DIA\[INDICADORES - Junho-Julho_2025_backup.xlsx]Carlos'!AF2+'C:\Users\marcelo.saboia\Documents\backup - diarq - 13.06.25\Atividade Semanal - Equipe\z. INDICADORES - POR DIA\[INDICADORES - Junho-Julho_2025_backup.xlsx]Alessandro'!AF2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24" sId="3" odxf="1" dxf="1">
    <nc r="H2">
      <f>'C:\Users\marcelo.saboia\Documents\backup - diarq - 13.06.25\Atividade Semanal - Equipe\z. INDICADORES - POR DIA\[INDICADORES - Junho-Julho_2025_backup.xlsx]Diego'!AL2+'C:\Users\marcelo.saboia\Documents\backup - diarq - 13.06.25\Atividade Semanal - Equipe\z. INDICADORES - POR DIA\[INDICADORES - Junho-Julho_2025_backup.xlsx]Aelton'!AL2+'C:\Users\marcelo.saboia\Documents\backup - diarq - 13.06.25\Atividade Semanal - Equipe\z. INDICADORES - POR DIA\[INDICADORES - Junho-Julho_2025_backup.xlsx]Leonam'!AL2+'C:\Users\marcelo.saboia\Documents\backup - diarq - 13.06.25\Atividade Semanal - Equipe\z. INDICADORES - POR DIA\[INDICADORES - Junho-Julho_2025_backup.xlsx]Danilo'!AL2+'C:\Users\marcelo.saboia\Documents\backup - diarq - 13.06.25\Atividade Semanal - Equipe\z. INDICADORES - POR DIA\[INDICADORES - Junho-Julho_2025_backup.xlsx]Marcos'!AL2+'C:\Users\marcelo.saboia\Documents\backup - diarq - 13.06.25\Atividade Semanal - Equipe\z. INDICADORES - POR DIA\[INDICADORES - Junho-Julho_2025_backup.xlsx]Carlos'!AL2+'C:\Users\marcelo.saboia\Documents\backup - diarq - 13.06.25\Atividade Semanal - Equipe\z. INDICADORES - POR DIA\[INDICADORES - Junho-Julho_2025_backup.xlsx]Alessandro'!AL2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25" sId="3" odxf="1" dxf="1">
    <nc r="I2">
      <f>'C:\Users\marcelo.saboia\Documents\backup - diarq - 13.06.25\Atividade Semanal - Equipe\z. INDICADORES - POR DIA\[INDICADORES - Junho-Julho_2025_backup.xlsx]Diego'!AR2+'C:\Users\marcelo.saboia\Documents\backup - diarq - 13.06.25\Atividade Semanal - Equipe\z. INDICADORES - POR DIA\[INDICADORES - Junho-Julho_2025_backup.xlsx]Aelton'!AR2+'C:\Users\marcelo.saboia\Documents\backup - diarq - 13.06.25\Atividade Semanal - Equipe\z. INDICADORES - POR DIA\[INDICADORES - Junho-Julho_2025_backup.xlsx]Leonam'!AR2+'C:\Users\marcelo.saboia\Documents\backup - diarq - 13.06.25\Atividade Semanal - Equipe\z. INDICADORES - POR DIA\[INDICADORES - Junho-Julho_2025_backup.xlsx]Danilo'!AR2+'C:\Users\marcelo.saboia\Documents\backup - diarq - 13.06.25\Atividade Semanal - Equipe\z. INDICADORES - POR DIA\[INDICADORES - Junho-Julho_2025_backup.xlsx]Marcos'!AR2+'C:\Users\marcelo.saboia\Documents\backup - diarq - 13.06.25\Atividade Semanal - Equipe\z. INDICADORES - POR DIA\[INDICADORES - Junho-Julho_2025_backup.xlsx]Carlos'!AR2+'C:\Users\marcelo.saboia\Documents\backup - diarq - 13.06.25\Atividade Semanal - Equipe\z. INDICADORES - POR DIA\[INDICADORES - Junho-Julho_2025_backup.xlsx]Alessandro'!AR2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26" sId="3" odxf="1" dxf="1">
    <nc r="J2">
      <f>'C:\Users\marcelo.saboia\Documents\backup - diarq - 13.06.25\Atividade Semanal - Equipe\z. INDICADORES - POR DIA\[INDICADORES - Junho-Julho_2025_backup.xlsx]Diego'!AX2+'C:\Users\marcelo.saboia\Documents\backup - diarq - 13.06.25\Atividade Semanal - Equipe\z. INDICADORES - POR DIA\[INDICADORES - Junho-Julho_2025_backup.xlsx]Aelton'!AX2+'C:\Users\marcelo.saboia\Documents\backup - diarq - 13.06.25\Atividade Semanal - Equipe\z. INDICADORES - POR DIA\[INDICADORES - Junho-Julho_2025_backup.xlsx]Leonam'!AX2+'C:\Users\marcelo.saboia\Documents\backup - diarq - 13.06.25\Atividade Semanal - Equipe\z. INDICADORES - POR DIA\[INDICADORES - Junho-Julho_2025_backup.xlsx]Danilo'!AX2+'C:\Users\marcelo.saboia\Documents\backup - diarq - 13.06.25\Atividade Semanal - Equipe\z. INDICADORES - POR DIA\[INDICADORES - Junho-Julho_2025_backup.xlsx]Marcos'!AX2+'C:\Users\marcelo.saboia\Documents\backup - diarq - 13.06.25\Atividade Semanal - Equipe\z. INDICADORES - POR DIA\[INDICADORES - Junho-Julho_2025_backup.xlsx]Carlos'!AX2+'C:\Users\marcelo.saboia\Documents\backup - diarq - 13.06.25\Atividade Semanal - Equipe\z. INDICADORES - POR DIA\[INDICADORES - Junho-Julho_2025_backup.xlsx]Alessandro'!AX2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27" sId="3" odxf="1" dxf="1">
    <nc r="K2">
      <f>'C:\Users\marcelo.saboia\Documents\backup - diarq - 13.06.25\Atividade Semanal - Equipe\z. INDICADORES - POR DIA\[INDICADORES - Junho-Julho_2025_backup.xlsx]Diego'!BD2+'C:\Users\marcelo.saboia\Documents\backup - diarq - 13.06.25\Atividade Semanal - Equipe\z. INDICADORES - POR DIA\[INDICADORES - Junho-Julho_2025_backup.xlsx]Aelton'!BD2+'C:\Users\marcelo.saboia\Documents\backup - diarq - 13.06.25\Atividade Semanal - Equipe\z. INDICADORES - POR DIA\[INDICADORES - Junho-Julho_2025_backup.xlsx]Leonam'!BD2+'C:\Users\marcelo.saboia\Documents\backup - diarq - 13.06.25\Atividade Semanal - Equipe\z. INDICADORES - POR DIA\[INDICADORES - Junho-Julho_2025_backup.xlsx]Danilo'!BD2+'C:\Users\marcelo.saboia\Documents\backup - diarq - 13.06.25\Atividade Semanal - Equipe\z. INDICADORES - POR DIA\[INDICADORES - Junho-Julho_2025_backup.xlsx]Marcos'!BD2+'C:\Users\marcelo.saboia\Documents\backup - diarq - 13.06.25\Atividade Semanal - Equipe\z. INDICADORES - POR DIA\[INDICADORES - Junho-Julho_2025_backup.xlsx]Carlos'!BD2+'C:\Users\marcelo.saboia\Documents\backup - diarq - 13.06.25\Atividade Semanal - Equipe\z. INDICADORES - POR DIA\[INDICADORES - Junho-Julho_2025_backup.xlsx]Alessandro'!BD2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D3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3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3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28" sId="3" odxf="1" dxf="1">
    <nc r="G3">
      <f>'C:\Users\marcelo.saboia\Documents\backup - diarq - 13.06.25\Atividade Semanal - Equipe\z. INDICADORES - POR DIA\[INDICADORES - Junho-Julho_2025_backup.xlsx]Diego'!AF3+'C:\Users\marcelo.saboia\Documents\backup - diarq - 13.06.25\Atividade Semanal - Equipe\z. INDICADORES - POR DIA\[INDICADORES - Junho-Julho_2025_backup.xlsx]Aelton'!AF3+'C:\Users\marcelo.saboia\Documents\backup - diarq - 13.06.25\Atividade Semanal - Equipe\z. INDICADORES - POR DIA\[INDICADORES - Junho-Julho_2025_backup.xlsx]Leonam'!AF3+'C:\Users\marcelo.saboia\Documents\backup - diarq - 13.06.25\Atividade Semanal - Equipe\z. INDICADORES - POR DIA\[INDICADORES - Junho-Julho_2025_backup.xlsx]Danilo'!AF3+'C:\Users\marcelo.saboia\Documents\backup - diarq - 13.06.25\Atividade Semanal - Equipe\z. INDICADORES - POR DIA\[INDICADORES - Junho-Julho_2025_backup.xlsx]Marcos'!AF3+'C:\Users\marcelo.saboia\Documents\backup - diarq - 13.06.25\Atividade Semanal - Equipe\z. INDICADORES - POR DIA\[INDICADORES - Junho-Julho_2025_backup.xlsx]Carlos'!AF3+'C:\Users\marcelo.saboia\Documents\backup - diarq - 13.06.25\Atividade Semanal - Equipe\z. INDICADORES - POR DIA\[INDICADORES - Junho-Julho_2025_backup.xlsx]Alessandro'!AF3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29" sId="3" odxf="1" dxf="1">
    <nc r="H3">
      <f>'C:\Users\marcelo.saboia\Documents\backup - diarq - 13.06.25\Atividade Semanal - Equipe\z. INDICADORES - POR DIA\[INDICADORES - Junho-Julho_2025_backup.xlsx]Diego'!AL3+'C:\Users\marcelo.saboia\Documents\backup - diarq - 13.06.25\Atividade Semanal - Equipe\z. INDICADORES - POR DIA\[INDICADORES - Junho-Julho_2025_backup.xlsx]Aelton'!AL3+'C:\Users\marcelo.saboia\Documents\backup - diarq - 13.06.25\Atividade Semanal - Equipe\z. INDICADORES - POR DIA\[INDICADORES - Junho-Julho_2025_backup.xlsx]Leonam'!AL3+'C:\Users\marcelo.saboia\Documents\backup - diarq - 13.06.25\Atividade Semanal - Equipe\z. INDICADORES - POR DIA\[INDICADORES - Junho-Julho_2025_backup.xlsx]Danilo'!AL3+'C:\Users\marcelo.saboia\Documents\backup - diarq - 13.06.25\Atividade Semanal - Equipe\z. INDICADORES - POR DIA\[INDICADORES - Junho-Julho_2025_backup.xlsx]Marcos'!AL3+'C:\Users\marcelo.saboia\Documents\backup - diarq - 13.06.25\Atividade Semanal - Equipe\z. INDICADORES - POR DIA\[INDICADORES - Junho-Julho_2025_backup.xlsx]Carlos'!AL3+'C:\Users\marcelo.saboia\Documents\backup - diarq - 13.06.25\Atividade Semanal - Equipe\z. INDICADORES - POR DIA\[INDICADORES - Junho-Julho_2025_backup.xlsx]Alessandro'!AL3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30" sId="3" odxf="1" dxf="1">
    <nc r="I3">
      <f>'C:\Users\marcelo.saboia\Documents\backup - diarq - 13.06.25\Atividade Semanal - Equipe\z. INDICADORES - POR DIA\[INDICADORES - Junho-Julho_2025_backup.xlsx]Diego'!AR3+'C:\Users\marcelo.saboia\Documents\backup - diarq - 13.06.25\Atividade Semanal - Equipe\z. INDICADORES - POR DIA\[INDICADORES - Junho-Julho_2025_backup.xlsx]Aelton'!AR3+'C:\Users\marcelo.saboia\Documents\backup - diarq - 13.06.25\Atividade Semanal - Equipe\z. INDICADORES - POR DIA\[INDICADORES - Junho-Julho_2025_backup.xlsx]Leonam'!AR3+'C:\Users\marcelo.saboia\Documents\backup - diarq - 13.06.25\Atividade Semanal - Equipe\z. INDICADORES - POR DIA\[INDICADORES - Junho-Julho_2025_backup.xlsx]Danilo'!AR3+'C:\Users\marcelo.saboia\Documents\backup - diarq - 13.06.25\Atividade Semanal - Equipe\z. INDICADORES - POR DIA\[INDICADORES - Junho-Julho_2025_backup.xlsx]Marcos'!AR3+'C:\Users\marcelo.saboia\Documents\backup - diarq - 13.06.25\Atividade Semanal - Equipe\z. INDICADORES - POR DIA\[INDICADORES - Junho-Julho_2025_backup.xlsx]Carlos'!AR3+'C:\Users\marcelo.saboia\Documents\backup - diarq - 13.06.25\Atividade Semanal - Equipe\z. INDICADORES - POR DIA\[INDICADORES - Junho-Julho_2025_backup.xlsx]Alessandro'!AR3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31" sId="3" odxf="1" dxf="1">
    <nc r="J3">
      <f>'C:\Users\marcelo.saboia\Documents\backup - diarq - 13.06.25\Atividade Semanal - Equipe\z. INDICADORES - POR DIA\[INDICADORES - Junho-Julho_2025_backup.xlsx]Diego'!AX3+'C:\Users\marcelo.saboia\Documents\backup - diarq - 13.06.25\Atividade Semanal - Equipe\z. INDICADORES - POR DIA\[INDICADORES - Junho-Julho_2025_backup.xlsx]Aelton'!AX3+'C:\Users\marcelo.saboia\Documents\backup - diarq - 13.06.25\Atividade Semanal - Equipe\z. INDICADORES - POR DIA\[INDICADORES - Junho-Julho_2025_backup.xlsx]Leonam'!AX3+'C:\Users\marcelo.saboia\Documents\backup - diarq - 13.06.25\Atividade Semanal - Equipe\z. INDICADORES - POR DIA\[INDICADORES - Junho-Julho_2025_backup.xlsx]Danilo'!AX3+'C:\Users\marcelo.saboia\Documents\backup - diarq - 13.06.25\Atividade Semanal - Equipe\z. INDICADORES - POR DIA\[INDICADORES - Junho-Julho_2025_backup.xlsx]Marcos'!AX3+'C:\Users\marcelo.saboia\Documents\backup - diarq - 13.06.25\Atividade Semanal - Equipe\z. INDICADORES - POR DIA\[INDICADORES - Junho-Julho_2025_backup.xlsx]Carlos'!AX3+'C:\Users\marcelo.saboia\Documents\backup - diarq - 13.06.25\Atividade Semanal - Equipe\z. INDICADORES - POR DIA\[INDICADORES - Junho-Julho_2025_backup.xlsx]Alessandro'!AX3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32" sId="3" odxf="1" dxf="1">
    <nc r="K3">
      <f>'C:\Users\marcelo.saboia\Documents\backup - diarq - 13.06.25\Atividade Semanal - Equipe\z. INDICADORES - POR DIA\[INDICADORES - Junho-Julho_2025_backup.xlsx]Diego'!BD3+'C:\Users\marcelo.saboia\Documents\backup - diarq - 13.06.25\Atividade Semanal - Equipe\z. INDICADORES - POR DIA\[INDICADORES - Junho-Julho_2025_backup.xlsx]Aelton'!BD3+'C:\Users\marcelo.saboia\Documents\backup - diarq - 13.06.25\Atividade Semanal - Equipe\z. INDICADORES - POR DIA\[INDICADORES - Junho-Julho_2025_backup.xlsx]Leonam'!BD3+'C:\Users\marcelo.saboia\Documents\backup - diarq - 13.06.25\Atividade Semanal - Equipe\z. INDICADORES - POR DIA\[INDICADORES - Junho-Julho_2025_backup.xlsx]Danilo'!BD3+'C:\Users\marcelo.saboia\Documents\backup - diarq - 13.06.25\Atividade Semanal - Equipe\z. INDICADORES - POR DIA\[INDICADORES - Junho-Julho_2025_backup.xlsx]Marcos'!BD3+'C:\Users\marcelo.saboia\Documents\backup - diarq - 13.06.25\Atividade Semanal - Equipe\z. INDICADORES - POR DIA\[INDICADORES - Junho-Julho_2025_backup.xlsx]Carlos'!BD3+'C:\Users\marcelo.saboia\Documents\backup - diarq - 13.06.25\Atividade Semanal - Equipe\z. INDICADORES - POR DIA\[INDICADORES - Junho-Julho_2025_backup.xlsx]Alessandro'!BD3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C4" start="0" length="0">
    <dxf>
      <numFmt numFmtId="3" formatCode="#,##0"/>
    </dxf>
  </rfmt>
  <rfmt sheetId="3" sqref="D4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4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4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33" sId="3" odxf="1" dxf="1">
    <nc r="G4">
      <f>'C:\Users\marcelo.saboia\Documents\backup - diarq - 13.06.25\Atividade Semanal - Equipe\z. INDICADORES - POR DIA\[INDICADORES - Junho-Julho_2025_backup.xlsx]Diego'!AF4+'C:\Users\marcelo.saboia\Documents\backup - diarq - 13.06.25\Atividade Semanal - Equipe\z. INDICADORES - POR DIA\[INDICADORES - Junho-Julho_2025_backup.xlsx]Aelton'!AF4+'C:\Users\marcelo.saboia\Documents\backup - diarq - 13.06.25\Atividade Semanal - Equipe\z. INDICADORES - POR DIA\[INDICADORES - Junho-Julho_2025_backup.xlsx]Leonam'!AF4+'C:\Users\marcelo.saboia\Documents\backup - diarq - 13.06.25\Atividade Semanal - Equipe\z. INDICADORES - POR DIA\[INDICADORES - Junho-Julho_2025_backup.xlsx]Danilo'!AF4+'C:\Users\marcelo.saboia\Documents\backup - diarq - 13.06.25\Atividade Semanal - Equipe\z. INDICADORES - POR DIA\[INDICADORES - Junho-Julho_2025_backup.xlsx]Marcos'!AF4+'C:\Users\marcelo.saboia\Documents\backup - diarq - 13.06.25\Atividade Semanal - Equipe\z. INDICADORES - POR DIA\[INDICADORES - Junho-Julho_2025_backup.xlsx]Carlos'!AF4+'C:\Users\marcelo.saboia\Documents\backup - diarq - 13.06.25\Atividade Semanal - Equipe\z. INDICADORES - POR DIA\[INDICADORES - Junho-Julho_2025_backup.xlsx]Alessandro'!AF4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34" sId="3" odxf="1" dxf="1">
    <nc r="H4">
      <f>'C:\Users\marcelo.saboia\Documents\backup - diarq - 13.06.25\Atividade Semanal - Equipe\z. INDICADORES - POR DIA\[INDICADORES - Junho-Julho_2025_backup.xlsx]Diego'!AL4+'C:\Users\marcelo.saboia\Documents\backup - diarq - 13.06.25\Atividade Semanal - Equipe\z. INDICADORES - POR DIA\[INDICADORES - Junho-Julho_2025_backup.xlsx]Aelton'!AL4+'C:\Users\marcelo.saboia\Documents\backup - diarq - 13.06.25\Atividade Semanal - Equipe\z. INDICADORES - POR DIA\[INDICADORES - Junho-Julho_2025_backup.xlsx]Leonam'!AL4+'C:\Users\marcelo.saboia\Documents\backup - diarq - 13.06.25\Atividade Semanal - Equipe\z. INDICADORES - POR DIA\[INDICADORES - Junho-Julho_2025_backup.xlsx]Danilo'!AL4+'C:\Users\marcelo.saboia\Documents\backup - diarq - 13.06.25\Atividade Semanal - Equipe\z. INDICADORES - POR DIA\[INDICADORES - Junho-Julho_2025_backup.xlsx]Marcos'!AL4+'C:\Users\marcelo.saboia\Documents\backup - diarq - 13.06.25\Atividade Semanal - Equipe\z. INDICADORES - POR DIA\[INDICADORES - Junho-Julho_2025_backup.xlsx]Carlos'!AL4+'C:\Users\marcelo.saboia\Documents\backup - diarq - 13.06.25\Atividade Semanal - Equipe\z. INDICADORES - POR DIA\[INDICADORES - Junho-Julho_2025_backup.xlsx]Alessandro'!AL4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35" sId="3" odxf="1" dxf="1">
    <nc r="I4">
      <f>'C:\Users\marcelo.saboia\Documents\backup - diarq - 13.06.25\Atividade Semanal - Equipe\z. INDICADORES - POR DIA\[INDICADORES - Junho-Julho_2025_backup.xlsx]Diego'!AR4+'C:\Users\marcelo.saboia\Documents\backup - diarq - 13.06.25\Atividade Semanal - Equipe\z. INDICADORES - POR DIA\[INDICADORES - Junho-Julho_2025_backup.xlsx]Aelton'!AR4+'C:\Users\marcelo.saboia\Documents\backup - diarq - 13.06.25\Atividade Semanal - Equipe\z. INDICADORES - POR DIA\[INDICADORES - Junho-Julho_2025_backup.xlsx]Leonam'!AR4+'C:\Users\marcelo.saboia\Documents\backup - diarq - 13.06.25\Atividade Semanal - Equipe\z. INDICADORES - POR DIA\[INDICADORES - Junho-Julho_2025_backup.xlsx]Danilo'!AR4+'C:\Users\marcelo.saboia\Documents\backup - diarq - 13.06.25\Atividade Semanal - Equipe\z. INDICADORES - POR DIA\[INDICADORES - Junho-Julho_2025_backup.xlsx]Marcos'!AR4+'C:\Users\marcelo.saboia\Documents\backup - diarq - 13.06.25\Atividade Semanal - Equipe\z. INDICADORES - POR DIA\[INDICADORES - Junho-Julho_2025_backup.xlsx]Carlos'!AR4+'C:\Users\marcelo.saboia\Documents\backup - diarq - 13.06.25\Atividade Semanal - Equipe\z. INDICADORES - POR DIA\[INDICADORES - Junho-Julho_2025_backup.xlsx]Alessandro'!AR4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36" sId="3" odxf="1" dxf="1">
    <nc r="J4">
      <f>'C:\Users\marcelo.saboia\Documents\backup - diarq - 13.06.25\Atividade Semanal - Equipe\z. INDICADORES - POR DIA\[INDICADORES - Junho-Julho_2025_backup.xlsx]Diego'!AX4+'C:\Users\marcelo.saboia\Documents\backup - diarq - 13.06.25\Atividade Semanal - Equipe\z. INDICADORES - POR DIA\[INDICADORES - Junho-Julho_2025_backup.xlsx]Aelton'!AX4+'C:\Users\marcelo.saboia\Documents\backup - diarq - 13.06.25\Atividade Semanal - Equipe\z. INDICADORES - POR DIA\[INDICADORES - Junho-Julho_2025_backup.xlsx]Leonam'!AX4+'C:\Users\marcelo.saboia\Documents\backup - diarq - 13.06.25\Atividade Semanal - Equipe\z. INDICADORES - POR DIA\[INDICADORES - Junho-Julho_2025_backup.xlsx]Danilo'!AX4+'C:\Users\marcelo.saboia\Documents\backup - diarq - 13.06.25\Atividade Semanal - Equipe\z. INDICADORES - POR DIA\[INDICADORES - Junho-Julho_2025_backup.xlsx]Marcos'!AX4+'C:\Users\marcelo.saboia\Documents\backup - diarq - 13.06.25\Atividade Semanal - Equipe\z. INDICADORES - POR DIA\[INDICADORES - Junho-Julho_2025_backup.xlsx]Carlos'!AX4+'C:\Users\marcelo.saboia\Documents\backup - diarq - 13.06.25\Atividade Semanal - Equipe\z. INDICADORES - POR DIA\[INDICADORES - Junho-Julho_2025_backup.xlsx]Alessandro'!AX4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37" sId="3" odxf="1" dxf="1">
    <nc r="K4">
      <f>'C:\Users\marcelo.saboia\Documents\backup - diarq - 13.06.25\Atividade Semanal - Equipe\z. INDICADORES - POR DIA\[INDICADORES - Junho-Julho_2025_backup.xlsx]Diego'!BD4+'C:\Users\marcelo.saboia\Documents\backup - diarq - 13.06.25\Atividade Semanal - Equipe\z. INDICADORES - POR DIA\[INDICADORES - Junho-Julho_2025_backup.xlsx]Aelton'!BD4+'C:\Users\marcelo.saboia\Documents\backup - diarq - 13.06.25\Atividade Semanal - Equipe\z. INDICADORES - POR DIA\[INDICADORES - Junho-Julho_2025_backup.xlsx]Leonam'!BD4+'C:\Users\marcelo.saboia\Documents\backup - diarq - 13.06.25\Atividade Semanal - Equipe\z. INDICADORES - POR DIA\[INDICADORES - Junho-Julho_2025_backup.xlsx]Danilo'!BD4+'C:\Users\marcelo.saboia\Documents\backup - diarq - 13.06.25\Atividade Semanal - Equipe\z. INDICADORES - POR DIA\[INDICADORES - Junho-Julho_2025_backup.xlsx]Marcos'!BD4+'C:\Users\marcelo.saboia\Documents\backup - diarq - 13.06.25\Atividade Semanal - Equipe\z. INDICADORES - POR DIA\[INDICADORES - Junho-Julho_2025_backup.xlsx]Carlos'!BD4+'C:\Users\marcelo.saboia\Documents\backup - diarq - 13.06.25\Atividade Semanal - Equipe\z. INDICADORES - POR DIA\[INDICADORES - Junho-Julho_2025_backup.xlsx]Alessandro'!BD4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D5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5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5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38" sId="3" odxf="1" dxf="1">
    <nc r="G5">
      <f>'C:\Users\marcelo.saboia\Documents\backup - diarq - 13.06.25\Atividade Semanal - Equipe\z. INDICADORES - POR DIA\[INDICADORES - Junho-Julho_2025_backup.xlsx]Diego'!AF5+'C:\Users\marcelo.saboia\Documents\backup - diarq - 13.06.25\Atividade Semanal - Equipe\z. INDICADORES - POR DIA\[INDICADORES - Junho-Julho_2025_backup.xlsx]Aelton'!AF5+'C:\Users\marcelo.saboia\Documents\backup - diarq - 13.06.25\Atividade Semanal - Equipe\z. INDICADORES - POR DIA\[INDICADORES - Junho-Julho_2025_backup.xlsx]Leonam'!AF5+'C:\Users\marcelo.saboia\Documents\backup - diarq - 13.06.25\Atividade Semanal - Equipe\z. INDICADORES - POR DIA\[INDICADORES - Junho-Julho_2025_backup.xlsx]Danilo'!AF5+'C:\Users\marcelo.saboia\Documents\backup - diarq - 13.06.25\Atividade Semanal - Equipe\z. INDICADORES - POR DIA\[INDICADORES - Junho-Julho_2025_backup.xlsx]Marcos'!AF5+'C:\Users\marcelo.saboia\Documents\backup - diarq - 13.06.25\Atividade Semanal - Equipe\z. INDICADORES - POR DIA\[INDICADORES - Junho-Julho_2025_backup.xlsx]Carlos'!AF5+'C:\Users\marcelo.saboia\Documents\backup - diarq - 13.06.25\Atividade Semanal - Equipe\z. INDICADORES - POR DIA\[INDICADORES - Junho-Julho_2025_backup.xlsx]Alessandro'!AF5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39" sId="3" odxf="1" dxf="1">
    <nc r="H5">
      <f>'C:\Users\marcelo.saboia\Documents\backup - diarq - 13.06.25\Atividade Semanal - Equipe\z. INDICADORES - POR DIA\[INDICADORES - Junho-Julho_2025_backup.xlsx]Diego'!AL5+'C:\Users\marcelo.saboia\Documents\backup - diarq - 13.06.25\Atividade Semanal - Equipe\z. INDICADORES - POR DIA\[INDICADORES - Junho-Julho_2025_backup.xlsx]Aelton'!AL5+'C:\Users\marcelo.saboia\Documents\backup - diarq - 13.06.25\Atividade Semanal - Equipe\z. INDICADORES - POR DIA\[INDICADORES - Junho-Julho_2025_backup.xlsx]Leonam'!AL5+'C:\Users\marcelo.saboia\Documents\backup - diarq - 13.06.25\Atividade Semanal - Equipe\z. INDICADORES - POR DIA\[INDICADORES - Junho-Julho_2025_backup.xlsx]Danilo'!AL5+'C:\Users\marcelo.saboia\Documents\backup - diarq - 13.06.25\Atividade Semanal - Equipe\z. INDICADORES - POR DIA\[INDICADORES - Junho-Julho_2025_backup.xlsx]Marcos'!AL5+'C:\Users\marcelo.saboia\Documents\backup - diarq - 13.06.25\Atividade Semanal - Equipe\z. INDICADORES - POR DIA\[INDICADORES - Junho-Julho_2025_backup.xlsx]Carlos'!AL5+'C:\Users\marcelo.saboia\Documents\backup - diarq - 13.06.25\Atividade Semanal - Equipe\z. INDICADORES - POR DIA\[INDICADORES - Junho-Julho_2025_backup.xlsx]Alessandro'!AL5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40" sId="3" odxf="1" dxf="1">
    <nc r="I5">
      <f>'C:\Users\marcelo.saboia\Documents\backup - diarq - 13.06.25\Atividade Semanal - Equipe\z. INDICADORES - POR DIA\[INDICADORES - Junho-Julho_2025_backup.xlsx]Diego'!AR5+'C:\Users\marcelo.saboia\Documents\backup - diarq - 13.06.25\Atividade Semanal - Equipe\z. INDICADORES - POR DIA\[INDICADORES - Junho-Julho_2025_backup.xlsx]Aelton'!AR5+'C:\Users\marcelo.saboia\Documents\backup - diarq - 13.06.25\Atividade Semanal - Equipe\z. INDICADORES - POR DIA\[INDICADORES - Junho-Julho_2025_backup.xlsx]Leonam'!AR5+'C:\Users\marcelo.saboia\Documents\backup - diarq - 13.06.25\Atividade Semanal - Equipe\z. INDICADORES - POR DIA\[INDICADORES - Junho-Julho_2025_backup.xlsx]Danilo'!AR5+'C:\Users\marcelo.saboia\Documents\backup - diarq - 13.06.25\Atividade Semanal - Equipe\z. INDICADORES - POR DIA\[INDICADORES - Junho-Julho_2025_backup.xlsx]Marcos'!AR5+'C:\Users\marcelo.saboia\Documents\backup - diarq - 13.06.25\Atividade Semanal - Equipe\z. INDICADORES - POR DIA\[INDICADORES - Junho-Julho_2025_backup.xlsx]Carlos'!AR5+'C:\Users\marcelo.saboia\Documents\backup - diarq - 13.06.25\Atividade Semanal - Equipe\z. INDICADORES - POR DIA\[INDICADORES - Junho-Julho_2025_backup.xlsx]Alessandro'!AR5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41" sId="3" odxf="1" dxf="1">
    <nc r="J5">
      <f>'C:\Users\marcelo.saboia\Documents\backup - diarq - 13.06.25\Atividade Semanal - Equipe\z. INDICADORES - POR DIA\[INDICADORES - Junho-Julho_2025_backup.xlsx]Diego'!AX5+'C:\Users\marcelo.saboia\Documents\backup - diarq - 13.06.25\Atividade Semanal - Equipe\z. INDICADORES - POR DIA\[INDICADORES - Junho-Julho_2025_backup.xlsx]Aelton'!AX5+'C:\Users\marcelo.saboia\Documents\backup - diarq - 13.06.25\Atividade Semanal - Equipe\z. INDICADORES - POR DIA\[INDICADORES - Junho-Julho_2025_backup.xlsx]Leonam'!AX5+'C:\Users\marcelo.saboia\Documents\backup - diarq - 13.06.25\Atividade Semanal - Equipe\z. INDICADORES - POR DIA\[INDICADORES - Junho-Julho_2025_backup.xlsx]Danilo'!AX5+'C:\Users\marcelo.saboia\Documents\backup - diarq - 13.06.25\Atividade Semanal - Equipe\z. INDICADORES - POR DIA\[INDICADORES - Junho-Julho_2025_backup.xlsx]Marcos'!AX5+'C:\Users\marcelo.saboia\Documents\backup - diarq - 13.06.25\Atividade Semanal - Equipe\z. INDICADORES - POR DIA\[INDICADORES - Junho-Julho_2025_backup.xlsx]Carlos'!AX5+'C:\Users\marcelo.saboia\Documents\backup - diarq - 13.06.25\Atividade Semanal - Equipe\z. INDICADORES - POR DIA\[INDICADORES - Junho-Julho_2025_backup.xlsx]Alessandro'!AX5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42" sId="3" odxf="1" dxf="1">
    <nc r="K5">
      <f>'C:\Users\marcelo.saboia\Documents\backup - diarq - 13.06.25\Atividade Semanal - Equipe\z. INDICADORES - POR DIA\[INDICADORES - Junho-Julho_2025_backup.xlsx]Diego'!BD5+'C:\Users\marcelo.saboia\Documents\backup - diarq - 13.06.25\Atividade Semanal - Equipe\z. INDICADORES - POR DIA\[INDICADORES - Junho-Julho_2025_backup.xlsx]Aelton'!BD5+'C:\Users\marcelo.saboia\Documents\backup - diarq - 13.06.25\Atividade Semanal - Equipe\z. INDICADORES - POR DIA\[INDICADORES - Junho-Julho_2025_backup.xlsx]Leonam'!BD5+'C:\Users\marcelo.saboia\Documents\backup - diarq - 13.06.25\Atividade Semanal - Equipe\z. INDICADORES - POR DIA\[INDICADORES - Junho-Julho_2025_backup.xlsx]Danilo'!BD5+'C:\Users\marcelo.saboia\Documents\backup - diarq - 13.06.25\Atividade Semanal - Equipe\z. INDICADORES - POR DIA\[INDICADORES - Junho-Julho_2025_backup.xlsx]Marcos'!BD5+'C:\Users\marcelo.saboia\Documents\backup - diarq - 13.06.25\Atividade Semanal - Equipe\z. INDICADORES - POR DIA\[INDICADORES - Junho-Julho_2025_backup.xlsx]Carlos'!BD5+'C:\Users\marcelo.saboia\Documents\backup - diarq - 13.06.25\Atividade Semanal - Equipe\z. INDICADORES - POR DIA\[INDICADORES - Junho-Julho_2025_backup.xlsx]Alessandro'!BD5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C6" start="0" length="0">
    <dxf>
      <numFmt numFmtId="3" formatCode="#,##0"/>
    </dxf>
  </rfmt>
  <rfmt sheetId="3" sqref="D6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6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6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43" sId="3" odxf="1" dxf="1">
    <nc r="G6">
      <f>'C:\Users\marcelo.saboia\Documents\backup - diarq - 13.06.25\Atividade Semanal - Equipe\z. INDICADORES - POR DIA\[INDICADORES - Junho-Julho_2025_backup.xlsx]Diego'!AF6+'C:\Users\marcelo.saboia\Documents\backup - diarq - 13.06.25\Atividade Semanal - Equipe\z. INDICADORES - POR DIA\[INDICADORES - Junho-Julho_2025_backup.xlsx]Aelton'!AF6+'C:\Users\marcelo.saboia\Documents\backup - diarq - 13.06.25\Atividade Semanal - Equipe\z. INDICADORES - POR DIA\[INDICADORES - Junho-Julho_2025_backup.xlsx]Leonam'!AF6+'C:\Users\marcelo.saboia\Documents\backup - diarq - 13.06.25\Atividade Semanal - Equipe\z. INDICADORES - POR DIA\[INDICADORES - Junho-Julho_2025_backup.xlsx]Danilo'!AF6+'C:\Users\marcelo.saboia\Documents\backup - diarq - 13.06.25\Atividade Semanal - Equipe\z. INDICADORES - POR DIA\[INDICADORES - Junho-Julho_2025_backup.xlsx]Marcos'!AF6+'C:\Users\marcelo.saboia\Documents\backup - diarq - 13.06.25\Atividade Semanal - Equipe\z. INDICADORES - POR DIA\[INDICADORES - Junho-Julho_2025_backup.xlsx]Carlos'!AF6+'C:\Users\marcelo.saboia\Documents\backup - diarq - 13.06.25\Atividade Semanal - Equipe\z. INDICADORES - POR DIA\[INDICADORES - Junho-Julho_2025_backup.xlsx]Alessandro'!AF6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44" sId="3" odxf="1" dxf="1">
    <nc r="H6">
      <f>'C:\Users\marcelo.saboia\Documents\backup - diarq - 13.06.25\Atividade Semanal - Equipe\z. INDICADORES - POR DIA\[INDICADORES - Junho-Julho_2025_backup.xlsx]Diego'!AL6+'C:\Users\marcelo.saboia\Documents\backup - diarq - 13.06.25\Atividade Semanal - Equipe\z. INDICADORES - POR DIA\[INDICADORES - Junho-Julho_2025_backup.xlsx]Aelton'!AL6+'C:\Users\marcelo.saboia\Documents\backup - diarq - 13.06.25\Atividade Semanal - Equipe\z. INDICADORES - POR DIA\[INDICADORES - Junho-Julho_2025_backup.xlsx]Leonam'!AL6+'C:\Users\marcelo.saboia\Documents\backup - diarq - 13.06.25\Atividade Semanal - Equipe\z. INDICADORES - POR DIA\[INDICADORES - Junho-Julho_2025_backup.xlsx]Danilo'!AL6+'C:\Users\marcelo.saboia\Documents\backup - diarq - 13.06.25\Atividade Semanal - Equipe\z. INDICADORES - POR DIA\[INDICADORES - Junho-Julho_2025_backup.xlsx]Marcos'!AL6+'C:\Users\marcelo.saboia\Documents\backup - diarq - 13.06.25\Atividade Semanal - Equipe\z. INDICADORES - POR DIA\[INDICADORES - Junho-Julho_2025_backup.xlsx]Carlos'!AL6+'C:\Users\marcelo.saboia\Documents\backup - diarq - 13.06.25\Atividade Semanal - Equipe\z. INDICADORES - POR DIA\[INDICADORES - Junho-Julho_2025_backup.xlsx]Alessandro'!AL6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45" sId="3" odxf="1" dxf="1">
    <nc r="I6">
      <f>'C:\Users\marcelo.saboia\Documents\backup - diarq - 13.06.25\Atividade Semanal - Equipe\z. INDICADORES - POR DIA\[INDICADORES - Junho-Julho_2025_backup.xlsx]Diego'!AR6+'C:\Users\marcelo.saboia\Documents\backup - diarq - 13.06.25\Atividade Semanal - Equipe\z. INDICADORES - POR DIA\[INDICADORES - Junho-Julho_2025_backup.xlsx]Aelton'!AR6+'C:\Users\marcelo.saboia\Documents\backup - diarq - 13.06.25\Atividade Semanal - Equipe\z. INDICADORES - POR DIA\[INDICADORES - Junho-Julho_2025_backup.xlsx]Leonam'!AR6+'C:\Users\marcelo.saboia\Documents\backup - diarq - 13.06.25\Atividade Semanal - Equipe\z. INDICADORES - POR DIA\[INDICADORES - Junho-Julho_2025_backup.xlsx]Danilo'!AR6+'C:\Users\marcelo.saboia\Documents\backup - diarq - 13.06.25\Atividade Semanal - Equipe\z. INDICADORES - POR DIA\[INDICADORES - Junho-Julho_2025_backup.xlsx]Marcos'!AR6+'C:\Users\marcelo.saboia\Documents\backup - diarq - 13.06.25\Atividade Semanal - Equipe\z. INDICADORES - POR DIA\[INDICADORES - Junho-Julho_2025_backup.xlsx]Carlos'!AR6+'C:\Users\marcelo.saboia\Documents\backup - diarq - 13.06.25\Atividade Semanal - Equipe\z. INDICADORES - POR DIA\[INDICADORES - Junho-Julho_2025_backup.xlsx]Alessandro'!AR6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46" sId="3" odxf="1" dxf="1">
    <nc r="J6">
      <f>'C:\Users\marcelo.saboia\Documents\backup - diarq - 13.06.25\Atividade Semanal - Equipe\z. INDICADORES - POR DIA\[INDICADORES - Junho-Julho_2025_backup.xlsx]Diego'!AX6+'C:\Users\marcelo.saboia\Documents\backup - diarq - 13.06.25\Atividade Semanal - Equipe\z. INDICADORES - POR DIA\[INDICADORES - Junho-Julho_2025_backup.xlsx]Aelton'!AX6+'C:\Users\marcelo.saboia\Documents\backup - diarq - 13.06.25\Atividade Semanal - Equipe\z. INDICADORES - POR DIA\[INDICADORES - Junho-Julho_2025_backup.xlsx]Leonam'!AX6+'C:\Users\marcelo.saboia\Documents\backup - diarq - 13.06.25\Atividade Semanal - Equipe\z. INDICADORES - POR DIA\[INDICADORES - Junho-Julho_2025_backup.xlsx]Danilo'!AX6+'C:\Users\marcelo.saboia\Documents\backup - diarq - 13.06.25\Atividade Semanal - Equipe\z. INDICADORES - POR DIA\[INDICADORES - Junho-Julho_2025_backup.xlsx]Marcos'!AX6+'C:\Users\marcelo.saboia\Documents\backup - diarq - 13.06.25\Atividade Semanal - Equipe\z. INDICADORES - POR DIA\[INDICADORES - Junho-Julho_2025_backup.xlsx]Carlos'!AX6+'C:\Users\marcelo.saboia\Documents\backup - diarq - 13.06.25\Atividade Semanal - Equipe\z. INDICADORES - POR DIA\[INDICADORES - Junho-Julho_2025_backup.xlsx]Alessandro'!AX6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47" sId="3" odxf="1" dxf="1">
    <nc r="K6">
      <f>'C:\Users\marcelo.saboia\Documents\backup - diarq - 13.06.25\Atividade Semanal - Equipe\z. INDICADORES - POR DIA\[INDICADORES - Junho-Julho_2025_backup.xlsx]Diego'!BD6+'C:\Users\marcelo.saboia\Documents\backup - diarq - 13.06.25\Atividade Semanal - Equipe\z. INDICADORES - POR DIA\[INDICADORES - Junho-Julho_2025_backup.xlsx]Aelton'!BD6+'C:\Users\marcelo.saboia\Documents\backup - diarq - 13.06.25\Atividade Semanal - Equipe\z. INDICADORES - POR DIA\[INDICADORES - Junho-Julho_2025_backup.xlsx]Leonam'!BD6+'C:\Users\marcelo.saboia\Documents\backup - diarq - 13.06.25\Atividade Semanal - Equipe\z. INDICADORES - POR DIA\[INDICADORES - Junho-Julho_2025_backup.xlsx]Danilo'!BD6+'C:\Users\marcelo.saboia\Documents\backup - diarq - 13.06.25\Atividade Semanal - Equipe\z. INDICADORES - POR DIA\[INDICADORES - Junho-Julho_2025_backup.xlsx]Marcos'!BD6+'C:\Users\marcelo.saboia\Documents\backup - diarq - 13.06.25\Atividade Semanal - Equipe\z. INDICADORES - POR DIA\[INDICADORES - Junho-Julho_2025_backup.xlsx]Carlos'!BD6+'C:\Users\marcelo.saboia\Documents\backup - diarq - 13.06.25\Atividade Semanal - Equipe\z. INDICADORES - POR DIA\[INDICADORES - Junho-Julho_2025_backup.xlsx]Alessandro'!BD6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D7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7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7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48" sId="3" odxf="1" dxf="1">
    <nc r="G7">
      <f>'C:\Users\marcelo.saboia\Documents\backup - diarq - 13.06.25\Atividade Semanal - Equipe\z. INDICADORES - POR DIA\[INDICADORES - Junho-Julho_2025_backup.xlsx]Diego'!AF7+'C:\Users\marcelo.saboia\Documents\backup - diarq - 13.06.25\Atividade Semanal - Equipe\z. INDICADORES - POR DIA\[INDICADORES - Junho-Julho_2025_backup.xlsx]Aelton'!AF7+'C:\Users\marcelo.saboia\Documents\backup - diarq - 13.06.25\Atividade Semanal - Equipe\z. INDICADORES - POR DIA\[INDICADORES - Junho-Julho_2025_backup.xlsx]Leonam'!AF7+'C:\Users\marcelo.saboia\Documents\backup - diarq - 13.06.25\Atividade Semanal - Equipe\z. INDICADORES - POR DIA\[INDICADORES - Junho-Julho_2025_backup.xlsx]Danilo'!AF7+'C:\Users\marcelo.saboia\Documents\backup - diarq - 13.06.25\Atividade Semanal - Equipe\z. INDICADORES - POR DIA\[INDICADORES - Junho-Julho_2025_backup.xlsx]Marcos'!AF7+'C:\Users\marcelo.saboia\Documents\backup - diarq - 13.06.25\Atividade Semanal - Equipe\z. INDICADORES - POR DIA\[INDICADORES - Junho-Julho_2025_backup.xlsx]Carlos'!AF7+'C:\Users\marcelo.saboia\Documents\backup - diarq - 13.06.25\Atividade Semanal - Equipe\z. INDICADORES - POR DIA\[INDICADORES - Junho-Julho_2025_backup.xlsx]Alessandro'!AF7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49" sId="3" odxf="1" dxf="1">
    <nc r="H7">
      <f>'C:\Users\marcelo.saboia\Documents\backup - diarq - 13.06.25\Atividade Semanal - Equipe\z. INDICADORES - POR DIA\[INDICADORES - Junho-Julho_2025_backup.xlsx]Diego'!AL7+'C:\Users\marcelo.saboia\Documents\backup - diarq - 13.06.25\Atividade Semanal - Equipe\z. INDICADORES - POR DIA\[INDICADORES - Junho-Julho_2025_backup.xlsx]Aelton'!AL7+'C:\Users\marcelo.saboia\Documents\backup - diarq - 13.06.25\Atividade Semanal - Equipe\z. INDICADORES - POR DIA\[INDICADORES - Junho-Julho_2025_backup.xlsx]Leonam'!AL7+'C:\Users\marcelo.saboia\Documents\backup - diarq - 13.06.25\Atividade Semanal - Equipe\z. INDICADORES - POR DIA\[INDICADORES - Junho-Julho_2025_backup.xlsx]Danilo'!AL7+'C:\Users\marcelo.saboia\Documents\backup - diarq - 13.06.25\Atividade Semanal - Equipe\z. INDICADORES - POR DIA\[INDICADORES - Junho-Julho_2025_backup.xlsx]Marcos'!AL7+'C:\Users\marcelo.saboia\Documents\backup - diarq - 13.06.25\Atividade Semanal - Equipe\z. INDICADORES - POR DIA\[INDICADORES - Junho-Julho_2025_backup.xlsx]Carlos'!AL7+'C:\Users\marcelo.saboia\Documents\backup - diarq - 13.06.25\Atividade Semanal - Equipe\z. INDICADORES - POR DIA\[INDICADORES - Junho-Julho_2025_backup.xlsx]Alessandro'!AL7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50" sId="3" odxf="1" dxf="1">
    <nc r="I7">
      <f>'C:\Users\marcelo.saboia\Documents\backup - diarq - 13.06.25\Atividade Semanal - Equipe\z. INDICADORES - POR DIA\[INDICADORES - Junho-Julho_2025_backup.xlsx]Diego'!AR7+'C:\Users\marcelo.saboia\Documents\backup - diarq - 13.06.25\Atividade Semanal - Equipe\z. INDICADORES - POR DIA\[INDICADORES - Junho-Julho_2025_backup.xlsx]Aelton'!AR7+'C:\Users\marcelo.saboia\Documents\backup - diarq - 13.06.25\Atividade Semanal - Equipe\z. INDICADORES - POR DIA\[INDICADORES - Junho-Julho_2025_backup.xlsx]Leonam'!AR7+'C:\Users\marcelo.saboia\Documents\backup - diarq - 13.06.25\Atividade Semanal - Equipe\z. INDICADORES - POR DIA\[INDICADORES - Junho-Julho_2025_backup.xlsx]Danilo'!AR7+'C:\Users\marcelo.saboia\Documents\backup - diarq - 13.06.25\Atividade Semanal - Equipe\z. INDICADORES - POR DIA\[INDICADORES - Junho-Julho_2025_backup.xlsx]Marcos'!AR7+'C:\Users\marcelo.saboia\Documents\backup - diarq - 13.06.25\Atividade Semanal - Equipe\z. INDICADORES - POR DIA\[INDICADORES - Junho-Julho_2025_backup.xlsx]Carlos'!AR7+'C:\Users\marcelo.saboia\Documents\backup - diarq - 13.06.25\Atividade Semanal - Equipe\z. INDICADORES - POR DIA\[INDICADORES - Junho-Julho_2025_backup.xlsx]Alessandro'!AR7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51" sId="3" odxf="1" dxf="1">
    <nc r="J7">
      <f>'C:\Users\marcelo.saboia\Documents\backup - diarq - 13.06.25\Atividade Semanal - Equipe\z. INDICADORES - POR DIA\[INDICADORES - Junho-Julho_2025_backup.xlsx]Diego'!AX7+'C:\Users\marcelo.saboia\Documents\backup - diarq - 13.06.25\Atividade Semanal - Equipe\z. INDICADORES - POR DIA\[INDICADORES - Junho-Julho_2025_backup.xlsx]Aelton'!AX7+'C:\Users\marcelo.saboia\Documents\backup - diarq - 13.06.25\Atividade Semanal - Equipe\z. INDICADORES - POR DIA\[INDICADORES - Junho-Julho_2025_backup.xlsx]Leonam'!AX7+'C:\Users\marcelo.saboia\Documents\backup - diarq - 13.06.25\Atividade Semanal - Equipe\z. INDICADORES - POR DIA\[INDICADORES - Junho-Julho_2025_backup.xlsx]Danilo'!AX7+'C:\Users\marcelo.saboia\Documents\backup - diarq - 13.06.25\Atividade Semanal - Equipe\z. INDICADORES - POR DIA\[INDICADORES - Junho-Julho_2025_backup.xlsx]Marcos'!AX7+'C:\Users\marcelo.saboia\Documents\backup - diarq - 13.06.25\Atividade Semanal - Equipe\z. INDICADORES - POR DIA\[INDICADORES - Junho-Julho_2025_backup.xlsx]Carlos'!AX7+'C:\Users\marcelo.saboia\Documents\backup - diarq - 13.06.25\Atividade Semanal - Equipe\z. INDICADORES - POR DIA\[INDICADORES - Junho-Julho_2025_backup.xlsx]Alessandro'!AX7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52" sId="3" odxf="1" dxf="1">
    <nc r="K7">
      <f>'C:\Users\marcelo.saboia\Documents\backup - diarq - 13.06.25\Atividade Semanal - Equipe\z. INDICADORES - POR DIA\[INDICADORES - Junho-Julho_2025_backup.xlsx]Diego'!BD7+'C:\Users\marcelo.saboia\Documents\backup - diarq - 13.06.25\Atividade Semanal - Equipe\z. INDICADORES - POR DIA\[INDICADORES - Junho-Julho_2025_backup.xlsx]Aelton'!BD7+'C:\Users\marcelo.saboia\Documents\backup - diarq - 13.06.25\Atividade Semanal - Equipe\z. INDICADORES - POR DIA\[INDICADORES - Junho-Julho_2025_backup.xlsx]Leonam'!BD7+'C:\Users\marcelo.saboia\Documents\backup - diarq - 13.06.25\Atividade Semanal - Equipe\z. INDICADORES - POR DIA\[INDICADORES - Junho-Julho_2025_backup.xlsx]Danilo'!BD7+'C:\Users\marcelo.saboia\Documents\backup - diarq - 13.06.25\Atividade Semanal - Equipe\z. INDICADORES - POR DIA\[INDICADORES - Junho-Julho_2025_backup.xlsx]Marcos'!BD7+'C:\Users\marcelo.saboia\Documents\backup - diarq - 13.06.25\Atividade Semanal - Equipe\z. INDICADORES - POR DIA\[INDICADORES - Junho-Julho_2025_backup.xlsx]Carlos'!BD7+'C:\Users\marcelo.saboia\Documents\backup - diarq - 13.06.25\Atividade Semanal - Equipe\z. INDICADORES - POR DIA\[INDICADORES - Junho-Julho_2025_backup.xlsx]Alessandro'!BD7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C8" start="0" length="0">
    <dxf>
      <numFmt numFmtId="3" formatCode="#,##0"/>
    </dxf>
  </rfmt>
  <rfmt sheetId="3" sqref="D8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8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8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53" sId="3" odxf="1" dxf="1">
    <nc r="G8">
      <f>'C:\Users\marcelo.saboia\Documents\backup - diarq - 13.06.25\Atividade Semanal - Equipe\z. INDICADORES - POR DIA\[INDICADORES - Junho-Julho_2025_backup.xlsx]Diego'!AF8+'C:\Users\marcelo.saboia\Documents\backup - diarq - 13.06.25\Atividade Semanal - Equipe\z. INDICADORES - POR DIA\[INDICADORES - Junho-Julho_2025_backup.xlsx]Aelton'!AF8+'C:\Users\marcelo.saboia\Documents\backup - diarq - 13.06.25\Atividade Semanal - Equipe\z. INDICADORES - POR DIA\[INDICADORES - Junho-Julho_2025_backup.xlsx]Leonam'!AF8+'C:\Users\marcelo.saboia\Documents\backup - diarq - 13.06.25\Atividade Semanal - Equipe\z. INDICADORES - POR DIA\[INDICADORES - Junho-Julho_2025_backup.xlsx]Danilo'!AF8+'C:\Users\marcelo.saboia\Documents\backup - diarq - 13.06.25\Atividade Semanal - Equipe\z. INDICADORES - POR DIA\[INDICADORES - Junho-Julho_2025_backup.xlsx]Marcos'!AF8+'C:\Users\marcelo.saboia\Documents\backup - diarq - 13.06.25\Atividade Semanal - Equipe\z. INDICADORES - POR DIA\[INDICADORES - Junho-Julho_2025_backup.xlsx]Carlos'!AF8+'C:\Users\marcelo.saboia\Documents\backup - diarq - 13.06.25\Atividade Semanal - Equipe\z. INDICADORES - POR DIA\[INDICADORES - Junho-Julho_2025_backup.xlsx]Alessandro'!AF8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54" sId="3" odxf="1" dxf="1">
    <nc r="H8">
      <f>'C:\Users\marcelo.saboia\Documents\backup - diarq - 13.06.25\Atividade Semanal - Equipe\z. INDICADORES - POR DIA\[INDICADORES - Junho-Julho_2025_backup.xlsx]Diego'!AL8+'C:\Users\marcelo.saboia\Documents\backup - diarq - 13.06.25\Atividade Semanal - Equipe\z. INDICADORES - POR DIA\[INDICADORES - Junho-Julho_2025_backup.xlsx]Aelton'!AL8+'C:\Users\marcelo.saboia\Documents\backup - diarq - 13.06.25\Atividade Semanal - Equipe\z. INDICADORES - POR DIA\[INDICADORES - Junho-Julho_2025_backup.xlsx]Leonam'!AL8+'C:\Users\marcelo.saboia\Documents\backup - diarq - 13.06.25\Atividade Semanal - Equipe\z. INDICADORES - POR DIA\[INDICADORES - Junho-Julho_2025_backup.xlsx]Danilo'!AL8+'C:\Users\marcelo.saboia\Documents\backup - diarq - 13.06.25\Atividade Semanal - Equipe\z. INDICADORES - POR DIA\[INDICADORES - Junho-Julho_2025_backup.xlsx]Marcos'!AL8+'C:\Users\marcelo.saboia\Documents\backup - diarq - 13.06.25\Atividade Semanal - Equipe\z. INDICADORES - POR DIA\[INDICADORES - Junho-Julho_2025_backup.xlsx]Carlos'!AL8+'C:\Users\marcelo.saboia\Documents\backup - diarq - 13.06.25\Atividade Semanal - Equipe\z. INDICADORES - POR DIA\[INDICADORES - Junho-Julho_2025_backup.xlsx]Alessandro'!AL8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55" sId="3" odxf="1" dxf="1">
    <nc r="I8">
      <f>'C:\Users\marcelo.saboia\Documents\backup - diarq - 13.06.25\Atividade Semanal - Equipe\z. INDICADORES - POR DIA\[INDICADORES - Junho-Julho_2025_backup.xlsx]Diego'!AR8+'C:\Users\marcelo.saboia\Documents\backup - diarq - 13.06.25\Atividade Semanal - Equipe\z. INDICADORES - POR DIA\[INDICADORES - Junho-Julho_2025_backup.xlsx]Aelton'!AR8+'C:\Users\marcelo.saboia\Documents\backup - diarq - 13.06.25\Atividade Semanal - Equipe\z. INDICADORES - POR DIA\[INDICADORES - Junho-Julho_2025_backup.xlsx]Leonam'!AR8+'C:\Users\marcelo.saboia\Documents\backup - diarq - 13.06.25\Atividade Semanal - Equipe\z. INDICADORES - POR DIA\[INDICADORES - Junho-Julho_2025_backup.xlsx]Danilo'!AR8+'C:\Users\marcelo.saboia\Documents\backup - diarq - 13.06.25\Atividade Semanal - Equipe\z. INDICADORES - POR DIA\[INDICADORES - Junho-Julho_2025_backup.xlsx]Marcos'!AR8+'C:\Users\marcelo.saboia\Documents\backup - diarq - 13.06.25\Atividade Semanal - Equipe\z. INDICADORES - POR DIA\[INDICADORES - Junho-Julho_2025_backup.xlsx]Carlos'!AR8+'C:\Users\marcelo.saboia\Documents\backup - diarq - 13.06.25\Atividade Semanal - Equipe\z. INDICADORES - POR DIA\[INDICADORES - Junho-Julho_2025_backup.xlsx]Alessandro'!AR8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56" sId="3" odxf="1" dxf="1">
    <nc r="J8">
      <f>'C:\Users\marcelo.saboia\Documents\backup - diarq - 13.06.25\Atividade Semanal - Equipe\z. INDICADORES - POR DIA\[INDICADORES - Junho-Julho_2025_backup.xlsx]Diego'!AX8+'C:\Users\marcelo.saboia\Documents\backup - diarq - 13.06.25\Atividade Semanal - Equipe\z. INDICADORES - POR DIA\[INDICADORES - Junho-Julho_2025_backup.xlsx]Aelton'!AX8+'C:\Users\marcelo.saboia\Documents\backup - diarq - 13.06.25\Atividade Semanal - Equipe\z. INDICADORES - POR DIA\[INDICADORES - Junho-Julho_2025_backup.xlsx]Leonam'!AX8+'C:\Users\marcelo.saboia\Documents\backup - diarq - 13.06.25\Atividade Semanal - Equipe\z. INDICADORES - POR DIA\[INDICADORES - Junho-Julho_2025_backup.xlsx]Danilo'!AX8+'C:\Users\marcelo.saboia\Documents\backup - diarq - 13.06.25\Atividade Semanal - Equipe\z. INDICADORES - POR DIA\[INDICADORES - Junho-Julho_2025_backup.xlsx]Marcos'!AX8+'C:\Users\marcelo.saboia\Documents\backup - diarq - 13.06.25\Atividade Semanal - Equipe\z. INDICADORES - POR DIA\[INDICADORES - Junho-Julho_2025_backup.xlsx]Carlos'!AX8+'C:\Users\marcelo.saboia\Documents\backup - diarq - 13.06.25\Atividade Semanal - Equipe\z. INDICADORES - POR DIA\[INDICADORES - Junho-Julho_2025_backup.xlsx]Alessandro'!AX8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57" sId="3" odxf="1" dxf="1">
    <nc r="K8">
      <f>'C:\Users\marcelo.saboia\Documents\backup - diarq - 13.06.25\Atividade Semanal - Equipe\z. INDICADORES - POR DIA\[INDICADORES - Junho-Julho_2025_backup.xlsx]Diego'!BD8+'C:\Users\marcelo.saboia\Documents\backup - diarq - 13.06.25\Atividade Semanal - Equipe\z. INDICADORES - POR DIA\[INDICADORES - Junho-Julho_2025_backup.xlsx]Aelton'!BD8+'C:\Users\marcelo.saboia\Documents\backup - diarq - 13.06.25\Atividade Semanal - Equipe\z. INDICADORES - POR DIA\[INDICADORES - Junho-Julho_2025_backup.xlsx]Leonam'!BD8+'C:\Users\marcelo.saboia\Documents\backup - diarq - 13.06.25\Atividade Semanal - Equipe\z. INDICADORES - POR DIA\[INDICADORES - Junho-Julho_2025_backup.xlsx]Danilo'!BD8+'C:\Users\marcelo.saboia\Documents\backup - diarq - 13.06.25\Atividade Semanal - Equipe\z. INDICADORES - POR DIA\[INDICADORES - Junho-Julho_2025_backup.xlsx]Marcos'!BD8+'C:\Users\marcelo.saboia\Documents\backup - diarq - 13.06.25\Atividade Semanal - Equipe\z. INDICADORES - POR DIA\[INDICADORES - Junho-Julho_2025_backup.xlsx]Carlos'!BD8+'C:\Users\marcelo.saboia\Documents\backup - diarq - 13.06.25\Atividade Semanal - Equipe\z. INDICADORES - POR DIA\[INDICADORES - Junho-Julho_2025_backup.xlsx]Alessandro'!BD8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D9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9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9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58" sId="3" odxf="1" dxf="1">
    <nc r="G9">
      <f>'C:\Users\marcelo.saboia\Documents\backup - diarq - 13.06.25\Atividade Semanal - Equipe\z. INDICADORES - POR DIA\[INDICADORES - Junho-Julho_2025_backup.xlsx]Diego'!AF9+'C:\Users\marcelo.saboia\Documents\backup - diarq - 13.06.25\Atividade Semanal - Equipe\z. INDICADORES - POR DIA\[INDICADORES - Junho-Julho_2025_backup.xlsx]Aelton'!AF9+'C:\Users\marcelo.saboia\Documents\backup - diarq - 13.06.25\Atividade Semanal - Equipe\z. INDICADORES - POR DIA\[INDICADORES - Junho-Julho_2025_backup.xlsx]Leonam'!AF9+'C:\Users\marcelo.saboia\Documents\backup - diarq - 13.06.25\Atividade Semanal - Equipe\z. INDICADORES - POR DIA\[INDICADORES - Junho-Julho_2025_backup.xlsx]Danilo'!AF9+'C:\Users\marcelo.saboia\Documents\backup - diarq - 13.06.25\Atividade Semanal - Equipe\z. INDICADORES - POR DIA\[INDICADORES - Junho-Julho_2025_backup.xlsx]Marcos'!AF9+'C:\Users\marcelo.saboia\Documents\backup - diarq - 13.06.25\Atividade Semanal - Equipe\z. INDICADORES - POR DIA\[INDICADORES - Junho-Julho_2025_backup.xlsx]Carlos'!AF9+'C:\Users\marcelo.saboia\Documents\backup - diarq - 13.06.25\Atividade Semanal - Equipe\z. INDICADORES - POR DIA\[INDICADORES - Junho-Julho_2025_backup.xlsx]Alessandro'!AF9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59" sId="3" odxf="1" dxf="1">
    <nc r="H9">
      <f>'C:\Users\marcelo.saboia\Documents\backup - diarq - 13.06.25\Atividade Semanal - Equipe\z. INDICADORES - POR DIA\[INDICADORES - Junho-Julho_2025_backup.xlsx]Diego'!AL9+'C:\Users\marcelo.saboia\Documents\backup - diarq - 13.06.25\Atividade Semanal - Equipe\z. INDICADORES - POR DIA\[INDICADORES - Junho-Julho_2025_backup.xlsx]Aelton'!AL9+'C:\Users\marcelo.saboia\Documents\backup - diarq - 13.06.25\Atividade Semanal - Equipe\z. INDICADORES - POR DIA\[INDICADORES - Junho-Julho_2025_backup.xlsx]Leonam'!AL9+'C:\Users\marcelo.saboia\Documents\backup - diarq - 13.06.25\Atividade Semanal - Equipe\z. INDICADORES - POR DIA\[INDICADORES - Junho-Julho_2025_backup.xlsx]Danilo'!AL9+'C:\Users\marcelo.saboia\Documents\backup - diarq - 13.06.25\Atividade Semanal - Equipe\z. INDICADORES - POR DIA\[INDICADORES - Junho-Julho_2025_backup.xlsx]Marcos'!AL9+'C:\Users\marcelo.saboia\Documents\backup - diarq - 13.06.25\Atividade Semanal - Equipe\z. INDICADORES - POR DIA\[INDICADORES - Junho-Julho_2025_backup.xlsx]Carlos'!AL9+'C:\Users\marcelo.saboia\Documents\backup - diarq - 13.06.25\Atividade Semanal - Equipe\z. INDICADORES - POR DIA\[INDICADORES - Junho-Julho_2025_backup.xlsx]Alessandro'!AL9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60" sId="3" odxf="1" dxf="1">
    <nc r="I9">
      <f>'C:\Users\marcelo.saboia\Documents\backup - diarq - 13.06.25\Atividade Semanal - Equipe\z. INDICADORES - POR DIA\[INDICADORES - Junho-Julho_2025_backup.xlsx]Diego'!AR9+'C:\Users\marcelo.saboia\Documents\backup - diarq - 13.06.25\Atividade Semanal - Equipe\z. INDICADORES - POR DIA\[INDICADORES - Junho-Julho_2025_backup.xlsx]Aelton'!AR9+'C:\Users\marcelo.saboia\Documents\backup - diarq - 13.06.25\Atividade Semanal - Equipe\z. INDICADORES - POR DIA\[INDICADORES - Junho-Julho_2025_backup.xlsx]Leonam'!AR9+'C:\Users\marcelo.saboia\Documents\backup - diarq - 13.06.25\Atividade Semanal - Equipe\z. INDICADORES - POR DIA\[INDICADORES - Junho-Julho_2025_backup.xlsx]Danilo'!AR9+'C:\Users\marcelo.saboia\Documents\backup - diarq - 13.06.25\Atividade Semanal - Equipe\z. INDICADORES - POR DIA\[INDICADORES - Junho-Julho_2025_backup.xlsx]Marcos'!AR9+'C:\Users\marcelo.saboia\Documents\backup - diarq - 13.06.25\Atividade Semanal - Equipe\z. INDICADORES - POR DIA\[INDICADORES - Junho-Julho_2025_backup.xlsx]Carlos'!AR9+'C:\Users\marcelo.saboia\Documents\backup - diarq - 13.06.25\Atividade Semanal - Equipe\z. INDICADORES - POR DIA\[INDICADORES - Junho-Julho_2025_backup.xlsx]Alessandro'!AR9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61" sId="3" odxf="1" dxf="1">
    <nc r="J9">
      <f>'C:\Users\marcelo.saboia\Documents\backup - diarq - 13.06.25\Atividade Semanal - Equipe\z. INDICADORES - POR DIA\[INDICADORES - Junho-Julho_2025_backup.xlsx]Diego'!AX9+'C:\Users\marcelo.saboia\Documents\backup - diarq - 13.06.25\Atividade Semanal - Equipe\z. INDICADORES - POR DIA\[INDICADORES - Junho-Julho_2025_backup.xlsx]Aelton'!AX9+'C:\Users\marcelo.saboia\Documents\backup - diarq - 13.06.25\Atividade Semanal - Equipe\z. INDICADORES - POR DIA\[INDICADORES - Junho-Julho_2025_backup.xlsx]Leonam'!AX9+'C:\Users\marcelo.saboia\Documents\backup - diarq - 13.06.25\Atividade Semanal - Equipe\z. INDICADORES - POR DIA\[INDICADORES - Junho-Julho_2025_backup.xlsx]Danilo'!AX9+'C:\Users\marcelo.saboia\Documents\backup - diarq - 13.06.25\Atividade Semanal - Equipe\z. INDICADORES - POR DIA\[INDICADORES - Junho-Julho_2025_backup.xlsx]Marcos'!AX9+'C:\Users\marcelo.saboia\Documents\backup - diarq - 13.06.25\Atividade Semanal - Equipe\z. INDICADORES - POR DIA\[INDICADORES - Junho-Julho_2025_backup.xlsx]Carlos'!AX9+'C:\Users\marcelo.saboia\Documents\backup - diarq - 13.06.25\Atividade Semanal - Equipe\z. INDICADORES - POR DIA\[INDICADORES - Junho-Julho_2025_backup.xlsx]Alessandro'!AX9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62" sId="3" odxf="1" dxf="1">
    <nc r="K9">
      <f>'C:\Users\marcelo.saboia\Documents\backup - diarq - 13.06.25\Atividade Semanal - Equipe\z. INDICADORES - POR DIA\[INDICADORES - Junho-Julho_2025_backup.xlsx]Diego'!BD9+'C:\Users\marcelo.saboia\Documents\backup - diarq - 13.06.25\Atividade Semanal - Equipe\z. INDICADORES - POR DIA\[INDICADORES - Junho-Julho_2025_backup.xlsx]Aelton'!BD9+'C:\Users\marcelo.saboia\Documents\backup - diarq - 13.06.25\Atividade Semanal - Equipe\z. INDICADORES - POR DIA\[INDICADORES - Junho-Julho_2025_backup.xlsx]Leonam'!BD9+'C:\Users\marcelo.saboia\Documents\backup - diarq - 13.06.25\Atividade Semanal - Equipe\z. INDICADORES - POR DIA\[INDICADORES - Junho-Julho_2025_backup.xlsx]Danilo'!BD9+'C:\Users\marcelo.saboia\Documents\backup - diarq - 13.06.25\Atividade Semanal - Equipe\z. INDICADORES - POR DIA\[INDICADORES - Junho-Julho_2025_backup.xlsx]Marcos'!BD9+'C:\Users\marcelo.saboia\Documents\backup - diarq - 13.06.25\Atividade Semanal - Equipe\z. INDICADORES - POR DIA\[INDICADORES - Junho-Julho_2025_backup.xlsx]Carlos'!BD9+'C:\Users\marcelo.saboia\Documents\backup - diarq - 13.06.25\Atividade Semanal - Equipe\z. INDICADORES - POR DIA\[INDICADORES - Junho-Julho_2025_backup.xlsx]Alessandro'!BD9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C10" start="0" length="0">
    <dxf>
      <numFmt numFmtId="3" formatCode="#,##0"/>
    </dxf>
  </rfmt>
  <rfmt sheetId="3" sqref="D10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10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10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63" sId="3" odxf="1" dxf="1">
    <nc r="G10">
      <f>'C:\Users\marcelo.saboia\Documents\backup - diarq - 13.06.25\Atividade Semanal - Equipe\z. INDICADORES - POR DIA\[INDICADORES - Junho-Julho_2025_backup.xlsx]Diego'!AF10+'C:\Users\marcelo.saboia\Documents\backup - diarq - 13.06.25\Atividade Semanal - Equipe\z. INDICADORES - POR DIA\[INDICADORES - Junho-Julho_2025_backup.xlsx]Aelton'!AF10+'C:\Users\marcelo.saboia\Documents\backup - diarq - 13.06.25\Atividade Semanal - Equipe\z. INDICADORES - POR DIA\[INDICADORES - Junho-Julho_2025_backup.xlsx]Leonam'!AF10+'C:\Users\marcelo.saboia\Documents\backup - diarq - 13.06.25\Atividade Semanal - Equipe\z. INDICADORES - POR DIA\[INDICADORES - Junho-Julho_2025_backup.xlsx]Danilo'!AF10+'C:\Users\marcelo.saboia\Documents\backup - diarq - 13.06.25\Atividade Semanal - Equipe\z. INDICADORES - POR DIA\[INDICADORES - Junho-Julho_2025_backup.xlsx]Marcos'!AF10+'C:\Users\marcelo.saboia\Documents\backup - diarq - 13.06.25\Atividade Semanal - Equipe\z. INDICADORES - POR DIA\[INDICADORES - Junho-Julho_2025_backup.xlsx]Carlos'!AF10+'C:\Users\marcelo.saboia\Documents\backup - diarq - 13.06.25\Atividade Semanal - Equipe\z. INDICADORES - POR DIA\[INDICADORES - Junho-Julho_2025_backup.xlsx]Alessandro'!AF10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64" sId="3" odxf="1" dxf="1">
    <nc r="H10">
      <f>'C:\Users\marcelo.saboia\Documents\backup - diarq - 13.06.25\Atividade Semanal - Equipe\z. INDICADORES - POR DIA\[INDICADORES - Junho-Julho_2025_backup.xlsx]Diego'!AL10+'C:\Users\marcelo.saboia\Documents\backup - diarq - 13.06.25\Atividade Semanal - Equipe\z. INDICADORES - POR DIA\[INDICADORES - Junho-Julho_2025_backup.xlsx]Aelton'!AL10+'C:\Users\marcelo.saboia\Documents\backup - diarq - 13.06.25\Atividade Semanal - Equipe\z. INDICADORES - POR DIA\[INDICADORES - Junho-Julho_2025_backup.xlsx]Leonam'!AL10+'C:\Users\marcelo.saboia\Documents\backup - diarq - 13.06.25\Atividade Semanal - Equipe\z. INDICADORES - POR DIA\[INDICADORES - Junho-Julho_2025_backup.xlsx]Danilo'!AL10+'C:\Users\marcelo.saboia\Documents\backup - diarq - 13.06.25\Atividade Semanal - Equipe\z. INDICADORES - POR DIA\[INDICADORES - Junho-Julho_2025_backup.xlsx]Marcos'!AL10+'C:\Users\marcelo.saboia\Documents\backup - diarq - 13.06.25\Atividade Semanal - Equipe\z. INDICADORES - POR DIA\[INDICADORES - Junho-Julho_2025_backup.xlsx]Carlos'!AL10+'C:\Users\marcelo.saboia\Documents\backup - diarq - 13.06.25\Atividade Semanal - Equipe\z. INDICADORES - POR DIA\[INDICADORES - Junho-Julho_2025_backup.xlsx]Alessandro'!AL10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65" sId="3" odxf="1" dxf="1">
    <nc r="I10">
      <f>'C:\Users\marcelo.saboia\Documents\backup - diarq - 13.06.25\Atividade Semanal - Equipe\z. INDICADORES - POR DIA\[INDICADORES - Junho-Julho_2025_backup.xlsx]Diego'!AR10+'C:\Users\marcelo.saboia\Documents\backup - diarq - 13.06.25\Atividade Semanal - Equipe\z. INDICADORES - POR DIA\[INDICADORES - Junho-Julho_2025_backup.xlsx]Aelton'!AR10+'C:\Users\marcelo.saboia\Documents\backup - diarq - 13.06.25\Atividade Semanal - Equipe\z. INDICADORES - POR DIA\[INDICADORES - Junho-Julho_2025_backup.xlsx]Leonam'!AR10+'C:\Users\marcelo.saboia\Documents\backup - diarq - 13.06.25\Atividade Semanal - Equipe\z. INDICADORES - POR DIA\[INDICADORES - Junho-Julho_2025_backup.xlsx]Danilo'!AR10+'C:\Users\marcelo.saboia\Documents\backup - diarq - 13.06.25\Atividade Semanal - Equipe\z. INDICADORES - POR DIA\[INDICADORES - Junho-Julho_2025_backup.xlsx]Marcos'!AR10+'C:\Users\marcelo.saboia\Documents\backup - diarq - 13.06.25\Atividade Semanal - Equipe\z. INDICADORES - POR DIA\[INDICADORES - Junho-Julho_2025_backup.xlsx]Carlos'!AR10+'C:\Users\marcelo.saboia\Documents\backup - diarq - 13.06.25\Atividade Semanal - Equipe\z. INDICADORES - POR DIA\[INDICADORES - Junho-Julho_2025_backup.xlsx]Alessandro'!AR10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66" sId="3" odxf="1" dxf="1">
    <nc r="J10">
      <f>'C:\Users\marcelo.saboia\Documents\backup - diarq - 13.06.25\Atividade Semanal - Equipe\z. INDICADORES - POR DIA\[INDICADORES - Junho-Julho_2025_backup.xlsx]Diego'!AX10+'C:\Users\marcelo.saboia\Documents\backup - diarq - 13.06.25\Atividade Semanal - Equipe\z. INDICADORES - POR DIA\[INDICADORES - Junho-Julho_2025_backup.xlsx]Aelton'!AX10+'C:\Users\marcelo.saboia\Documents\backup - diarq - 13.06.25\Atividade Semanal - Equipe\z. INDICADORES - POR DIA\[INDICADORES - Junho-Julho_2025_backup.xlsx]Leonam'!AX10+'C:\Users\marcelo.saboia\Documents\backup - diarq - 13.06.25\Atividade Semanal - Equipe\z. INDICADORES - POR DIA\[INDICADORES - Junho-Julho_2025_backup.xlsx]Danilo'!AX10+'C:\Users\marcelo.saboia\Documents\backup - diarq - 13.06.25\Atividade Semanal - Equipe\z. INDICADORES - POR DIA\[INDICADORES - Junho-Julho_2025_backup.xlsx]Marcos'!AX10+'C:\Users\marcelo.saboia\Documents\backup - diarq - 13.06.25\Atividade Semanal - Equipe\z. INDICADORES - POR DIA\[INDICADORES - Junho-Julho_2025_backup.xlsx]Carlos'!AX10+'C:\Users\marcelo.saboia\Documents\backup - diarq - 13.06.25\Atividade Semanal - Equipe\z. INDICADORES - POR DIA\[INDICADORES - Junho-Julho_2025_backup.xlsx]Alessandro'!AX10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67" sId="3" odxf="1" dxf="1">
    <nc r="K10">
      <f>'C:\Users\marcelo.saboia\Documents\backup - diarq - 13.06.25\Atividade Semanal - Equipe\z. INDICADORES - POR DIA\[INDICADORES - Junho-Julho_2025_backup.xlsx]Diego'!BD10+'C:\Users\marcelo.saboia\Documents\backup - diarq - 13.06.25\Atividade Semanal - Equipe\z. INDICADORES - POR DIA\[INDICADORES - Junho-Julho_2025_backup.xlsx]Aelton'!BD10+'C:\Users\marcelo.saboia\Documents\backup - diarq - 13.06.25\Atividade Semanal - Equipe\z. INDICADORES - POR DIA\[INDICADORES - Junho-Julho_2025_backup.xlsx]Leonam'!BD10+'C:\Users\marcelo.saboia\Documents\backup - diarq - 13.06.25\Atividade Semanal - Equipe\z. INDICADORES - POR DIA\[INDICADORES - Junho-Julho_2025_backup.xlsx]Danilo'!BD10+'C:\Users\marcelo.saboia\Documents\backup - diarq - 13.06.25\Atividade Semanal - Equipe\z. INDICADORES - POR DIA\[INDICADORES - Junho-Julho_2025_backup.xlsx]Marcos'!BD10+'C:\Users\marcelo.saboia\Documents\backup - diarq - 13.06.25\Atividade Semanal - Equipe\z. INDICADORES - POR DIA\[INDICADORES - Junho-Julho_2025_backup.xlsx]Carlos'!BD10+'C:\Users\marcelo.saboia\Documents\backup - diarq - 13.06.25\Atividade Semanal - Equipe\z. INDICADORES - POR DIA\[INDICADORES - Junho-Julho_2025_backup.xlsx]Alessandro'!BD10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D11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11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11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68" sId="3" odxf="1" dxf="1">
    <nc r="G11">
      <f>'C:\Users\marcelo.saboia\Documents\backup - diarq - 13.06.25\Atividade Semanal - Equipe\z. INDICADORES - POR DIA\[INDICADORES - Junho-Julho_2025_backup.xlsx]Diego'!AF11+'C:\Users\marcelo.saboia\Documents\backup - diarq - 13.06.25\Atividade Semanal - Equipe\z. INDICADORES - POR DIA\[INDICADORES - Junho-Julho_2025_backup.xlsx]Aelton'!AF11+'C:\Users\marcelo.saboia\Documents\backup - diarq - 13.06.25\Atividade Semanal - Equipe\z. INDICADORES - POR DIA\[INDICADORES - Junho-Julho_2025_backup.xlsx]Leonam'!AF11+'C:\Users\marcelo.saboia\Documents\backup - diarq - 13.06.25\Atividade Semanal - Equipe\z. INDICADORES - POR DIA\[INDICADORES - Junho-Julho_2025_backup.xlsx]Danilo'!AF11+'C:\Users\marcelo.saboia\Documents\backup - diarq - 13.06.25\Atividade Semanal - Equipe\z. INDICADORES - POR DIA\[INDICADORES - Junho-Julho_2025_backup.xlsx]Marcos'!AF11+'C:\Users\marcelo.saboia\Documents\backup - diarq - 13.06.25\Atividade Semanal - Equipe\z. INDICADORES - POR DIA\[INDICADORES - Junho-Julho_2025_backup.xlsx]Carlos'!AF11+'C:\Users\marcelo.saboia\Documents\backup - diarq - 13.06.25\Atividade Semanal - Equipe\z. INDICADORES - POR DIA\[INDICADORES - Junho-Julho_2025_backup.xlsx]Alessandro'!AF11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69" sId="3" odxf="1" dxf="1">
    <nc r="H11">
      <f>'C:\Users\marcelo.saboia\Documents\backup - diarq - 13.06.25\Atividade Semanal - Equipe\z. INDICADORES - POR DIA\[INDICADORES - Junho-Julho_2025_backup.xlsx]Diego'!AL11+'C:\Users\marcelo.saboia\Documents\backup - diarq - 13.06.25\Atividade Semanal - Equipe\z. INDICADORES - POR DIA\[INDICADORES - Junho-Julho_2025_backup.xlsx]Aelton'!AL11+'C:\Users\marcelo.saboia\Documents\backup - diarq - 13.06.25\Atividade Semanal - Equipe\z. INDICADORES - POR DIA\[INDICADORES - Junho-Julho_2025_backup.xlsx]Leonam'!AL11+'C:\Users\marcelo.saboia\Documents\backup - diarq - 13.06.25\Atividade Semanal - Equipe\z. INDICADORES - POR DIA\[INDICADORES - Junho-Julho_2025_backup.xlsx]Danilo'!AL11+'C:\Users\marcelo.saboia\Documents\backup - diarq - 13.06.25\Atividade Semanal - Equipe\z. INDICADORES - POR DIA\[INDICADORES - Junho-Julho_2025_backup.xlsx]Marcos'!AL11+'C:\Users\marcelo.saboia\Documents\backup - diarq - 13.06.25\Atividade Semanal - Equipe\z. INDICADORES - POR DIA\[INDICADORES - Junho-Julho_2025_backup.xlsx]Carlos'!AL11+'C:\Users\marcelo.saboia\Documents\backup - diarq - 13.06.25\Atividade Semanal - Equipe\z. INDICADORES - POR DIA\[INDICADORES - Junho-Julho_2025_backup.xlsx]Alessandro'!AL11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70" sId="3" odxf="1" dxf="1">
    <nc r="I11">
      <f>'C:\Users\marcelo.saboia\Documents\backup - diarq - 13.06.25\Atividade Semanal - Equipe\z. INDICADORES - POR DIA\[INDICADORES - Junho-Julho_2025_backup.xlsx]Diego'!AR11+'C:\Users\marcelo.saboia\Documents\backup - diarq - 13.06.25\Atividade Semanal - Equipe\z. INDICADORES - POR DIA\[INDICADORES - Junho-Julho_2025_backup.xlsx]Aelton'!AR11+'C:\Users\marcelo.saboia\Documents\backup - diarq - 13.06.25\Atividade Semanal - Equipe\z. INDICADORES - POR DIA\[INDICADORES - Junho-Julho_2025_backup.xlsx]Leonam'!AR11+'C:\Users\marcelo.saboia\Documents\backup - diarq - 13.06.25\Atividade Semanal - Equipe\z. INDICADORES - POR DIA\[INDICADORES - Junho-Julho_2025_backup.xlsx]Danilo'!AR11+'C:\Users\marcelo.saboia\Documents\backup - diarq - 13.06.25\Atividade Semanal - Equipe\z. INDICADORES - POR DIA\[INDICADORES - Junho-Julho_2025_backup.xlsx]Marcos'!AR11+'C:\Users\marcelo.saboia\Documents\backup - diarq - 13.06.25\Atividade Semanal - Equipe\z. INDICADORES - POR DIA\[INDICADORES - Junho-Julho_2025_backup.xlsx]Carlos'!AR11+'C:\Users\marcelo.saboia\Documents\backup - diarq - 13.06.25\Atividade Semanal - Equipe\z. INDICADORES - POR DIA\[INDICADORES - Junho-Julho_2025_backup.xlsx]Alessandro'!AR11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71" sId="3" odxf="1" dxf="1">
    <nc r="J11">
      <f>'C:\Users\marcelo.saboia\Documents\backup - diarq - 13.06.25\Atividade Semanal - Equipe\z. INDICADORES - POR DIA\[INDICADORES - Junho-Julho_2025_backup.xlsx]Diego'!AX11+'C:\Users\marcelo.saboia\Documents\backup - diarq - 13.06.25\Atividade Semanal - Equipe\z. INDICADORES - POR DIA\[INDICADORES - Junho-Julho_2025_backup.xlsx]Aelton'!AX11+'C:\Users\marcelo.saboia\Documents\backup - diarq - 13.06.25\Atividade Semanal - Equipe\z. INDICADORES - POR DIA\[INDICADORES - Junho-Julho_2025_backup.xlsx]Leonam'!AX11+'C:\Users\marcelo.saboia\Documents\backup - diarq - 13.06.25\Atividade Semanal - Equipe\z. INDICADORES - POR DIA\[INDICADORES - Junho-Julho_2025_backup.xlsx]Danilo'!AX11+'C:\Users\marcelo.saboia\Documents\backup - diarq - 13.06.25\Atividade Semanal - Equipe\z. INDICADORES - POR DIA\[INDICADORES - Junho-Julho_2025_backup.xlsx]Marcos'!AX11+'C:\Users\marcelo.saboia\Documents\backup - diarq - 13.06.25\Atividade Semanal - Equipe\z. INDICADORES - POR DIA\[INDICADORES - Junho-Julho_2025_backup.xlsx]Carlos'!AX11+'C:\Users\marcelo.saboia\Documents\backup - diarq - 13.06.25\Atividade Semanal - Equipe\z. INDICADORES - POR DIA\[INDICADORES - Junho-Julho_2025_backup.xlsx]Alessandro'!AX11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72" sId="3" odxf="1" dxf="1">
    <nc r="K11">
      <f>'C:\Users\marcelo.saboia\Documents\backup - diarq - 13.06.25\Atividade Semanal - Equipe\z. INDICADORES - POR DIA\[INDICADORES - Junho-Julho_2025_backup.xlsx]Diego'!BD11+'C:\Users\marcelo.saboia\Documents\backup - diarq - 13.06.25\Atividade Semanal - Equipe\z. INDICADORES - POR DIA\[INDICADORES - Junho-Julho_2025_backup.xlsx]Aelton'!BD11+'C:\Users\marcelo.saboia\Documents\backup - diarq - 13.06.25\Atividade Semanal - Equipe\z. INDICADORES - POR DIA\[INDICADORES - Junho-Julho_2025_backup.xlsx]Leonam'!BD11+'C:\Users\marcelo.saboia\Documents\backup - diarq - 13.06.25\Atividade Semanal - Equipe\z. INDICADORES - POR DIA\[INDICADORES - Junho-Julho_2025_backup.xlsx]Danilo'!BD11+'C:\Users\marcelo.saboia\Documents\backup - diarq - 13.06.25\Atividade Semanal - Equipe\z. INDICADORES - POR DIA\[INDICADORES - Junho-Julho_2025_backup.xlsx]Marcos'!BD11+'C:\Users\marcelo.saboia\Documents\backup - diarq - 13.06.25\Atividade Semanal - Equipe\z. INDICADORES - POR DIA\[INDICADORES - Junho-Julho_2025_backup.xlsx]Carlos'!BD11+'C:\Users\marcelo.saboia\Documents\backup - diarq - 13.06.25\Atividade Semanal - Equipe\z. INDICADORES - POR DIA\[INDICADORES - Junho-Julho_2025_backup.xlsx]Alessandro'!BD11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C12" start="0" length="0">
    <dxf>
      <numFmt numFmtId="3" formatCode="#,##0"/>
    </dxf>
  </rfmt>
  <rfmt sheetId="3" sqref="D12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12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12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73" sId="3" odxf="1" dxf="1">
    <nc r="G12">
      <f>'C:\Users\marcelo.saboia\Documents\backup - diarq - 13.06.25\Atividade Semanal - Equipe\z. INDICADORES - POR DIA\[INDICADORES - Junho-Julho_2025_backup.xlsx]Diego'!AF12+'C:\Users\marcelo.saboia\Documents\backup - diarq - 13.06.25\Atividade Semanal - Equipe\z. INDICADORES - POR DIA\[INDICADORES - Junho-Julho_2025_backup.xlsx]Aelton'!AF12+'C:\Users\marcelo.saboia\Documents\backup - diarq - 13.06.25\Atividade Semanal - Equipe\z. INDICADORES - POR DIA\[INDICADORES - Junho-Julho_2025_backup.xlsx]Leonam'!AF12+'C:\Users\marcelo.saboia\Documents\backup - diarq - 13.06.25\Atividade Semanal - Equipe\z. INDICADORES - POR DIA\[INDICADORES - Junho-Julho_2025_backup.xlsx]Danilo'!AF12+'C:\Users\marcelo.saboia\Documents\backup - diarq - 13.06.25\Atividade Semanal - Equipe\z. INDICADORES - POR DIA\[INDICADORES - Junho-Julho_2025_backup.xlsx]Marcos'!AF12+'C:\Users\marcelo.saboia\Documents\backup - diarq - 13.06.25\Atividade Semanal - Equipe\z. INDICADORES - POR DIA\[INDICADORES - Junho-Julho_2025_backup.xlsx]Carlos'!AF12+'C:\Users\marcelo.saboia\Documents\backup - diarq - 13.06.25\Atividade Semanal - Equipe\z. INDICADORES - POR DIA\[INDICADORES - Junho-Julho_2025_backup.xlsx]Alessandro'!AF12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74" sId="3" odxf="1" dxf="1">
    <nc r="H12">
      <f>'C:\Users\marcelo.saboia\Documents\backup - diarq - 13.06.25\Atividade Semanal - Equipe\z. INDICADORES - POR DIA\[INDICADORES - Junho-Julho_2025_backup.xlsx]Diego'!AL12+'C:\Users\marcelo.saboia\Documents\backup - diarq - 13.06.25\Atividade Semanal - Equipe\z. INDICADORES - POR DIA\[INDICADORES - Junho-Julho_2025_backup.xlsx]Aelton'!AL12+'C:\Users\marcelo.saboia\Documents\backup - diarq - 13.06.25\Atividade Semanal - Equipe\z. INDICADORES - POR DIA\[INDICADORES - Junho-Julho_2025_backup.xlsx]Leonam'!AL12+'C:\Users\marcelo.saboia\Documents\backup - diarq - 13.06.25\Atividade Semanal - Equipe\z. INDICADORES - POR DIA\[INDICADORES - Junho-Julho_2025_backup.xlsx]Danilo'!AL12+'C:\Users\marcelo.saboia\Documents\backup - diarq - 13.06.25\Atividade Semanal - Equipe\z. INDICADORES - POR DIA\[INDICADORES - Junho-Julho_2025_backup.xlsx]Marcos'!AL12+'C:\Users\marcelo.saboia\Documents\backup - diarq - 13.06.25\Atividade Semanal - Equipe\z. INDICADORES - POR DIA\[INDICADORES - Junho-Julho_2025_backup.xlsx]Carlos'!AL12+'C:\Users\marcelo.saboia\Documents\backup - diarq - 13.06.25\Atividade Semanal - Equipe\z. INDICADORES - POR DIA\[INDICADORES - Junho-Julho_2025_backup.xlsx]Alessandro'!AL12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75" sId="3" odxf="1" dxf="1">
    <nc r="I12">
      <f>'C:\Users\marcelo.saboia\Documents\backup - diarq - 13.06.25\Atividade Semanal - Equipe\z. INDICADORES - POR DIA\[INDICADORES - Junho-Julho_2025_backup.xlsx]Diego'!AR12+'C:\Users\marcelo.saboia\Documents\backup - diarq - 13.06.25\Atividade Semanal - Equipe\z. INDICADORES - POR DIA\[INDICADORES - Junho-Julho_2025_backup.xlsx]Aelton'!AR12+'C:\Users\marcelo.saboia\Documents\backup - diarq - 13.06.25\Atividade Semanal - Equipe\z. INDICADORES - POR DIA\[INDICADORES - Junho-Julho_2025_backup.xlsx]Leonam'!AR12+'C:\Users\marcelo.saboia\Documents\backup - diarq - 13.06.25\Atividade Semanal - Equipe\z. INDICADORES - POR DIA\[INDICADORES - Junho-Julho_2025_backup.xlsx]Danilo'!AR12+'C:\Users\marcelo.saboia\Documents\backup - diarq - 13.06.25\Atividade Semanal - Equipe\z. INDICADORES - POR DIA\[INDICADORES - Junho-Julho_2025_backup.xlsx]Marcos'!AR12+'C:\Users\marcelo.saboia\Documents\backup - diarq - 13.06.25\Atividade Semanal - Equipe\z. INDICADORES - POR DIA\[INDICADORES - Junho-Julho_2025_backup.xlsx]Carlos'!AR12+'C:\Users\marcelo.saboia\Documents\backup - diarq - 13.06.25\Atividade Semanal - Equipe\z. INDICADORES - POR DIA\[INDICADORES - Junho-Julho_2025_backup.xlsx]Alessandro'!AR12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76" sId="3" odxf="1" dxf="1">
    <nc r="J12">
      <f>'C:\Users\marcelo.saboia\Documents\backup - diarq - 13.06.25\Atividade Semanal - Equipe\z. INDICADORES - POR DIA\[INDICADORES - Junho-Julho_2025_backup.xlsx]Diego'!AX12+'C:\Users\marcelo.saboia\Documents\backup - diarq - 13.06.25\Atividade Semanal - Equipe\z. INDICADORES - POR DIA\[INDICADORES - Junho-Julho_2025_backup.xlsx]Aelton'!AX12+'C:\Users\marcelo.saboia\Documents\backup - diarq - 13.06.25\Atividade Semanal - Equipe\z. INDICADORES - POR DIA\[INDICADORES - Junho-Julho_2025_backup.xlsx]Leonam'!AX12+'C:\Users\marcelo.saboia\Documents\backup - diarq - 13.06.25\Atividade Semanal - Equipe\z. INDICADORES - POR DIA\[INDICADORES - Junho-Julho_2025_backup.xlsx]Danilo'!AX12+'C:\Users\marcelo.saboia\Documents\backup - diarq - 13.06.25\Atividade Semanal - Equipe\z. INDICADORES - POR DIA\[INDICADORES - Junho-Julho_2025_backup.xlsx]Marcos'!AX12+'C:\Users\marcelo.saboia\Documents\backup - diarq - 13.06.25\Atividade Semanal - Equipe\z. INDICADORES - POR DIA\[INDICADORES - Junho-Julho_2025_backup.xlsx]Carlos'!AX12+'C:\Users\marcelo.saboia\Documents\backup - diarq - 13.06.25\Atividade Semanal - Equipe\z. INDICADORES - POR DIA\[INDICADORES - Junho-Julho_2025_backup.xlsx]Alessandro'!AX12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77" sId="3" odxf="1" dxf="1">
    <nc r="K12">
      <f>'C:\Users\marcelo.saboia\Documents\backup - diarq - 13.06.25\Atividade Semanal - Equipe\z. INDICADORES - POR DIA\[INDICADORES - Junho-Julho_2025_backup.xlsx]Diego'!BD12+'C:\Users\marcelo.saboia\Documents\backup - diarq - 13.06.25\Atividade Semanal - Equipe\z. INDICADORES - POR DIA\[INDICADORES - Junho-Julho_2025_backup.xlsx]Aelton'!BD12+'C:\Users\marcelo.saboia\Documents\backup - diarq - 13.06.25\Atividade Semanal - Equipe\z. INDICADORES - POR DIA\[INDICADORES - Junho-Julho_2025_backup.xlsx]Leonam'!BD12+'C:\Users\marcelo.saboia\Documents\backup - diarq - 13.06.25\Atividade Semanal - Equipe\z. INDICADORES - POR DIA\[INDICADORES - Junho-Julho_2025_backup.xlsx]Danilo'!BD12+'C:\Users\marcelo.saboia\Documents\backup - diarq - 13.06.25\Atividade Semanal - Equipe\z. INDICADORES - POR DIA\[INDICADORES - Junho-Julho_2025_backup.xlsx]Marcos'!BD12+'C:\Users\marcelo.saboia\Documents\backup - diarq - 13.06.25\Atividade Semanal - Equipe\z. INDICADORES - POR DIA\[INDICADORES - Junho-Julho_2025_backup.xlsx]Carlos'!BD12+'C:\Users\marcelo.saboia\Documents\backup - diarq - 13.06.25\Atividade Semanal - Equipe\z. INDICADORES - POR DIA\[INDICADORES - Junho-Julho_2025_backup.xlsx]Alessandro'!BD12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D13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13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13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78" sId="3" odxf="1" dxf="1">
    <nc r="G13">
      <f>'C:\Users\marcelo.saboia\Documents\backup - diarq - 13.06.25\Atividade Semanal - Equipe\z. INDICADORES - POR DIA\[INDICADORES - Junho-Julho_2025_backup.xlsx]Diego'!AF13+'C:\Users\marcelo.saboia\Documents\backup - diarq - 13.06.25\Atividade Semanal - Equipe\z. INDICADORES - POR DIA\[INDICADORES - Junho-Julho_2025_backup.xlsx]Aelton'!AF13+'C:\Users\marcelo.saboia\Documents\backup - diarq - 13.06.25\Atividade Semanal - Equipe\z. INDICADORES - POR DIA\[INDICADORES - Junho-Julho_2025_backup.xlsx]Leonam'!AF13+'C:\Users\marcelo.saboia\Documents\backup - diarq - 13.06.25\Atividade Semanal - Equipe\z. INDICADORES - POR DIA\[INDICADORES - Junho-Julho_2025_backup.xlsx]Danilo'!AF13+'C:\Users\marcelo.saboia\Documents\backup - diarq - 13.06.25\Atividade Semanal - Equipe\z. INDICADORES - POR DIA\[INDICADORES - Junho-Julho_2025_backup.xlsx]Marcos'!AF13+'C:\Users\marcelo.saboia\Documents\backup - diarq - 13.06.25\Atividade Semanal - Equipe\z. INDICADORES - POR DIA\[INDICADORES - Junho-Julho_2025_backup.xlsx]Carlos'!AF13+'C:\Users\marcelo.saboia\Documents\backup - diarq - 13.06.25\Atividade Semanal - Equipe\z. INDICADORES - POR DIA\[INDICADORES - Junho-Julho_2025_backup.xlsx]Alessandro'!AF13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79" sId="3" odxf="1" dxf="1">
    <nc r="H13">
      <f>'C:\Users\marcelo.saboia\Documents\backup - diarq - 13.06.25\Atividade Semanal - Equipe\z. INDICADORES - POR DIA\[INDICADORES - Junho-Julho_2025_backup.xlsx]Diego'!AL13+'C:\Users\marcelo.saboia\Documents\backup - diarq - 13.06.25\Atividade Semanal - Equipe\z. INDICADORES - POR DIA\[INDICADORES - Junho-Julho_2025_backup.xlsx]Aelton'!AL13+'C:\Users\marcelo.saboia\Documents\backup - diarq - 13.06.25\Atividade Semanal - Equipe\z. INDICADORES - POR DIA\[INDICADORES - Junho-Julho_2025_backup.xlsx]Leonam'!AL13+'C:\Users\marcelo.saboia\Documents\backup - diarq - 13.06.25\Atividade Semanal - Equipe\z. INDICADORES - POR DIA\[INDICADORES - Junho-Julho_2025_backup.xlsx]Danilo'!AL13+'C:\Users\marcelo.saboia\Documents\backup - diarq - 13.06.25\Atividade Semanal - Equipe\z. INDICADORES - POR DIA\[INDICADORES - Junho-Julho_2025_backup.xlsx]Marcos'!AL13+'C:\Users\marcelo.saboia\Documents\backup - diarq - 13.06.25\Atividade Semanal - Equipe\z. INDICADORES - POR DIA\[INDICADORES - Junho-Julho_2025_backup.xlsx]Carlos'!AL13+'C:\Users\marcelo.saboia\Documents\backup - diarq - 13.06.25\Atividade Semanal - Equipe\z. INDICADORES - POR DIA\[INDICADORES - Junho-Julho_2025_backup.xlsx]Alessandro'!AL13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80" sId="3" odxf="1" dxf="1">
    <nc r="I13">
      <f>'C:\Users\marcelo.saboia\Documents\backup - diarq - 13.06.25\Atividade Semanal - Equipe\z. INDICADORES - POR DIA\[INDICADORES - Junho-Julho_2025_backup.xlsx]Diego'!AR13+'C:\Users\marcelo.saboia\Documents\backup - diarq - 13.06.25\Atividade Semanal - Equipe\z. INDICADORES - POR DIA\[INDICADORES - Junho-Julho_2025_backup.xlsx]Aelton'!AR13+'C:\Users\marcelo.saboia\Documents\backup - diarq - 13.06.25\Atividade Semanal - Equipe\z. INDICADORES - POR DIA\[INDICADORES - Junho-Julho_2025_backup.xlsx]Leonam'!AR13+'C:\Users\marcelo.saboia\Documents\backup - diarq - 13.06.25\Atividade Semanal - Equipe\z. INDICADORES - POR DIA\[INDICADORES - Junho-Julho_2025_backup.xlsx]Danilo'!AR13+'C:\Users\marcelo.saboia\Documents\backup - diarq - 13.06.25\Atividade Semanal - Equipe\z. INDICADORES - POR DIA\[INDICADORES - Junho-Julho_2025_backup.xlsx]Marcos'!AR13+'C:\Users\marcelo.saboia\Documents\backup - diarq - 13.06.25\Atividade Semanal - Equipe\z. INDICADORES - POR DIA\[INDICADORES - Junho-Julho_2025_backup.xlsx]Carlos'!AR13+'C:\Users\marcelo.saboia\Documents\backup - diarq - 13.06.25\Atividade Semanal - Equipe\z. INDICADORES - POR DIA\[INDICADORES - Junho-Julho_2025_backup.xlsx]Alessandro'!AR13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81" sId="3" odxf="1" dxf="1">
    <nc r="J13">
      <f>'C:\Users\marcelo.saboia\Documents\backup - diarq - 13.06.25\Atividade Semanal - Equipe\z. INDICADORES - POR DIA\[INDICADORES - Junho-Julho_2025_backup.xlsx]Diego'!AX13+'C:\Users\marcelo.saboia\Documents\backup - diarq - 13.06.25\Atividade Semanal - Equipe\z. INDICADORES - POR DIA\[INDICADORES - Junho-Julho_2025_backup.xlsx]Aelton'!AX13+'C:\Users\marcelo.saboia\Documents\backup - diarq - 13.06.25\Atividade Semanal - Equipe\z. INDICADORES - POR DIA\[INDICADORES - Junho-Julho_2025_backup.xlsx]Leonam'!AX13+'C:\Users\marcelo.saboia\Documents\backup - diarq - 13.06.25\Atividade Semanal - Equipe\z. INDICADORES - POR DIA\[INDICADORES - Junho-Julho_2025_backup.xlsx]Danilo'!AX13+'C:\Users\marcelo.saboia\Documents\backup - diarq - 13.06.25\Atividade Semanal - Equipe\z. INDICADORES - POR DIA\[INDICADORES - Junho-Julho_2025_backup.xlsx]Marcos'!AX13+'C:\Users\marcelo.saboia\Documents\backup - diarq - 13.06.25\Atividade Semanal - Equipe\z. INDICADORES - POR DIA\[INDICADORES - Junho-Julho_2025_backup.xlsx]Carlos'!AX13+'C:\Users\marcelo.saboia\Documents\backup - diarq - 13.06.25\Atividade Semanal - Equipe\z. INDICADORES - POR DIA\[INDICADORES - Junho-Julho_2025_backup.xlsx]Alessandro'!AX13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82" sId="3" odxf="1" dxf="1">
    <nc r="K13">
      <f>'C:\Users\marcelo.saboia\Documents\backup - diarq - 13.06.25\Atividade Semanal - Equipe\z. INDICADORES - POR DIA\[INDICADORES - Junho-Julho_2025_backup.xlsx]Diego'!BD13+'C:\Users\marcelo.saboia\Documents\backup - diarq - 13.06.25\Atividade Semanal - Equipe\z. INDICADORES - POR DIA\[INDICADORES - Junho-Julho_2025_backup.xlsx]Aelton'!BD13+'C:\Users\marcelo.saboia\Documents\backup - diarq - 13.06.25\Atividade Semanal - Equipe\z. INDICADORES - POR DIA\[INDICADORES - Junho-Julho_2025_backup.xlsx]Leonam'!BD13+'C:\Users\marcelo.saboia\Documents\backup - diarq - 13.06.25\Atividade Semanal - Equipe\z. INDICADORES - POR DIA\[INDICADORES - Junho-Julho_2025_backup.xlsx]Danilo'!BD13+'C:\Users\marcelo.saboia\Documents\backup - diarq - 13.06.25\Atividade Semanal - Equipe\z. INDICADORES - POR DIA\[INDICADORES - Junho-Julho_2025_backup.xlsx]Marcos'!BD13+'C:\Users\marcelo.saboia\Documents\backup - diarq - 13.06.25\Atividade Semanal - Equipe\z. INDICADORES - POR DIA\[INDICADORES - Junho-Julho_2025_backup.xlsx]Carlos'!BD13+'C:\Users\marcelo.saboia\Documents\backup - diarq - 13.06.25\Atividade Semanal - Equipe\z. INDICADORES - POR DIA\[INDICADORES - Junho-Julho_2025_backup.xlsx]Alessandro'!BD13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C14" start="0" length="0">
    <dxf>
      <numFmt numFmtId="3" formatCode="#,##0"/>
    </dxf>
  </rfmt>
  <rfmt sheetId="3" sqref="D14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14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14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83" sId="3" odxf="1" dxf="1">
    <nc r="G14">
      <f>'C:\Users\marcelo.saboia\Documents\backup - diarq - 13.06.25\Atividade Semanal - Equipe\z. INDICADORES - POR DIA\[INDICADORES - Junho-Julho_2025_backup.xlsx]Diego'!AF14+'C:\Users\marcelo.saboia\Documents\backup - diarq - 13.06.25\Atividade Semanal - Equipe\z. INDICADORES - POR DIA\[INDICADORES - Junho-Julho_2025_backup.xlsx]Aelton'!AF14+'C:\Users\marcelo.saboia\Documents\backup - diarq - 13.06.25\Atividade Semanal - Equipe\z. INDICADORES - POR DIA\[INDICADORES - Junho-Julho_2025_backup.xlsx]Leonam'!AF14+'C:\Users\marcelo.saboia\Documents\backup - diarq - 13.06.25\Atividade Semanal - Equipe\z. INDICADORES - POR DIA\[INDICADORES - Junho-Julho_2025_backup.xlsx]Danilo'!AF14+'C:\Users\marcelo.saboia\Documents\backup - diarq - 13.06.25\Atividade Semanal - Equipe\z. INDICADORES - POR DIA\[INDICADORES - Junho-Julho_2025_backup.xlsx]Marcos'!AF14+'C:\Users\marcelo.saboia\Documents\backup - diarq - 13.06.25\Atividade Semanal - Equipe\z. INDICADORES - POR DIA\[INDICADORES - Junho-Julho_2025_backup.xlsx]Carlos'!AF14+'C:\Users\marcelo.saboia\Documents\backup - diarq - 13.06.25\Atividade Semanal - Equipe\z. INDICADORES - POR DIA\[INDICADORES - Junho-Julho_2025_backup.xlsx]Alessandro'!AF14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84" sId="3" odxf="1" dxf="1">
    <nc r="H14">
      <f>'C:\Users\marcelo.saboia\Documents\backup - diarq - 13.06.25\Atividade Semanal - Equipe\z. INDICADORES - POR DIA\[INDICADORES - Junho-Julho_2025_backup.xlsx]Diego'!AL14+'C:\Users\marcelo.saboia\Documents\backup - diarq - 13.06.25\Atividade Semanal - Equipe\z. INDICADORES - POR DIA\[INDICADORES - Junho-Julho_2025_backup.xlsx]Aelton'!AL14+'C:\Users\marcelo.saboia\Documents\backup - diarq - 13.06.25\Atividade Semanal - Equipe\z. INDICADORES - POR DIA\[INDICADORES - Junho-Julho_2025_backup.xlsx]Leonam'!AL14+'C:\Users\marcelo.saboia\Documents\backup - diarq - 13.06.25\Atividade Semanal - Equipe\z. INDICADORES - POR DIA\[INDICADORES - Junho-Julho_2025_backup.xlsx]Danilo'!AL14+'C:\Users\marcelo.saboia\Documents\backup - diarq - 13.06.25\Atividade Semanal - Equipe\z. INDICADORES - POR DIA\[INDICADORES - Junho-Julho_2025_backup.xlsx]Marcos'!AL14+'C:\Users\marcelo.saboia\Documents\backup - diarq - 13.06.25\Atividade Semanal - Equipe\z. INDICADORES - POR DIA\[INDICADORES - Junho-Julho_2025_backup.xlsx]Carlos'!AL14+'C:\Users\marcelo.saboia\Documents\backup - diarq - 13.06.25\Atividade Semanal - Equipe\z. INDICADORES - POR DIA\[INDICADORES - Junho-Julho_2025_backup.xlsx]Alessandro'!AL14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85" sId="3" odxf="1" dxf="1">
    <nc r="I14">
      <f>'C:\Users\marcelo.saboia\Documents\backup - diarq - 13.06.25\Atividade Semanal - Equipe\z. INDICADORES - POR DIA\[INDICADORES - Junho-Julho_2025_backup.xlsx]Diego'!AR14+'C:\Users\marcelo.saboia\Documents\backup - diarq - 13.06.25\Atividade Semanal - Equipe\z. INDICADORES - POR DIA\[INDICADORES - Junho-Julho_2025_backup.xlsx]Aelton'!AR14+'C:\Users\marcelo.saboia\Documents\backup - diarq - 13.06.25\Atividade Semanal - Equipe\z. INDICADORES - POR DIA\[INDICADORES - Junho-Julho_2025_backup.xlsx]Leonam'!AR14+'C:\Users\marcelo.saboia\Documents\backup - diarq - 13.06.25\Atividade Semanal - Equipe\z. INDICADORES - POR DIA\[INDICADORES - Junho-Julho_2025_backup.xlsx]Danilo'!AR14+'C:\Users\marcelo.saboia\Documents\backup - diarq - 13.06.25\Atividade Semanal - Equipe\z. INDICADORES - POR DIA\[INDICADORES - Junho-Julho_2025_backup.xlsx]Marcos'!AR14+'C:\Users\marcelo.saboia\Documents\backup - diarq - 13.06.25\Atividade Semanal - Equipe\z. INDICADORES - POR DIA\[INDICADORES - Junho-Julho_2025_backup.xlsx]Carlos'!AR14+'C:\Users\marcelo.saboia\Documents\backup - diarq - 13.06.25\Atividade Semanal - Equipe\z. INDICADORES - POR DIA\[INDICADORES - Junho-Julho_2025_backup.xlsx]Alessandro'!AR14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86" sId="3" odxf="1" dxf="1">
    <nc r="J14">
      <f>'C:\Users\marcelo.saboia\Documents\backup - diarq - 13.06.25\Atividade Semanal - Equipe\z. INDICADORES - POR DIA\[INDICADORES - Junho-Julho_2025_backup.xlsx]Diego'!AX14+'C:\Users\marcelo.saboia\Documents\backup - diarq - 13.06.25\Atividade Semanal - Equipe\z. INDICADORES - POR DIA\[INDICADORES - Junho-Julho_2025_backup.xlsx]Aelton'!AX14+'C:\Users\marcelo.saboia\Documents\backup - diarq - 13.06.25\Atividade Semanal - Equipe\z. INDICADORES - POR DIA\[INDICADORES - Junho-Julho_2025_backup.xlsx]Leonam'!AX14+'C:\Users\marcelo.saboia\Documents\backup - diarq - 13.06.25\Atividade Semanal - Equipe\z. INDICADORES - POR DIA\[INDICADORES - Junho-Julho_2025_backup.xlsx]Danilo'!AX14+'C:\Users\marcelo.saboia\Documents\backup - diarq - 13.06.25\Atividade Semanal - Equipe\z. INDICADORES - POR DIA\[INDICADORES - Junho-Julho_2025_backup.xlsx]Marcos'!AX14+'C:\Users\marcelo.saboia\Documents\backup - diarq - 13.06.25\Atividade Semanal - Equipe\z. INDICADORES - POR DIA\[INDICADORES - Junho-Julho_2025_backup.xlsx]Carlos'!AX14+'C:\Users\marcelo.saboia\Documents\backup - diarq - 13.06.25\Atividade Semanal - Equipe\z. INDICADORES - POR DIA\[INDICADORES - Junho-Julho_2025_backup.xlsx]Alessandro'!AX14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87" sId="3" odxf="1" dxf="1">
    <nc r="K14">
      <f>'C:\Users\marcelo.saboia\Documents\backup - diarq - 13.06.25\Atividade Semanal - Equipe\z. INDICADORES - POR DIA\[INDICADORES - Junho-Julho_2025_backup.xlsx]Diego'!BD14+'C:\Users\marcelo.saboia\Documents\backup - diarq - 13.06.25\Atividade Semanal - Equipe\z. INDICADORES - POR DIA\[INDICADORES - Junho-Julho_2025_backup.xlsx]Aelton'!BD14+'C:\Users\marcelo.saboia\Documents\backup - diarq - 13.06.25\Atividade Semanal - Equipe\z. INDICADORES - POR DIA\[INDICADORES - Junho-Julho_2025_backup.xlsx]Leonam'!BD14+'C:\Users\marcelo.saboia\Documents\backup - diarq - 13.06.25\Atividade Semanal - Equipe\z. INDICADORES - POR DIA\[INDICADORES - Junho-Julho_2025_backup.xlsx]Danilo'!BD14+'C:\Users\marcelo.saboia\Documents\backup - diarq - 13.06.25\Atividade Semanal - Equipe\z. INDICADORES - POR DIA\[INDICADORES - Junho-Julho_2025_backup.xlsx]Marcos'!BD14+'C:\Users\marcelo.saboia\Documents\backup - diarq - 13.06.25\Atividade Semanal - Equipe\z. INDICADORES - POR DIA\[INDICADORES - Junho-Julho_2025_backup.xlsx]Carlos'!BD14+'C:\Users\marcelo.saboia\Documents\backup - diarq - 13.06.25\Atividade Semanal - Equipe\z. INDICADORES - POR DIA\[INDICADORES - Junho-Julho_2025_backup.xlsx]Alessandro'!BD14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D15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15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15" start="0" length="0">
    <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88" sId="3" odxf="1" dxf="1">
    <nc r="G15">
      <f>'C:\Users\marcelo.saboia\Documents\backup - diarq - 13.06.25\Atividade Semanal - Equipe\z. INDICADORES - POR DIA\[INDICADORES - Junho-Julho_2025_backup.xlsx]Diego'!AF15+'C:\Users\marcelo.saboia\Documents\backup - diarq - 13.06.25\Atividade Semanal - Equipe\z. INDICADORES - POR DIA\[INDICADORES - Junho-Julho_2025_backup.xlsx]Aelton'!AF15+'C:\Users\marcelo.saboia\Documents\backup - diarq - 13.06.25\Atividade Semanal - Equipe\z. INDICADORES - POR DIA\[INDICADORES - Junho-Julho_2025_backup.xlsx]Leonam'!AF15+'C:\Users\marcelo.saboia\Documents\backup - diarq - 13.06.25\Atividade Semanal - Equipe\z. INDICADORES - POR DIA\[INDICADORES - Junho-Julho_2025_backup.xlsx]Danilo'!AF15+'C:\Users\marcelo.saboia\Documents\backup - diarq - 13.06.25\Atividade Semanal - Equipe\z. INDICADORES - POR DIA\[INDICADORES - Junho-Julho_2025_backup.xlsx]Marcos'!AF15+'C:\Users\marcelo.saboia\Documents\backup - diarq - 13.06.25\Atividade Semanal - Equipe\z. INDICADORES - POR DIA\[INDICADORES - Junho-Julho_2025_backup.xlsx]Carlos'!AF15+'C:\Users\marcelo.saboia\Documents\backup - diarq - 13.06.25\Atividade Semanal - Equipe\z. INDICADORES - POR DIA\[INDICADORES - Junho-Julho_2025_backup.xlsx]Alessandro'!AF15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89" sId="3" odxf="1" dxf="1">
    <nc r="H15">
      <f>'C:\Users\marcelo.saboia\Documents\backup - diarq - 13.06.25\Atividade Semanal - Equipe\z. INDICADORES - POR DIA\[INDICADORES - Junho-Julho_2025_backup.xlsx]Diego'!AL15+'C:\Users\marcelo.saboia\Documents\backup - diarq - 13.06.25\Atividade Semanal - Equipe\z. INDICADORES - POR DIA\[INDICADORES - Junho-Julho_2025_backup.xlsx]Aelton'!AL15+'C:\Users\marcelo.saboia\Documents\backup - diarq - 13.06.25\Atividade Semanal - Equipe\z. INDICADORES - POR DIA\[INDICADORES - Junho-Julho_2025_backup.xlsx]Leonam'!AL15+'C:\Users\marcelo.saboia\Documents\backup - diarq - 13.06.25\Atividade Semanal - Equipe\z. INDICADORES - POR DIA\[INDICADORES - Junho-Julho_2025_backup.xlsx]Danilo'!AL15+'C:\Users\marcelo.saboia\Documents\backup - diarq - 13.06.25\Atividade Semanal - Equipe\z. INDICADORES - POR DIA\[INDICADORES - Junho-Julho_2025_backup.xlsx]Marcos'!AL15+'C:\Users\marcelo.saboia\Documents\backup - diarq - 13.06.25\Atividade Semanal - Equipe\z. INDICADORES - POR DIA\[INDICADORES - Junho-Julho_2025_backup.xlsx]Carlos'!AL15+'C:\Users\marcelo.saboia\Documents\backup - diarq - 13.06.25\Atividade Semanal - Equipe\z. INDICADORES - POR DIA\[INDICADORES - Junho-Julho_2025_backup.xlsx]Alessandro'!AL15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90" sId="3" odxf="1" dxf="1">
    <nc r="I15">
      <f>'C:\Users\marcelo.saboia\Documents\backup - diarq - 13.06.25\Atividade Semanal - Equipe\z. INDICADORES - POR DIA\[INDICADORES - Junho-Julho_2025_backup.xlsx]Diego'!AR15+'C:\Users\marcelo.saboia\Documents\backup - diarq - 13.06.25\Atividade Semanal - Equipe\z. INDICADORES - POR DIA\[INDICADORES - Junho-Julho_2025_backup.xlsx]Aelton'!AR15+'C:\Users\marcelo.saboia\Documents\backup - diarq - 13.06.25\Atividade Semanal - Equipe\z. INDICADORES - POR DIA\[INDICADORES - Junho-Julho_2025_backup.xlsx]Leonam'!AR15+'C:\Users\marcelo.saboia\Documents\backup - diarq - 13.06.25\Atividade Semanal - Equipe\z. INDICADORES - POR DIA\[INDICADORES - Junho-Julho_2025_backup.xlsx]Danilo'!AR15+'C:\Users\marcelo.saboia\Documents\backup - diarq - 13.06.25\Atividade Semanal - Equipe\z. INDICADORES - POR DIA\[INDICADORES - Junho-Julho_2025_backup.xlsx]Marcos'!AR15+'C:\Users\marcelo.saboia\Documents\backup - diarq - 13.06.25\Atividade Semanal - Equipe\z. INDICADORES - POR DIA\[INDICADORES - Junho-Julho_2025_backup.xlsx]Carlos'!AR15+'C:\Users\marcelo.saboia\Documents\backup - diarq - 13.06.25\Atividade Semanal - Equipe\z. INDICADORES - POR DIA\[INDICADORES - Junho-Julho_2025_backup.xlsx]Alessandro'!AR15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91" sId="3" odxf="1" dxf="1">
    <nc r="J15">
      <f>'C:\Users\marcelo.saboia\Documents\backup - diarq - 13.06.25\Atividade Semanal - Equipe\z. INDICADORES - POR DIA\[INDICADORES - Junho-Julho_2025_backup.xlsx]Diego'!AX15+'C:\Users\marcelo.saboia\Documents\backup - diarq - 13.06.25\Atividade Semanal - Equipe\z. INDICADORES - POR DIA\[INDICADORES - Junho-Julho_2025_backup.xlsx]Aelton'!AX15+'C:\Users\marcelo.saboia\Documents\backup - diarq - 13.06.25\Atividade Semanal - Equipe\z. INDICADORES - POR DIA\[INDICADORES - Junho-Julho_2025_backup.xlsx]Leonam'!AX15+'C:\Users\marcelo.saboia\Documents\backup - diarq - 13.06.25\Atividade Semanal - Equipe\z. INDICADORES - POR DIA\[INDICADORES - Junho-Julho_2025_backup.xlsx]Danilo'!AX15+'C:\Users\marcelo.saboia\Documents\backup - diarq - 13.06.25\Atividade Semanal - Equipe\z. INDICADORES - POR DIA\[INDICADORES - Junho-Julho_2025_backup.xlsx]Marcos'!AX15+'C:\Users\marcelo.saboia\Documents\backup - diarq - 13.06.25\Atividade Semanal - Equipe\z. INDICADORES - POR DIA\[INDICADORES - Junho-Julho_2025_backup.xlsx]Carlos'!AX15+'C:\Users\marcelo.saboia\Documents\backup - diarq - 13.06.25\Atividade Semanal - Equipe\z. INDICADORES - POR DIA\[INDICADORES - Junho-Julho_2025_backup.xlsx]Alessandro'!AX15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92" sId="3" odxf="1" dxf="1">
    <nc r="K15">
      <f>'C:\Users\marcelo.saboia\Documents\backup - diarq - 13.06.25\Atividade Semanal - Equipe\z. INDICADORES - POR DIA\[INDICADORES - Junho-Julho_2025_backup.xlsx]Diego'!BD15+'C:\Users\marcelo.saboia\Documents\backup - diarq - 13.06.25\Atividade Semanal - Equipe\z. INDICADORES - POR DIA\[INDICADORES - Junho-Julho_2025_backup.xlsx]Aelton'!BD15+'C:\Users\marcelo.saboia\Documents\backup - diarq - 13.06.25\Atividade Semanal - Equipe\z. INDICADORES - POR DIA\[INDICADORES - Junho-Julho_2025_backup.xlsx]Leonam'!BD15+'C:\Users\marcelo.saboia\Documents\backup - diarq - 13.06.25\Atividade Semanal - Equipe\z. INDICADORES - POR DIA\[INDICADORES - Junho-Julho_2025_backup.xlsx]Danilo'!BD15+'C:\Users\marcelo.saboia\Documents\backup - diarq - 13.06.25\Atividade Semanal - Equipe\z. INDICADORES - POR DIA\[INDICADORES - Junho-Julho_2025_backup.xlsx]Marcos'!BD15+'C:\Users\marcelo.saboia\Documents\backup - diarq - 13.06.25\Atividade Semanal - Equipe\z. INDICADORES - POR DIA\[INDICADORES - Junho-Julho_2025_backup.xlsx]Carlos'!BD15+'C:\Users\marcelo.saboia\Documents\backup - diarq - 13.06.25\Atividade Semanal - Equipe\z. INDICADORES - POR DIA\[INDICADORES - Junho-Julho_2025_backup.xlsx]Alessandro'!BD15</f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3" sqref="C16" start="0" length="0">
    <dxf>
      <numFmt numFmtId="3" formatCode="#,##0"/>
    </dxf>
  </rfmt>
  <rfmt sheetId="3" sqref="D16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E16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3" sqref="F16" start="0" length="0">
    <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593" sId="3" odxf="1" dxf="1">
    <nc r="G16">
      <f>'C:\Users\marcelo.saboia\Documents\backup - diarq - 13.06.25\Atividade Semanal - Equipe\z. INDICADORES - POR DIA\[INDICADORES - Junho-Julho_2025_backup.xlsx]Diego'!AF16+'C:\Users\marcelo.saboia\Documents\backup - diarq - 13.06.25\Atividade Semanal - Equipe\z. INDICADORES - POR DIA\[INDICADORES - Junho-Julho_2025_backup.xlsx]Aelton'!AF16+'C:\Users\marcelo.saboia\Documents\backup - diarq - 13.06.25\Atividade Semanal - Equipe\z. INDICADORES - POR DIA\[INDICADORES - Junho-Julho_2025_backup.xlsx]Leonam'!AF16+'C:\Users\marcelo.saboia\Documents\backup - diarq - 13.06.25\Atividade Semanal - Equipe\z. INDICADORES - POR DIA\[INDICADORES - Junho-Julho_2025_backup.xlsx]Danilo'!AF16+'C:\Users\marcelo.saboia\Documents\backup - diarq - 13.06.25\Atividade Semanal - Equipe\z. INDICADORES - POR DIA\[INDICADORES - Junho-Julho_2025_backup.xlsx]Marcos'!AF16+'C:\Users\marcelo.saboia\Documents\backup - diarq - 13.06.25\Atividade Semanal - Equipe\z. INDICADORES - POR DIA\[INDICADORES - Junho-Julho_2025_backup.xlsx]Carlos'!AF16+'C:\Users\marcelo.saboia\Documents\backup - diarq - 13.06.25\Atividade Semanal - Equipe\z. INDICADORES - POR DIA\[INDICADORES - Junho-Julho_2025_backup.xlsx]Alessandro'!AF16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94" sId="3" odxf="1" dxf="1">
    <nc r="H16">
      <f>'C:\Users\marcelo.saboia\Documents\backup - diarq - 13.06.25\Atividade Semanal - Equipe\z. INDICADORES - POR DIA\[INDICADORES - Junho-Julho_2025_backup.xlsx]Diego'!AL16+'C:\Users\marcelo.saboia\Documents\backup - diarq - 13.06.25\Atividade Semanal - Equipe\z. INDICADORES - POR DIA\[INDICADORES - Junho-Julho_2025_backup.xlsx]Aelton'!AL16+'C:\Users\marcelo.saboia\Documents\backup - diarq - 13.06.25\Atividade Semanal - Equipe\z. INDICADORES - POR DIA\[INDICADORES - Junho-Julho_2025_backup.xlsx]Leonam'!AL16+'C:\Users\marcelo.saboia\Documents\backup - diarq - 13.06.25\Atividade Semanal - Equipe\z. INDICADORES - POR DIA\[INDICADORES - Junho-Julho_2025_backup.xlsx]Danilo'!AL16+'C:\Users\marcelo.saboia\Documents\backup - diarq - 13.06.25\Atividade Semanal - Equipe\z. INDICADORES - POR DIA\[INDICADORES - Junho-Julho_2025_backup.xlsx]Marcos'!AL16+'C:\Users\marcelo.saboia\Documents\backup - diarq - 13.06.25\Atividade Semanal - Equipe\z. INDICADORES - POR DIA\[INDICADORES - Junho-Julho_2025_backup.xlsx]Carlos'!AL16+'C:\Users\marcelo.saboia\Documents\backup - diarq - 13.06.25\Atividade Semanal - Equipe\z. INDICADORES - POR DIA\[INDICADORES - Junho-Julho_2025_backup.xlsx]Alessandro'!AL16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95" sId="3" odxf="1" dxf="1">
    <nc r="I16">
      <f>'C:\Users\marcelo.saboia\Documents\backup - diarq - 13.06.25\Atividade Semanal - Equipe\z. INDICADORES - POR DIA\[INDICADORES - Junho-Julho_2025_backup.xlsx]Diego'!AR16+'C:\Users\marcelo.saboia\Documents\backup - diarq - 13.06.25\Atividade Semanal - Equipe\z. INDICADORES - POR DIA\[INDICADORES - Junho-Julho_2025_backup.xlsx]Aelton'!AR16+'C:\Users\marcelo.saboia\Documents\backup - diarq - 13.06.25\Atividade Semanal - Equipe\z. INDICADORES - POR DIA\[INDICADORES - Junho-Julho_2025_backup.xlsx]Leonam'!AR16+'C:\Users\marcelo.saboia\Documents\backup - diarq - 13.06.25\Atividade Semanal - Equipe\z. INDICADORES - POR DIA\[INDICADORES - Junho-Julho_2025_backup.xlsx]Danilo'!AR16+'C:\Users\marcelo.saboia\Documents\backup - diarq - 13.06.25\Atividade Semanal - Equipe\z. INDICADORES - POR DIA\[INDICADORES - Junho-Julho_2025_backup.xlsx]Marcos'!AR16+'C:\Users\marcelo.saboia\Documents\backup - diarq - 13.06.25\Atividade Semanal - Equipe\z. INDICADORES - POR DIA\[INDICADORES - Junho-Julho_2025_backup.xlsx]Carlos'!AR16+'C:\Users\marcelo.saboia\Documents\backup - diarq - 13.06.25\Atividade Semanal - Equipe\z. INDICADORES - POR DIA\[INDICADORES - Junho-Julho_2025_backup.xlsx]Alessandro'!AR16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96" sId="3" odxf="1" dxf="1">
    <nc r="J16">
      <f>'C:\Users\marcelo.saboia\Documents\backup - diarq - 13.06.25\Atividade Semanal - Equipe\z. INDICADORES - POR DIA\[INDICADORES - Junho-Julho_2025_backup.xlsx]Diego'!AX16+'C:\Users\marcelo.saboia\Documents\backup - diarq - 13.06.25\Atividade Semanal - Equipe\z. INDICADORES - POR DIA\[INDICADORES - Junho-Julho_2025_backup.xlsx]Aelton'!AX16+'C:\Users\marcelo.saboia\Documents\backup - diarq - 13.06.25\Atividade Semanal - Equipe\z. INDICADORES - POR DIA\[INDICADORES - Junho-Julho_2025_backup.xlsx]Leonam'!AX16+'C:\Users\marcelo.saboia\Documents\backup - diarq - 13.06.25\Atividade Semanal - Equipe\z. INDICADORES - POR DIA\[INDICADORES - Junho-Julho_2025_backup.xlsx]Danilo'!AX16+'C:\Users\marcelo.saboia\Documents\backup - diarq - 13.06.25\Atividade Semanal - Equipe\z. INDICADORES - POR DIA\[INDICADORES - Junho-Julho_2025_backup.xlsx]Marcos'!AX16+'C:\Users\marcelo.saboia\Documents\backup - diarq - 13.06.25\Atividade Semanal - Equipe\z. INDICADORES - POR DIA\[INDICADORES - Junho-Julho_2025_backup.xlsx]Carlos'!AX16+'C:\Users\marcelo.saboia\Documents\backup - diarq - 13.06.25\Atividade Semanal - Equipe\z. INDICADORES - POR DIA\[INDICADORES - Junho-Julho_2025_backup.xlsx]Alessandro'!AX16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97" sId="3" odxf="1" dxf="1">
    <nc r="K16">
      <f>'C:\Users\marcelo.saboia\Documents\backup - diarq - 13.06.25\Atividade Semanal - Equipe\z. INDICADORES - POR DIA\[INDICADORES - Junho-Julho_2025_backup.xlsx]Diego'!BD16+'C:\Users\marcelo.saboia\Documents\backup - diarq - 13.06.25\Atividade Semanal - Equipe\z. INDICADORES - POR DIA\[INDICADORES - Junho-Julho_2025_backup.xlsx]Aelton'!BD16+'C:\Users\marcelo.saboia\Documents\backup - diarq - 13.06.25\Atividade Semanal - Equipe\z. INDICADORES - POR DIA\[INDICADORES - Junho-Julho_2025_backup.xlsx]Leonam'!BD16+'C:\Users\marcelo.saboia\Documents\backup - diarq - 13.06.25\Atividade Semanal - Equipe\z. INDICADORES - POR DIA\[INDICADORES - Junho-Julho_2025_backup.xlsx]Danilo'!BD16+'C:\Users\marcelo.saboia\Documents\backup - diarq - 13.06.25\Atividade Semanal - Equipe\z. INDICADORES - POR DIA\[INDICADORES - Junho-Julho_2025_backup.xlsx]Marcos'!BD16+'C:\Users\marcelo.saboia\Documents\backup - diarq - 13.06.25\Atividade Semanal - Equipe\z. INDICADORES - POR DIA\[INDICADORES - Junho-Julho_2025_backup.xlsx]Carlos'!BD16+'C:\Users\marcelo.saboia\Documents\backup - diarq - 13.06.25\Atividade Semanal - Equipe\z. INDICADORES - POR DIA\[INDICADORES - Junho-Julho_2025_backup.xlsx]Alessandro'!BD16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598" sId="3">
    <nc r="C2">
      <f>Diego!H2+Aelton!H2+Leonam!H2+Danilo!H2+Marcos!H2+Carlos!H2+Alessandro!H2</f>
    </nc>
  </rcc>
  <rcc rId="599" sId="3" odxf="1" dxf="1">
    <nc r="C3">
      <f>Diego!H3+Aelton!H3+Leonam!H3+Danilo!H3+Marcos!H3+Carlos!H3+Alessandro!H3</f>
    </nc>
    <ndxf>
      <numFmt numFmtId="3" formatCode="#,##0"/>
      <fill>
        <patternFill>
          <bgColor rgb="FFFFFF00"/>
        </patternFill>
      </fill>
    </ndxf>
  </rcc>
  <rcc rId="600" sId="3">
    <nc r="C4">
      <f>Diego!H4+Aelton!H4+Leonam!H4+Danilo!H4+Marcos!H4+Carlos!H4+Alessandro!H4</f>
    </nc>
  </rcc>
  <rcc rId="601" sId="3" odxf="1" dxf="1">
    <nc r="C5">
      <f>Diego!H5+Aelton!H5+Leonam!H5+Danilo!H5+Marcos!H5+Carlos!H5+Alessandro!H5</f>
    </nc>
    <ndxf>
      <numFmt numFmtId="3" formatCode="#,##0"/>
      <fill>
        <patternFill>
          <bgColor rgb="FFFFFF00"/>
        </patternFill>
      </fill>
    </ndxf>
  </rcc>
  <rcc rId="602" sId="3">
    <nc r="C6">
      <f>Diego!H6+Aelton!H6+Leonam!H6+Danilo!H6+Marcos!H6+Carlos!H6+Alessandro!H6</f>
    </nc>
  </rcc>
  <rcc rId="603" sId="3" odxf="1" dxf="1">
    <nc r="C7">
      <f>Diego!H7+Aelton!H7+Leonam!H7+Danilo!H7+Marcos!H7+Carlos!H7+Alessandro!H7</f>
    </nc>
    <ndxf>
      <numFmt numFmtId="3" formatCode="#,##0"/>
      <fill>
        <patternFill>
          <bgColor rgb="FFFFFF00"/>
        </patternFill>
      </fill>
    </ndxf>
  </rcc>
  <rcc rId="604" sId="3">
    <nc r="C8">
      <f>Diego!H8+Aelton!H8+Leonam!H8+Danilo!H8+Marcos!H8+Carlos!H8+Alessandro!H8</f>
    </nc>
  </rcc>
  <rcc rId="605" sId="3" odxf="1" dxf="1">
    <nc r="C9">
      <f>Diego!H9+Aelton!H9+Leonam!H9+Danilo!H9+Marcos!H9+Carlos!H9+Alessandro!H9</f>
    </nc>
    <ndxf>
      <numFmt numFmtId="3" formatCode="#,##0"/>
      <fill>
        <patternFill>
          <bgColor rgb="FFFFFF00"/>
        </patternFill>
      </fill>
    </ndxf>
  </rcc>
  <rcc rId="606" sId="3">
    <nc r="C10">
      <f>Diego!H10+Aelton!H10+Leonam!H10+Danilo!H10+Marcos!H10+Carlos!H10+Alessandro!H10</f>
    </nc>
  </rcc>
  <rcc rId="607" sId="3" odxf="1" dxf="1">
    <nc r="C11">
      <f>Diego!H11+Aelton!H11+Leonam!H11+Danilo!H11+Marcos!H11+Carlos!H11+Alessandro!H11</f>
    </nc>
    <ndxf>
      <numFmt numFmtId="3" formatCode="#,##0"/>
      <fill>
        <patternFill>
          <bgColor rgb="FFFFFF00"/>
        </patternFill>
      </fill>
    </ndxf>
  </rcc>
  <rcc rId="608" sId="3">
    <nc r="C12">
      <f>Diego!H12+Aelton!H12+Leonam!H12+Danilo!H12+Marcos!H12+Carlos!H12+Alessandro!H12</f>
    </nc>
  </rcc>
  <rcc rId="609" sId="3" odxf="1" dxf="1">
    <nc r="C13">
      <f>Diego!H13+Aelton!H13+Leonam!H13+Danilo!H13+Marcos!H13+Carlos!H13+Alessandro!H13</f>
    </nc>
    <ndxf>
      <numFmt numFmtId="3" formatCode="#,##0"/>
      <fill>
        <patternFill>
          <bgColor rgb="FFFFFF00"/>
        </patternFill>
      </fill>
    </ndxf>
  </rcc>
  <rcc rId="610" sId="3">
    <nc r="C14">
      <f>Diego!H14+Aelton!H14+Leonam!H14+Danilo!H14+Marcos!H14+Carlos!H14+Alessandro!H14</f>
    </nc>
  </rcc>
  <rcc rId="611" sId="3" odxf="1" dxf="1">
    <nc r="C15">
      <f>Diego!H15+Aelton!H15+Leonam!H15+Danilo!H15+Marcos!H15+Carlos!H15+Alessandro!H15</f>
    </nc>
    <ndxf>
      <numFmt numFmtId="3" formatCode="#,##0"/>
      <fill>
        <patternFill>
          <bgColor rgb="FFFFFF00"/>
        </patternFill>
      </fill>
    </ndxf>
  </rcc>
  <rcc rId="612" sId="3">
    <nc r="C16">
      <f>Diego!H16+Aelton!H16+Leonam!H16+Danilo!H16+Marcos!H16+Carlos!H16+Alessandro!H16</f>
    </nc>
  </rcc>
  <rcc rId="613" sId="3">
    <nc r="D2">
      <f>Diego!I2+Aelton!I2+Leonam!I2+Danilo!I2+Marcos!I2+Carlos!I2+Alessandro!I2</f>
    </nc>
  </rcc>
  <rcc rId="614" sId="3" odxf="1" dxf="1">
    <nc r="D3">
      <f>Diego!I3+Aelton!I3+Leonam!I3+Danilo!I3+Marcos!I3+Carlos!I3+Alessandro!I3</f>
    </nc>
    <ndxf>
      <numFmt numFmtId="3" formatCode="#,##0"/>
      <fill>
        <patternFill>
          <bgColor rgb="FFFFFF00"/>
        </patternFill>
      </fill>
    </ndxf>
  </rcc>
  <rcc rId="615" sId="3">
    <nc r="D4">
      <f>Diego!I4+Aelton!I4+Leonam!I4+Danilo!I4+Marcos!I4+Carlos!I4+Alessandro!I4</f>
    </nc>
  </rcc>
  <rcc rId="616" sId="3" odxf="1" dxf="1">
    <nc r="D5">
      <f>Diego!I5+Aelton!I5+Leonam!I5+Danilo!I5+Marcos!I5+Carlos!I5+Alessandro!I5</f>
    </nc>
    <ndxf>
      <numFmt numFmtId="3" formatCode="#,##0"/>
      <fill>
        <patternFill>
          <bgColor rgb="FFFFFF00"/>
        </patternFill>
      </fill>
    </ndxf>
  </rcc>
  <rcc rId="617" sId="3">
    <nc r="D6">
      <f>Diego!I6+Aelton!I6+Leonam!I6+Danilo!I6+Marcos!I6+Carlos!I6+Alessandro!I6</f>
    </nc>
  </rcc>
  <rcc rId="618" sId="3" odxf="1" dxf="1">
    <nc r="D7">
      <f>Diego!I7+Aelton!I7+Leonam!I7+Danilo!I7+Marcos!I7+Carlos!I7+Alessandro!I7</f>
    </nc>
    <ndxf>
      <numFmt numFmtId="3" formatCode="#,##0"/>
      <fill>
        <patternFill>
          <bgColor rgb="FFFFFF00"/>
        </patternFill>
      </fill>
    </ndxf>
  </rcc>
  <rcc rId="619" sId="3">
    <nc r="D8">
      <f>Diego!I8+Aelton!I8+Leonam!I8+Danilo!I8+Marcos!I8+Carlos!I8+Alessandro!I8</f>
    </nc>
  </rcc>
  <rcc rId="620" sId="3" odxf="1" dxf="1">
    <nc r="D9">
      <f>Diego!I9+Aelton!I9+Leonam!I9+Danilo!I9+Marcos!I9+Carlos!I9+Alessandro!I9</f>
    </nc>
    <ndxf>
      <numFmt numFmtId="3" formatCode="#,##0"/>
      <fill>
        <patternFill>
          <bgColor rgb="FFFFFF00"/>
        </patternFill>
      </fill>
    </ndxf>
  </rcc>
  <rcc rId="621" sId="3">
    <nc r="D10">
      <f>Diego!I10+Aelton!I10+Leonam!I10+Danilo!I10+Marcos!I10+Carlos!I10+Alessandro!I10</f>
    </nc>
  </rcc>
  <rcc rId="622" sId="3" odxf="1" dxf="1">
    <nc r="D11">
      <f>Diego!I11+Aelton!I11+Leonam!I11+Danilo!I11+Marcos!I11+Carlos!I11+Alessandro!I11</f>
    </nc>
    <ndxf>
      <numFmt numFmtId="3" formatCode="#,##0"/>
      <fill>
        <patternFill>
          <bgColor rgb="FFFFFF00"/>
        </patternFill>
      </fill>
    </ndxf>
  </rcc>
  <rcc rId="623" sId="3">
    <nc r="D12">
      <f>Diego!I12+Aelton!I12+Leonam!I12+Danilo!I12+Marcos!I12+Carlos!I12+Alessandro!I12</f>
    </nc>
  </rcc>
  <rcc rId="624" sId="3" odxf="1" dxf="1">
    <nc r="D13">
      <f>Diego!I13+Aelton!I13+Leonam!I13+Danilo!I13+Marcos!I13+Carlos!I13+Alessandro!I13</f>
    </nc>
    <ndxf>
      <numFmt numFmtId="3" formatCode="#,##0"/>
      <fill>
        <patternFill>
          <bgColor rgb="FFFFFF00"/>
        </patternFill>
      </fill>
    </ndxf>
  </rcc>
  <rcc rId="625" sId="3">
    <nc r="D14">
      <f>Diego!I14+Aelton!I14+Leonam!I14+Danilo!I14+Marcos!I14+Carlos!I14+Alessandro!I14</f>
    </nc>
  </rcc>
  <rcc rId="626" sId="3" odxf="1" dxf="1">
    <nc r="D15">
      <f>Diego!I15+Aelton!I15+Leonam!I15+Danilo!I15+Marcos!I15+Carlos!I15+Alessandro!I15</f>
    </nc>
    <ndxf>
      <numFmt numFmtId="3" formatCode="#,##0"/>
      <fill>
        <patternFill>
          <bgColor rgb="FFFFFF00"/>
        </patternFill>
      </fill>
    </ndxf>
  </rcc>
  <rcc rId="627" sId="3">
    <nc r="D16">
      <f>Diego!I16+Aelton!I16+Leonam!I16+Danilo!I16+Marcos!I16+Carlos!I16+Alessandro!I16</f>
    </nc>
  </rcc>
  <rcc rId="628" sId="3">
    <nc r="E2">
      <f>Diego!J2+Aelton!J2+Leonam!J2+Danilo!J2+Marcos!J2+Carlos!J2+Alessandro!J2</f>
    </nc>
  </rcc>
  <rcc rId="629" sId="3" odxf="1" dxf="1">
    <nc r="E3">
      <f>Diego!J3+Aelton!J3+Leonam!J3+Danilo!J3+Marcos!J3+Carlos!J3+Alessandro!J3</f>
    </nc>
    <ndxf>
      <numFmt numFmtId="3" formatCode="#,##0"/>
      <fill>
        <patternFill>
          <bgColor rgb="FFFFFF00"/>
        </patternFill>
      </fill>
    </ndxf>
  </rcc>
  <rcc rId="630" sId="3">
    <nc r="E4">
      <f>Diego!J4+Aelton!J4+Leonam!J4+Danilo!J4+Marcos!J4+Carlos!J4+Alessandro!J4</f>
    </nc>
  </rcc>
  <rcc rId="631" sId="3" odxf="1" dxf="1">
    <nc r="E5">
      <f>Diego!J5+Aelton!J5+Leonam!J5+Danilo!J5+Marcos!J5+Carlos!J5+Alessandro!J5</f>
    </nc>
    <ndxf>
      <numFmt numFmtId="3" formatCode="#,##0"/>
      <fill>
        <patternFill>
          <bgColor rgb="FFFFFF00"/>
        </patternFill>
      </fill>
    </ndxf>
  </rcc>
  <rcc rId="632" sId="3">
    <nc r="E6">
      <f>Diego!J6+Aelton!J6+Leonam!J6+Danilo!J6+Marcos!J6+Carlos!J6+Alessandro!J6</f>
    </nc>
  </rcc>
  <rcc rId="633" sId="3" odxf="1" dxf="1">
    <nc r="E7">
      <f>Diego!J7+Aelton!J7+Leonam!J7+Danilo!J7+Marcos!J7+Carlos!J7+Alessandro!J7</f>
    </nc>
    <ndxf>
      <numFmt numFmtId="3" formatCode="#,##0"/>
      <fill>
        <patternFill>
          <bgColor rgb="FFFFFF00"/>
        </patternFill>
      </fill>
    </ndxf>
  </rcc>
  <rcc rId="634" sId="3">
    <nc r="E8">
      <f>Diego!J8+Aelton!J8+Leonam!J8+Danilo!J8+Marcos!J8+Carlos!J8+Alessandro!J8</f>
    </nc>
  </rcc>
  <rcc rId="635" sId="3" odxf="1" dxf="1">
    <nc r="E9">
      <f>Diego!J9+Aelton!J9+Leonam!J9+Danilo!J9+Marcos!J9+Carlos!J9+Alessandro!J9</f>
    </nc>
    <ndxf>
      <numFmt numFmtId="3" formatCode="#,##0"/>
      <fill>
        <patternFill>
          <bgColor rgb="FFFFFF00"/>
        </patternFill>
      </fill>
    </ndxf>
  </rcc>
  <rcc rId="636" sId="3">
    <nc r="E10">
      <f>Diego!J10+Aelton!J10+Leonam!J10+Danilo!J10+Marcos!J10+Carlos!J10+Alessandro!J10</f>
    </nc>
  </rcc>
  <rcc rId="637" sId="3" odxf="1" dxf="1">
    <nc r="E11">
      <f>Diego!J11+Aelton!J11+Leonam!J11+Danilo!J11+Marcos!J11+Carlos!J11+Alessandro!J11</f>
    </nc>
    <ndxf>
      <numFmt numFmtId="3" formatCode="#,##0"/>
      <fill>
        <patternFill>
          <bgColor rgb="FFFFFF00"/>
        </patternFill>
      </fill>
    </ndxf>
  </rcc>
  <rcc rId="638" sId="3">
    <nc r="E12">
      <f>Diego!J12+Aelton!J12+Leonam!J12+Danilo!J12+Marcos!J12+Carlos!J12+Alessandro!J12</f>
    </nc>
  </rcc>
  <rcc rId="639" sId="3" odxf="1" dxf="1">
    <nc r="E13">
      <f>Diego!J13+Aelton!J13+Leonam!J13+Danilo!J13+Marcos!J13+Carlos!J13+Alessandro!J13</f>
    </nc>
    <ndxf>
      <numFmt numFmtId="3" formatCode="#,##0"/>
      <fill>
        <patternFill>
          <bgColor rgb="FFFFFF00"/>
        </patternFill>
      </fill>
    </ndxf>
  </rcc>
  <rcc rId="640" sId="3">
    <nc r="E14">
      <f>Diego!J14+Aelton!J14+Leonam!J14+Danilo!J14+Marcos!J14+Carlos!J14+Alessandro!J14</f>
    </nc>
  </rcc>
  <rcc rId="641" sId="3" odxf="1" dxf="1">
    <nc r="E15">
      <f>Diego!J15+Aelton!J15+Leonam!J15+Danilo!J15+Marcos!J15+Carlos!J15+Alessandro!J15</f>
    </nc>
    <ndxf>
      <numFmt numFmtId="3" formatCode="#,##0"/>
      <fill>
        <patternFill>
          <bgColor rgb="FFFFFF00"/>
        </patternFill>
      </fill>
    </ndxf>
  </rcc>
  <rcc rId="642" sId="3">
    <nc r="E16">
      <f>Diego!J16+Aelton!J16+Leonam!J16+Danilo!J16+Marcos!J16+Carlos!J16+Alessandro!J16</f>
    </nc>
  </rcc>
  <rcc rId="643" sId="3">
    <nc r="F2">
      <f>Diego!K2+Aelton!K2+Leonam!K2+Danilo!K2+Marcos!K2+Carlos!K2+Alessandro!K2</f>
    </nc>
  </rcc>
  <rcc rId="644" sId="3" odxf="1" dxf="1">
    <nc r="F3">
      <f>Diego!K3+Aelton!K3+Leonam!K3+Danilo!K3+Marcos!K3+Carlos!K3+Alessandro!K3</f>
    </nc>
    <ndxf>
      <numFmt numFmtId="3" formatCode="#,##0"/>
      <fill>
        <patternFill>
          <bgColor rgb="FFFFFF00"/>
        </patternFill>
      </fill>
    </ndxf>
  </rcc>
  <rcc rId="645" sId="3">
    <nc r="F4">
      <f>Diego!K4+Aelton!K4+Leonam!K4+Danilo!K4+Marcos!K4+Carlos!K4+Alessandro!K4</f>
    </nc>
  </rcc>
  <rcc rId="646" sId="3" odxf="1" dxf="1">
    <nc r="F5">
      <f>Diego!K5+Aelton!K5+Leonam!K5+Danilo!K5+Marcos!K5+Carlos!K5+Alessandro!K5</f>
    </nc>
    <ndxf>
      <numFmt numFmtId="3" formatCode="#,##0"/>
      <fill>
        <patternFill>
          <bgColor rgb="FFFFFF00"/>
        </patternFill>
      </fill>
    </ndxf>
  </rcc>
  <rcc rId="647" sId="3">
    <nc r="F6">
      <f>Diego!K6+Aelton!K6+Leonam!K6+Danilo!K6+Marcos!K6+Carlos!K6+Alessandro!K6</f>
    </nc>
  </rcc>
  <rcc rId="648" sId="3" odxf="1" dxf="1">
    <nc r="F7">
      <f>Diego!K7+Aelton!K7+Leonam!K7+Danilo!K7+Marcos!K7+Carlos!K7+Alessandro!K7</f>
    </nc>
    <ndxf>
      <numFmt numFmtId="3" formatCode="#,##0"/>
      <fill>
        <patternFill>
          <bgColor rgb="FFFFFF00"/>
        </patternFill>
      </fill>
    </ndxf>
  </rcc>
  <rcc rId="649" sId="3">
    <nc r="F8">
      <f>Diego!K8+Aelton!K8+Leonam!K8+Danilo!K8+Marcos!K8+Carlos!K8+Alessandro!K8</f>
    </nc>
  </rcc>
  <rcc rId="650" sId="3" odxf="1" dxf="1">
    <nc r="F9">
      <f>Diego!K9+Aelton!K9+Leonam!K9+Danilo!K9+Marcos!K9+Carlos!K9+Alessandro!K9</f>
    </nc>
    <ndxf>
      <numFmt numFmtId="3" formatCode="#,##0"/>
      <fill>
        <patternFill>
          <bgColor rgb="FFFFFF00"/>
        </patternFill>
      </fill>
    </ndxf>
  </rcc>
  <rcc rId="651" sId="3">
    <nc r="F10">
      <f>Diego!K10+Aelton!K10+Leonam!K10+Danilo!K10+Marcos!K10+Carlos!K10+Alessandro!K10</f>
    </nc>
  </rcc>
  <rcc rId="652" sId="3" odxf="1" dxf="1">
    <nc r="F11">
      <f>Diego!K11+Aelton!K11+Leonam!K11+Danilo!K11+Marcos!K11+Carlos!K11+Alessandro!K11</f>
    </nc>
    <ndxf>
      <numFmt numFmtId="3" formatCode="#,##0"/>
      <fill>
        <patternFill>
          <bgColor rgb="FFFFFF00"/>
        </patternFill>
      </fill>
    </ndxf>
  </rcc>
  <rcc rId="653" sId="3">
    <nc r="F12">
      <f>Diego!K12+Aelton!K12+Leonam!K12+Danilo!K12+Marcos!K12+Carlos!K12+Alessandro!K12</f>
    </nc>
  </rcc>
  <rcc rId="654" sId="3" odxf="1" dxf="1">
    <nc r="F13">
      <f>Diego!K13+Aelton!K13+Leonam!K13+Danilo!K13+Marcos!K13+Carlos!K13+Alessandro!K13</f>
    </nc>
    <ndxf>
      <numFmt numFmtId="3" formatCode="#,##0"/>
      <fill>
        <patternFill>
          <bgColor rgb="FFFFFF00"/>
        </patternFill>
      </fill>
    </ndxf>
  </rcc>
  <rcc rId="655" sId="3">
    <nc r="F14">
      <f>Diego!K14+Aelton!K14+Leonam!K14+Danilo!K14+Marcos!K14+Carlos!K14+Alessandro!K14</f>
    </nc>
  </rcc>
  <rcc rId="656" sId="3" odxf="1" dxf="1">
    <nc r="F15">
      <f>Diego!K15+Aelton!K15+Leonam!K15+Danilo!K15+Marcos!K15+Carlos!K15+Alessandro!K15</f>
    </nc>
    <ndxf>
      <numFmt numFmtId="3" formatCode="#,##0"/>
      <fill>
        <patternFill>
          <bgColor rgb="FFFFFF00"/>
        </patternFill>
      </fill>
    </ndxf>
  </rcc>
  <rcc rId="657" sId="3">
    <nc r="F16">
      <f>Diego!K16+Aelton!K16+Leonam!K16+Danilo!K16+Marcos!K16+Carlos!K16+Alessandro!K16</f>
    </nc>
  </rcc>
  <rcv guid="{18A482E0-C8B6-4AA1-9E04-15FA7C9CD5E3}" action="delete"/>
  <rdn rId="0" localSheetId="1" customView="1" name="Z_18A482E0_C8B6_4AA1_9E04_15FA7C9CD5E3_.wvu.FilterData" hidden="1" oldHidden="1">
    <formula>Patrícia!$A$1:$A$18</formula>
  </rdn>
  <rdn rId="0" localSheetId="2" customView="1" name="Z_18A482E0_C8B6_4AA1_9E04_15FA7C9CD5E3_.wvu.FilterData" hidden="1" oldHidden="1">
    <formula>Marcelo!$A$1:$A$18</formula>
  </rdn>
  <rdn rId="0" localSheetId="3" customView="1" name="Z_18A482E0_C8B6_4AA1_9E04_15FA7C9CD5E3_.wvu.FilterData" hidden="1" oldHidden="1">
    <formula>TOTAL!$A$1:$A$18</formula>
  </rdn>
  <rdn rId="0" localSheetId="4" customView="1" name="Z_18A482E0_C8B6_4AA1_9E04_15FA7C9CD5E3_.wvu.FilterData" hidden="1" oldHidden="1">
    <formula>Diego!$A$1:$A$18</formula>
  </rdn>
  <rdn rId="0" localSheetId="5" customView="1" name="Z_18A482E0_C8B6_4AA1_9E04_15FA7C9CD5E3_.wvu.FilterData" hidden="1" oldHidden="1">
    <formula>Aelton!$A$1:$A$18</formula>
  </rdn>
  <rdn rId="0" localSheetId="6" customView="1" name="Z_18A482E0_C8B6_4AA1_9E04_15FA7C9CD5E3_.wvu.FilterData" hidden="1" oldHidden="1">
    <formula>Leonam!$A$1:$BD$18</formula>
  </rdn>
  <rdn rId="0" localSheetId="7" customView="1" name="Z_18A482E0_C8B6_4AA1_9E04_15FA7C9CD5E3_.wvu.FilterData" hidden="1" oldHidden="1">
    <formula>Danilo!$A$1:$A$31</formula>
  </rdn>
  <rdn rId="0" localSheetId="8" customView="1" name="Z_18A482E0_C8B6_4AA1_9E04_15FA7C9CD5E3_.wvu.FilterData" hidden="1" oldHidden="1">
    <formula>Marcos!$A$1:$A$18</formula>
  </rdn>
  <rdn rId="0" localSheetId="9" customView="1" name="Z_18A482E0_C8B6_4AA1_9E04_15FA7C9CD5E3_.wvu.FilterData" hidden="1" oldHidden="1">
    <formula>Carlos!$A$1:$A$18</formula>
  </rdn>
  <rdn rId="0" localSheetId="10" customView="1" name="Z_18A482E0_C8B6_4AA1_9E04_15FA7C9CD5E3_.wvu.FilterData" hidden="1" oldHidden="1">
    <formula>Alessandro!$A$1:$A$18</formula>
  </rdn>
  <rcv guid="{18A482E0-C8B6-4AA1-9E04-15FA7C9CD5E3}" action="add"/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8" sId="3">
    <oc r="G2">
      <f>'C:\Users\marcelo.saboia\Documents\backup - diarq - 13.06.25\Atividade Semanal - Equipe\z. INDICADORES - POR DIA\[INDICADORES - Junho-Julho_2025_backup.xlsx]Diego'!AF2+'C:\Users\marcelo.saboia\Documents\backup - diarq - 13.06.25\Atividade Semanal - Equipe\z. INDICADORES - POR DIA\[INDICADORES - Junho-Julho_2025_backup.xlsx]Aelton'!AF2+'C:\Users\marcelo.saboia\Documents\backup - diarq - 13.06.25\Atividade Semanal - Equipe\z. INDICADORES - POR DIA\[INDICADORES - Junho-Julho_2025_backup.xlsx]Leonam'!AF2+'C:\Users\marcelo.saboia\Documents\backup - diarq - 13.06.25\Atividade Semanal - Equipe\z. INDICADORES - POR DIA\[INDICADORES - Junho-Julho_2025_backup.xlsx]Danilo'!AF2+'C:\Users\marcelo.saboia\Documents\backup - diarq - 13.06.25\Atividade Semanal - Equipe\z. INDICADORES - POR DIA\[INDICADORES - Junho-Julho_2025_backup.xlsx]Marcos'!AF2+'C:\Users\marcelo.saboia\Documents\backup - diarq - 13.06.25\Atividade Semanal - Equipe\z. INDICADORES - POR DIA\[INDICADORES - Junho-Julho_2025_backup.xlsx]Carlos'!AF2+'C:\Users\marcelo.saboia\Documents\backup - diarq - 13.06.25\Atividade Semanal - Equipe\z. INDICADORES - POR DIA\[INDICADORES - Junho-Julho_2025_backup.xlsx]Alessandro'!AF2</f>
    </oc>
    <nc r="G2">
      <f>Diego!L2+Aelton!L2+Leonam!L2+Danilo!L2+Marcos!L2+Carlos!L2+Alessandro!L2</f>
    </nc>
  </rcc>
  <rcc rId="669" sId="3" odxf="1" dxf="1">
    <oc r="G3">
      <f>'C:\Users\marcelo.saboia\Documents\backup - diarq - 13.06.25\Atividade Semanal - Equipe\z. INDICADORES - POR DIA\[INDICADORES - Junho-Julho_2025_backup.xlsx]Diego'!AF3+'C:\Users\marcelo.saboia\Documents\backup - diarq - 13.06.25\Atividade Semanal - Equipe\z. INDICADORES - POR DIA\[INDICADORES - Junho-Julho_2025_backup.xlsx]Aelton'!AF3+'C:\Users\marcelo.saboia\Documents\backup - diarq - 13.06.25\Atividade Semanal - Equipe\z. INDICADORES - POR DIA\[INDICADORES - Junho-Julho_2025_backup.xlsx]Leonam'!AF3+'C:\Users\marcelo.saboia\Documents\backup - diarq - 13.06.25\Atividade Semanal - Equipe\z. INDICADORES - POR DIA\[INDICADORES - Junho-Julho_2025_backup.xlsx]Danilo'!AF3+'C:\Users\marcelo.saboia\Documents\backup - diarq - 13.06.25\Atividade Semanal - Equipe\z. INDICADORES - POR DIA\[INDICADORES - Junho-Julho_2025_backup.xlsx]Marcos'!AF3+'C:\Users\marcelo.saboia\Documents\backup - diarq - 13.06.25\Atividade Semanal - Equipe\z. INDICADORES - POR DIA\[INDICADORES - Junho-Julho_2025_backup.xlsx]Carlos'!AF3+'C:\Users\marcelo.saboia\Documents\backup - diarq - 13.06.25\Atividade Semanal - Equipe\z. INDICADORES - POR DIA\[INDICADORES - Junho-Julho_2025_backup.xlsx]Alessandro'!AF3</f>
    </oc>
    <nc r="G3">
      <f>Diego!L3+Aelton!L3+Leonam!L3+Danilo!L3+Marcos!L3+Carlos!L3+Alessandro!L3</f>
    </nc>
    <odxf>
      <numFmt numFmtId="0" formatCode="General"/>
      <fill>
        <patternFill>
          <bgColor theme="0"/>
        </patternFill>
      </fill>
    </odxf>
    <ndxf>
      <numFmt numFmtId="3" formatCode="#,##0"/>
      <fill>
        <patternFill>
          <bgColor rgb="FFFFFF00"/>
        </patternFill>
      </fill>
    </ndxf>
  </rcc>
  <rcc rId="670" sId="3">
    <oc r="G4">
      <f>'C:\Users\marcelo.saboia\Documents\backup - diarq - 13.06.25\Atividade Semanal - Equipe\z. INDICADORES - POR DIA\[INDICADORES - Junho-Julho_2025_backup.xlsx]Diego'!AF4+'C:\Users\marcelo.saboia\Documents\backup - diarq - 13.06.25\Atividade Semanal - Equipe\z. INDICADORES - POR DIA\[INDICADORES - Junho-Julho_2025_backup.xlsx]Aelton'!AF4+'C:\Users\marcelo.saboia\Documents\backup - diarq - 13.06.25\Atividade Semanal - Equipe\z. INDICADORES - POR DIA\[INDICADORES - Junho-Julho_2025_backup.xlsx]Leonam'!AF4+'C:\Users\marcelo.saboia\Documents\backup - diarq - 13.06.25\Atividade Semanal - Equipe\z. INDICADORES - POR DIA\[INDICADORES - Junho-Julho_2025_backup.xlsx]Danilo'!AF4+'C:\Users\marcelo.saboia\Documents\backup - diarq - 13.06.25\Atividade Semanal - Equipe\z. INDICADORES - POR DIA\[INDICADORES - Junho-Julho_2025_backup.xlsx]Marcos'!AF4+'C:\Users\marcelo.saboia\Documents\backup - diarq - 13.06.25\Atividade Semanal - Equipe\z. INDICADORES - POR DIA\[INDICADORES - Junho-Julho_2025_backup.xlsx]Carlos'!AF4+'C:\Users\marcelo.saboia\Documents\backup - diarq - 13.06.25\Atividade Semanal - Equipe\z. INDICADORES - POR DIA\[INDICADORES - Junho-Julho_2025_backup.xlsx]Alessandro'!AF4</f>
    </oc>
    <nc r="G4">
      <f>Diego!L4+Aelton!L4+Leonam!L4+Danilo!L4+Marcos!L4+Carlos!L4+Alessandro!L4</f>
    </nc>
  </rcc>
  <rfmt sheetId="3" sqref="G5" start="0" length="0">
    <dxf>
      <numFmt numFmtId="3" formatCode="#,##0"/>
      <fill>
        <patternFill>
          <bgColor rgb="FFFFFF00"/>
        </patternFill>
      </fill>
    </dxf>
  </rfmt>
  <rcc rId="671" sId="3">
    <oc r="G6">
      <f>'C:\Users\marcelo.saboia\Documents\backup - diarq - 13.06.25\Atividade Semanal - Equipe\z. INDICADORES - POR DIA\[INDICADORES - Junho-Julho_2025_backup.xlsx]Diego'!AF6+'C:\Users\marcelo.saboia\Documents\backup - diarq - 13.06.25\Atividade Semanal - Equipe\z. INDICADORES - POR DIA\[INDICADORES - Junho-Julho_2025_backup.xlsx]Aelton'!AF6+'C:\Users\marcelo.saboia\Documents\backup - diarq - 13.06.25\Atividade Semanal - Equipe\z. INDICADORES - POR DIA\[INDICADORES - Junho-Julho_2025_backup.xlsx]Leonam'!AF6+'C:\Users\marcelo.saboia\Documents\backup - diarq - 13.06.25\Atividade Semanal - Equipe\z. INDICADORES - POR DIA\[INDICADORES - Junho-Julho_2025_backup.xlsx]Danilo'!AF6+'C:\Users\marcelo.saboia\Documents\backup - diarq - 13.06.25\Atividade Semanal - Equipe\z. INDICADORES - POR DIA\[INDICADORES - Junho-Julho_2025_backup.xlsx]Marcos'!AF6+'C:\Users\marcelo.saboia\Documents\backup - diarq - 13.06.25\Atividade Semanal - Equipe\z. INDICADORES - POR DIA\[INDICADORES - Junho-Julho_2025_backup.xlsx]Carlos'!AF6+'C:\Users\marcelo.saboia\Documents\backup - diarq - 13.06.25\Atividade Semanal - Equipe\z. INDICADORES - POR DIA\[INDICADORES - Junho-Julho_2025_backup.xlsx]Alessandro'!AF6</f>
    </oc>
    <nc r="G6">
      <f>Diego!L6+Aelton!L6+Leonam!L6+Danilo!L6+Marcos!L6+Carlos!L6+Alessandro!L6</f>
    </nc>
  </rcc>
  <rfmt sheetId="3" sqref="G7" start="0" length="0">
    <dxf>
      <numFmt numFmtId="3" formatCode="#,##0"/>
      <fill>
        <patternFill>
          <bgColor rgb="FFFFFF00"/>
        </patternFill>
      </fill>
    </dxf>
  </rfmt>
  <rcc rId="672" sId="3">
    <oc r="G8">
      <f>'C:\Users\marcelo.saboia\Documents\backup - diarq - 13.06.25\Atividade Semanal - Equipe\z. INDICADORES - POR DIA\[INDICADORES - Junho-Julho_2025_backup.xlsx]Diego'!AF8+'C:\Users\marcelo.saboia\Documents\backup - diarq - 13.06.25\Atividade Semanal - Equipe\z. INDICADORES - POR DIA\[INDICADORES - Junho-Julho_2025_backup.xlsx]Aelton'!AF8+'C:\Users\marcelo.saboia\Documents\backup - diarq - 13.06.25\Atividade Semanal - Equipe\z. INDICADORES - POR DIA\[INDICADORES - Junho-Julho_2025_backup.xlsx]Leonam'!AF8+'C:\Users\marcelo.saboia\Documents\backup - diarq - 13.06.25\Atividade Semanal - Equipe\z. INDICADORES - POR DIA\[INDICADORES - Junho-Julho_2025_backup.xlsx]Danilo'!AF8+'C:\Users\marcelo.saboia\Documents\backup - diarq - 13.06.25\Atividade Semanal - Equipe\z. INDICADORES - POR DIA\[INDICADORES - Junho-Julho_2025_backup.xlsx]Marcos'!AF8+'C:\Users\marcelo.saboia\Documents\backup - diarq - 13.06.25\Atividade Semanal - Equipe\z. INDICADORES - POR DIA\[INDICADORES - Junho-Julho_2025_backup.xlsx]Carlos'!AF8+'C:\Users\marcelo.saboia\Documents\backup - diarq - 13.06.25\Atividade Semanal - Equipe\z. INDICADORES - POR DIA\[INDICADORES - Junho-Julho_2025_backup.xlsx]Alessandro'!AF8</f>
    </oc>
    <nc r="G8">
      <f>Diego!L8+Aelton!L8+Leonam!L8+Danilo!L8+Marcos!L8+Carlos!L8+Alessandro!L8</f>
    </nc>
  </rcc>
  <rfmt sheetId="3" sqref="G9" start="0" length="0">
    <dxf>
      <numFmt numFmtId="3" formatCode="#,##0"/>
      <fill>
        <patternFill>
          <bgColor rgb="FFFFFF00"/>
        </patternFill>
      </fill>
    </dxf>
  </rfmt>
  <rcc rId="673" sId="3">
    <oc r="G10">
      <f>'C:\Users\marcelo.saboia\Documents\backup - diarq - 13.06.25\Atividade Semanal - Equipe\z. INDICADORES - POR DIA\[INDICADORES - Junho-Julho_2025_backup.xlsx]Diego'!AF10+'C:\Users\marcelo.saboia\Documents\backup - diarq - 13.06.25\Atividade Semanal - Equipe\z. INDICADORES - POR DIA\[INDICADORES - Junho-Julho_2025_backup.xlsx]Aelton'!AF10+'C:\Users\marcelo.saboia\Documents\backup - diarq - 13.06.25\Atividade Semanal - Equipe\z. INDICADORES - POR DIA\[INDICADORES - Junho-Julho_2025_backup.xlsx]Leonam'!AF10+'C:\Users\marcelo.saboia\Documents\backup - diarq - 13.06.25\Atividade Semanal - Equipe\z. INDICADORES - POR DIA\[INDICADORES - Junho-Julho_2025_backup.xlsx]Danilo'!AF10+'C:\Users\marcelo.saboia\Documents\backup - diarq - 13.06.25\Atividade Semanal - Equipe\z. INDICADORES - POR DIA\[INDICADORES - Junho-Julho_2025_backup.xlsx]Marcos'!AF10+'C:\Users\marcelo.saboia\Documents\backup - diarq - 13.06.25\Atividade Semanal - Equipe\z. INDICADORES - POR DIA\[INDICADORES - Junho-Julho_2025_backup.xlsx]Carlos'!AF10+'C:\Users\marcelo.saboia\Documents\backup - diarq - 13.06.25\Atividade Semanal - Equipe\z. INDICADORES - POR DIA\[INDICADORES - Junho-Julho_2025_backup.xlsx]Alessandro'!AF10</f>
    </oc>
    <nc r="G10">
      <f>Diego!L10+Aelton!L10+Leonam!L10+Danilo!L10+Marcos!L10+Carlos!L10+Alessandro!L10</f>
    </nc>
  </rcc>
  <rfmt sheetId="3" sqref="G11" start="0" length="0">
    <dxf>
      <numFmt numFmtId="3" formatCode="#,##0"/>
      <fill>
        <patternFill>
          <bgColor rgb="FFFFFF00"/>
        </patternFill>
      </fill>
    </dxf>
  </rfmt>
  <rcc rId="674" sId="3">
    <oc r="G12">
      <f>'C:\Users\marcelo.saboia\Documents\backup - diarq - 13.06.25\Atividade Semanal - Equipe\z. INDICADORES - POR DIA\[INDICADORES - Junho-Julho_2025_backup.xlsx]Diego'!AF12+'C:\Users\marcelo.saboia\Documents\backup - diarq - 13.06.25\Atividade Semanal - Equipe\z. INDICADORES - POR DIA\[INDICADORES - Junho-Julho_2025_backup.xlsx]Aelton'!AF12+'C:\Users\marcelo.saboia\Documents\backup - diarq - 13.06.25\Atividade Semanal - Equipe\z. INDICADORES - POR DIA\[INDICADORES - Junho-Julho_2025_backup.xlsx]Leonam'!AF12+'C:\Users\marcelo.saboia\Documents\backup - diarq - 13.06.25\Atividade Semanal - Equipe\z. INDICADORES - POR DIA\[INDICADORES - Junho-Julho_2025_backup.xlsx]Danilo'!AF12+'C:\Users\marcelo.saboia\Documents\backup - diarq - 13.06.25\Atividade Semanal - Equipe\z. INDICADORES - POR DIA\[INDICADORES - Junho-Julho_2025_backup.xlsx]Marcos'!AF12+'C:\Users\marcelo.saboia\Documents\backup - diarq - 13.06.25\Atividade Semanal - Equipe\z. INDICADORES - POR DIA\[INDICADORES - Junho-Julho_2025_backup.xlsx]Carlos'!AF12+'C:\Users\marcelo.saboia\Documents\backup - diarq - 13.06.25\Atividade Semanal - Equipe\z. INDICADORES - POR DIA\[INDICADORES - Junho-Julho_2025_backup.xlsx]Alessandro'!AF12</f>
    </oc>
    <nc r="G12">
      <f>Diego!L12+Aelton!L12+Leonam!L12+Danilo!L12+Marcos!L12+Carlos!L12+Alessandro!L12</f>
    </nc>
  </rcc>
  <rfmt sheetId="3" sqref="G13" start="0" length="0">
    <dxf>
      <numFmt numFmtId="3" formatCode="#,##0"/>
      <fill>
        <patternFill>
          <bgColor rgb="FFFFFF00"/>
        </patternFill>
      </fill>
    </dxf>
  </rfmt>
  <rcc rId="675" sId="3">
    <oc r="G14">
      <f>'C:\Users\marcelo.saboia\Documents\backup - diarq - 13.06.25\Atividade Semanal - Equipe\z. INDICADORES - POR DIA\[INDICADORES - Junho-Julho_2025_backup.xlsx]Diego'!AF14+'C:\Users\marcelo.saboia\Documents\backup - diarq - 13.06.25\Atividade Semanal - Equipe\z. INDICADORES - POR DIA\[INDICADORES - Junho-Julho_2025_backup.xlsx]Aelton'!AF14+'C:\Users\marcelo.saboia\Documents\backup - diarq - 13.06.25\Atividade Semanal - Equipe\z. INDICADORES - POR DIA\[INDICADORES - Junho-Julho_2025_backup.xlsx]Leonam'!AF14+'C:\Users\marcelo.saboia\Documents\backup - diarq - 13.06.25\Atividade Semanal - Equipe\z. INDICADORES - POR DIA\[INDICADORES - Junho-Julho_2025_backup.xlsx]Danilo'!AF14+'C:\Users\marcelo.saboia\Documents\backup - diarq - 13.06.25\Atividade Semanal - Equipe\z. INDICADORES - POR DIA\[INDICADORES - Junho-Julho_2025_backup.xlsx]Marcos'!AF14+'C:\Users\marcelo.saboia\Documents\backup - diarq - 13.06.25\Atividade Semanal - Equipe\z. INDICADORES - POR DIA\[INDICADORES - Junho-Julho_2025_backup.xlsx]Carlos'!AF14+'C:\Users\marcelo.saboia\Documents\backup - diarq - 13.06.25\Atividade Semanal - Equipe\z. INDICADORES - POR DIA\[INDICADORES - Junho-Julho_2025_backup.xlsx]Alessandro'!AF14</f>
    </oc>
    <nc r="G14">
      <f>Diego!L14+Aelton!L14+Leonam!L14+Danilo!L14+Marcos!L14+Carlos!L14+Alessandro!L14</f>
    </nc>
  </rcc>
  <rfmt sheetId="3" sqref="G15" start="0" length="0">
    <dxf>
      <numFmt numFmtId="3" formatCode="#,##0"/>
      <fill>
        <patternFill>
          <bgColor rgb="FFFFFF00"/>
        </patternFill>
      </fill>
    </dxf>
  </rfmt>
  <rcc rId="676" sId="3">
    <oc r="G16">
      <f>'C:\Users\marcelo.saboia\Documents\backup - diarq - 13.06.25\Atividade Semanal - Equipe\z. INDICADORES - POR DIA\[INDICADORES - Junho-Julho_2025_backup.xlsx]Diego'!AF16+'C:\Users\marcelo.saboia\Documents\backup - diarq - 13.06.25\Atividade Semanal - Equipe\z. INDICADORES - POR DIA\[INDICADORES - Junho-Julho_2025_backup.xlsx]Aelton'!AF16+'C:\Users\marcelo.saboia\Documents\backup - diarq - 13.06.25\Atividade Semanal - Equipe\z. INDICADORES - POR DIA\[INDICADORES - Junho-Julho_2025_backup.xlsx]Leonam'!AF16+'C:\Users\marcelo.saboia\Documents\backup - diarq - 13.06.25\Atividade Semanal - Equipe\z. INDICADORES - POR DIA\[INDICADORES - Junho-Julho_2025_backup.xlsx]Danilo'!AF16+'C:\Users\marcelo.saboia\Documents\backup - diarq - 13.06.25\Atividade Semanal - Equipe\z. INDICADORES - POR DIA\[INDICADORES - Junho-Julho_2025_backup.xlsx]Marcos'!AF16+'C:\Users\marcelo.saboia\Documents\backup - diarq - 13.06.25\Atividade Semanal - Equipe\z. INDICADORES - POR DIA\[INDICADORES - Junho-Julho_2025_backup.xlsx]Carlos'!AF16+'C:\Users\marcelo.saboia\Documents\backup - diarq - 13.06.25\Atividade Semanal - Equipe\z. INDICADORES - POR DIA\[INDICADORES - Junho-Julho_2025_backup.xlsx]Alessandro'!AF16</f>
    </oc>
    <nc r="G16">
      <f>Diego!L16+Aelton!L16+Leonam!L16+Danilo!L16+Marcos!L16+Carlos!L16+Alessandro!L16</f>
    </nc>
  </rcc>
  <rcc rId="677" sId="3">
    <oc r="H2">
      <f>'C:\Users\marcelo.saboia\Documents\backup - diarq - 13.06.25\Atividade Semanal - Equipe\z. INDICADORES - POR DIA\[INDICADORES - Junho-Julho_2025_backup.xlsx]Diego'!AL2+'C:\Users\marcelo.saboia\Documents\backup - diarq - 13.06.25\Atividade Semanal - Equipe\z. INDICADORES - POR DIA\[INDICADORES - Junho-Julho_2025_backup.xlsx]Aelton'!AL2+'C:\Users\marcelo.saboia\Documents\backup - diarq - 13.06.25\Atividade Semanal - Equipe\z. INDICADORES - POR DIA\[INDICADORES - Junho-Julho_2025_backup.xlsx]Leonam'!AL2+'C:\Users\marcelo.saboia\Documents\backup - diarq - 13.06.25\Atividade Semanal - Equipe\z. INDICADORES - POR DIA\[INDICADORES - Junho-Julho_2025_backup.xlsx]Danilo'!AL2+'C:\Users\marcelo.saboia\Documents\backup - diarq - 13.06.25\Atividade Semanal - Equipe\z. INDICADORES - POR DIA\[INDICADORES - Junho-Julho_2025_backup.xlsx]Marcos'!AL2+'C:\Users\marcelo.saboia\Documents\backup - diarq - 13.06.25\Atividade Semanal - Equipe\z. INDICADORES - POR DIA\[INDICADORES - Junho-Julho_2025_backup.xlsx]Carlos'!AL2+'C:\Users\marcelo.saboia\Documents\backup - diarq - 13.06.25\Atividade Semanal - Equipe\z. INDICADORES - POR DIA\[INDICADORES - Junho-Julho_2025_backup.xlsx]Alessandro'!AL2</f>
    </oc>
    <nc r="H2">
      <f>Diego!M2+Aelton!M2+Leonam!M2+Danilo!M2+Marcos!M2+Carlos!M2+Alessandro!M2</f>
    </nc>
  </rcc>
  <rcc rId="678" sId="3" odxf="1" dxf="1">
    <oc r="H3">
      <f>'C:\Users\marcelo.saboia\Documents\backup - diarq - 13.06.25\Atividade Semanal - Equipe\z. INDICADORES - POR DIA\[INDICADORES - Junho-Julho_2025_backup.xlsx]Diego'!AL3+'C:\Users\marcelo.saboia\Documents\backup - diarq - 13.06.25\Atividade Semanal - Equipe\z. INDICADORES - POR DIA\[INDICADORES - Junho-Julho_2025_backup.xlsx]Aelton'!AL3+'C:\Users\marcelo.saboia\Documents\backup - diarq - 13.06.25\Atividade Semanal - Equipe\z. INDICADORES - POR DIA\[INDICADORES - Junho-Julho_2025_backup.xlsx]Leonam'!AL3+'C:\Users\marcelo.saboia\Documents\backup - diarq - 13.06.25\Atividade Semanal - Equipe\z. INDICADORES - POR DIA\[INDICADORES - Junho-Julho_2025_backup.xlsx]Danilo'!AL3+'C:\Users\marcelo.saboia\Documents\backup - diarq - 13.06.25\Atividade Semanal - Equipe\z. INDICADORES - POR DIA\[INDICADORES - Junho-Julho_2025_backup.xlsx]Marcos'!AL3+'C:\Users\marcelo.saboia\Documents\backup - diarq - 13.06.25\Atividade Semanal - Equipe\z. INDICADORES - POR DIA\[INDICADORES - Junho-Julho_2025_backup.xlsx]Carlos'!AL3+'C:\Users\marcelo.saboia\Documents\backup - diarq - 13.06.25\Atividade Semanal - Equipe\z. INDICADORES - POR DIA\[INDICADORES - Junho-Julho_2025_backup.xlsx]Alessandro'!AL3</f>
    </oc>
    <nc r="H3">
      <f>Diego!M3+Aelton!M3+Leonam!M3+Danilo!M3+Marcos!M3+Carlos!M3+Alessandro!M3</f>
    </nc>
    <odxf>
      <numFmt numFmtId="0" formatCode="General"/>
      <fill>
        <patternFill>
          <bgColor theme="0"/>
        </patternFill>
      </fill>
    </odxf>
    <ndxf>
      <numFmt numFmtId="3" formatCode="#,##0"/>
      <fill>
        <patternFill>
          <bgColor rgb="FFFFFF00"/>
        </patternFill>
      </fill>
    </ndxf>
  </rcc>
  <rcc rId="679" sId="3">
    <oc r="H4">
      <f>'C:\Users\marcelo.saboia\Documents\backup - diarq - 13.06.25\Atividade Semanal - Equipe\z. INDICADORES - POR DIA\[INDICADORES - Junho-Julho_2025_backup.xlsx]Diego'!AL4+'C:\Users\marcelo.saboia\Documents\backup - diarq - 13.06.25\Atividade Semanal - Equipe\z. INDICADORES - POR DIA\[INDICADORES - Junho-Julho_2025_backup.xlsx]Aelton'!AL4+'C:\Users\marcelo.saboia\Documents\backup - diarq - 13.06.25\Atividade Semanal - Equipe\z. INDICADORES - POR DIA\[INDICADORES - Junho-Julho_2025_backup.xlsx]Leonam'!AL4+'C:\Users\marcelo.saboia\Documents\backup - diarq - 13.06.25\Atividade Semanal - Equipe\z. INDICADORES - POR DIA\[INDICADORES - Junho-Julho_2025_backup.xlsx]Danilo'!AL4+'C:\Users\marcelo.saboia\Documents\backup - diarq - 13.06.25\Atividade Semanal - Equipe\z. INDICADORES - POR DIA\[INDICADORES - Junho-Julho_2025_backup.xlsx]Marcos'!AL4+'C:\Users\marcelo.saboia\Documents\backup - diarq - 13.06.25\Atividade Semanal - Equipe\z. INDICADORES - POR DIA\[INDICADORES - Junho-Julho_2025_backup.xlsx]Carlos'!AL4+'C:\Users\marcelo.saboia\Documents\backup - diarq - 13.06.25\Atividade Semanal - Equipe\z. INDICADORES - POR DIA\[INDICADORES - Junho-Julho_2025_backup.xlsx]Alessandro'!AL4</f>
    </oc>
    <nc r="H4">
      <f>Diego!M4+Aelton!M4+Leonam!M4+Danilo!M4+Marcos!M4+Carlos!M4+Alessandro!M4</f>
    </nc>
  </rcc>
  <rfmt sheetId="3" sqref="H5" start="0" length="0">
    <dxf>
      <numFmt numFmtId="3" formatCode="#,##0"/>
      <fill>
        <patternFill>
          <bgColor rgb="FFFFFF00"/>
        </patternFill>
      </fill>
    </dxf>
  </rfmt>
  <rcc rId="680" sId="3">
    <oc r="H6">
      <f>'C:\Users\marcelo.saboia\Documents\backup - diarq - 13.06.25\Atividade Semanal - Equipe\z. INDICADORES - POR DIA\[INDICADORES - Junho-Julho_2025_backup.xlsx]Diego'!AL6+'C:\Users\marcelo.saboia\Documents\backup - diarq - 13.06.25\Atividade Semanal - Equipe\z. INDICADORES - POR DIA\[INDICADORES - Junho-Julho_2025_backup.xlsx]Aelton'!AL6+'C:\Users\marcelo.saboia\Documents\backup - diarq - 13.06.25\Atividade Semanal - Equipe\z. INDICADORES - POR DIA\[INDICADORES - Junho-Julho_2025_backup.xlsx]Leonam'!AL6+'C:\Users\marcelo.saboia\Documents\backup - diarq - 13.06.25\Atividade Semanal - Equipe\z. INDICADORES - POR DIA\[INDICADORES - Junho-Julho_2025_backup.xlsx]Danilo'!AL6+'C:\Users\marcelo.saboia\Documents\backup - diarq - 13.06.25\Atividade Semanal - Equipe\z. INDICADORES - POR DIA\[INDICADORES - Junho-Julho_2025_backup.xlsx]Marcos'!AL6+'C:\Users\marcelo.saboia\Documents\backup - diarq - 13.06.25\Atividade Semanal - Equipe\z. INDICADORES - POR DIA\[INDICADORES - Junho-Julho_2025_backup.xlsx]Carlos'!AL6+'C:\Users\marcelo.saboia\Documents\backup - diarq - 13.06.25\Atividade Semanal - Equipe\z. INDICADORES - POR DIA\[INDICADORES - Junho-Julho_2025_backup.xlsx]Alessandro'!AL6</f>
    </oc>
    <nc r="H6">
      <f>Diego!M6+Aelton!M6+Leonam!M6+Danilo!M6+Marcos!M6+Carlos!M6+Alessandro!M6</f>
    </nc>
  </rcc>
  <rfmt sheetId="3" sqref="H7" start="0" length="0">
    <dxf>
      <numFmt numFmtId="3" formatCode="#,##0"/>
      <fill>
        <patternFill>
          <bgColor rgb="FFFFFF00"/>
        </patternFill>
      </fill>
    </dxf>
  </rfmt>
  <rcc rId="681" sId="3">
    <oc r="H8">
      <f>'C:\Users\marcelo.saboia\Documents\backup - diarq - 13.06.25\Atividade Semanal - Equipe\z. INDICADORES - POR DIA\[INDICADORES - Junho-Julho_2025_backup.xlsx]Diego'!AL8+'C:\Users\marcelo.saboia\Documents\backup - diarq - 13.06.25\Atividade Semanal - Equipe\z. INDICADORES - POR DIA\[INDICADORES - Junho-Julho_2025_backup.xlsx]Aelton'!AL8+'C:\Users\marcelo.saboia\Documents\backup - diarq - 13.06.25\Atividade Semanal - Equipe\z. INDICADORES - POR DIA\[INDICADORES - Junho-Julho_2025_backup.xlsx]Leonam'!AL8+'C:\Users\marcelo.saboia\Documents\backup - diarq - 13.06.25\Atividade Semanal - Equipe\z. INDICADORES - POR DIA\[INDICADORES - Junho-Julho_2025_backup.xlsx]Danilo'!AL8+'C:\Users\marcelo.saboia\Documents\backup - diarq - 13.06.25\Atividade Semanal - Equipe\z. INDICADORES - POR DIA\[INDICADORES - Junho-Julho_2025_backup.xlsx]Marcos'!AL8+'C:\Users\marcelo.saboia\Documents\backup - diarq - 13.06.25\Atividade Semanal - Equipe\z. INDICADORES - POR DIA\[INDICADORES - Junho-Julho_2025_backup.xlsx]Carlos'!AL8+'C:\Users\marcelo.saboia\Documents\backup - diarq - 13.06.25\Atividade Semanal - Equipe\z. INDICADORES - POR DIA\[INDICADORES - Junho-Julho_2025_backup.xlsx]Alessandro'!AL8</f>
    </oc>
    <nc r="H8">
      <f>Diego!M8+Aelton!M8+Leonam!M8+Danilo!M8+Marcos!M8+Carlos!M8+Alessandro!M8</f>
    </nc>
  </rcc>
  <rfmt sheetId="3" sqref="H9" start="0" length="0">
    <dxf>
      <numFmt numFmtId="3" formatCode="#,##0"/>
      <fill>
        <patternFill>
          <bgColor rgb="FFFFFF00"/>
        </patternFill>
      </fill>
    </dxf>
  </rfmt>
  <rcc rId="682" sId="3">
    <oc r="H10">
      <f>'C:\Users\marcelo.saboia\Documents\backup - diarq - 13.06.25\Atividade Semanal - Equipe\z. INDICADORES - POR DIA\[INDICADORES - Junho-Julho_2025_backup.xlsx]Diego'!AL10+'C:\Users\marcelo.saboia\Documents\backup - diarq - 13.06.25\Atividade Semanal - Equipe\z. INDICADORES - POR DIA\[INDICADORES - Junho-Julho_2025_backup.xlsx]Aelton'!AL10+'C:\Users\marcelo.saboia\Documents\backup - diarq - 13.06.25\Atividade Semanal - Equipe\z. INDICADORES - POR DIA\[INDICADORES - Junho-Julho_2025_backup.xlsx]Leonam'!AL10+'C:\Users\marcelo.saboia\Documents\backup - diarq - 13.06.25\Atividade Semanal - Equipe\z. INDICADORES - POR DIA\[INDICADORES - Junho-Julho_2025_backup.xlsx]Danilo'!AL10+'C:\Users\marcelo.saboia\Documents\backup - diarq - 13.06.25\Atividade Semanal - Equipe\z. INDICADORES - POR DIA\[INDICADORES - Junho-Julho_2025_backup.xlsx]Marcos'!AL10+'C:\Users\marcelo.saboia\Documents\backup - diarq - 13.06.25\Atividade Semanal - Equipe\z. INDICADORES - POR DIA\[INDICADORES - Junho-Julho_2025_backup.xlsx]Carlos'!AL10+'C:\Users\marcelo.saboia\Documents\backup - diarq - 13.06.25\Atividade Semanal - Equipe\z. INDICADORES - POR DIA\[INDICADORES - Junho-Julho_2025_backup.xlsx]Alessandro'!AL10</f>
    </oc>
    <nc r="H10">
      <f>Diego!M10+Aelton!M10+Leonam!M10+Danilo!M10+Marcos!M10+Carlos!M10+Alessandro!M10</f>
    </nc>
  </rcc>
  <rfmt sheetId="3" sqref="H11" start="0" length="0">
    <dxf>
      <numFmt numFmtId="3" formatCode="#,##0"/>
      <fill>
        <patternFill>
          <bgColor rgb="FFFFFF00"/>
        </patternFill>
      </fill>
    </dxf>
  </rfmt>
  <rcc rId="683" sId="3">
    <oc r="H12">
      <f>'C:\Users\marcelo.saboia\Documents\backup - diarq - 13.06.25\Atividade Semanal - Equipe\z. INDICADORES - POR DIA\[INDICADORES - Junho-Julho_2025_backup.xlsx]Diego'!AL12+'C:\Users\marcelo.saboia\Documents\backup - diarq - 13.06.25\Atividade Semanal - Equipe\z. INDICADORES - POR DIA\[INDICADORES - Junho-Julho_2025_backup.xlsx]Aelton'!AL12+'C:\Users\marcelo.saboia\Documents\backup - diarq - 13.06.25\Atividade Semanal - Equipe\z. INDICADORES - POR DIA\[INDICADORES - Junho-Julho_2025_backup.xlsx]Leonam'!AL12+'C:\Users\marcelo.saboia\Documents\backup - diarq - 13.06.25\Atividade Semanal - Equipe\z. INDICADORES - POR DIA\[INDICADORES - Junho-Julho_2025_backup.xlsx]Danilo'!AL12+'C:\Users\marcelo.saboia\Documents\backup - diarq - 13.06.25\Atividade Semanal - Equipe\z. INDICADORES - POR DIA\[INDICADORES - Junho-Julho_2025_backup.xlsx]Marcos'!AL12+'C:\Users\marcelo.saboia\Documents\backup - diarq - 13.06.25\Atividade Semanal - Equipe\z. INDICADORES - POR DIA\[INDICADORES - Junho-Julho_2025_backup.xlsx]Carlos'!AL12+'C:\Users\marcelo.saboia\Documents\backup - diarq - 13.06.25\Atividade Semanal - Equipe\z. INDICADORES - POR DIA\[INDICADORES - Junho-Julho_2025_backup.xlsx]Alessandro'!AL12</f>
    </oc>
    <nc r="H12">
      <f>Diego!M12+Aelton!M12+Leonam!M12+Danilo!M12+Marcos!M12+Carlos!M12+Alessandro!M12</f>
    </nc>
  </rcc>
  <rfmt sheetId="3" sqref="H13" start="0" length="0">
    <dxf>
      <numFmt numFmtId="3" formatCode="#,##0"/>
      <fill>
        <patternFill>
          <bgColor rgb="FFFFFF00"/>
        </patternFill>
      </fill>
    </dxf>
  </rfmt>
  <rcc rId="684" sId="3">
    <oc r="H14">
      <f>'C:\Users\marcelo.saboia\Documents\backup - diarq - 13.06.25\Atividade Semanal - Equipe\z. INDICADORES - POR DIA\[INDICADORES - Junho-Julho_2025_backup.xlsx]Diego'!AL14+'C:\Users\marcelo.saboia\Documents\backup - diarq - 13.06.25\Atividade Semanal - Equipe\z. INDICADORES - POR DIA\[INDICADORES - Junho-Julho_2025_backup.xlsx]Aelton'!AL14+'C:\Users\marcelo.saboia\Documents\backup - diarq - 13.06.25\Atividade Semanal - Equipe\z. INDICADORES - POR DIA\[INDICADORES - Junho-Julho_2025_backup.xlsx]Leonam'!AL14+'C:\Users\marcelo.saboia\Documents\backup - diarq - 13.06.25\Atividade Semanal - Equipe\z. INDICADORES - POR DIA\[INDICADORES - Junho-Julho_2025_backup.xlsx]Danilo'!AL14+'C:\Users\marcelo.saboia\Documents\backup - diarq - 13.06.25\Atividade Semanal - Equipe\z. INDICADORES - POR DIA\[INDICADORES - Junho-Julho_2025_backup.xlsx]Marcos'!AL14+'C:\Users\marcelo.saboia\Documents\backup - diarq - 13.06.25\Atividade Semanal - Equipe\z. INDICADORES - POR DIA\[INDICADORES - Junho-Julho_2025_backup.xlsx]Carlos'!AL14+'C:\Users\marcelo.saboia\Documents\backup - diarq - 13.06.25\Atividade Semanal - Equipe\z. INDICADORES - POR DIA\[INDICADORES - Junho-Julho_2025_backup.xlsx]Alessandro'!AL14</f>
    </oc>
    <nc r="H14">
      <f>Diego!M14+Aelton!M14+Leonam!M14+Danilo!M14+Marcos!M14+Carlos!M14+Alessandro!M14</f>
    </nc>
  </rcc>
  <rfmt sheetId="3" sqref="H15" start="0" length="0">
    <dxf>
      <numFmt numFmtId="3" formatCode="#,##0"/>
      <fill>
        <patternFill>
          <bgColor rgb="FFFFFF00"/>
        </patternFill>
      </fill>
    </dxf>
  </rfmt>
  <rcc rId="685" sId="3">
    <oc r="H16">
      <f>'C:\Users\marcelo.saboia\Documents\backup - diarq - 13.06.25\Atividade Semanal - Equipe\z. INDICADORES - POR DIA\[INDICADORES - Junho-Julho_2025_backup.xlsx]Diego'!AL16+'C:\Users\marcelo.saboia\Documents\backup - diarq - 13.06.25\Atividade Semanal - Equipe\z. INDICADORES - POR DIA\[INDICADORES - Junho-Julho_2025_backup.xlsx]Aelton'!AL16+'C:\Users\marcelo.saboia\Documents\backup - diarq - 13.06.25\Atividade Semanal - Equipe\z. INDICADORES - POR DIA\[INDICADORES - Junho-Julho_2025_backup.xlsx]Leonam'!AL16+'C:\Users\marcelo.saboia\Documents\backup - diarq - 13.06.25\Atividade Semanal - Equipe\z. INDICADORES - POR DIA\[INDICADORES - Junho-Julho_2025_backup.xlsx]Danilo'!AL16+'C:\Users\marcelo.saboia\Documents\backup - diarq - 13.06.25\Atividade Semanal - Equipe\z. INDICADORES - POR DIA\[INDICADORES - Junho-Julho_2025_backup.xlsx]Marcos'!AL16+'C:\Users\marcelo.saboia\Documents\backup - diarq - 13.06.25\Atividade Semanal - Equipe\z. INDICADORES - POR DIA\[INDICADORES - Junho-Julho_2025_backup.xlsx]Carlos'!AL16+'C:\Users\marcelo.saboia\Documents\backup - diarq - 13.06.25\Atividade Semanal - Equipe\z. INDICADORES - POR DIA\[INDICADORES - Junho-Julho_2025_backup.xlsx]Alessandro'!AL16</f>
    </oc>
    <nc r="H16">
      <f>Diego!M16+Aelton!M16+Leonam!M16+Danilo!M16+Marcos!M16+Carlos!M16+Alessandro!M16</f>
    </nc>
  </rcc>
  <rcc rId="686" sId="3">
    <oc r="I2">
      <f>'C:\Users\marcelo.saboia\Documents\backup - diarq - 13.06.25\Atividade Semanal - Equipe\z. INDICADORES - POR DIA\[INDICADORES - Junho-Julho_2025_backup.xlsx]Diego'!AR2+'C:\Users\marcelo.saboia\Documents\backup - diarq - 13.06.25\Atividade Semanal - Equipe\z. INDICADORES - POR DIA\[INDICADORES - Junho-Julho_2025_backup.xlsx]Aelton'!AR2+'C:\Users\marcelo.saboia\Documents\backup - diarq - 13.06.25\Atividade Semanal - Equipe\z. INDICADORES - POR DIA\[INDICADORES - Junho-Julho_2025_backup.xlsx]Leonam'!AR2+'C:\Users\marcelo.saboia\Documents\backup - diarq - 13.06.25\Atividade Semanal - Equipe\z. INDICADORES - POR DIA\[INDICADORES - Junho-Julho_2025_backup.xlsx]Danilo'!AR2+'C:\Users\marcelo.saboia\Documents\backup - diarq - 13.06.25\Atividade Semanal - Equipe\z. INDICADORES - POR DIA\[INDICADORES - Junho-Julho_2025_backup.xlsx]Marcos'!AR2+'C:\Users\marcelo.saboia\Documents\backup - diarq - 13.06.25\Atividade Semanal - Equipe\z. INDICADORES - POR DIA\[INDICADORES - Junho-Julho_2025_backup.xlsx]Carlos'!AR2+'C:\Users\marcelo.saboia\Documents\backup - diarq - 13.06.25\Atividade Semanal - Equipe\z. INDICADORES - POR DIA\[INDICADORES - Junho-Julho_2025_backup.xlsx]Alessandro'!AR2</f>
    </oc>
    <nc r="I2">
      <f>Diego!N2+Aelton!N2+Leonam!N2+Danilo!N2+Marcos!N2+Carlos!N2+Alessandro!N2</f>
    </nc>
  </rcc>
  <rcc rId="687" sId="3" odxf="1" dxf="1">
    <oc r="I3">
      <f>'C:\Users\marcelo.saboia\Documents\backup - diarq - 13.06.25\Atividade Semanal - Equipe\z. INDICADORES - POR DIA\[INDICADORES - Junho-Julho_2025_backup.xlsx]Diego'!AR3+'C:\Users\marcelo.saboia\Documents\backup - diarq - 13.06.25\Atividade Semanal - Equipe\z. INDICADORES - POR DIA\[INDICADORES - Junho-Julho_2025_backup.xlsx]Aelton'!AR3+'C:\Users\marcelo.saboia\Documents\backup - diarq - 13.06.25\Atividade Semanal - Equipe\z. INDICADORES - POR DIA\[INDICADORES - Junho-Julho_2025_backup.xlsx]Leonam'!AR3+'C:\Users\marcelo.saboia\Documents\backup - diarq - 13.06.25\Atividade Semanal - Equipe\z. INDICADORES - POR DIA\[INDICADORES - Junho-Julho_2025_backup.xlsx]Danilo'!AR3+'C:\Users\marcelo.saboia\Documents\backup - diarq - 13.06.25\Atividade Semanal - Equipe\z. INDICADORES - POR DIA\[INDICADORES - Junho-Julho_2025_backup.xlsx]Marcos'!AR3+'C:\Users\marcelo.saboia\Documents\backup - diarq - 13.06.25\Atividade Semanal - Equipe\z. INDICADORES - POR DIA\[INDICADORES - Junho-Julho_2025_backup.xlsx]Carlos'!AR3+'C:\Users\marcelo.saboia\Documents\backup - diarq - 13.06.25\Atividade Semanal - Equipe\z. INDICADORES - POR DIA\[INDICADORES - Junho-Julho_2025_backup.xlsx]Alessandro'!AR3</f>
    </oc>
    <nc r="I3">
      <f>Diego!N3+Aelton!N3+Leonam!N3+Danilo!N3+Marcos!N3+Carlos!N3+Alessandro!N3</f>
    </nc>
    <odxf>
      <numFmt numFmtId="0" formatCode="General"/>
      <fill>
        <patternFill>
          <bgColor theme="0"/>
        </patternFill>
      </fill>
    </odxf>
    <ndxf>
      <numFmt numFmtId="3" formatCode="#,##0"/>
      <fill>
        <patternFill>
          <bgColor rgb="FFFFFF00"/>
        </patternFill>
      </fill>
    </ndxf>
  </rcc>
  <rcc rId="688" sId="3">
    <oc r="I4">
      <f>'C:\Users\marcelo.saboia\Documents\backup - diarq - 13.06.25\Atividade Semanal - Equipe\z. INDICADORES - POR DIA\[INDICADORES - Junho-Julho_2025_backup.xlsx]Diego'!AR4+'C:\Users\marcelo.saboia\Documents\backup - diarq - 13.06.25\Atividade Semanal - Equipe\z. INDICADORES - POR DIA\[INDICADORES - Junho-Julho_2025_backup.xlsx]Aelton'!AR4+'C:\Users\marcelo.saboia\Documents\backup - diarq - 13.06.25\Atividade Semanal - Equipe\z. INDICADORES - POR DIA\[INDICADORES - Junho-Julho_2025_backup.xlsx]Leonam'!AR4+'C:\Users\marcelo.saboia\Documents\backup - diarq - 13.06.25\Atividade Semanal - Equipe\z. INDICADORES - POR DIA\[INDICADORES - Junho-Julho_2025_backup.xlsx]Danilo'!AR4+'C:\Users\marcelo.saboia\Documents\backup - diarq - 13.06.25\Atividade Semanal - Equipe\z. INDICADORES - POR DIA\[INDICADORES - Junho-Julho_2025_backup.xlsx]Marcos'!AR4+'C:\Users\marcelo.saboia\Documents\backup - diarq - 13.06.25\Atividade Semanal - Equipe\z. INDICADORES - POR DIA\[INDICADORES - Junho-Julho_2025_backup.xlsx]Carlos'!AR4+'C:\Users\marcelo.saboia\Documents\backup - diarq - 13.06.25\Atividade Semanal - Equipe\z. INDICADORES - POR DIA\[INDICADORES - Junho-Julho_2025_backup.xlsx]Alessandro'!AR4</f>
    </oc>
    <nc r="I4">
      <f>Diego!N4+Aelton!N4+Leonam!N4+Danilo!N4+Marcos!N4+Carlos!N4+Alessandro!N4</f>
    </nc>
  </rcc>
  <rfmt sheetId="3" sqref="I5" start="0" length="0">
    <dxf>
      <numFmt numFmtId="3" formatCode="#,##0"/>
      <fill>
        <patternFill>
          <bgColor rgb="FFFFFF00"/>
        </patternFill>
      </fill>
    </dxf>
  </rfmt>
  <rcc rId="689" sId="3">
    <oc r="I6">
      <f>'C:\Users\marcelo.saboia\Documents\backup - diarq - 13.06.25\Atividade Semanal - Equipe\z. INDICADORES - POR DIA\[INDICADORES - Junho-Julho_2025_backup.xlsx]Diego'!AR6+'C:\Users\marcelo.saboia\Documents\backup - diarq - 13.06.25\Atividade Semanal - Equipe\z. INDICADORES - POR DIA\[INDICADORES - Junho-Julho_2025_backup.xlsx]Aelton'!AR6+'C:\Users\marcelo.saboia\Documents\backup - diarq - 13.06.25\Atividade Semanal - Equipe\z. INDICADORES - POR DIA\[INDICADORES - Junho-Julho_2025_backup.xlsx]Leonam'!AR6+'C:\Users\marcelo.saboia\Documents\backup - diarq - 13.06.25\Atividade Semanal - Equipe\z. INDICADORES - POR DIA\[INDICADORES - Junho-Julho_2025_backup.xlsx]Danilo'!AR6+'C:\Users\marcelo.saboia\Documents\backup - diarq - 13.06.25\Atividade Semanal - Equipe\z. INDICADORES - POR DIA\[INDICADORES - Junho-Julho_2025_backup.xlsx]Marcos'!AR6+'C:\Users\marcelo.saboia\Documents\backup - diarq - 13.06.25\Atividade Semanal - Equipe\z. INDICADORES - POR DIA\[INDICADORES - Junho-Julho_2025_backup.xlsx]Carlos'!AR6+'C:\Users\marcelo.saboia\Documents\backup - diarq - 13.06.25\Atividade Semanal - Equipe\z. INDICADORES - POR DIA\[INDICADORES - Junho-Julho_2025_backup.xlsx]Alessandro'!AR6</f>
    </oc>
    <nc r="I6">
      <f>Diego!N6+Aelton!N6+Leonam!N6+Danilo!N6+Marcos!N6+Carlos!N6+Alessandro!N6</f>
    </nc>
  </rcc>
  <rfmt sheetId="3" sqref="I7" start="0" length="0">
    <dxf>
      <numFmt numFmtId="3" formatCode="#,##0"/>
      <fill>
        <patternFill>
          <bgColor rgb="FFFFFF00"/>
        </patternFill>
      </fill>
    </dxf>
  </rfmt>
  <rcc rId="690" sId="3">
    <oc r="I8">
      <f>'C:\Users\marcelo.saboia\Documents\backup - diarq - 13.06.25\Atividade Semanal - Equipe\z. INDICADORES - POR DIA\[INDICADORES - Junho-Julho_2025_backup.xlsx]Diego'!AR8+'C:\Users\marcelo.saboia\Documents\backup - diarq - 13.06.25\Atividade Semanal - Equipe\z. INDICADORES - POR DIA\[INDICADORES - Junho-Julho_2025_backup.xlsx]Aelton'!AR8+'C:\Users\marcelo.saboia\Documents\backup - diarq - 13.06.25\Atividade Semanal - Equipe\z. INDICADORES - POR DIA\[INDICADORES - Junho-Julho_2025_backup.xlsx]Leonam'!AR8+'C:\Users\marcelo.saboia\Documents\backup - diarq - 13.06.25\Atividade Semanal - Equipe\z. INDICADORES - POR DIA\[INDICADORES - Junho-Julho_2025_backup.xlsx]Danilo'!AR8+'C:\Users\marcelo.saboia\Documents\backup - diarq - 13.06.25\Atividade Semanal - Equipe\z. INDICADORES - POR DIA\[INDICADORES - Junho-Julho_2025_backup.xlsx]Marcos'!AR8+'C:\Users\marcelo.saboia\Documents\backup - diarq - 13.06.25\Atividade Semanal - Equipe\z. INDICADORES - POR DIA\[INDICADORES - Junho-Julho_2025_backup.xlsx]Carlos'!AR8+'C:\Users\marcelo.saboia\Documents\backup - diarq - 13.06.25\Atividade Semanal - Equipe\z. INDICADORES - POR DIA\[INDICADORES - Junho-Julho_2025_backup.xlsx]Alessandro'!AR8</f>
    </oc>
    <nc r="I8">
      <f>Diego!N8+Aelton!N8+Leonam!N8+Danilo!N8+Marcos!N8+Carlos!N8+Alessandro!N8</f>
    </nc>
  </rcc>
  <rfmt sheetId="3" sqref="I9" start="0" length="0">
    <dxf>
      <numFmt numFmtId="3" formatCode="#,##0"/>
      <fill>
        <patternFill>
          <bgColor rgb="FFFFFF00"/>
        </patternFill>
      </fill>
    </dxf>
  </rfmt>
  <rcc rId="691" sId="3">
    <oc r="I10">
      <f>'C:\Users\marcelo.saboia\Documents\backup - diarq - 13.06.25\Atividade Semanal - Equipe\z. INDICADORES - POR DIA\[INDICADORES - Junho-Julho_2025_backup.xlsx]Diego'!AR10+'C:\Users\marcelo.saboia\Documents\backup - diarq - 13.06.25\Atividade Semanal - Equipe\z. INDICADORES - POR DIA\[INDICADORES - Junho-Julho_2025_backup.xlsx]Aelton'!AR10+'C:\Users\marcelo.saboia\Documents\backup - diarq - 13.06.25\Atividade Semanal - Equipe\z. INDICADORES - POR DIA\[INDICADORES - Junho-Julho_2025_backup.xlsx]Leonam'!AR10+'C:\Users\marcelo.saboia\Documents\backup - diarq - 13.06.25\Atividade Semanal - Equipe\z. INDICADORES - POR DIA\[INDICADORES - Junho-Julho_2025_backup.xlsx]Danilo'!AR10+'C:\Users\marcelo.saboia\Documents\backup - diarq - 13.06.25\Atividade Semanal - Equipe\z. INDICADORES - POR DIA\[INDICADORES - Junho-Julho_2025_backup.xlsx]Marcos'!AR10+'C:\Users\marcelo.saboia\Documents\backup - diarq - 13.06.25\Atividade Semanal - Equipe\z. INDICADORES - POR DIA\[INDICADORES - Junho-Julho_2025_backup.xlsx]Carlos'!AR10+'C:\Users\marcelo.saboia\Documents\backup - diarq - 13.06.25\Atividade Semanal - Equipe\z. INDICADORES - POR DIA\[INDICADORES - Junho-Julho_2025_backup.xlsx]Alessandro'!AR10</f>
    </oc>
    <nc r="I10">
      <f>Diego!N10+Aelton!N10+Leonam!N10+Danilo!N10+Marcos!N10+Carlos!N10+Alessandro!N10</f>
    </nc>
  </rcc>
  <rfmt sheetId="3" sqref="I11" start="0" length="0">
    <dxf>
      <numFmt numFmtId="3" formatCode="#,##0"/>
      <fill>
        <patternFill>
          <bgColor rgb="FFFFFF00"/>
        </patternFill>
      </fill>
    </dxf>
  </rfmt>
  <rcc rId="692" sId="3">
    <oc r="I12">
      <f>'C:\Users\marcelo.saboia\Documents\backup - diarq - 13.06.25\Atividade Semanal - Equipe\z. INDICADORES - POR DIA\[INDICADORES - Junho-Julho_2025_backup.xlsx]Diego'!AR12+'C:\Users\marcelo.saboia\Documents\backup - diarq - 13.06.25\Atividade Semanal - Equipe\z. INDICADORES - POR DIA\[INDICADORES - Junho-Julho_2025_backup.xlsx]Aelton'!AR12+'C:\Users\marcelo.saboia\Documents\backup - diarq - 13.06.25\Atividade Semanal - Equipe\z. INDICADORES - POR DIA\[INDICADORES - Junho-Julho_2025_backup.xlsx]Leonam'!AR12+'C:\Users\marcelo.saboia\Documents\backup - diarq - 13.06.25\Atividade Semanal - Equipe\z. INDICADORES - POR DIA\[INDICADORES - Junho-Julho_2025_backup.xlsx]Danilo'!AR12+'C:\Users\marcelo.saboia\Documents\backup - diarq - 13.06.25\Atividade Semanal - Equipe\z. INDICADORES - POR DIA\[INDICADORES - Junho-Julho_2025_backup.xlsx]Marcos'!AR12+'C:\Users\marcelo.saboia\Documents\backup - diarq - 13.06.25\Atividade Semanal - Equipe\z. INDICADORES - POR DIA\[INDICADORES - Junho-Julho_2025_backup.xlsx]Carlos'!AR12+'C:\Users\marcelo.saboia\Documents\backup - diarq - 13.06.25\Atividade Semanal - Equipe\z. INDICADORES - POR DIA\[INDICADORES - Junho-Julho_2025_backup.xlsx]Alessandro'!AR12</f>
    </oc>
    <nc r="I12">
      <f>Diego!N12+Aelton!N12+Leonam!N12+Danilo!N12+Marcos!N12+Carlos!N12+Alessandro!N12</f>
    </nc>
  </rcc>
  <rfmt sheetId="3" sqref="I13" start="0" length="0">
    <dxf>
      <numFmt numFmtId="3" formatCode="#,##0"/>
      <fill>
        <patternFill>
          <bgColor rgb="FFFFFF00"/>
        </patternFill>
      </fill>
    </dxf>
  </rfmt>
  <rcc rId="693" sId="3">
    <oc r="I14">
      <f>'C:\Users\marcelo.saboia\Documents\backup - diarq - 13.06.25\Atividade Semanal - Equipe\z. INDICADORES - POR DIA\[INDICADORES - Junho-Julho_2025_backup.xlsx]Diego'!AR14+'C:\Users\marcelo.saboia\Documents\backup - diarq - 13.06.25\Atividade Semanal - Equipe\z. INDICADORES - POR DIA\[INDICADORES - Junho-Julho_2025_backup.xlsx]Aelton'!AR14+'C:\Users\marcelo.saboia\Documents\backup - diarq - 13.06.25\Atividade Semanal - Equipe\z. INDICADORES - POR DIA\[INDICADORES - Junho-Julho_2025_backup.xlsx]Leonam'!AR14+'C:\Users\marcelo.saboia\Documents\backup - diarq - 13.06.25\Atividade Semanal - Equipe\z. INDICADORES - POR DIA\[INDICADORES - Junho-Julho_2025_backup.xlsx]Danilo'!AR14+'C:\Users\marcelo.saboia\Documents\backup - diarq - 13.06.25\Atividade Semanal - Equipe\z. INDICADORES - POR DIA\[INDICADORES - Junho-Julho_2025_backup.xlsx]Marcos'!AR14+'C:\Users\marcelo.saboia\Documents\backup - diarq - 13.06.25\Atividade Semanal - Equipe\z. INDICADORES - POR DIA\[INDICADORES - Junho-Julho_2025_backup.xlsx]Carlos'!AR14+'C:\Users\marcelo.saboia\Documents\backup - diarq - 13.06.25\Atividade Semanal - Equipe\z. INDICADORES - POR DIA\[INDICADORES - Junho-Julho_2025_backup.xlsx]Alessandro'!AR14</f>
    </oc>
    <nc r="I14">
      <f>Diego!N14+Aelton!N14+Leonam!N14+Danilo!N14+Marcos!N14+Carlos!N14+Alessandro!N14</f>
    </nc>
  </rcc>
  <rfmt sheetId="3" sqref="I15" start="0" length="0">
    <dxf>
      <numFmt numFmtId="3" formatCode="#,##0"/>
      <fill>
        <patternFill>
          <bgColor rgb="FFFFFF00"/>
        </patternFill>
      </fill>
    </dxf>
  </rfmt>
  <rcc rId="694" sId="3">
    <oc r="I16">
      <f>'C:\Users\marcelo.saboia\Documents\backup - diarq - 13.06.25\Atividade Semanal - Equipe\z. INDICADORES - POR DIA\[INDICADORES - Junho-Julho_2025_backup.xlsx]Diego'!AR16+'C:\Users\marcelo.saboia\Documents\backup - diarq - 13.06.25\Atividade Semanal - Equipe\z. INDICADORES - POR DIA\[INDICADORES - Junho-Julho_2025_backup.xlsx]Aelton'!AR16+'C:\Users\marcelo.saboia\Documents\backup - diarq - 13.06.25\Atividade Semanal - Equipe\z. INDICADORES - POR DIA\[INDICADORES - Junho-Julho_2025_backup.xlsx]Leonam'!AR16+'C:\Users\marcelo.saboia\Documents\backup - diarq - 13.06.25\Atividade Semanal - Equipe\z. INDICADORES - POR DIA\[INDICADORES - Junho-Julho_2025_backup.xlsx]Danilo'!AR16+'C:\Users\marcelo.saboia\Documents\backup - diarq - 13.06.25\Atividade Semanal - Equipe\z. INDICADORES - POR DIA\[INDICADORES - Junho-Julho_2025_backup.xlsx]Marcos'!AR16+'C:\Users\marcelo.saboia\Documents\backup - diarq - 13.06.25\Atividade Semanal - Equipe\z. INDICADORES - POR DIA\[INDICADORES - Junho-Julho_2025_backup.xlsx]Carlos'!AR16+'C:\Users\marcelo.saboia\Documents\backup - diarq - 13.06.25\Atividade Semanal - Equipe\z. INDICADORES - POR DIA\[INDICADORES - Junho-Julho_2025_backup.xlsx]Alessandro'!AR16</f>
    </oc>
    <nc r="I16">
      <f>Diego!N16+Aelton!N16+Leonam!N16+Danilo!N16+Marcos!N16+Carlos!N16+Alessandro!N16</f>
    </nc>
  </rcc>
  <rcc rId="695" sId="3">
    <oc r="J2">
      <f>'C:\Users\marcelo.saboia\Documents\backup - diarq - 13.06.25\Atividade Semanal - Equipe\z. INDICADORES - POR DIA\[INDICADORES - Junho-Julho_2025_backup.xlsx]Diego'!AX2+'C:\Users\marcelo.saboia\Documents\backup - diarq - 13.06.25\Atividade Semanal - Equipe\z. INDICADORES - POR DIA\[INDICADORES - Junho-Julho_2025_backup.xlsx]Aelton'!AX2+'C:\Users\marcelo.saboia\Documents\backup - diarq - 13.06.25\Atividade Semanal - Equipe\z. INDICADORES - POR DIA\[INDICADORES - Junho-Julho_2025_backup.xlsx]Leonam'!AX2+'C:\Users\marcelo.saboia\Documents\backup - diarq - 13.06.25\Atividade Semanal - Equipe\z. INDICADORES - POR DIA\[INDICADORES - Junho-Julho_2025_backup.xlsx]Danilo'!AX2+'C:\Users\marcelo.saboia\Documents\backup - diarq - 13.06.25\Atividade Semanal - Equipe\z. INDICADORES - POR DIA\[INDICADORES - Junho-Julho_2025_backup.xlsx]Marcos'!AX2+'C:\Users\marcelo.saboia\Documents\backup - diarq - 13.06.25\Atividade Semanal - Equipe\z. INDICADORES - POR DIA\[INDICADORES - Junho-Julho_2025_backup.xlsx]Carlos'!AX2+'C:\Users\marcelo.saboia\Documents\backup - diarq - 13.06.25\Atividade Semanal - Equipe\z. INDICADORES - POR DIA\[INDICADORES - Junho-Julho_2025_backup.xlsx]Alessandro'!AX2</f>
    </oc>
    <nc r="J2">
      <f>Diego!O2+Aelton!O2+Leonam!O2+Danilo!O2+Marcos!O2+Carlos!O2+Alessandro!O2</f>
    </nc>
  </rcc>
  <rcc rId="696" sId="3" odxf="1" dxf="1">
    <oc r="J3">
      <f>'C:\Users\marcelo.saboia\Documents\backup - diarq - 13.06.25\Atividade Semanal - Equipe\z. INDICADORES - POR DIA\[INDICADORES - Junho-Julho_2025_backup.xlsx]Diego'!AX3+'C:\Users\marcelo.saboia\Documents\backup - diarq - 13.06.25\Atividade Semanal - Equipe\z. INDICADORES - POR DIA\[INDICADORES - Junho-Julho_2025_backup.xlsx]Aelton'!AX3+'C:\Users\marcelo.saboia\Documents\backup - diarq - 13.06.25\Atividade Semanal - Equipe\z. INDICADORES - POR DIA\[INDICADORES - Junho-Julho_2025_backup.xlsx]Leonam'!AX3+'C:\Users\marcelo.saboia\Documents\backup - diarq - 13.06.25\Atividade Semanal - Equipe\z. INDICADORES - POR DIA\[INDICADORES - Junho-Julho_2025_backup.xlsx]Danilo'!AX3+'C:\Users\marcelo.saboia\Documents\backup - diarq - 13.06.25\Atividade Semanal - Equipe\z. INDICADORES - POR DIA\[INDICADORES - Junho-Julho_2025_backup.xlsx]Marcos'!AX3+'C:\Users\marcelo.saboia\Documents\backup - diarq - 13.06.25\Atividade Semanal - Equipe\z. INDICADORES - POR DIA\[INDICADORES - Junho-Julho_2025_backup.xlsx]Carlos'!AX3+'C:\Users\marcelo.saboia\Documents\backup - diarq - 13.06.25\Atividade Semanal - Equipe\z. INDICADORES - POR DIA\[INDICADORES - Junho-Julho_2025_backup.xlsx]Alessandro'!AX3</f>
    </oc>
    <nc r="J3">
      <f>Diego!O3+Aelton!O3+Leonam!O3+Danilo!O3+Marcos!O3+Carlos!O3+Alessandro!O3</f>
    </nc>
    <odxf>
      <numFmt numFmtId="0" formatCode="General"/>
      <fill>
        <patternFill>
          <bgColor theme="0"/>
        </patternFill>
      </fill>
    </odxf>
    <ndxf>
      <numFmt numFmtId="3" formatCode="#,##0"/>
      <fill>
        <patternFill>
          <bgColor rgb="FFFFFF00"/>
        </patternFill>
      </fill>
    </ndxf>
  </rcc>
  <rcc rId="697" sId="3">
    <oc r="J4">
      <f>'C:\Users\marcelo.saboia\Documents\backup - diarq - 13.06.25\Atividade Semanal - Equipe\z. INDICADORES - POR DIA\[INDICADORES - Junho-Julho_2025_backup.xlsx]Diego'!AX4+'C:\Users\marcelo.saboia\Documents\backup - diarq - 13.06.25\Atividade Semanal - Equipe\z. INDICADORES - POR DIA\[INDICADORES - Junho-Julho_2025_backup.xlsx]Aelton'!AX4+'C:\Users\marcelo.saboia\Documents\backup - diarq - 13.06.25\Atividade Semanal - Equipe\z. INDICADORES - POR DIA\[INDICADORES - Junho-Julho_2025_backup.xlsx]Leonam'!AX4+'C:\Users\marcelo.saboia\Documents\backup - diarq - 13.06.25\Atividade Semanal - Equipe\z. INDICADORES - POR DIA\[INDICADORES - Junho-Julho_2025_backup.xlsx]Danilo'!AX4+'C:\Users\marcelo.saboia\Documents\backup - diarq - 13.06.25\Atividade Semanal - Equipe\z. INDICADORES - POR DIA\[INDICADORES - Junho-Julho_2025_backup.xlsx]Marcos'!AX4+'C:\Users\marcelo.saboia\Documents\backup - diarq - 13.06.25\Atividade Semanal - Equipe\z. INDICADORES - POR DIA\[INDICADORES - Junho-Julho_2025_backup.xlsx]Carlos'!AX4+'C:\Users\marcelo.saboia\Documents\backup - diarq - 13.06.25\Atividade Semanal - Equipe\z. INDICADORES - POR DIA\[INDICADORES - Junho-Julho_2025_backup.xlsx]Alessandro'!AX4</f>
    </oc>
    <nc r="J4">
      <f>Diego!O4+Aelton!O4+Leonam!O4+Danilo!O4+Marcos!O4+Carlos!O4+Alessandro!O4</f>
    </nc>
  </rcc>
  <rfmt sheetId="3" sqref="J5" start="0" length="0">
    <dxf>
      <numFmt numFmtId="3" formatCode="#,##0"/>
      <fill>
        <patternFill>
          <bgColor rgb="FFFFFF00"/>
        </patternFill>
      </fill>
    </dxf>
  </rfmt>
  <rcc rId="698" sId="3">
    <oc r="J6">
      <f>'C:\Users\marcelo.saboia\Documents\backup - diarq - 13.06.25\Atividade Semanal - Equipe\z. INDICADORES - POR DIA\[INDICADORES - Junho-Julho_2025_backup.xlsx]Diego'!AX6+'C:\Users\marcelo.saboia\Documents\backup - diarq - 13.06.25\Atividade Semanal - Equipe\z. INDICADORES - POR DIA\[INDICADORES - Junho-Julho_2025_backup.xlsx]Aelton'!AX6+'C:\Users\marcelo.saboia\Documents\backup - diarq - 13.06.25\Atividade Semanal - Equipe\z. INDICADORES - POR DIA\[INDICADORES - Junho-Julho_2025_backup.xlsx]Leonam'!AX6+'C:\Users\marcelo.saboia\Documents\backup - diarq - 13.06.25\Atividade Semanal - Equipe\z. INDICADORES - POR DIA\[INDICADORES - Junho-Julho_2025_backup.xlsx]Danilo'!AX6+'C:\Users\marcelo.saboia\Documents\backup - diarq - 13.06.25\Atividade Semanal - Equipe\z. INDICADORES - POR DIA\[INDICADORES - Junho-Julho_2025_backup.xlsx]Marcos'!AX6+'C:\Users\marcelo.saboia\Documents\backup - diarq - 13.06.25\Atividade Semanal - Equipe\z. INDICADORES - POR DIA\[INDICADORES - Junho-Julho_2025_backup.xlsx]Carlos'!AX6+'C:\Users\marcelo.saboia\Documents\backup - diarq - 13.06.25\Atividade Semanal - Equipe\z. INDICADORES - POR DIA\[INDICADORES - Junho-Julho_2025_backup.xlsx]Alessandro'!AX6</f>
    </oc>
    <nc r="J6">
      <f>Diego!O6+Aelton!O6+Leonam!O6+Danilo!O6+Marcos!O6+Carlos!O6+Alessandro!O6</f>
    </nc>
  </rcc>
  <rfmt sheetId="3" sqref="J7" start="0" length="0">
    <dxf>
      <numFmt numFmtId="3" formatCode="#,##0"/>
      <fill>
        <patternFill>
          <bgColor rgb="FFFFFF00"/>
        </patternFill>
      </fill>
    </dxf>
  </rfmt>
  <rcc rId="699" sId="3">
    <oc r="J8">
      <f>'C:\Users\marcelo.saboia\Documents\backup - diarq - 13.06.25\Atividade Semanal - Equipe\z. INDICADORES - POR DIA\[INDICADORES - Junho-Julho_2025_backup.xlsx]Diego'!AX8+'C:\Users\marcelo.saboia\Documents\backup - diarq - 13.06.25\Atividade Semanal - Equipe\z. INDICADORES - POR DIA\[INDICADORES - Junho-Julho_2025_backup.xlsx]Aelton'!AX8+'C:\Users\marcelo.saboia\Documents\backup - diarq - 13.06.25\Atividade Semanal - Equipe\z. INDICADORES - POR DIA\[INDICADORES - Junho-Julho_2025_backup.xlsx]Leonam'!AX8+'C:\Users\marcelo.saboia\Documents\backup - diarq - 13.06.25\Atividade Semanal - Equipe\z. INDICADORES - POR DIA\[INDICADORES - Junho-Julho_2025_backup.xlsx]Danilo'!AX8+'C:\Users\marcelo.saboia\Documents\backup - diarq - 13.06.25\Atividade Semanal - Equipe\z. INDICADORES - POR DIA\[INDICADORES - Junho-Julho_2025_backup.xlsx]Marcos'!AX8+'C:\Users\marcelo.saboia\Documents\backup - diarq - 13.06.25\Atividade Semanal - Equipe\z. INDICADORES - POR DIA\[INDICADORES - Junho-Julho_2025_backup.xlsx]Carlos'!AX8+'C:\Users\marcelo.saboia\Documents\backup - diarq - 13.06.25\Atividade Semanal - Equipe\z. INDICADORES - POR DIA\[INDICADORES - Junho-Julho_2025_backup.xlsx]Alessandro'!AX8</f>
    </oc>
    <nc r="J8">
      <f>Diego!O8+Aelton!O8+Leonam!O8+Danilo!O8+Marcos!O8+Carlos!O8+Alessandro!O8</f>
    </nc>
  </rcc>
  <rfmt sheetId="3" sqref="J9" start="0" length="0">
    <dxf>
      <numFmt numFmtId="3" formatCode="#,##0"/>
      <fill>
        <patternFill>
          <bgColor rgb="FFFFFF00"/>
        </patternFill>
      </fill>
    </dxf>
  </rfmt>
  <rcc rId="700" sId="3">
    <oc r="J10">
      <f>'C:\Users\marcelo.saboia\Documents\backup - diarq - 13.06.25\Atividade Semanal - Equipe\z. INDICADORES - POR DIA\[INDICADORES - Junho-Julho_2025_backup.xlsx]Diego'!AX10+'C:\Users\marcelo.saboia\Documents\backup - diarq - 13.06.25\Atividade Semanal - Equipe\z. INDICADORES - POR DIA\[INDICADORES - Junho-Julho_2025_backup.xlsx]Aelton'!AX10+'C:\Users\marcelo.saboia\Documents\backup - diarq - 13.06.25\Atividade Semanal - Equipe\z. INDICADORES - POR DIA\[INDICADORES - Junho-Julho_2025_backup.xlsx]Leonam'!AX10+'C:\Users\marcelo.saboia\Documents\backup - diarq - 13.06.25\Atividade Semanal - Equipe\z. INDICADORES - POR DIA\[INDICADORES - Junho-Julho_2025_backup.xlsx]Danilo'!AX10+'C:\Users\marcelo.saboia\Documents\backup - diarq - 13.06.25\Atividade Semanal - Equipe\z. INDICADORES - POR DIA\[INDICADORES - Junho-Julho_2025_backup.xlsx]Marcos'!AX10+'C:\Users\marcelo.saboia\Documents\backup - diarq - 13.06.25\Atividade Semanal - Equipe\z. INDICADORES - POR DIA\[INDICADORES - Junho-Julho_2025_backup.xlsx]Carlos'!AX10+'C:\Users\marcelo.saboia\Documents\backup - diarq - 13.06.25\Atividade Semanal - Equipe\z. INDICADORES - POR DIA\[INDICADORES - Junho-Julho_2025_backup.xlsx]Alessandro'!AX10</f>
    </oc>
    <nc r="J10">
      <f>Diego!O10+Aelton!O10+Leonam!O10+Danilo!O10+Marcos!O10+Carlos!O10+Alessandro!O10</f>
    </nc>
  </rcc>
  <rfmt sheetId="3" sqref="J11" start="0" length="0">
    <dxf>
      <numFmt numFmtId="3" formatCode="#,##0"/>
      <fill>
        <patternFill>
          <bgColor rgb="FFFFFF00"/>
        </patternFill>
      </fill>
    </dxf>
  </rfmt>
  <rcc rId="701" sId="3">
    <oc r="J12">
      <f>'C:\Users\marcelo.saboia\Documents\backup - diarq - 13.06.25\Atividade Semanal - Equipe\z. INDICADORES - POR DIA\[INDICADORES - Junho-Julho_2025_backup.xlsx]Diego'!AX12+'C:\Users\marcelo.saboia\Documents\backup - diarq - 13.06.25\Atividade Semanal - Equipe\z. INDICADORES - POR DIA\[INDICADORES - Junho-Julho_2025_backup.xlsx]Aelton'!AX12+'C:\Users\marcelo.saboia\Documents\backup - diarq - 13.06.25\Atividade Semanal - Equipe\z. INDICADORES - POR DIA\[INDICADORES - Junho-Julho_2025_backup.xlsx]Leonam'!AX12+'C:\Users\marcelo.saboia\Documents\backup - diarq - 13.06.25\Atividade Semanal - Equipe\z. INDICADORES - POR DIA\[INDICADORES - Junho-Julho_2025_backup.xlsx]Danilo'!AX12+'C:\Users\marcelo.saboia\Documents\backup - diarq - 13.06.25\Atividade Semanal - Equipe\z. INDICADORES - POR DIA\[INDICADORES - Junho-Julho_2025_backup.xlsx]Marcos'!AX12+'C:\Users\marcelo.saboia\Documents\backup - diarq - 13.06.25\Atividade Semanal - Equipe\z. INDICADORES - POR DIA\[INDICADORES - Junho-Julho_2025_backup.xlsx]Carlos'!AX12+'C:\Users\marcelo.saboia\Documents\backup - diarq - 13.06.25\Atividade Semanal - Equipe\z. INDICADORES - POR DIA\[INDICADORES - Junho-Julho_2025_backup.xlsx]Alessandro'!AX12</f>
    </oc>
    <nc r="J12">
      <f>Diego!O12+Aelton!O12+Leonam!O12+Danilo!O12+Marcos!O12+Carlos!O12+Alessandro!O12</f>
    </nc>
  </rcc>
  <rfmt sheetId="3" sqref="J13" start="0" length="0">
    <dxf>
      <numFmt numFmtId="3" formatCode="#,##0"/>
      <fill>
        <patternFill>
          <bgColor rgb="FFFFFF00"/>
        </patternFill>
      </fill>
    </dxf>
  </rfmt>
  <rcc rId="702" sId="3">
    <oc r="J14">
      <f>'C:\Users\marcelo.saboia\Documents\backup - diarq - 13.06.25\Atividade Semanal - Equipe\z. INDICADORES - POR DIA\[INDICADORES - Junho-Julho_2025_backup.xlsx]Diego'!AX14+'C:\Users\marcelo.saboia\Documents\backup - diarq - 13.06.25\Atividade Semanal - Equipe\z. INDICADORES - POR DIA\[INDICADORES - Junho-Julho_2025_backup.xlsx]Aelton'!AX14+'C:\Users\marcelo.saboia\Documents\backup - diarq - 13.06.25\Atividade Semanal - Equipe\z. INDICADORES - POR DIA\[INDICADORES - Junho-Julho_2025_backup.xlsx]Leonam'!AX14+'C:\Users\marcelo.saboia\Documents\backup - diarq - 13.06.25\Atividade Semanal - Equipe\z. INDICADORES - POR DIA\[INDICADORES - Junho-Julho_2025_backup.xlsx]Danilo'!AX14+'C:\Users\marcelo.saboia\Documents\backup - diarq - 13.06.25\Atividade Semanal - Equipe\z. INDICADORES - POR DIA\[INDICADORES - Junho-Julho_2025_backup.xlsx]Marcos'!AX14+'C:\Users\marcelo.saboia\Documents\backup - diarq - 13.06.25\Atividade Semanal - Equipe\z. INDICADORES - POR DIA\[INDICADORES - Junho-Julho_2025_backup.xlsx]Carlos'!AX14+'C:\Users\marcelo.saboia\Documents\backup - diarq - 13.06.25\Atividade Semanal - Equipe\z. INDICADORES - POR DIA\[INDICADORES - Junho-Julho_2025_backup.xlsx]Alessandro'!AX14</f>
    </oc>
    <nc r="J14">
      <f>Diego!O14+Aelton!O14+Leonam!O14+Danilo!O14+Marcos!O14+Carlos!O14+Alessandro!O14</f>
    </nc>
  </rcc>
  <rfmt sheetId="3" sqref="J15" start="0" length="0">
    <dxf>
      <numFmt numFmtId="3" formatCode="#,##0"/>
      <fill>
        <patternFill>
          <bgColor rgb="FFFFFF00"/>
        </patternFill>
      </fill>
    </dxf>
  </rfmt>
  <rcc rId="703" sId="3">
    <oc r="J16">
      <f>'C:\Users\marcelo.saboia\Documents\backup - diarq - 13.06.25\Atividade Semanal - Equipe\z. INDICADORES - POR DIA\[INDICADORES - Junho-Julho_2025_backup.xlsx]Diego'!AX16+'C:\Users\marcelo.saboia\Documents\backup - diarq - 13.06.25\Atividade Semanal - Equipe\z. INDICADORES - POR DIA\[INDICADORES - Junho-Julho_2025_backup.xlsx]Aelton'!AX16+'C:\Users\marcelo.saboia\Documents\backup - diarq - 13.06.25\Atividade Semanal - Equipe\z. INDICADORES - POR DIA\[INDICADORES - Junho-Julho_2025_backup.xlsx]Leonam'!AX16+'C:\Users\marcelo.saboia\Documents\backup - diarq - 13.06.25\Atividade Semanal - Equipe\z. INDICADORES - POR DIA\[INDICADORES - Junho-Julho_2025_backup.xlsx]Danilo'!AX16+'C:\Users\marcelo.saboia\Documents\backup - diarq - 13.06.25\Atividade Semanal - Equipe\z. INDICADORES - POR DIA\[INDICADORES - Junho-Julho_2025_backup.xlsx]Marcos'!AX16+'C:\Users\marcelo.saboia\Documents\backup - diarq - 13.06.25\Atividade Semanal - Equipe\z. INDICADORES - POR DIA\[INDICADORES - Junho-Julho_2025_backup.xlsx]Carlos'!AX16+'C:\Users\marcelo.saboia\Documents\backup - diarq - 13.06.25\Atividade Semanal - Equipe\z. INDICADORES - POR DIA\[INDICADORES - Junho-Julho_2025_backup.xlsx]Alessandro'!AX16</f>
    </oc>
    <nc r="J16">
      <f>Diego!O16+Aelton!O16+Leonam!O16+Danilo!O16+Marcos!O16+Carlos!O16+Alessandro!O16</f>
    </nc>
  </rcc>
  <rcc rId="704" sId="3">
    <oc r="K2">
      <f>'C:\Users\marcelo.saboia\Documents\backup - diarq - 13.06.25\Atividade Semanal - Equipe\z. INDICADORES - POR DIA\[INDICADORES - Junho-Julho_2025_backup.xlsx]Diego'!BD2+'C:\Users\marcelo.saboia\Documents\backup - diarq - 13.06.25\Atividade Semanal - Equipe\z. INDICADORES - POR DIA\[INDICADORES - Junho-Julho_2025_backup.xlsx]Aelton'!BD2+'C:\Users\marcelo.saboia\Documents\backup - diarq - 13.06.25\Atividade Semanal - Equipe\z. INDICADORES - POR DIA\[INDICADORES - Junho-Julho_2025_backup.xlsx]Leonam'!BD2+'C:\Users\marcelo.saboia\Documents\backup - diarq - 13.06.25\Atividade Semanal - Equipe\z. INDICADORES - POR DIA\[INDICADORES - Junho-Julho_2025_backup.xlsx]Danilo'!BD2+'C:\Users\marcelo.saboia\Documents\backup - diarq - 13.06.25\Atividade Semanal - Equipe\z. INDICADORES - POR DIA\[INDICADORES - Junho-Julho_2025_backup.xlsx]Marcos'!BD2+'C:\Users\marcelo.saboia\Documents\backup - diarq - 13.06.25\Atividade Semanal - Equipe\z. INDICADORES - POR DIA\[INDICADORES - Junho-Julho_2025_backup.xlsx]Carlos'!BD2+'C:\Users\marcelo.saboia\Documents\backup - diarq - 13.06.25\Atividade Semanal - Equipe\z. INDICADORES - POR DIA\[INDICADORES - Junho-Julho_2025_backup.xlsx]Alessandro'!BD2</f>
    </oc>
    <nc r="K2">
      <f>Diego!P2+Aelton!P2+Leonam!P2+Danilo!P2+Marcos!P2+Carlos!P2+Alessandro!P2</f>
    </nc>
  </rcc>
  <rcc rId="705" sId="3" odxf="1" dxf="1">
    <oc r="K3">
      <f>'C:\Users\marcelo.saboia\Documents\backup - diarq - 13.06.25\Atividade Semanal - Equipe\z. INDICADORES - POR DIA\[INDICADORES - Junho-Julho_2025_backup.xlsx]Diego'!BD3+'C:\Users\marcelo.saboia\Documents\backup - diarq - 13.06.25\Atividade Semanal - Equipe\z. INDICADORES - POR DIA\[INDICADORES - Junho-Julho_2025_backup.xlsx]Aelton'!BD3+'C:\Users\marcelo.saboia\Documents\backup - diarq - 13.06.25\Atividade Semanal - Equipe\z. INDICADORES - POR DIA\[INDICADORES - Junho-Julho_2025_backup.xlsx]Leonam'!BD3+'C:\Users\marcelo.saboia\Documents\backup - diarq - 13.06.25\Atividade Semanal - Equipe\z. INDICADORES - POR DIA\[INDICADORES - Junho-Julho_2025_backup.xlsx]Danilo'!BD3+'C:\Users\marcelo.saboia\Documents\backup - diarq - 13.06.25\Atividade Semanal - Equipe\z. INDICADORES - POR DIA\[INDICADORES - Junho-Julho_2025_backup.xlsx]Marcos'!BD3+'C:\Users\marcelo.saboia\Documents\backup - diarq - 13.06.25\Atividade Semanal - Equipe\z. INDICADORES - POR DIA\[INDICADORES - Junho-Julho_2025_backup.xlsx]Carlos'!BD3+'C:\Users\marcelo.saboia\Documents\backup - diarq - 13.06.25\Atividade Semanal - Equipe\z. INDICADORES - POR DIA\[INDICADORES - Junho-Julho_2025_backup.xlsx]Alessandro'!BD3</f>
    </oc>
    <nc r="K3">
      <f>Diego!P3+Aelton!P3+Leonam!P3+Danilo!P3+Marcos!P3+Carlos!P3+Alessandro!P3</f>
    </nc>
    <odxf>
      <numFmt numFmtId="0" formatCode="General"/>
      <fill>
        <patternFill>
          <bgColor theme="0"/>
        </patternFill>
      </fill>
    </odxf>
    <ndxf>
      <numFmt numFmtId="3" formatCode="#,##0"/>
      <fill>
        <patternFill>
          <bgColor rgb="FFFFFF00"/>
        </patternFill>
      </fill>
    </ndxf>
  </rcc>
  <rcc rId="706" sId="3">
    <oc r="K4">
      <f>'C:\Users\marcelo.saboia\Documents\backup - diarq - 13.06.25\Atividade Semanal - Equipe\z. INDICADORES - POR DIA\[INDICADORES - Junho-Julho_2025_backup.xlsx]Diego'!BD4+'C:\Users\marcelo.saboia\Documents\backup - diarq - 13.06.25\Atividade Semanal - Equipe\z. INDICADORES - POR DIA\[INDICADORES - Junho-Julho_2025_backup.xlsx]Aelton'!BD4+'C:\Users\marcelo.saboia\Documents\backup - diarq - 13.06.25\Atividade Semanal - Equipe\z. INDICADORES - POR DIA\[INDICADORES - Junho-Julho_2025_backup.xlsx]Leonam'!BD4+'C:\Users\marcelo.saboia\Documents\backup - diarq - 13.06.25\Atividade Semanal - Equipe\z. INDICADORES - POR DIA\[INDICADORES - Junho-Julho_2025_backup.xlsx]Danilo'!BD4+'C:\Users\marcelo.saboia\Documents\backup - diarq - 13.06.25\Atividade Semanal - Equipe\z. INDICADORES - POR DIA\[INDICADORES - Junho-Julho_2025_backup.xlsx]Marcos'!BD4+'C:\Users\marcelo.saboia\Documents\backup - diarq - 13.06.25\Atividade Semanal - Equipe\z. INDICADORES - POR DIA\[INDICADORES - Junho-Julho_2025_backup.xlsx]Carlos'!BD4+'C:\Users\marcelo.saboia\Documents\backup - diarq - 13.06.25\Atividade Semanal - Equipe\z. INDICADORES - POR DIA\[INDICADORES - Junho-Julho_2025_backup.xlsx]Alessandro'!BD4</f>
    </oc>
    <nc r="K4">
      <f>Diego!P4+Aelton!P4+Leonam!P4+Danilo!P4+Marcos!P4+Carlos!P4+Alessandro!P4</f>
    </nc>
  </rcc>
  <rfmt sheetId="3" sqref="K5" start="0" length="0">
    <dxf>
      <numFmt numFmtId="3" formatCode="#,##0"/>
      <fill>
        <patternFill>
          <bgColor rgb="FFFFFF00"/>
        </patternFill>
      </fill>
    </dxf>
  </rfmt>
  <rcc rId="707" sId="3">
    <oc r="K6">
      <f>'C:\Users\marcelo.saboia\Documents\backup - diarq - 13.06.25\Atividade Semanal - Equipe\z. INDICADORES - POR DIA\[INDICADORES - Junho-Julho_2025_backup.xlsx]Diego'!BD6+'C:\Users\marcelo.saboia\Documents\backup - diarq - 13.06.25\Atividade Semanal - Equipe\z. INDICADORES - POR DIA\[INDICADORES - Junho-Julho_2025_backup.xlsx]Aelton'!BD6+'C:\Users\marcelo.saboia\Documents\backup - diarq - 13.06.25\Atividade Semanal - Equipe\z. INDICADORES - POR DIA\[INDICADORES - Junho-Julho_2025_backup.xlsx]Leonam'!BD6+'C:\Users\marcelo.saboia\Documents\backup - diarq - 13.06.25\Atividade Semanal - Equipe\z. INDICADORES - POR DIA\[INDICADORES - Junho-Julho_2025_backup.xlsx]Danilo'!BD6+'C:\Users\marcelo.saboia\Documents\backup - diarq - 13.06.25\Atividade Semanal - Equipe\z. INDICADORES - POR DIA\[INDICADORES - Junho-Julho_2025_backup.xlsx]Marcos'!BD6+'C:\Users\marcelo.saboia\Documents\backup - diarq - 13.06.25\Atividade Semanal - Equipe\z. INDICADORES - POR DIA\[INDICADORES - Junho-Julho_2025_backup.xlsx]Carlos'!BD6+'C:\Users\marcelo.saboia\Documents\backup - diarq - 13.06.25\Atividade Semanal - Equipe\z. INDICADORES - POR DIA\[INDICADORES - Junho-Julho_2025_backup.xlsx]Alessandro'!BD6</f>
    </oc>
    <nc r="K6">
      <f>Diego!P6+Aelton!P6+Leonam!P6+Danilo!P6+Marcos!P6+Carlos!P6+Alessandro!P6</f>
    </nc>
  </rcc>
  <rfmt sheetId="3" sqref="K7" start="0" length="0">
    <dxf>
      <numFmt numFmtId="3" formatCode="#,##0"/>
      <fill>
        <patternFill>
          <bgColor rgb="FFFFFF00"/>
        </patternFill>
      </fill>
    </dxf>
  </rfmt>
  <rcc rId="708" sId="3">
    <oc r="K8">
      <f>'C:\Users\marcelo.saboia\Documents\backup - diarq - 13.06.25\Atividade Semanal - Equipe\z. INDICADORES - POR DIA\[INDICADORES - Junho-Julho_2025_backup.xlsx]Diego'!BD8+'C:\Users\marcelo.saboia\Documents\backup - diarq - 13.06.25\Atividade Semanal - Equipe\z. INDICADORES - POR DIA\[INDICADORES - Junho-Julho_2025_backup.xlsx]Aelton'!BD8+'C:\Users\marcelo.saboia\Documents\backup - diarq - 13.06.25\Atividade Semanal - Equipe\z. INDICADORES - POR DIA\[INDICADORES - Junho-Julho_2025_backup.xlsx]Leonam'!BD8+'C:\Users\marcelo.saboia\Documents\backup - diarq - 13.06.25\Atividade Semanal - Equipe\z. INDICADORES - POR DIA\[INDICADORES - Junho-Julho_2025_backup.xlsx]Danilo'!BD8+'C:\Users\marcelo.saboia\Documents\backup - diarq - 13.06.25\Atividade Semanal - Equipe\z. INDICADORES - POR DIA\[INDICADORES - Junho-Julho_2025_backup.xlsx]Marcos'!BD8+'C:\Users\marcelo.saboia\Documents\backup - diarq - 13.06.25\Atividade Semanal - Equipe\z. INDICADORES - POR DIA\[INDICADORES - Junho-Julho_2025_backup.xlsx]Carlos'!BD8+'C:\Users\marcelo.saboia\Documents\backup - diarq - 13.06.25\Atividade Semanal - Equipe\z. INDICADORES - POR DIA\[INDICADORES - Junho-Julho_2025_backup.xlsx]Alessandro'!BD8</f>
    </oc>
    <nc r="K8">
      <f>Diego!P8+Aelton!P8+Leonam!P8+Danilo!P8+Marcos!P8+Carlos!P8+Alessandro!P8</f>
    </nc>
  </rcc>
  <rfmt sheetId="3" sqref="K9" start="0" length="0">
    <dxf>
      <numFmt numFmtId="3" formatCode="#,##0"/>
      <fill>
        <patternFill>
          <bgColor rgb="FFFFFF00"/>
        </patternFill>
      </fill>
    </dxf>
  </rfmt>
  <rcc rId="709" sId="3">
    <oc r="K10">
      <f>'C:\Users\marcelo.saboia\Documents\backup - diarq - 13.06.25\Atividade Semanal - Equipe\z. INDICADORES - POR DIA\[INDICADORES - Junho-Julho_2025_backup.xlsx]Diego'!BD10+'C:\Users\marcelo.saboia\Documents\backup - diarq - 13.06.25\Atividade Semanal - Equipe\z. INDICADORES - POR DIA\[INDICADORES - Junho-Julho_2025_backup.xlsx]Aelton'!BD10+'C:\Users\marcelo.saboia\Documents\backup - diarq - 13.06.25\Atividade Semanal - Equipe\z. INDICADORES - POR DIA\[INDICADORES - Junho-Julho_2025_backup.xlsx]Leonam'!BD10+'C:\Users\marcelo.saboia\Documents\backup - diarq - 13.06.25\Atividade Semanal - Equipe\z. INDICADORES - POR DIA\[INDICADORES - Junho-Julho_2025_backup.xlsx]Danilo'!BD10+'C:\Users\marcelo.saboia\Documents\backup - diarq - 13.06.25\Atividade Semanal - Equipe\z. INDICADORES - POR DIA\[INDICADORES - Junho-Julho_2025_backup.xlsx]Marcos'!BD10+'C:\Users\marcelo.saboia\Documents\backup - diarq - 13.06.25\Atividade Semanal - Equipe\z. INDICADORES - POR DIA\[INDICADORES - Junho-Julho_2025_backup.xlsx]Carlos'!BD10+'C:\Users\marcelo.saboia\Documents\backup - diarq - 13.06.25\Atividade Semanal - Equipe\z. INDICADORES - POR DIA\[INDICADORES - Junho-Julho_2025_backup.xlsx]Alessandro'!BD10</f>
    </oc>
    <nc r="K10">
      <f>Diego!P10+Aelton!P10+Leonam!P10+Danilo!P10+Marcos!P10+Carlos!P10+Alessandro!P10</f>
    </nc>
  </rcc>
  <rfmt sheetId="3" sqref="K11" start="0" length="0">
    <dxf>
      <numFmt numFmtId="3" formatCode="#,##0"/>
      <fill>
        <patternFill>
          <bgColor rgb="FFFFFF00"/>
        </patternFill>
      </fill>
    </dxf>
  </rfmt>
  <rcc rId="710" sId="3">
    <oc r="K12">
      <f>'C:\Users\marcelo.saboia\Documents\backup - diarq - 13.06.25\Atividade Semanal - Equipe\z. INDICADORES - POR DIA\[INDICADORES - Junho-Julho_2025_backup.xlsx]Diego'!BD12+'C:\Users\marcelo.saboia\Documents\backup - diarq - 13.06.25\Atividade Semanal - Equipe\z. INDICADORES - POR DIA\[INDICADORES - Junho-Julho_2025_backup.xlsx]Aelton'!BD12+'C:\Users\marcelo.saboia\Documents\backup - diarq - 13.06.25\Atividade Semanal - Equipe\z. INDICADORES - POR DIA\[INDICADORES - Junho-Julho_2025_backup.xlsx]Leonam'!BD12+'C:\Users\marcelo.saboia\Documents\backup - diarq - 13.06.25\Atividade Semanal - Equipe\z. INDICADORES - POR DIA\[INDICADORES - Junho-Julho_2025_backup.xlsx]Danilo'!BD12+'C:\Users\marcelo.saboia\Documents\backup - diarq - 13.06.25\Atividade Semanal - Equipe\z. INDICADORES - POR DIA\[INDICADORES - Junho-Julho_2025_backup.xlsx]Marcos'!BD12+'C:\Users\marcelo.saboia\Documents\backup - diarq - 13.06.25\Atividade Semanal - Equipe\z. INDICADORES - POR DIA\[INDICADORES - Junho-Julho_2025_backup.xlsx]Carlos'!BD12+'C:\Users\marcelo.saboia\Documents\backup - diarq - 13.06.25\Atividade Semanal - Equipe\z. INDICADORES - POR DIA\[INDICADORES - Junho-Julho_2025_backup.xlsx]Alessandro'!BD12</f>
    </oc>
    <nc r="K12">
      <f>Diego!P12+Aelton!P12+Leonam!P12+Danilo!P12+Marcos!P12+Carlos!P12+Alessandro!P12</f>
    </nc>
  </rcc>
  <rfmt sheetId="3" sqref="K13" start="0" length="0">
    <dxf>
      <numFmt numFmtId="3" formatCode="#,##0"/>
      <fill>
        <patternFill>
          <bgColor rgb="FFFFFF00"/>
        </patternFill>
      </fill>
    </dxf>
  </rfmt>
  <rcc rId="711" sId="3">
    <oc r="K14">
      <f>'C:\Users\marcelo.saboia\Documents\backup - diarq - 13.06.25\Atividade Semanal - Equipe\z. INDICADORES - POR DIA\[INDICADORES - Junho-Julho_2025_backup.xlsx]Diego'!BD14+'C:\Users\marcelo.saboia\Documents\backup - diarq - 13.06.25\Atividade Semanal - Equipe\z. INDICADORES - POR DIA\[INDICADORES - Junho-Julho_2025_backup.xlsx]Aelton'!BD14+'C:\Users\marcelo.saboia\Documents\backup - diarq - 13.06.25\Atividade Semanal - Equipe\z. INDICADORES - POR DIA\[INDICADORES - Junho-Julho_2025_backup.xlsx]Leonam'!BD14+'C:\Users\marcelo.saboia\Documents\backup - diarq - 13.06.25\Atividade Semanal - Equipe\z. INDICADORES - POR DIA\[INDICADORES - Junho-Julho_2025_backup.xlsx]Danilo'!BD14+'C:\Users\marcelo.saboia\Documents\backup - diarq - 13.06.25\Atividade Semanal - Equipe\z. INDICADORES - POR DIA\[INDICADORES - Junho-Julho_2025_backup.xlsx]Marcos'!BD14+'C:\Users\marcelo.saboia\Documents\backup - diarq - 13.06.25\Atividade Semanal - Equipe\z. INDICADORES - POR DIA\[INDICADORES - Junho-Julho_2025_backup.xlsx]Carlos'!BD14+'C:\Users\marcelo.saboia\Documents\backup - diarq - 13.06.25\Atividade Semanal - Equipe\z. INDICADORES - POR DIA\[INDICADORES - Junho-Julho_2025_backup.xlsx]Alessandro'!BD14</f>
    </oc>
    <nc r="K14">
      <f>Diego!P14+Aelton!P14+Leonam!P14+Danilo!P14+Marcos!P14+Carlos!P14+Alessandro!P14</f>
    </nc>
  </rcc>
  <rfmt sheetId="3" sqref="K15" start="0" length="0">
    <dxf>
      <numFmt numFmtId="3" formatCode="#,##0"/>
      <fill>
        <patternFill>
          <bgColor rgb="FFFFFF00"/>
        </patternFill>
      </fill>
    </dxf>
  </rfmt>
  <rcc rId="712" sId="3">
    <oc r="K16">
      <f>'C:\Users\marcelo.saboia\Documents\backup - diarq - 13.06.25\Atividade Semanal - Equipe\z. INDICADORES - POR DIA\[INDICADORES - Junho-Julho_2025_backup.xlsx]Diego'!BD16+'C:\Users\marcelo.saboia\Documents\backup - diarq - 13.06.25\Atividade Semanal - Equipe\z. INDICADORES - POR DIA\[INDICADORES - Junho-Julho_2025_backup.xlsx]Aelton'!BD16+'C:\Users\marcelo.saboia\Documents\backup - diarq - 13.06.25\Atividade Semanal - Equipe\z. INDICADORES - POR DIA\[INDICADORES - Junho-Julho_2025_backup.xlsx]Leonam'!BD16+'C:\Users\marcelo.saboia\Documents\backup - diarq - 13.06.25\Atividade Semanal - Equipe\z. INDICADORES - POR DIA\[INDICADORES - Junho-Julho_2025_backup.xlsx]Danilo'!BD16+'C:\Users\marcelo.saboia\Documents\backup - diarq - 13.06.25\Atividade Semanal - Equipe\z. INDICADORES - POR DIA\[INDICADORES - Junho-Julho_2025_backup.xlsx]Marcos'!BD16+'C:\Users\marcelo.saboia\Documents\backup - diarq - 13.06.25\Atividade Semanal - Equipe\z. INDICADORES - POR DIA\[INDICADORES - Junho-Julho_2025_backup.xlsx]Carlos'!BD16+'C:\Users\marcelo.saboia\Documents\backup - diarq - 13.06.25\Atividade Semanal - Equipe\z. INDICADORES - POR DIA\[INDICADORES - Junho-Julho_2025_backup.xlsx]Alessandro'!BD16</f>
    </oc>
    <nc r="K16">
      <f>Diego!P16+Aelton!P16+Leonam!P16+Danilo!P16+Marcos!P16+Carlos!P16+Alessandro!P16</f>
    </nc>
  </rcc>
  <rfmt sheetId="3" sqref="C3:K3">
    <dxf>
      <fill>
        <patternFill>
          <bgColor theme="0"/>
        </patternFill>
      </fill>
    </dxf>
  </rfmt>
  <rcc rId="713" sId="3" odxf="1" dxf="1">
    <oc r="C5">
      <f>Diego!H5+Aelton!H5+Leonam!H5+Danilo!H5+Marcos!H5+Carlos!H5+Alessandro!H5</f>
    </oc>
    <nc r="C5">
      <f>Diego!H5+Aelton!H5+Leonam!H5+Danilo!H5+Marcos!H5+Carlos!H5+Alessandro!H5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14" sId="3" odxf="1" dxf="1">
    <oc r="D5">
      <f>Diego!I5+Aelton!I5+Leonam!I5+Danilo!I5+Marcos!I5+Carlos!I5+Alessandro!I5</f>
    </oc>
    <nc r="D5">
      <f>Diego!I5+Aelton!I5+Leonam!I5+Danilo!I5+Marcos!I5+Carlos!I5+Alessandro!I5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15" sId="3" odxf="1" dxf="1">
    <oc r="E5">
      <f>Diego!J5+Aelton!J5+Leonam!J5+Danilo!J5+Marcos!J5+Carlos!J5+Alessandro!J5</f>
    </oc>
    <nc r="E5">
      <f>Diego!J5+Aelton!J5+Leonam!J5+Danilo!J5+Marcos!J5+Carlos!J5+Alessandro!J5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16" sId="3" odxf="1" dxf="1">
    <oc r="F5">
      <f>Diego!K5+Aelton!K5+Leonam!K5+Danilo!K5+Marcos!K5+Carlos!K5+Alessandro!K5</f>
    </oc>
    <nc r="F5">
      <f>Diego!K5+Aelton!K5+Leonam!K5+Danilo!K5+Marcos!K5+Carlos!K5+Alessandro!K5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17" sId="3" odxf="1" dxf="1">
    <oc r="G5">
      <f>'C:\Users\marcelo.saboia\Documents\backup - diarq - 13.06.25\Atividade Semanal - Equipe\z. INDICADORES - POR DIA\[INDICADORES - Junho-Julho_2025_backup.xlsx]Diego'!AF5+'C:\Users\marcelo.saboia\Documents\backup - diarq - 13.06.25\Atividade Semanal - Equipe\z. INDICADORES - POR DIA\[INDICADORES - Junho-Julho_2025_backup.xlsx]Aelton'!AF5+'C:\Users\marcelo.saboia\Documents\backup - diarq - 13.06.25\Atividade Semanal - Equipe\z. INDICADORES - POR DIA\[INDICADORES - Junho-Julho_2025_backup.xlsx]Leonam'!AF5+'C:\Users\marcelo.saboia\Documents\backup - diarq - 13.06.25\Atividade Semanal - Equipe\z. INDICADORES - POR DIA\[INDICADORES - Junho-Julho_2025_backup.xlsx]Danilo'!AF5+'C:\Users\marcelo.saboia\Documents\backup - diarq - 13.06.25\Atividade Semanal - Equipe\z. INDICADORES - POR DIA\[INDICADORES - Junho-Julho_2025_backup.xlsx]Marcos'!AF5+'C:\Users\marcelo.saboia\Documents\backup - diarq - 13.06.25\Atividade Semanal - Equipe\z. INDICADORES - POR DIA\[INDICADORES - Junho-Julho_2025_backup.xlsx]Carlos'!AF5+'C:\Users\marcelo.saboia\Documents\backup - diarq - 13.06.25\Atividade Semanal - Equipe\z. INDICADORES - POR DIA\[INDICADORES - Junho-Julho_2025_backup.xlsx]Alessandro'!AF5</f>
    </oc>
    <nc r="G5">
      <f>Diego!L5+Aelton!L5+Leonam!L5+Danilo!L5+Marcos!L5+Carlos!L5+Alessandro!L5</f>
    </nc>
    <ndxf>
      <fill>
        <patternFill>
          <bgColor theme="0"/>
        </patternFill>
      </fill>
    </ndxf>
  </rcc>
  <rcc rId="718" sId="3" odxf="1" dxf="1">
    <oc r="H5">
      <f>'C:\Users\marcelo.saboia\Documents\backup - diarq - 13.06.25\Atividade Semanal - Equipe\z. INDICADORES - POR DIA\[INDICADORES - Junho-Julho_2025_backup.xlsx]Diego'!AL5+'C:\Users\marcelo.saboia\Documents\backup - diarq - 13.06.25\Atividade Semanal - Equipe\z. INDICADORES - POR DIA\[INDICADORES - Junho-Julho_2025_backup.xlsx]Aelton'!AL5+'C:\Users\marcelo.saboia\Documents\backup - diarq - 13.06.25\Atividade Semanal - Equipe\z. INDICADORES - POR DIA\[INDICADORES - Junho-Julho_2025_backup.xlsx]Leonam'!AL5+'C:\Users\marcelo.saboia\Documents\backup - diarq - 13.06.25\Atividade Semanal - Equipe\z. INDICADORES - POR DIA\[INDICADORES - Junho-Julho_2025_backup.xlsx]Danilo'!AL5+'C:\Users\marcelo.saboia\Documents\backup - diarq - 13.06.25\Atividade Semanal - Equipe\z. INDICADORES - POR DIA\[INDICADORES - Junho-Julho_2025_backup.xlsx]Marcos'!AL5+'C:\Users\marcelo.saboia\Documents\backup - diarq - 13.06.25\Atividade Semanal - Equipe\z. INDICADORES - POR DIA\[INDICADORES - Junho-Julho_2025_backup.xlsx]Carlos'!AL5+'C:\Users\marcelo.saboia\Documents\backup - diarq - 13.06.25\Atividade Semanal - Equipe\z. INDICADORES - POR DIA\[INDICADORES - Junho-Julho_2025_backup.xlsx]Alessandro'!AL5</f>
    </oc>
    <nc r="H5">
      <f>Diego!M5+Aelton!M5+Leonam!M5+Danilo!M5+Marcos!M5+Carlos!M5+Alessandro!M5</f>
    </nc>
    <ndxf>
      <fill>
        <patternFill>
          <bgColor theme="0"/>
        </patternFill>
      </fill>
    </ndxf>
  </rcc>
  <rcc rId="719" sId="3" odxf="1" dxf="1">
    <oc r="I5">
      <f>'C:\Users\marcelo.saboia\Documents\backup - diarq - 13.06.25\Atividade Semanal - Equipe\z. INDICADORES - POR DIA\[INDICADORES - Junho-Julho_2025_backup.xlsx]Diego'!AR5+'C:\Users\marcelo.saboia\Documents\backup - diarq - 13.06.25\Atividade Semanal - Equipe\z. INDICADORES - POR DIA\[INDICADORES - Junho-Julho_2025_backup.xlsx]Aelton'!AR5+'C:\Users\marcelo.saboia\Documents\backup - diarq - 13.06.25\Atividade Semanal - Equipe\z. INDICADORES - POR DIA\[INDICADORES - Junho-Julho_2025_backup.xlsx]Leonam'!AR5+'C:\Users\marcelo.saboia\Documents\backup - diarq - 13.06.25\Atividade Semanal - Equipe\z. INDICADORES - POR DIA\[INDICADORES - Junho-Julho_2025_backup.xlsx]Danilo'!AR5+'C:\Users\marcelo.saboia\Documents\backup - diarq - 13.06.25\Atividade Semanal - Equipe\z. INDICADORES - POR DIA\[INDICADORES - Junho-Julho_2025_backup.xlsx]Marcos'!AR5+'C:\Users\marcelo.saboia\Documents\backup - diarq - 13.06.25\Atividade Semanal - Equipe\z. INDICADORES - POR DIA\[INDICADORES - Junho-Julho_2025_backup.xlsx]Carlos'!AR5+'C:\Users\marcelo.saboia\Documents\backup - diarq - 13.06.25\Atividade Semanal - Equipe\z. INDICADORES - POR DIA\[INDICADORES - Junho-Julho_2025_backup.xlsx]Alessandro'!AR5</f>
    </oc>
    <nc r="I5">
      <f>Diego!N5+Aelton!N5+Leonam!N5+Danilo!N5+Marcos!N5+Carlos!N5+Alessandro!N5</f>
    </nc>
    <ndxf>
      <fill>
        <patternFill>
          <bgColor theme="0"/>
        </patternFill>
      </fill>
    </ndxf>
  </rcc>
  <rcc rId="720" sId="3" odxf="1" dxf="1">
    <oc r="J5">
      <f>'C:\Users\marcelo.saboia\Documents\backup - diarq - 13.06.25\Atividade Semanal - Equipe\z. INDICADORES - POR DIA\[INDICADORES - Junho-Julho_2025_backup.xlsx]Diego'!AX5+'C:\Users\marcelo.saboia\Documents\backup - diarq - 13.06.25\Atividade Semanal - Equipe\z. INDICADORES - POR DIA\[INDICADORES - Junho-Julho_2025_backup.xlsx]Aelton'!AX5+'C:\Users\marcelo.saboia\Documents\backup - diarq - 13.06.25\Atividade Semanal - Equipe\z. INDICADORES - POR DIA\[INDICADORES - Junho-Julho_2025_backup.xlsx]Leonam'!AX5+'C:\Users\marcelo.saboia\Documents\backup - diarq - 13.06.25\Atividade Semanal - Equipe\z. INDICADORES - POR DIA\[INDICADORES - Junho-Julho_2025_backup.xlsx]Danilo'!AX5+'C:\Users\marcelo.saboia\Documents\backup - diarq - 13.06.25\Atividade Semanal - Equipe\z. INDICADORES - POR DIA\[INDICADORES - Junho-Julho_2025_backup.xlsx]Marcos'!AX5+'C:\Users\marcelo.saboia\Documents\backup - diarq - 13.06.25\Atividade Semanal - Equipe\z. INDICADORES - POR DIA\[INDICADORES - Junho-Julho_2025_backup.xlsx]Carlos'!AX5+'C:\Users\marcelo.saboia\Documents\backup - diarq - 13.06.25\Atividade Semanal - Equipe\z. INDICADORES - POR DIA\[INDICADORES - Junho-Julho_2025_backup.xlsx]Alessandro'!AX5</f>
    </oc>
    <nc r="J5">
      <f>Diego!O5+Aelton!O5+Leonam!O5+Danilo!O5+Marcos!O5+Carlos!O5+Alessandro!O5</f>
    </nc>
    <ndxf>
      <fill>
        <patternFill>
          <bgColor theme="0"/>
        </patternFill>
      </fill>
    </ndxf>
  </rcc>
  <rcc rId="721" sId="3" odxf="1" dxf="1">
    <oc r="K5">
      <f>'C:\Users\marcelo.saboia\Documents\backup - diarq - 13.06.25\Atividade Semanal - Equipe\z. INDICADORES - POR DIA\[INDICADORES - Junho-Julho_2025_backup.xlsx]Diego'!BD5+'C:\Users\marcelo.saboia\Documents\backup - diarq - 13.06.25\Atividade Semanal - Equipe\z. INDICADORES - POR DIA\[INDICADORES - Junho-Julho_2025_backup.xlsx]Aelton'!BD5+'C:\Users\marcelo.saboia\Documents\backup - diarq - 13.06.25\Atividade Semanal - Equipe\z. INDICADORES - POR DIA\[INDICADORES - Junho-Julho_2025_backup.xlsx]Leonam'!BD5+'C:\Users\marcelo.saboia\Documents\backup - diarq - 13.06.25\Atividade Semanal - Equipe\z. INDICADORES - POR DIA\[INDICADORES - Junho-Julho_2025_backup.xlsx]Danilo'!BD5+'C:\Users\marcelo.saboia\Documents\backup - diarq - 13.06.25\Atividade Semanal - Equipe\z. INDICADORES - POR DIA\[INDICADORES - Junho-Julho_2025_backup.xlsx]Marcos'!BD5+'C:\Users\marcelo.saboia\Documents\backup - diarq - 13.06.25\Atividade Semanal - Equipe\z. INDICADORES - POR DIA\[INDICADORES - Junho-Julho_2025_backup.xlsx]Carlos'!BD5+'C:\Users\marcelo.saboia\Documents\backup - diarq - 13.06.25\Atividade Semanal - Equipe\z. INDICADORES - POR DIA\[INDICADORES - Junho-Julho_2025_backup.xlsx]Alessandro'!BD5</f>
    </oc>
    <nc r="K5">
      <f>Diego!P5+Aelton!P5+Leonam!P5+Danilo!P5+Marcos!P5+Carlos!P5+Alessandro!P5</f>
    </nc>
    <ndxf>
      <fill>
        <patternFill>
          <bgColor theme="0"/>
        </patternFill>
      </fill>
    </ndxf>
  </rcc>
  <rcc rId="722" sId="3" odxf="1" dxf="1">
    <oc r="C7">
      <f>Diego!H7+Aelton!H7+Leonam!H7+Danilo!H7+Marcos!H7+Carlos!H7+Alessandro!H7</f>
    </oc>
    <nc r="C7">
      <f>Diego!H7+Aelton!H7+Leonam!H7+Danilo!H7+Marcos!H7+Carlos!H7+Alessandro!H7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23" sId="3" odxf="1" dxf="1">
    <oc r="D7">
      <f>Diego!I7+Aelton!I7+Leonam!I7+Danilo!I7+Marcos!I7+Carlos!I7+Alessandro!I7</f>
    </oc>
    <nc r="D7">
      <f>Diego!I7+Aelton!I7+Leonam!I7+Danilo!I7+Marcos!I7+Carlos!I7+Alessandro!I7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24" sId="3" odxf="1" dxf="1">
    <oc r="E7">
      <f>Diego!J7+Aelton!J7+Leonam!J7+Danilo!J7+Marcos!J7+Carlos!J7+Alessandro!J7</f>
    </oc>
    <nc r="E7">
      <f>Diego!J7+Aelton!J7+Leonam!J7+Danilo!J7+Marcos!J7+Carlos!J7+Alessandro!J7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25" sId="3" odxf="1" dxf="1">
    <oc r="F7">
      <f>Diego!K7+Aelton!K7+Leonam!K7+Danilo!K7+Marcos!K7+Carlos!K7+Alessandro!K7</f>
    </oc>
    <nc r="F7">
      <f>Diego!K7+Aelton!K7+Leonam!K7+Danilo!K7+Marcos!K7+Carlos!K7+Alessandro!K7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26" sId="3" odxf="1" dxf="1">
    <oc r="G7">
      <f>'C:\Users\marcelo.saboia\Documents\backup - diarq - 13.06.25\Atividade Semanal - Equipe\z. INDICADORES - POR DIA\[INDICADORES - Junho-Julho_2025_backup.xlsx]Diego'!AF7+'C:\Users\marcelo.saboia\Documents\backup - diarq - 13.06.25\Atividade Semanal - Equipe\z. INDICADORES - POR DIA\[INDICADORES - Junho-Julho_2025_backup.xlsx]Aelton'!AF7+'C:\Users\marcelo.saboia\Documents\backup - diarq - 13.06.25\Atividade Semanal - Equipe\z. INDICADORES - POR DIA\[INDICADORES - Junho-Julho_2025_backup.xlsx]Leonam'!AF7+'C:\Users\marcelo.saboia\Documents\backup - diarq - 13.06.25\Atividade Semanal - Equipe\z. INDICADORES - POR DIA\[INDICADORES - Junho-Julho_2025_backup.xlsx]Danilo'!AF7+'C:\Users\marcelo.saboia\Documents\backup - diarq - 13.06.25\Atividade Semanal - Equipe\z. INDICADORES - POR DIA\[INDICADORES - Junho-Julho_2025_backup.xlsx]Marcos'!AF7+'C:\Users\marcelo.saboia\Documents\backup - diarq - 13.06.25\Atividade Semanal - Equipe\z. INDICADORES - POR DIA\[INDICADORES - Junho-Julho_2025_backup.xlsx]Carlos'!AF7+'C:\Users\marcelo.saboia\Documents\backup - diarq - 13.06.25\Atividade Semanal - Equipe\z. INDICADORES - POR DIA\[INDICADORES - Junho-Julho_2025_backup.xlsx]Alessandro'!AF7</f>
    </oc>
    <nc r="G7">
      <f>Diego!L7+Aelton!L7+Leonam!L7+Danilo!L7+Marcos!L7+Carlos!L7+Alessandro!L7</f>
    </nc>
    <ndxf>
      <fill>
        <patternFill>
          <bgColor theme="0"/>
        </patternFill>
      </fill>
    </ndxf>
  </rcc>
  <rcc rId="727" sId="3" odxf="1" dxf="1">
    <oc r="H7">
      <f>'C:\Users\marcelo.saboia\Documents\backup - diarq - 13.06.25\Atividade Semanal - Equipe\z. INDICADORES - POR DIA\[INDICADORES - Junho-Julho_2025_backup.xlsx]Diego'!AL7+'C:\Users\marcelo.saboia\Documents\backup - diarq - 13.06.25\Atividade Semanal - Equipe\z. INDICADORES - POR DIA\[INDICADORES - Junho-Julho_2025_backup.xlsx]Aelton'!AL7+'C:\Users\marcelo.saboia\Documents\backup - diarq - 13.06.25\Atividade Semanal - Equipe\z. INDICADORES - POR DIA\[INDICADORES - Junho-Julho_2025_backup.xlsx]Leonam'!AL7+'C:\Users\marcelo.saboia\Documents\backup - diarq - 13.06.25\Atividade Semanal - Equipe\z. INDICADORES - POR DIA\[INDICADORES - Junho-Julho_2025_backup.xlsx]Danilo'!AL7+'C:\Users\marcelo.saboia\Documents\backup - diarq - 13.06.25\Atividade Semanal - Equipe\z. INDICADORES - POR DIA\[INDICADORES - Junho-Julho_2025_backup.xlsx]Marcos'!AL7+'C:\Users\marcelo.saboia\Documents\backup - diarq - 13.06.25\Atividade Semanal - Equipe\z. INDICADORES - POR DIA\[INDICADORES - Junho-Julho_2025_backup.xlsx]Carlos'!AL7+'C:\Users\marcelo.saboia\Documents\backup - diarq - 13.06.25\Atividade Semanal - Equipe\z. INDICADORES - POR DIA\[INDICADORES - Junho-Julho_2025_backup.xlsx]Alessandro'!AL7</f>
    </oc>
    <nc r="H7">
      <f>Diego!M7+Aelton!M7+Leonam!M7+Danilo!M7+Marcos!M7+Carlos!M7+Alessandro!M7</f>
    </nc>
    <ndxf>
      <fill>
        <patternFill>
          <bgColor theme="0"/>
        </patternFill>
      </fill>
    </ndxf>
  </rcc>
  <rcc rId="728" sId="3" odxf="1" dxf="1">
    <oc r="I7">
      <f>'C:\Users\marcelo.saboia\Documents\backup - diarq - 13.06.25\Atividade Semanal - Equipe\z. INDICADORES - POR DIA\[INDICADORES - Junho-Julho_2025_backup.xlsx]Diego'!AR7+'C:\Users\marcelo.saboia\Documents\backup - diarq - 13.06.25\Atividade Semanal - Equipe\z. INDICADORES - POR DIA\[INDICADORES - Junho-Julho_2025_backup.xlsx]Aelton'!AR7+'C:\Users\marcelo.saboia\Documents\backup - diarq - 13.06.25\Atividade Semanal - Equipe\z. INDICADORES - POR DIA\[INDICADORES - Junho-Julho_2025_backup.xlsx]Leonam'!AR7+'C:\Users\marcelo.saboia\Documents\backup - diarq - 13.06.25\Atividade Semanal - Equipe\z. INDICADORES - POR DIA\[INDICADORES - Junho-Julho_2025_backup.xlsx]Danilo'!AR7+'C:\Users\marcelo.saboia\Documents\backup - diarq - 13.06.25\Atividade Semanal - Equipe\z. INDICADORES - POR DIA\[INDICADORES - Junho-Julho_2025_backup.xlsx]Marcos'!AR7+'C:\Users\marcelo.saboia\Documents\backup - diarq - 13.06.25\Atividade Semanal - Equipe\z. INDICADORES - POR DIA\[INDICADORES - Junho-Julho_2025_backup.xlsx]Carlos'!AR7+'C:\Users\marcelo.saboia\Documents\backup - diarq - 13.06.25\Atividade Semanal - Equipe\z. INDICADORES - POR DIA\[INDICADORES - Junho-Julho_2025_backup.xlsx]Alessandro'!AR7</f>
    </oc>
    <nc r="I7">
      <f>Diego!N7+Aelton!N7+Leonam!N7+Danilo!N7+Marcos!N7+Carlos!N7+Alessandro!N7</f>
    </nc>
    <ndxf>
      <fill>
        <patternFill>
          <bgColor theme="0"/>
        </patternFill>
      </fill>
    </ndxf>
  </rcc>
  <rcc rId="729" sId="3" odxf="1" dxf="1">
    <oc r="J7">
      <f>'C:\Users\marcelo.saboia\Documents\backup - diarq - 13.06.25\Atividade Semanal - Equipe\z. INDICADORES - POR DIA\[INDICADORES - Junho-Julho_2025_backup.xlsx]Diego'!AX7+'C:\Users\marcelo.saboia\Documents\backup - diarq - 13.06.25\Atividade Semanal - Equipe\z. INDICADORES - POR DIA\[INDICADORES - Junho-Julho_2025_backup.xlsx]Aelton'!AX7+'C:\Users\marcelo.saboia\Documents\backup - diarq - 13.06.25\Atividade Semanal - Equipe\z. INDICADORES - POR DIA\[INDICADORES - Junho-Julho_2025_backup.xlsx]Leonam'!AX7+'C:\Users\marcelo.saboia\Documents\backup - diarq - 13.06.25\Atividade Semanal - Equipe\z. INDICADORES - POR DIA\[INDICADORES - Junho-Julho_2025_backup.xlsx]Danilo'!AX7+'C:\Users\marcelo.saboia\Documents\backup - diarq - 13.06.25\Atividade Semanal - Equipe\z. INDICADORES - POR DIA\[INDICADORES - Junho-Julho_2025_backup.xlsx]Marcos'!AX7+'C:\Users\marcelo.saboia\Documents\backup - diarq - 13.06.25\Atividade Semanal - Equipe\z. INDICADORES - POR DIA\[INDICADORES - Junho-Julho_2025_backup.xlsx]Carlos'!AX7+'C:\Users\marcelo.saboia\Documents\backup - diarq - 13.06.25\Atividade Semanal - Equipe\z. INDICADORES - POR DIA\[INDICADORES - Junho-Julho_2025_backup.xlsx]Alessandro'!AX7</f>
    </oc>
    <nc r="J7">
      <f>Diego!O7+Aelton!O7+Leonam!O7+Danilo!O7+Marcos!O7+Carlos!O7+Alessandro!O7</f>
    </nc>
    <ndxf>
      <fill>
        <patternFill>
          <bgColor theme="0"/>
        </patternFill>
      </fill>
    </ndxf>
  </rcc>
  <rcc rId="730" sId="3" odxf="1" dxf="1">
    <oc r="K7">
      <f>'C:\Users\marcelo.saboia\Documents\backup - diarq - 13.06.25\Atividade Semanal - Equipe\z. INDICADORES - POR DIA\[INDICADORES - Junho-Julho_2025_backup.xlsx]Diego'!BD7+'C:\Users\marcelo.saboia\Documents\backup - diarq - 13.06.25\Atividade Semanal - Equipe\z. INDICADORES - POR DIA\[INDICADORES - Junho-Julho_2025_backup.xlsx]Aelton'!BD7+'C:\Users\marcelo.saboia\Documents\backup - diarq - 13.06.25\Atividade Semanal - Equipe\z. INDICADORES - POR DIA\[INDICADORES - Junho-Julho_2025_backup.xlsx]Leonam'!BD7+'C:\Users\marcelo.saboia\Documents\backup - diarq - 13.06.25\Atividade Semanal - Equipe\z. INDICADORES - POR DIA\[INDICADORES - Junho-Julho_2025_backup.xlsx]Danilo'!BD7+'C:\Users\marcelo.saboia\Documents\backup - diarq - 13.06.25\Atividade Semanal - Equipe\z. INDICADORES - POR DIA\[INDICADORES - Junho-Julho_2025_backup.xlsx]Marcos'!BD7+'C:\Users\marcelo.saboia\Documents\backup - diarq - 13.06.25\Atividade Semanal - Equipe\z. INDICADORES - POR DIA\[INDICADORES - Junho-Julho_2025_backup.xlsx]Carlos'!BD7+'C:\Users\marcelo.saboia\Documents\backup - diarq - 13.06.25\Atividade Semanal - Equipe\z. INDICADORES - POR DIA\[INDICADORES - Junho-Julho_2025_backup.xlsx]Alessandro'!BD7</f>
    </oc>
    <nc r="K7">
      <f>Diego!P7+Aelton!P7+Leonam!P7+Danilo!P7+Marcos!P7+Carlos!P7+Alessandro!P7</f>
    </nc>
    <ndxf>
      <fill>
        <patternFill>
          <bgColor theme="0"/>
        </patternFill>
      </fill>
    </ndxf>
  </rcc>
  <rcc rId="731" sId="3" odxf="1" dxf="1">
    <oc r="C9">
      <f>Diego!H9+Aelton!H9+Leonam!H9+Danilo!H9+Marcos!H9+Carlos!H9+Alessandro!H9</f>
    </oc>
    <nc r="C9">
      <f>Diego!H9+Aelton!H9+Leonam!H9+Danilo!H9+Marcos!H9+Carlos!H9+Alessandro!H9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32" sId="3" odxf="1" dxf="1">
    <oc r="D9">
      <f>Diego!I9+Aelton!I9+Leonam!I9+Danilo!I9+Marcos!I9+Carlos!I9+Alessandro!I9</f>
    </oc>
    <nc r="D9">
      <f>Diego!I9+Aelton!I9+Leonam!I9+Danilo!I9+Marcos!I9+Carlos!I9+Alessandro!I9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33" sId="3" odxf="1" dxf="1">
    <oc r="E9">
      <f>Diego!J9+Aelton!J9+Leonam!J9+Danilo!J9+Marcos!J9+Carlos!J9+Alessandro!J9</f>
    </oc>
    <nc r="E9">
      <f>Diego!J9+Aelton!J9+Leonam!J9+Danilo!J9+Marcos!J9+Carlos!J9+Alessandro!J9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34" sId="3" odxf="1" dxf="1">
    <oc r="F9">
      <f>Diego!K9+Aelton!K9+Leonam!K9+Danilo!K9+Marcos!K9+Carlos!K9+Alessandro!K9</f>
    </oc>
    <nc r="F9">
      <f>Diego!K9+Aelton!K9+Leonam!K9+Danilo!K9+Marcos!K9+Carlos!K9+Alessandro!K9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35" sId="3" odxf="1" dxf="1">
    <oc r="G9">
      <f>'C:\Users\marcelo.saboia\Documents\backup - diarq - 13.06.25\Atividade Semanal - Equipe\z. INDICADORES - POR DIA\[INDICADORES - Junho-Julho_2025_backup.xlsx]Diego'!AF9+'C:\Users\marcelo.saboia\Documents\backup - diarq - 13.06.25\Atividade Semanal - Equipe\z. INDICADORES - POR DIA\[INDICADORES - Junho-Julho_2025_backup.xlsx]Aelton'!AF9+'C:\Users\marcelo.saboia\Documents\backup - diarq - 13.06.25\Atividade Semanal - Equipe\z. INDICADORES - POR DIA\[INDICADORES - Junho-Julho_2025_backup.xlsx]Leonam'!AF9+'C:\Users\marcelo.saboia\Documents\backup - diarq - 13.06.25\Atividade Semanal - Equipe\z. INDICADORES - POR DIA\[INDICADORES - Junho-Julho_2025_backup.xlsx]Danilo'!AF9+'C:\Users\marcelo.saboia\Documents\backup - diarq - 13.06.25\Atividade Semanal - Equipe\z. INDICADORES - POR DIA\[INDICADORES - Junho-Julho_2025_backup.xlsx]Marcos'!AF9+'C:\Users\marcelo.saboia\Documents\backup - diarq - 13.06.25\Atividade Semanal - Equipe\z. INDICADORES - POR DIA\[INDICADORES - Junho-Julho_2025_backup.xlsx]Carlos'!AF9+'C:\Users\marcelo.saboia\Documents\backup - diarq - 13.06.25\Atividade Semanal - Equipe\z. INDICADORES - POR DIA\[INDICADORES - Junho-Julho_2025_backup.xlsx]Alessandro'!AF9</f>
    </oc>
    <nc r="G9">
      <f>Diego!L9+Aelton!L9+Leonam!L9+Danilo!L9+Marcos!L9+Carlos!L9+Alessandro!L9</f>
    </nc>
    <ndxf>
      <fill>
        <patternFill>
          <bgColor theme="0"/>
        </patternFill>
      </fill>
    </ndxf>
  </rcc>
  <rcc rId="736" sId="3" odxf="1" dxf="1">
    <oc r="H9">
      <f>'C:\Users\marcelo.saboia\Documents\backup - diarq - 13.06.25\Atividade Semanal - Equipe\z. INDICADORES - POR DIA\[INDICADORES - Junho-Julho_2025_backup.xlsx]Diego'!AL9+'C:\Users\marcelo.saboia\Documents\backup - diarq - 13.06.25\Atividade Semanal - Equipe\z. INDICADORES - POR DIA\[INDICADORES - Junho-Julho_2025_backup.xlsx]Aelton'!AL9+'C:\Users\marcelo.saboia\Documents\backup - diarq - 13.06.25\Atividade Semanal - Equipe\z. INDICADORES - POR DIA\[INDICADORES - Junho-Julho_2025_backup.xlsx]Leonam'!AL9+'C:\Users\marcelo.saboia\Documents\backup - diarq - 13.06.25\Atividade Semanal - Equipe\z. INDICADORES - POR DIA\[INDICADORES - Junho-Julho_2025_backup.xlsx]Danilo'!AL9+'C:\Users\marcelo.saboia\Documents\backup - diarq - 13.06.25\Atividade Semanal - Equipe\z. INDICADORES - POR DIA\[INDICADORES - Junho-Julho_2025_backup.xlsx]Marcos'!AL9+'C:\Users\marcelo.saboia\Documents\backup - diarq - 13.06.25\Atividade Semanal - Equipe\z. INDICADORES - POR DIA\[INDICADORES - Junho-Julho_2025_backup.xlsx]Carlos'!AL9+'C:\Users\marcelo.saboia\Documents\backup - diarq - 13.06.25\Atividade Semanal - Equipe\z. INDICADORES - POR DIA\[INDICADORES - Junho-Julho_2025_backup.xlsx]Alessandro'!AL9</f>
    </oc>
    <nc r="H9">
      <f>Diego!M9+Aelton!M9+Leonam!M9+Danilo!M9+Marcos!M9+Carlos!M9+Alessandro!M9</f>
    </nc>
    <ndxf>
      <fill>
        <patternFill>
          <bgColor theme="0"/>
        </patternFill>
      </fill>
    </ndxf>
  </rcc>
  <rcc rId="737" sId="3" odxf="1" dxf="1">
    <oc r="I9">
      <f>'C:\Users\marcelo.saboia\Documents\backup - diarq - 13.06.25\Atividade Semanal - Equipe\z. INDICADORES - POR DIA\[INDICADORES - Junho-Julho_2025_backup.xlsx]Diego'!AR9+'C:\Users\marcelo.saboia\Documents\backup - diarq - 13.06.25\Atividade Semanal - Equipe\z. INDICADORES - POR DIA\[INDICADORES - Junho-Julho_2025_backup.xlsx]Aelton'!AR9+'C:\Users\marcelo.saboia\Documents\backup - diarq - 13.06.25\Atividade Semanal - Equipe\z. INDICADORES - POR DIA\[INDICADORES - Junho-Julho_2025_backup.xlsx]Leonam'!AR9+'C:\Users\marcelo.saboia\Documents\backup - diarq - 13.06.25\Atividade Semanal - Equipe\z. INDICADORES - POR DIA\[INDICADORES - Junho-Julho_2025_backup.xlsx]Danilo'!AR9+'C:\Users\marcelo.saboia\Documents\backup - diarq - 13.06.25\Atividade Semanal - Equipe\z. INDICADORES - POR DIA\[INDICADORES - Junho-Julho_2025_backup.xlsx]Marcos'!AR9+'C:\Users\marcelo.saboia\Documents\backup - diarq - 13.06.25\Atividade Semanal - Equipe\z. INDICADORES - POR DIA\[INDICADORES - Junho-Julho_2025_backup.xlsx]Carlos'!AR9+'C:\Users\marcelo.saboia\Documents\backup - diarq - 13.06.25\Atividade Semanal - Equipe\z. INDICADORES - POR DIA\[INDICADORES - Junho-Julho_2025_backup.xlsx]Alessandro'!AR9</f>
    </oc>
    <nc r="I9">
      <f>Diego!N9+Aelton!N9+Leonam!N9+Danilo!N9+Marcos!N9+Carlos!N9+Alessandro!N9</f>
    </nc>
    <ndxf>
      <fill>
        <patternFill>
          <bgColor theme="0"/>
        </patternFill>
      </fill>
    </ndxf>
  </rcc>
  <rcc rId="738" sId="3" odxf="1" dxf="1">
    <oc r="J9">
      <f>'C:\Users\marcelo.saboia\Documents\backup - diarq - 13.06.25\Atividade Semanal - Equipe\z. INDICADORES - POR DIA\[INDICADORES - Junho-Julho_2025_backup.xlsx]Diego'!AX9+'C:\Users\marcelo.saboia\Documents\backup - diarq - 13.06.25\Atividade Semanal - Equipe\z. INDICADORES - POR DIA\[INDICADORES - Junho-Julho_2025_backup.xlsx]Aelton'!AX9+'C:\Users\marcelo.saboia\Documents\backup - diarq - 13.06.25\Atividade Semanal - Equipe\z. INDICADORES - POR DIA\[INDICADORES - Junho-Julho_2025_backup.xlsx]Leonam'!AX9+'C:\Users\marcelo.saboia\Documents\backup - diarq - 13.06.25\Atividade Semanal - Equipe\z. INDICADORES - POR DIA\[INDICADORES - Junho-Julho_2025_backup.xlsx]Danilo'!AX9+'C:\Users\marcelo.saboia\Documents\backup - diarq - 13.06.25\Atividade Semanal - Equipe\z. INDICADORES - POR DIA\[INDICADORES - Junho-Julho_2025_backup.xlsx]Marcos'!AX9+'C:\Users\marcelo.saboia\Documents\backup - diarq - 13.06.25\Atividade Semanal - Equipe\z. INDICADORES - POR DIA\[INDICADORES - Junho-Julho_2025_backup.xlsx]Carlos'!AX9+'C:\Users\marcelo.saboia\Documents\backup - diarq - 13.06.25\Atividade Semanal - Equipe\z. INDICADORES - POR DIA\[INDICADORES - Junho-Julho_2025_backup.xlsx]Alessandro'!AX9</f>
    </oc>
    <nc r="J9">
      <f>Diego!O9+Aelton!O9+Leonam!O9+Danilo!O9+Marcos!O9+Carlos!O9+Alessandro!O9</f>
    </nc>
    <ndxf>
      <fill>
        <patternFill>
          <bgColor theme="0"/>
        </patternFill>
      </fill>
    </ndxf>
  </rcc>
  <rcc rId="739" sId="3" odxf="1" dxf="1">
    <oc r="K9">
      <f>'C:\Users\marcelo.saboia\Documents\backup - diarq - 13.06.25\Atividade Semanal - Equipe\z. INDICADORES - POR DIA\[INDICADORES - Junho-Julho_2025_backup.xlsx]Diego'!BD9+'C:\Users\marcelo.saboia\Documents\backup - diarq - 13.06.25\Atividade Semanal - Equipe\z. INDICADORES - POR DIA\[INDICADORES - Junho-Julho_2025_backup.xlsx]Aelton'!BD9+'C:\Users\marcelo.saboia\Documents\backup - diarq - 13.06.25\Atividade Semanal - Equipe\z. INDICADORES - POR DIA\[INDICADORES - Junho-Julho_2025_backup.xlsx]Leonam'!BD9+'C:\Users\marcelo.saboia\Documents\backup - diarq - 13.06.25\Atividade Semanal - Equipe\z. INDICADORES - POR DIA\[INDICADORES - Junho-Julho_2025_backup.xlsx]Danilo'!BD9+'C:\Users\marcelo.saboia\Documents\backup - diarq - 13.06.25\Atividade Semanal - Equipe\z. INDICADORES - POR DIA\[INDICADORES - Junho-Julho_2025_backup.xlsx]Marcos'!BD9+'C:\Users\marcelo.saboia\Documents\backup - diarq - 13.06.25\Atividade Semanal - Equipe\z. INDICADORES - POR DIA\[INDICADORES - Junho-Julho_2025_backup.xlsx]Carlos'!BD9+'C:\Users\marcelo.saboia\Documents\backup - diarq - 13.06.25\Atividade Semanal - Equipe\z. INDICADORES - POR DIA\[INDICADORES - Junho-Julho_2025_backup.xlsx]Alessandro'!BD9</f>
    </oc>
    <nc r="K9">
      <f>Diego!P9+Aelton!P9+Leonam!P9+Danilo!P9+Marcos!P9+Carlos!P9+Alessandro!P9</f>
    </nc>
    <ndxf>
      <fill>
        <patternFill>
          <bgColor theme="0"/>
        </patternFill>
      </fill>
    </ndxf>
  </rcc>
  <rcc rId="740" sId="3" odxf="1" dxf="1">
    <oc r="C11">
      <f>Diego!H11+Aelton!H11+Leonam!H11+Danilo!H11+Marcos!H11+Carlos!H11+Alessandro!H11</f>
    </oc>
    <nc r="C11">
      <f>Diego!H11+Aelton!H11+Leonam!H11+Danilo!H11+Marcos!H11+Carlos!H11+Alessandro!H11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41" sId="3" odxf="1" dxf="1">
    <oc r="D11">
      <f>Diego!I11+Aelton!I11+Leonam!I11+Danilo!I11+Marcos!I11+Carlos!I11+Alessandro!I11</f>
    </oc>
    <nc r="D11">
      <f>Diego!I11+Aelton!I11+Leonam!I11+Danilo!I11+Marcos!I11+Carlos!I11+Alessandro!I11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42" sId="3" odxf="1" dxf="1">
    <oc r="E11">
      <f>Diego!J11+Aelton!J11+Leonam!J11+Danilo!J11+Marcos!J11+Carlos!J11+Alessandro!J11</f>
    </oc>
    <nc r="E11">
      <f>Diego!J11+Aelton!J11+Leonam!J11+Danilo!J11+Marcos!J11+Carlos!J11+Alessandro!J11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43" sId="3" odxf="1" dxf="1">
    <oc r="F11">
      <f>Diego!K11+Aelton!K11+Leonam!K11+Danilo!K11+Marcos!K11+Carlos!K11+Alessandro!K11</f>
    </oc>
    <nc r="F11">
      <f>Diego!K11+Aelton!K11+Leonam!K11+Danilo!K11+Marcos!K11+Carlos!K11+Alessandro!K11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44" sId="3" odxf="1" dxf="1">
    <oc r="G11">
      <f>'C:\Users\marcelo.saboia\Documents\backup - diarq - 13.06.25\Atividade Semanal - Equipe\z. INDICADORES - POR DIA\[INDICADORES - Junho-Julho_2025_backup.xlsx]Diego'!AF11+'C:\Users\marcelo.saboia\Documents\backup - diarq - 13.06.25\Atividade Semanal - Equipe\z. INDICADORES - POR DIA\[INDICADORES - Junho-Julho_2025_backup.xlsx]Aelton'!AF11+'C:\Users\marcelo.saboia\Documents\backup - diarq - 13.06.25\Atividade Semanal - Equipe\z. INDICADORES - POR DIA\[INDICADORES - Junho-Julho_2025_backup.xlsx]Leonam'!AF11+'C:\Users\marcelo.saboia\Documents\backup - diarq - 13.06.25\Atividade Semanal - Equipe\z. INDICADORES - POR DIA\[INDICADORES - Junho-Julho_2025_backup.xlsx]Danilo'!AF11+'C:\Users\marcelo.saboia\Documents\backup - diarq - 13.06.25\Atividade Semanal - Equipe\z. INDICADORES - POR DIA\[INDICADORES - Junho-Julho_2025_backup.xlsx]Marcos'!AF11+'C:\Users\marcelo.saboia\Documents\backup - diarq - 13.06.25\Atividade Semanal - Equipe\z. INDICADORES - POR DIA\[INDICADORES - Junho-Julho_2025_backup.xlsx]Carlos'!AF11+'C:\Users\marcelo.saboia\Documents\backup - diarq - 13.06.25\Atividade Semanal - Equipe\z. INDICADORES - POR DIA\[INDICADORES - Junho-Julho_2025_backup.xlsx]Alessandro'!AF11</f>
    </oc>
    <nc r="G11">
      <f>Diego!L11+Aelton!L11+Leonam!L11+Danilo!L11+Marcos!L11+Carlos!L11+Alessandro!L11</f>
    </nc>
    <ndxf>
      <fill>
        <patternFill>
          <bgColor theme="0"/>
        </patternFill>
      </fill>
    </ndxf>
  </rcc>
  <rcc rId="745" sId="3" odxf="1" dxf="1">
    <oc r="H11">
      <f>'C:\Users\marcelo.saboia\Documents\backup - diarq - 13.06.25\Atividade Semanal - Equipe\z. INDICADORES - POR DIA\[INDICADORES - Junho-Julho_2025_backup.xlsx]Diego'!AL11+'C:\Users\marcelo.saboia\Documents\backup - diarq - 13.06.25\Atividade Semanal - Equipe\z. INDICADORES - POR DIA\[INDICADORES - Junho-Julho_2025_backup.xlsx]Aelton'!AL11+'C:\Users\marcelo.saboia\Documents\backup - diarq - 13.06.25\Atividade Semanal - Equipe\z. INDICADORES - POR DIA\[INDICADORES - Junho-Julho_2025_backup.xlsx]Leonam'!AL11+'C:\Users\marcelo.saboia\Documents\backup - diarq - 13.06.25\Atividade Semanal - Equipe\z. INDICADORES - POR DIA\[INDICADORES - Junho-Julho_2025_backup.xlsx]Danilo'!AL11+'C:\Users\marcelo.saboia\Documents\backup - diarq - 13.06.25\Atividade Semanal - Equipe\z. INDICADORES - POR DIA\[INDICADORES - Junho-Julho_2025_backup.xlsx]Marcos'!AL11+'C:\Users\marcelo.saboia\Documents\backup - diarq - 13.06.25\Atividade Semanal - Equipe\z. INDICADORES - POR DIA\[INDICADORES - Junho-Julho_2025_backup.xlsx]Carlos'!AL11+'C:\Users\marcelo.saboia\Documents\backup - diarq - 13.06.25\Atividade Semanal - Equipe\z. INDICADORES - POR DIA\[INDICADORES - Junho-Julho_2025_backup.xlsx]Alessandro'!AL11</f>
    </oc>
    <nc r="H11">
      <f>Diego!M11+Aelton!M11+Leonam!M11+Danilo!M11+Marcos!M11+Carlos!M11+Alessandro!M11</f>
    </nc>
    <ndxf>
      <fill>
        <patternFill>
          <bgColor theme="0"/>
        </patternFill>
      </fill>
    </ndxf>
  </rcc>
  <rcc rId="746" sId="3" odxf="1" dxf="1">
    <oc r="I11">
      <f>'C:\Users\marcelo.saboia\Documents\backup - diarq - 13.06.25\Atividade Semanal - Equipe\z. INDICADORES - POR DIA\[INDICADORES - Junho-Julho_2025_backup.xlsx]Diego'!AR11+'C:\Users\marcelo.saboia\Documents\backup - diarq - 13.06.25\Atividade Semanal - Equipe\z. INDICADORES - POR DIA\[INDICADORES - Junho-Julho_2025_backup.xlsx]Aelton'!AR11+'C:\Users\marcelo.saboia\Documents\backup - diarq - 13.06.25\Atividade Semanal - Equipe\z. INDICADORES - POR DIA\[INDICADORES - Junho-Julho_2025_backup.xlsx]Leonam'!AR11+'C:\Users\marcelo.saboia\Documents\backup - diarq - 13.06.25\Atividade Semanal - Equipe\z. INDICADORES - POR DIA\[INDICADORES - Junho-Julho_2025_backup.xlsx]Danilo'!AR11+'C:\Users\marcelo.saboia\Documents\backup - diarq - 13.06.25\Atividade Semanal - Equipe\z. INDICADORES - POR DIA\[INDICADORES - Junho-Julho_2025_backup.xlsx]Marcos'!AR11+'C:\Users\marcelo.saboia\Documents\backup - diarq - 13.06.25\Atividade Semanal - Equipe\z. INDICADORES - POR DIA\[INDICADORES - Junho-Julho_2025_backup.xlsx]Carlos'!AR11+'C:\Users\marcelo.saboia\Documents\backup - diarq - 13.06.25\Atividade Semanal - Equipe\z. INDICADORES - POR DIA\[INDICADORES - Junho-Julho_2025_backup.xlsx]Alessandro'!AR11</f>
    </oc>
    <nc r="I11">
      <f>Diego!N11+Aelton!N11+Leonam!N11+Danilo!N11+Marcos!N11+Carlos!N11+Alessandro!N11</f>
    </nc>
    <ndxf>
      <fill>
        <patternFill>
          <bgColor theme="0"/>
        </patternFill>
      </fill>
    </ndxf>
  </rcc>
  <rcc rId="747" sId="3" odxf="1" dxf="1">
    <oc r="J11">
      <f>'C:\Users\marcelo.saboia\Documents\backup - diarq - 13.06.25\Atividade Semanal - Equipe\z. INDICADORES - POR DIA\[INDICADORES - Junho-Julho_2025_backup.xlsx]Diego'!AX11+'C:\Users\marcelo.saboia\Documents\backup - diarq - 13.06.25\Atividade Semanal - Equipe\z. INDICADORES - POR DIA\[INDICADORES - Junho-Julho_2025_backup.xlsx]Aelton'!AX11+'C:\Users\marcelo.saboia\Documents\backup - diarq - 13.06.25\Atividade Semanal - Equipe\z. INDICADORES - POR DIA\[INDICADORES - Junho-Julho_2025_backup.xlsx]Leonam'!AX11+'C:\Users\marcelo.saboia\Documents\backup - diarq - 13.06.25\Atividade Semanal - Equipe\z. INDICADORES - POR DIA\[INDICADORES - Junho-Julho_2025_backup.xlsx]Danilo'!AX11+'C:\Users\marcelo.saboia\Documents\backup - diarq - 13.06.25\Atividade Semanal - Equipe\z. INDICADORES - POR DIA\[INDICADORES - Junho-Julho_2025_backup.xlsx]Marcos'!AX11+'C:\Users\marcelo.saboia\Documents\backup - diarq - 13.06.25\Atividade Semanal - Equipe\z. INDICADORES - POR DIA\[INDICADORES - Junho-Julho_2025_backup.xlsx]Carlos'!AX11+'C:\Users\marcelo.saboia\Documents\backup - diarq - 13.06.25\Atividade Semanal - Equipe\z. INDICADORES - POR DIA\[INDICADORES - Junho-Julho_2025_backup.xlsx]Alessandro'!AX11</f>
    </oc>
    <nc r="J11">
      <f>Diego!O11+Aelton!O11+Leonam!O11+Danilo!O11+Marcos!O11+Carlos!O11+Alessandro!O11</f>
    </nc>
    <ndxf>
      <fill>
        <patternFill>
          <bgColor theme="0"/>
        </patternFill>
      </fill>
    </ndxf>
  </rcc>
  <rcc rId="748" sId="3" odxf="1" dxf="1">
    <oc r="K11">
      <f>'C:\Users\marcelo.saboia\Documents\backup - diarq - 13.06.25\Atividade Semanal - Equipe\z. INDICADORES - POR DIA\[INDICADORES - Junho-Julho_2025_backup.xlsx]Diego'!BD11+'C:\Users\marcelo.saboia\Documents\backup - diarq - 13.06.25\Atividade Semanal - Equipe\z. INDICADORES - POR DIA\[INDICADORES - Junho-Julho_2025_backup.xlsx]Aelton'!BD11+'C:\Users\marcelo.saboia\Documents\backup - diarq - 13.06.25\Atividade Semanal - Equipe\z. INDICADORES - POR DIA\[INDICADORES - Junho-Julho_2025_backup.xlsx]Leonam'!BD11+'C:\Users\marcelo.saboia\Documents\backup - diarq - 13.06.25\Atividade Semanal - Equipe\z. INDICADORES - POR DIA\[INDICADORES - Junho-Julho_2025_backup.xlsx]Danilo'!BD11+'C:\Users\marcelo.saboia\Documents\backup - diarq - 13.06.25\Atividade Semanal - Equipe\z. INDICADORES - POR DIA\[INDICADORES - Junho-Julho_2025_backup.xlsx]Marcos'!BD11+'C:\Users\marcelo.saboia\Documents\backup - diarq - 13.06.25\Atividade Semanal - Equipe\z. INDICADORES - POR DIA\[INDICADORES - Junho-Julho_2025_backup.xlsx]Carlos'!BD11+'C:\Users\marcelo.saboia\Documents\backup - diarq - 13.06.25\Atividade Semanal - Equipe\z. INDICADORES - POR DIA\[INDICADORES - Junho-Julho_2025_backup.xlsx]Alessandro'!BD11</f>
    </oc>
    <nc r="K11">
      <f>Diego!P11+Aelton!P11+Leonam!P11+Danilo!P11+Marcos!P11+Carlos!P11+Alessandro!P11</f>
    </nc>
    <ndxf>
      <fill>
        <patternFill>
          <bgColor theme="0"/>
        </patternFill>
      </fill>
    </ndxf>
  </rcc>
  <rcc rId="749" sId="3" odxf="1" dxf="1">
    <oc r="C13">
      <f>Diego!H13+Aelton!H13+Leonam!H13+Danilo!H13+Marcos!H13+Carlos!H13+Alessandro!H13</f>
    </oc>
    <nc r="C13">
      <f>Diego!H13+Aelton!H13+Leonam!H13+Danilo!H13+Marcos!H13+Carlos!H13+Alessandro!H13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50" sId="3" odxf="1" dxf="1">
    <oc r="D13">
      <f>Diego!I13+Aelton!I13+Leonam!I13+Danilo!I13+Marcos!I13+Carlos!I13+Alessandro!I13</f>
    </oc>
    <nc r="D13">
      <f>Diego!I13+Aelton!I13+Leonam!I13+Danilo!I13+Marcos!I13+Carlos!I13+Alessandro!I13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51" sId="3" odxf="1" dxf="1">
    <oc r="E13">
      <f>Diego!J13+Aelton!J13+Leonam!J13+Danilo!J13+Marcos!J13+Carlos!J13+Alessandro!J13</f>
    </oc>
    <nc r="E13">
      <f>Diego!J13+Aelton!J13+Leonam!J13+Danilo!J13+Marcos!J13+Carlos!J13+Alessandro!J13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52" sId="3" odxf="1" dxf="1">
    <oc r="F13">
      <f>Diego!K13+Aelton!K13+Leonam!K13+Danilo!K13+Marcos!K13+Carlos!K13+Alessandro!K13</f>
    </oc>
    <nc r="F13">
      <f>Diego!K13+Aelton!K13+Leonam!K13+Danilo!K13+Marcos!K13+Carlos!K13+Alessandro!K13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53" sId="3" odxf="1" dxf="1">
    <oc r="G13">
      <f>'C:\Users\marcelo.saboia\Documents\backup - diarq - 13.06.25\Atividade Semanal - Equipe\z. INDICADORES - POR DIA\[INDICADORES - Junho-Julho_2025_backup.xlsx]Diego'!AF13+'C:\Users\marcelo.saboia\Documents\backup - diarq - 13.06.25\Atividade Semanal - Equipe\z. INDICADORES - POR DIA\[INDICADORES - Junho-Julho_2025_backup.xlsx]Aelton'!AF13+'C:\Users\marcelo.saboia\Documents\backup - diarq - 13.06.25\Atividade Semanal - Equipe\z. INDICADORES - POR DIA\[INDICADORES - Junho-Julho_2025_backup.xlsx]Leonam'!AF13+'C:\Users\marcelo.saboia\Documents\backup - diarq - 13.06.25\Atividade Semanal - Equipe\z. INDICADORES - POR DIA\[INDICADORES - Junho-Julho_2025_backup.xlsx]Danilo'!AF13+'C:\Users\marcelo.saboia\Documents\backup - diarq - 13.06.25\Atividade Semanal - Equipe\z. INDICADORES - POR DIA\[INDICADORES - Junho-Julho_2025_backup.xlsx]Marcos'!AF13+'C:\Users\marcelo.saboia\Documents\backup - diarq - 13.06.25\Atividade Semanal - Equipe\z. INDICADORES - POR DIA\[INDICADORES - Junho-Julho_2025_backup.xlsx]Carlos'!AF13+'C:\Users\marcelo.saboia\Documents\backup - diarq - 13.06.25\Atividade Semanal - Equipe\z. INDICADORES - POR DIA\[INDICADORES - Junho-Julho_2025_backup.xlsx]Alessandro'!AF13</f>
    </oc>
    <nc r="G13">
      <f>Diego!L13+Aelton!L13+Leonam!L13+Danilo!L13+Marcos!L13+Carlos!L13+Alessandro!L13</f>
    </nc>
    <ndxf>
      <fill>
        <patternFill>
          <bgColor theme="0"/>
        </patternFill>
      </fill>
    </ndxf>
  </rcc>
  <rcc rId="754" sId="3" odxf="1" dxf="1">
    <oc r="H13">
      <f>'C:\Users\marcelo.saboia\Documents\backup - diarq - 13.06.25\Atividade Semanal - Equipe\z. INDICADORES - POR DIA\[INDICADORES - Junho-Julho_2025_backup.xlsx]Diego'!AL13+'C:\Users\marcelo.saboia\Documents\backup - diarq - 13.06.25\Atividade Semanal - Equipe\z. INDICADORES - POR DIA\[INDICADORES - Junho-Julho_2025_backup.xlsx]Aelton'!AL13+'C:\Users\marcelo.saboia\Documents\backup - diarq - 13.06.25\Atividade Semanal - Equipe\z. INDICADORES - POR DIA\[INDICADORES - Junho-Julho_2025_backup.xlsx]Leonam'!AL13+'C:\Users\marcelo.saboia\Documents\backup - diarq - 13.06.25\Atividade Semanal - Equipe\z. INDICADORES - POR DIA\[INDICADORES - Junho-Julho_2025_backup.xlsx]Danilo'!AL13+'C:\Users\marcelo.saboia\Documents\backup - diarq - 13.06.25\Atividade Semanal - Equipe\z. INDICADORES - POR DIA\[INDICADORES - Junho-Julho_2025_backup.xlsx]Marcos'!AL13+'C:\Users\marcelo.saboia\Documents\backup - diarq - 13.06.25\Atividade Semanal - Equipe\z. INDICADORES - POR DIA\[INDICADORES - Junho-Julho_2025_backup.xlsx]Carlos'!AL13+'C:\Users\marcelo.saboia\Documents\backup - diarq - 13.06.25\Atividade Semanal - Equipe\z. INDICADORES - POR DIA\[INDICADORES - Junho-Julho_2025_backup.xlsx]Alessandro'!AL13</f>
    </oc>
    <nc r="H13">
      <f>Diego!M13+Aelton!M13+Leonam!M13+Danilo!M13+Marcos!M13+Carlos!M13+Alessandro!M13</f>
    </nc>
    <ndxf>
      <fill>
        <patternFill>
          <bgColor theme="0"/>
        </patternFill>
      </fill>
    </ndxf>
  </rcc>
  <rcc rId="755" sId="3" odxf="1" dxf="1">
    <oc r="I13">
      <f>'C:\Users\marcelo.saboia\Documents\backup - diarq - 13.06.25\Atividade Semanal - Equipe\z. INDICADORES - POR DIA\[INDICADORES - Junho-Julho_2025_backup.xlsx]Diego'!AR13+'C:\Users\marcelo.saboia\Documents\backup - diarq - 13.06.25\Atividade Semanal - Equipe\z. INDICADORES - POR DIA\[INDICADORES - Junho-Julho_2025_backup.xlsx]Aelton'!AR13+'C:\Users\marcelo.saboia\Documents\backup - diarq - 13.06.25\Atividade Semanal - Equipe\z. INDICADORES - POR DIA\[INDICADORES - Junho-Julho_2025_backup.xlsx]Leonam'!AR13+'C:\Users\marcelo.saboia\Documents\backup - diarq - 13.06.25\Atividade Semanal - Equipe\z. INDICADORES - POR DIA\[INDICADORES - Junho-Julho_2025_backup.xlsx]Danilo'!AR13+'C:\Users\marcelo.saboia\Documents\backup - diarq - 13.06.25\Atividade Semanal - Equipe\z. INDICADORES - POR DIA\[INDICADORES - Junho-Julho_2025_backup.xlsx]Marcos'!AR13+'C:\Users\marcelo.saboia\Documents\backup - diarq - 13.06.25\Atividade Semanal - Equipe\z. INDICADORES - POR DIA\[INDICADORES - Junho-Julho_2025_backup.xlsx]Carlos'!AR13+'C:\Users\marcelo.saboia\Documents\backup - diarq - 13.06.25\Atividade Semanal - Equipe\z. INDICADORES - POR DIA\[INDICADORES - Junho-Julho_2025_backup.xlsx]Alessandro'!AR13</f>
    </oc>
    <nc r="I13">
      <f>Diego!N13+Aelton!N13+Leonam!N13+Danilo!N13+Marcos!N13+Carlos!N13+Alessandro!N13</f>
    </nc>
    <ndxf>
      <fill>
        <patternFill>
          <bgColor theme="0"/>
        </patternFill>
      </fill>
    </ndxf>
  </rcc>
  <rcc rId="756" sId="3" odxf="1" dxf="1">
    <oc r="J13">
      <f>'C:\Users\marcelo.saboia\Documents\backup - diarq - 13.06.25\Atividade Semanal - Equipe\z. INDICADORES - POR DIA\[INDICADORES - Junho-Julho_2025_backup.xlsx]Diego'!AX13+'C:\Users\marcelo.saboia\Documents\backup - diarq - 13.06.25\Atividade Semanal - Equipe\z. INDICADORES - POR DIA\[INDICADORES - Junho-Julho_2025_backup.xlsx]Aelton'!AX13+'C:\Users\marcelo.saboia\Documents\backup - diarq - 13.06.25\Atividade Semanal - Equipe\z. INDICADORES - POR DIA\[INDICADORES - Junho-Julho_2025_backup.xlsx]Leonam'!AX13+'C:\Users\marcelo.saboia\Documents\backup - diarq - 13.06.25\Atividade Semanal - Equipe\z. INDICADORES - POR DIA\[INDICADORES - Junho-Julho_2025_backup.xlsx]Danilo'!AX13+'C:\Users\marcelo.saboia\Documents\backup - diarq - 13.06.25\Atividade Semanal - Equipe\z. INDICADORES - POR DIA\[INDICADORES - Junho-Julho_2025_backup.xlsx]Marcos'!AX13+'C:\Users\marcelo.saboia\Documents\backup - diarq - 13.06.25\Atividade Semanal - Equipe\z. INDICADORES - POR DIA\[INDICADORES - Junho-Julho_2025_backup.xlsx]Carlos'!AX13+'C:\Users\marcelo.saboia\Documents\backup - diarq - 13.06.25\Atividade Semanal - Equipe\z. INDICADORES - POR DIA\[INDICADORES - Junho-Julho_2025_backup.xlsx]Alessandro'!AX13</f>
    </oc>
    <nc r="J13">
      <f>Diego!O13+Aelton!O13+Leonam!O13+Danilo!O13+Marcos!O13+Carlos!O13+Alessandro!O13</f>
    </nc>
    <ndxf>
      <fill>
        <patternFill>
          <bgColor theme="0"/>
        </patternFill>
      </fill>
    </ndxf>
  </rcc>
  <rcc rId="757" sId="3" odxf="1" dxf="1">
    <oc r="K13">
      <f>'C:\Users\marcelo.saboia\Documents\backup - diarq - 13.06.25\Atividade Semanal - Equipe\z. INDICADORES - POR DIA\[INDICADORES - Junho-Julho_2025_backup.xlsx]Diego'!BD13+'C:\Users\marcelo.saboia\Documents\backup - diarq - 13.06.25\Atividade Semanal - Equipe\z. INDICADORES - POR DIA\[INDICADORES - Junho-Julho_2025_backup.xlsx]Aelton'!BD13+'C:\Users\marcelo.saboia\Documents\backup - diarq - 13.06.25\Atividade Semanal - Equipe\z. INDICADORES - POR DIA\[INDICADORES - Junho-Julho_2025_backup.xlsx]Leonam'!BD13+'C:\Users\marcelo.saboia\Documents\backup - diarq - 13.06.25\Atividade Semanal - Equipe\z. INDICADORES - POR DIA\[INDICADORES - Junho-Julho_2025_backup.xlsx]Danilo'!BD13+'C:\Users\marcelo.saboia\Documents\backup - diarq - 13.06.25\Atividade Semanal - Equipe\z. INDICADORES - POR DIA\[INDICADORES - Junho-Julho_2025_backup.xlsx]Marcos'!BD13+'C:\Users\marcelo.saboia\Documents\backup - diarq - 13.06.25\Atividade Semanal - Equipe\z. INDICADORES - POR DIA\[INDICADORES - Junho-Julho_2025_backup.xlsx]Carlos'!BD13+'C:\Users\marcelo.saboia\Documents\backup - diarq - 13.06.25\Atividade Semanal - Equipe\z. INDICADORES - POR DIA\[INDICADORES - Junho-Julho_2025_backup.xlsx]Alessandro'!BD13</f>
    </oc>
    <nc r="K13">
      <f>Diego!P13+Aelton!P13+Leonam!P13+Danilo!P13+Marcos!P13+Carlos!P13+Alessandro!P13</f>
    </nc>
    <ndxf>
      <fill>
        <patternFill>
          <bgColor theme="0"/>
        </patternFill>
      </fill>
    </ndxf>
  </rcc>
  <rcc rId="758" sId="3" odxf="1" dxf="1">
    <oc r="C15">
      <f>Diego!H15+Aelton!H15+Leonam!H15+Danilo!H15+Marcos!H15+Carlos!H15+Alessandro!H15</f>
    </oc>
    <nc r="C15">
      <f>Diego!H15+Aelton!H15+Leonam!H15+Danilo!H15+Marcos!H15+Carlos!H15+Alessandro!H15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59" sId="3" odxf="1" dxf="1">
    <oc r="D15">
      <f>Diego!I15+Aelton!I15+Leonam!I15+Danilo!I15+Marcos!I15+Carlos!I15+Alessandro!I15</f>
    </oc>
    <nc r="D15">
      <f>Diego!I15+Aelton!I15+Leonam!I15+Danilo!I15+Marcos!I15+Carlos!I15+Alessandro!I15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60" sId="3" odxf="1" dxf="1">
    <oc r="E15">
      <f>Diego!J15+Aelton!J15+Leonam!J15+Danilo!J15+Marcos!J15+Carlos!J15+Alessandro!J15</f>
    </oc>
    <nc r="E15">
      <f>Diego!J15+Aelton!J15+Leonam!J15+Danilo!J15+Marcos!J15+Carlos!J15+Alessandro!J15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61" sId="3" odxf="1" dxf="1">
    <oc r="F15">
      <f>Diego!K15+Aelton!K15+Leonam!K15+Danilo!K15+Marcos!K15+Carlos!K15+Alessandro!K15</f>
    </oc>
    <nc r="F15">
      <f>Diego!K15+Aelton!K15+Leonam!K15+Danilo!K15+Marcos!K15+Carlos!K15+Alessandro!K15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762" sId="3" odxf="1" dxf="1">
    <oc r="G15">
      <f>'C:\Users\marcelo.saboia\Documents\backup - diarq - 13.06.25\Atividade Semanal - Equipe\z. INDICADORES - POR DIA\[INDICADORES - Junho-Julho_2025_backup.xlsx]Diego'!AF15+'C:\Users\marcelo.saboia\Documents\backup - diarq - 13.06.25\Atividade Semanal - Equipe\z. INDICADORES - POR DIA\[INDICADORES - Junho-Julho_2025_backup.xlsx]Aelton'!AF15+'C:\Users\marcelo.saboia\Documents\backup - diarq - 13.06.25\Atividade Semanal - Equipe\z. INDICADORES - POR DIA\[INDICADORES - Junho-Julho_2025_backup.xlsx]Leonam'!AF15+'C:\Users\marcelo.saboia\Documents\backup - diarq - 13.06.25\Atividade Semanal - Equipe\z. INDICADORES - POR DIA\[INDICADORES - Junho-Julho_2025_backup.xlsx]Danilo'!AF15+'C:\Users\marcelo.saboia\Documents\backup - diarq - 13.06.25\Atividade Semanal - Equipe\z. INDICADORES - POR DIA\[INDICADORES - Junho-Julho_2025_backup.xlsx]Marcos'!AF15+'C:\Users\marcelo.saboia\Documents\backup - diarq - 13.06.25\Atividade Semanal - Equipe\z. INDICADORES - POR DIA\[INDICADORES - Junho-Julho_2025_backup.xlsx]Carlos'!AF15+'C:\Users\marcelo.saboia\Documents\backup - diarq - 13.06.25\Atividade Semanal - Equipe\z. INDICADORES - POR DIA\[INDICADORES - Junho-Julho_2025_backup.xlsx]Alessandro'!AF15</f>
    </oc>
    <nc r="G15">
      <f>Diego!L15+Aelton!L15+Leonam!L15+Danilo!L15+Marcos!L15+Carlos!L15+Alessandro!L15</f>
    </nc>
    <ndxf>
      <fill>
        <patternFill>
          <bgColor theme="0"/>
        </patternFill>
      </fill>
    </ndxf>
  </rcc>
  <rcc rId="763" sId="3" odxf="1" dxf="1">
    <oc r="H15">
      <f>'C:\Users\marcelo.saboia\Documents\backup - diarq - 13.06.25\Atividade Semanal - Equipe\z. INDICADORES - POR DIA\[INDICADORES - Junho-Julho_2025_backup.xlsx]Diego'!AL15+'C:\Users\marcelo.saboia\Documents\backup - diarq - 13.06.25\Atividade Semanal - Equipe\z. INDICADORES - POR DIA\[INDICADORES - Junho-Julho_2025_backup.xlsx]Aelton'!AL15+'C:\Users\marcelo.saboia\Documents\backup - diarq - 13.06.25\Atividade Semanal - Equipe\z. INDICADORES - POR DIA\[INDICADORES - Junho-Julho_2025_backup.xlsx]Leonam'!AL15+'C:\Users\marcelo.saboia\Documents\backup - diarq - 13.06.25\Atividade Semanal - Equipe\z. INDICADORES - POR DIA\[INDICADORES - Junho-Julho_2025_backup.xlsx]Danilo'!AL15+'C:\Users\marcelo.saboia\Documents\backup - diarq - 13.06.25\Atividade Semanal - Equipe\z. INDICADORES - POR DIA\[INDICADORES - Junho-Julho_2025_backup.xlsx]Marcos'!AL15+'C:\Users\marcelo.saboia\Documents\backup - diarq - 13.06.25\Atividade Semanal - Equipe\z. INDICADORES - POR DIA\[INDICADORES - Junho-Julho_2025_backup.xlsx]Carlos'!AL15+'C:\Users\marcelo.saboia\Documents\backup - diarq - 13.06.25\Atividade Semanal - Equipe\z. INDICADORES - POR DIA\[INDICADORES - Junho-Julho_2025_backup.xlsx]Alessandro'!AL15</f>
    </oc>
    <nc r="H15">
      <f>Diego!M15+Aelton!M15+Leonam!M15+Danilo!M15+Marcos!M15+Carlos!M15+Alessandro!M15</f>
    </nc>
    <ndxf>
      <fill>
        <patternFill>
          <bgColor theme="0"/>
        </patternFill>
      </fill>
    </ndxf>
  </rcc>
  <rcc rId="764" sId="3" odxf="1" dxf="1">
    <oc r="I15">
      <f>'C:\Users\marcelo.saboia\Documents\backup - diarq - 13.06.25\Atividade Semanal - Equipe\z. INDICADORES - POR DIA\[INDICADORES - Junho-Julho_2025_backup.xlsx]Diego'!AR15+'C:\Users\marcelo.saboia\Documents\backup - diarq - 13.06.25\Atividade Semanal - Equipe\z. INDICADORES - POR DIA\[INDICADORES - Junho-Julho_2025_backup.xlsx]Aelton'!AR15+'C:\Users\marcelo.saboia\Documents\backup - diarq - 13.06.25\Atividade Semanal - Equipe\z. INDICADORES - POR DIA\[INDICADORES - Junho-Julho_2025_backup.xlsx]Leonam'!AR15+'C:\Users\marcelo.saboia\Documents\backup - diarq - 13.06.25\Atividade Semanal - Equipe\z. INDICADORES - POR DIA\[INDICADORES - Junho-Julho_2025_backup.xlsx]Danilo'!AR15+'C:\Users\marcelo.saboia\Documents\backup - diarq - 13.06.25\Atividade Semanal - Equipe\z. INDICADORES - POR DIA\[INDICADORES - Junho-Julho_2025_backup.xlsx]Marcos'!AR15+'C:\Users\marcelo.saboia\Documents\backup - diarq - 13.06.25\Atividade Semanal - Equipe\z. INDICADORES - POR DIA\[INDICADORES - Junho-Julho_2025_backup.xlsx]Carlos'!AR15+'C:\Users\marcelo.saboia\Documents\backup - diarq - 13.06.25\Atividade Semanal - Equipe\z. INDICADORES - POR DIA\[INDICADORES - Junho-Julho_2025_backup.xlsx]Alessandro'!AR15</f>
    </oc>
    <nc r="I15">
      <f>Diego!N15+Aelton!N15+Leonam!N15+Danilo!N15+Marcos!N15+Carlos!N15+Alessandro!N15</f>
    </nc>
    <ndxf>
      <fill>
        <patternFill>
          <bgColor theme="0"/>
        </patternFill>
      </fill>
    </ndxf>
  </rcc>
  <rcc rId="765" sId="3" odxf="1" dxf="1">
    <oc r="J15">
      <f>'C:\Users\marcelo.saboia\Documents\backup - diarq - 13.06.25\Atividade Semanal - Equipe\z. INDICADORES - POR DIA\[INDICADORES - Junho-Julho_2025_backup.xlsx]Diego'!AX15+'C:\Users\marcelo.saboia\Documents\backup - diarq - 13.06.25\Atividade Semanal - Equipe\z. INDICADORES - POR DIA\[INDICADORES - Junho-Julho_2025_backup.xlsx]Aelton'!AX15+'C:\Users\marcelo.saboia\Documents\backup - diarq - 13.06.25\Atividade Semanal - Equipe\z. INDICADORES - POR DIA\[INDICADORES - Junho-Julho_2025_backup.xlsx]Leonam'!AX15+'C:\Users\marcelo.saboia\Documents\backup - diarq - 13.06.25\Atividade Semanal - Equipe\z. INDICADORES - POR DIA\[INDICADORES - Junho-Julho_2025_backup.xlsx]Danilo'!AX15+'C:\Users\marcelo.saboia\Documents\backup - diarq - 13.06.25\Atividade Semanal - Equipe\z. INDICADORES - POR DIA\[INDICADORES - Junho-Julho_2025_backup.xlsx]Marcos'!AX15+'C:\Users\marcelo.saboia\Documents\backup - diarq - 13.06.25\Atividade Semanal - Equipe\z. INDICADORES - POR DIA\[INDICADORES - Junho-Julho_2025_backup.xlsx]Carlos'!AX15+'C:\Users\marcelo.saboia\Documents\backup - diarq - 13.06.25\Atividade Semanal - Equipe\z. INDICADORES - POR DIA\[INDICADORES - Junho-Julho_2025_backup.xlsx]Alessandro'!AX15</f>
    </oc>
    <nc r="J15">
      <f>Diego!O15+Aelton!O15+Leonam!O15+Danilo!O15+Marcos!O15+Carlos!O15+Alessandro!O15</f>
    </nc>
    <ndxf>
      <fill>
        <patternFill>
          <bgColor theme="0"/>
        </patternFill>
      </fill>
    </ndxf>
  </rcc>
  <rcc rId="766" sId="3" odxf="1" dxf="1">
    <oc r="K15">
      <f>'C:\Users\marcelo.saboia\Documents\backup - diarq - 13.06.25\Atividade Semanal - Equipe\z. INDICADORES - POR DIA\[INDICADORES - Junho-Julho_2025_backup.xlsx]Diego'!BD15+'C:\Users\marcelo.saboia\Documents\backup - diarq - 13.06.25\Atividade Semanal - Equipe\z. INDICADORES - POR DIA\[INDICADORES - Junho-Julho_2025_backup.xlsx]Aelton'!BD15+'C:\Users\marcelo.saboia\Documents\backup - diarq - 13.06.25\Atividade Semanal - Equipe\z. INDICADORES - POR DIA\[INDICADORES - Junho-Julho_2025_backup.xlsx]Leonam'!BD15+'C:\Users\marcelo.saboia\Documents\backup - diarq - 13.06.25\Atividade Semanal - Equipe\z. INDICADORES - POR DIA\[INDICADORES - Junho-Julho_2025_backup.xlsx]Danilo'!BD15+'C:\Users\marcelo.saboia\Documents\backup - diarq - 13.06.25\Atividade Semanal - Equipe\z. INDICADORES - POR DIA\[INDICADORES - Junho-Julho_2025_backup.xlsx]Marcos'!BD15+'C:\Users\marcelo.saboia\Documents\backup - diarq - 13.06.25\Atividade Semanal - Equipe\z. INDICADORES - POR DIA\[INDICADORES - Junho-Julho_2025_backup.xlsx]Carlos'!BD15+'C:\Users\marcelo.saboia\Documents\backup - diarq - 13.06.25\Atividade Semanal - Equipe\z. INDICADORES - POR DIA\[INDICADORES - Junho-Julho_2025_backup.xlsx]Alessandro'!BD15</f>
    </oc>
    <nc r="K15">
      <f>Diego!P15+Aelton!P15+Leonam!P15+Danilo!P15+Marcos!P15+Carlos!P15+Alessandro!P15</f>
    </nc>
    <ndxf>
      <fill>
        <patternFill>
          <bgColor theme="0"/>
        </patternFill>
      </fill>
    </ndxf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7" sId="3">
    <oc r="D2">
      <f>Diego!I2+Aelton!I2+Leonam!I2+Danilo!I2+Marcos!I2+Carlos!I2+Alessandro!I2</f>
    </oc>
    <nc r="D2">
      <f>Diego!N2+Aelton!N2+Leonam!N2+Danilo!N2+Marcos!N2+Carlos!N2+Alessandro!N2</f>
    </nc>
  </rcc>
  <rcc rId="768" sId="3" odxf="1" dxf="1">
    <oc r="D3">
      <f>Diego!I3+Aelton!I3+Leonam!I3+Danilo!I3+Marcos!I3+Carlos!I3+Alessandro!I3</f>
    </oc>
    <nc r="D3">
      <f>Diego!N3+Aelton!N3+Leonam!N3+Danilo!N3+Marcos!N3+Carlos!N3+Alessandro!N3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69" sId="3">
    <oc r="D4">
      <f>Diego!I4+Aelton!I4+Leonam!I4+Danilo!I4+Marcos!I4+Carlos!I4+Alessandro!I4</f>
    </oc>
    <nc r="D4">
      <f>Diego!N4+Aelton!N4+Leonam!N4+Danilo!N4+Marcos!N4+Carlos!N4+Alessandro!N4</f>
    </nc>
  </rcc>
  <rcc rId="770" sId="3" odxf="1" dxf="1">
    <oc r="D5">
      <f>Diego!I5+Aelton!I5+Leonam!I5+Danilo!I5+Marcos!I5+Carlos!I5+Alessandro!I5</f>
    </oc>
    <nc r="D5">
      <f>Diego!N5+Aelton!N5+Leonam!N5+Danilo!N5+Marcos!N5+Carlos!N5+Alessandro!N5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71" sId="3">
    <oc r="D6">
      <f>Diego!I6+Aelton!I6+Leonam!I6+Danilo!I6+Marcos!I6+Carlos!I6+Alessandro!I6</f>
    </oc>
    <nc r="D6">
      <f>Diego!N6+Aelton!N6+Leonam!N6+Danilo!N6+Marcos!N6+Carlos!N6+Alessandro!N6</f>
    </nc>
  </rcc>
  <rcc rId="772" sId="3" odxf="1" dxf="1">
    <oc r="D7">
      <f>Diego!I7+Aelton!I7+Leonam!I7+Danilo!I7+Marcos!I7+Carlos!I7+Alessandro!I7</f>
    </oc>
    <nc r="D7">
      <f>Diego!N7+Aelton!N7+Leonam!N7+Danilo!N7+Marcos!N7+Carlos!N7+Alessandro!N7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73" sId="3">
    <oc r="D8">
      <f>Diego!I8+Aelton!I8+Leonam!I8+Danilo!I8+Marcos!I8+Carlos!I8+Alessandro!I8</f>
    </oc>
    <nc r="D8">
      <f>Diego!N8+Aelton!N8+Leonam!N8+Danilo!N8+Marcos!N8+Carlos!N8+Alessandro!N8</f>
    </nc>
  </rcc>
  <rcc rId="774" sId="3" odxf="1" dxf="1">
    <oc r="D9">
      <f>Diego!I9+Aelton!I9+Leonam!I9+Danilo!I9+Marcos!I9+Carlos!I9+Alessandro!I9</f>
    </oc>
    <nc r="D9">
      <f>Diego!N9+Aelton!N9+Leonam!N9+Danilo!N9+Marcos!N9+Carlos!N9+Alessandro!N9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75" sId="3">
    <oc r="D10">
      <f>Diego!I10+Aelton!I10+Leonam!I10+Danilo!I10+Marcos!I10+Carlos!I10+Alessandro!I10</f>
    </oc>
    <nc r="D10">
      <f>Diego!N10+Aelton!N10+Leonam!N10+Danilo!N10+Marcos!N10+Carlos!N10+Alessandro!N10</f>
    </nc>
  </rcc>
  <rcc rId="776" sId="3" odxf="1" dxf="1">
    <oc r="D11">
      <f>Diego!I11+Aelton!I11+Leonam!I11+Danilo!I11+Marcos!I11+Carlos!I11+Alessandro!I11</f>
    </oc>
    <nc r="D11">
      <f>Diego!N11+Aelton!N11+Leonam!N11+Danilo!N11+Marcos!N11+Carlos!N11+Alessandro!N11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77" sId="3">
    <oc r="D12">
      <f>Diego!I12+Aelton!I12+Leonam!I12+Danilo!I12+Marcos!I12+Carlos!I12+Alessandro!I12</f>
    </oc>
    <nc r="D12">
      <f>Diego!N12+Aelton!N12+Leonam!N12+Danilo!N12+Marcos!N12+Carlos!N12+Alessandro!N12</f>
    </nc>
  </rcc>
  <rcc rId="778" sId="3" odxf="1" dxf="1">
    <oc r="D13">
      <f>Diego!I13+Aelton!I13+Leonam!I13+Danilo!I13+Marcos!I13+Carlos!I13+Alessandro!I13</f>
    </oc>
    <nc r="D13">
      <f>Diego!N13+Aelton!N13+Leonam!N13+Danilo!N13+Marcos!N13+Carlos!N13+Alessandro!N13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79" sId="3">
    <oc r="D14">
      <f>Diego!I14+Aelton!I14+Leonam!I14+Danilo!I14+Marcos!I14+Carlos!I14+Alessandro!I14</f>
    </oc>
    <nc r="D14">
      <f>Diego!N14+Aelton!N14+Leonam!N14+Danilo!N14+Marcos!N14+Carlos!N14+Alessandro!N14</f>
    </nc>
  </rcc>
  <rcc rId="780" sId="3" odxf="1" dxf="1">
    <oc r="D15">
      <f>Diego!I15+Aelton!I15+Leonam!I15+Danilo!I15+Marcos!I15+Carlos!I15+Alessandro!I15</f>
    </oc>
    <nc r="D15">
      <f>Diego!N15+Aelton!N15+Leonam!N15+Danilo!N15+Marcos!N15+Carlos!N15+Alessandro!N15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81" sId="3">
    <oc r="D16">
      <f>Diego!I16+Aelton!I16+Leonam!I16+Danilo!I16+Marcos!I16+Carlos!I16+Alessandro!I16</f>
    </oc>
    <nc r="D16">
      <f>Diego!N16+Aelton!N16+Leonam!N16+Danilo!N16+Marcos!N16+Carlos!N16+Alessandro!N16</f>
    </nc>
  </rcc>
  <rcc rId="782" sId="3">
    <oc r="E2">
      <f>Diego!J2+Aelton!J2+Leonam!J2+Danilo!J2+Marcos!J2+Carlos!J2+Alessandro!J2</f>
    </oc>
    <nc r="E2">
      <f>Diego!T2+Aelton!T2+Leonam!T2+Danilo!T2+Marcos!T2+Carlos!T2+Alessandro!T2</f>
    </nc>
  </rcc>
  <rcc rId="783" sId="3">
    <oc r="F2">
      <f>Diego!K2+Aelton!K2+Leonam!K2+Danilo!K2+Marcos!K2+Carlos!K2+Alessandro!K2</f>
    </oc>
    <nc r="F2">
      <f>Diego!Z2+Aelton!Z2+Leonam!Z2+Danilo!Z2+Marcos!Z2+Carlos!Z2+Alessandro!Z2</f>
    </nc>
  </rcc>
  <rcc rId="784" sId="3" odxf="1" dxf="1">
    <oc r="F3">
      <f>Diego!K3+Aelton!K3+Leonam!K3+Danilo!K3+Marcos!K3+Carlos!K3+Alessandro!K3</f>
    </oc>
    <nc r="F3">
      <f>Diego!Z3+Aelton!Z3+Leonam!Z3+Danilo!Z3+Marcos!Z3+Carlos!Z3+Alessandro!Z3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85" sId="3">
    <oc r="F4">
      <f>Diego!K4+Aelton!K4+Leonam!K4+Danilo!K4+Marcos!K4+Carlos!K4+Alessandro!K4</f>
    </oc>
    <nc r="F4">
      <f>Diego!Z4+Aelton!Z4+Leonam!Z4+Danilo!Z4+Marcos!Z4+Carlos!Z4+Alessandro!Z4</f>
    </nc>
  </rcc>
  <rcc rId="786" sId="3" odxf="1" dxf="1">
    <oc r="F5">
      <f>Diego!K5+Aelton!K5+Leonam!K5+Danilo!K5+Marcos!K5+Carlos!K5+Alessandro!K5</f>
    </oc>
    <nc r="F5">
      <f>Diego!Z5+Aelton!Z5+Leonam!Z5+Danilo!Z5+Marcos!Z5+Carlos!Z5+Alessandro!Z5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87" sId="3">
    <oc r="F6">
      <f>Diego!K6+Aelton!K6+Leonam!K6+Danilo!K6+Marcos!K6+Carlos!K6+Alessandro!K6</f>
    </oc>
    <nc r="F6">
      <f>Diego!Z6+Aelton!Z6+Leonam!Z6+Danilo!Z6+Marcos!Z6+Carlos!Z6+Alessandro!Z6</f>
    </nc>
  </rcc>
  <rcc rId="788" sId="3" odxf="1" dxf="1">
    <oc r="F7">
      <f>Diego!K7+Aelton!K7+Leonam!K7+Danilo!K7+Marcos!K7+Carlos!K7+Alessandro!K7</f>
    </oc>
    <nc r="F7">
      <f>Diego!Z7+Aelton!Z7+Leonam!Z7+Danilo!Z7+Marcos!Z7+Carlos!Z7+Alessandro!Z7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89" sId="3">
    <oc r="F8">
      <f>Diego!K8+Aelton!K8+Leonam!K8+Danilo!K8+Marcos!K8+Carlos!K8+Alessandro!K8</f>
    </oc>
    <nc r="F8">
      <f>Diego!Z8+Aelton!Z8+Leonam!Z8+Danilo!Z8+Marcos!Z8+Carlos!Z8+Alessandro!Z8</f>
    </nc>
  </rcc>
  <rcc rId="790" sId="3" odxf="1" dxf="1">
    <oc r="F9">
      <f>Diego!K9+Aelton!K9+Leonam!K9+Danilo!K9+Marcos!K9+Carlos!K9+Alessandro!K9</f>
    </oc>
    <nc r="F9">
      <f>Diego!Z9+Aelton!Z9+Leonam!Z9+Danilo!Z9+Marcos!Z9+Carlos!Z9+Alessandro!Z9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91" sId="3">
    <oc r="F10">
      <f>Diego!K10+Aelton!K10+Leonam!K10+Danilo!K10+Marcos!K10+Carlos!K10+Alessandro!K10</f>
    </oc>
    <nc r="F10">
      <f>Diego!Z10+Aelton!Z10+Leonam!Z10+Danilo!Z10+Marcos!Z10+Carlos!Z10+Alessandro!Z10</f>
    </nc>
  </rcc>
  <rcc rId="792" sId="3" odxf="1" dxf="1">
    <oc r="F11">
      <f>Diego!K11+Aelton!K11+Leonam!K11+Danilo!K11+Marcos!K11+Carlos!K11+Alessandro!K11</f>
    </oc>
    <nc r="F11">
      <f>Diego!Z11+Aelton!Z11+Leonam!Z11+Danilo!Z11+Marcos!Z11+Carlos!Z11+Alessandro!Z11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93" sId="3">
    <oc r="F12">
      <f>Diego!K12+Aelton!K12+Leonam!K12+Danilo!K12+Marcos!K12+Carlos!K12+Alessandro!K12</f>
    </oc>
    <nc r="F12">
      <f>Diego!Z12+Aelton!Z12+Leonam!Z12+Danilo!Z12+Marcos!Z12+Carlos!Z12+Alessandro!Z12</f>
    </nc>
  </rcc>
  <rcc rId="794" sId="3" odxf="1" dxf="1">
    <oc r="F13">
      <f>Diego!K13+Aelton!K13+Leonam!K13+Danilo!K13+Marcos!K13+Carlos!K13+Alessandro!K13</f>
    </oc>
    <nc r="F13">
      <f>Diego!Z13+Aelton!Z13+Leonam!Z13+Danilo!Z13+Marcos!Z13+Carlos!Z13+Alessandro!Z13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95" sId="3">
    <oc r="F14">
      <f>Diego!K14+Aelton!K14+Leonam!K14+Danilo!K14+Marcos!K14+Carlos!K14+Alessandro!K14</f>
    </oc>
    <nc r="F14">
      <f>Diego!Z14+Aelton!Z14+Leonam!Z14+Danilo!Z14+Marcos!Z14+Carlos!Z14+Alessandro!Z14</f>
    </nc>
  </rcc>
  <rcc rId="796" sId="3" odxf="1" dxf="1">
    <oc r="F15">
      <f>Diego!K15+Aelton!K15+Leonam!K15+Danilo!K15+Marcos!K15+Carlos!K15+Alessandro!K15</f>
    </oc>
    <nc r="F15">
      <f>Diego!Z15+Aelton!Z15+Leonam!Z15+Danilo!Z15+Marcos!Z15+Carlos!Z15+Alessandro!Z15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797" sId="3">
    <oc r="F16">
      <f>Diego!K16+Aelton!K16+Leonam!K16+Danilo!K16+Marcos!K16+Carlos!K16+Alessandro!K16</f>
    </oc>
    <nc r="F16">
      <f>Diego!Z16+Aelton!Z16+Leonam!Z16+Danilo!Z16+Marcos!Z16+Carlos!Z16+Alessandro!Z16</f>
    </nc>
  </rcc>
  <rcc rId="798" sId="3">
    <oc r="G2">
      <f>Diego!L2+Aelton!L2+Leonam!L2+Danilo!L2+Marcos!L2+Carlos!L2+Alessandro!L2</f>
    </oc>
    <nc r="G2">
      <f>Diego!AF2+Aelton!AF2+Leonam!AF2+Danilo!AF2+Marcos!AF2+Carlos!AF2+Alessandro!AF2</f>
    </nc>
  </rcc>
  <rcc rId="799" sId="3" odxf="1" dxf="1">
    <oc r="G3">
      <f>Diego!L3+Aelton!L3+Leonam!L3+Danilo!L3+Marcos!L3+Carlos!L3+Alessandro!L3</f>
    </oc>
    <nc r="G3">
      <f>Diego!AF3+Aelton!AF3+Leonam!AF3+Danilo!AF3+Marcos!AF3+Carlos!AF3+Alessandro!AF3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00" sId="3">
    <oc r="G4">
      <f>Diego!L4+Aelton!L4+Leonam!L4+Danilo!L4+Marcos!L4+Carlos!L4+Alessandro!L4</f>
    </oc>
    <nc r="G4">
      <f>Diego!AF4+Aelton!AF4+Leonam!AF4+Danilo!AF4+Marcos!AF4+Carlos!AF4+Alessandro!AF4</f>
    </nc>
  </rcc>
  <rcc rId="801" sId="3" odxf="1" dxf="1">
    <oc r="G5">
      <f>Diego!L5+Aelton!L5+Leonam!L5+Danilo!L5+Marcos!L5+Carlos!L5+Alessandro!L5</f>
    </oc>
    <nc r="G5">
      <f>Diego!AF5+Aelton!AF5+Leonam!AF5+Danilo!AF5+Marcos!AF5+Carlos!AF5+Alessandro!AF5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02" sId="3">
    <oc r="G6">
      <f>Diego!L6+Aelton!L6+Leonam!L6+Danilo!L6+Marcos!L6+Carlos!L6+Alessandro!L6</f>
    </oc>
    <nc r="G6">
      <f>Diego!AF6+Aelton!AF6+Leonam!AF6+Danilo!AF6+Marcos!AF6+Carlos!AF6+Alessandro!AF6</f>
    </nc>
  </rcc>
  <rcc rId="803" sId="3" odxf="1" dxf="1">
    <oc r="G7">
      <f>Diego!L7+Aelton!L7+Leonam!L7+Danilo!L7+Marcos!L7+Carlos!L7+Alessandro!L7</f>
    </oc>
    <nc r="G7">
      <f>Diego!AF7+Aelton!AF7+Leonam!AF7+Danilo!AF7+Marcos!AF7+Carlos!AF7+Alessandro!AF7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04" sId="3">
    <oc r="G8">
      <f>Diego!L8+Aelton!L8+Leonam!L8+Danilo!L8+Marcos!L8+Carlos!L8+Alessandro!L8</f>
    </oc>
    <nc r="G8">
      <f>Diego!AF8+Aelton!AF8+Leonam!AF8+Danilo!AF8+Marcos!AF8+Carlos!AF8+Alessandro!AF8</f>
    </nc>
  </rcc>
  <rcc rId="805" sId="3" odxf="1" dxf="1">
    <oc r="G9">
      <f>Diego!L9+Aelton!L9+Leonam!L9+Danilo!L9+Marcos!L9+Carlos!L9+Alessandro!L9</f>
    </oc>
    <nc r="G9">
      <f>Diego!AF9+Aelton!AF9+Leonam!AF9+Danilo!AF9+Marcos!AF9+Carlos!AF9+Alessandro!AF9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06" sId="3">
    <oc r="G10">
      <f>Diego!L10+Aelton!L10+Leonam!L10+Danilo!L10+Marcos!L10+Carlos!L10+Alessandro!L10</f>
    </oc>
    <nc r="G10">
      <f>Diego!AF10+Aelton!AF10+Leonam!AF10+Danilo!AF10+Marcos!AF10+Carlos!AF10+Alessandro!AF10</f>
    </nc>
  </rcc>
  <rcc rId="807" sId="3" odxf="1" dxf="1">
    <oc r="G11">
      <f>Diego!L11+Aelton!L11+Leonam!L11+Danilo!L11+Marcos!L11+Carlos!L11+Alessandro!L11</f>
    </oc>
    <nc r="G11">
      <f>Diego!AF11+Aelton!AF11+Leonam!AF11+Danilo!AF11+Marcos!AF11+Carlos!AF11+Alessandro!AF11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08" sId="3">
    <oc r="G12">
      <f>Diego!L12+Aelton!L12+Leonam!L12+Danilo!L12+Marcos!L12+Carlos!L12+Alessandro!L12</f>
    </oc>
    <nc r="G12">
      <f>Diego!AF12+Aelton!AF12+Leonam!AF12+Danilo!AF12+Marcos!AF12+Carlos!AF12+Alessandro!AF12</f>
    </nc>
  </rcc>
  <rcc rId="809" sId="3" odxf="1" dxf="1">
    <oc r="G13">
      <f>Diego!L13+Aelton!L13+Leonam!L13+Danilo!L13+Marcos!L13+Carlos!L13+Alessandro!L13</f>
    </oc>
    <nc r="G13">
      <f>Diego!AF13+Aelton!AF13+Leonam!AF13+Danilo!AF13+Marcos!AF13+Carlos!AF13+Alessandro!AF13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10" sId="3">
    <oc r="G14">
      <f>Diego!L14+Aelton!L14+Leonam!L14+Danilo!L14+Marcos!L14+Carlos!L14+Alessandro!L14</f>
    </oc>
    <nc r="G14">
      <f>Diego!AF14+Aelton!AF14+Leonam!AF14+Danilo!AF14+Marcos!AF14+Carlos!AF14+Alessandro!AF14</f>
    </nc>
  </rcc>
  <rcc rId="811" sId="3" odxf="1" dxf="1">
    <oc r="G15">
      <f>Diego!L15+Aelton!L15+Leonam!L15+Danilo!L15+Marcos!L15+Carlos!L15+Alessandro!L15</f>
    </oc>
    <nc r="G15">
      <f>Diego!AF15+Aelton!AF15+Leonam!AF15+Danilo!AF15+Marcos!AF15+Carlos!AF15+Alessandro!AF15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12" sId="3">
    <oc r="G16">
      <f>Diego!L16+Aelton!L16+Leonam!L16+Danilo!L16+Marcos!L16+Carlos!L16+Alessandro!L16</f>
    </oc>
    <nc r="G16">
      <f>Diego!AF16+Aelton!AF16+Leonam!AF16+Danilo!AF16+Marcos!AF16+Carlos!AF16+Alessandro!AF16</f>
    </nc>
  </rcc>
  <rcv guid="{18A482E0-C8B6-4AA1-9E04-15FA7C9CD5E3}" action="delete"/>
  <rdn rId="0" localSheetId="1" customView="1" name="Z_18A482E0_C8B6_4AA1_9E04_15FA7C9CD5E3_.wvu.FilterData" hidden="1" oldHidden="1">
    <formula>Patrícia!$A$1:$A$18</formula>
    <oldFormula>Patrícia!$A$1:$A$18</oldFormula>
  </rdn>
  <rdn rId="0" localSheetId="2" customView="1" name="Z_18A482E0_C8B6_4AA1_9E04_15FA7C9CD5E3_.wvu.FilterData" hidden="1" oldHidden="1">
    <formula>Marcelo!$A$1:$A$18</formula>
    <oldFormula>Marcelo!$A$1:$A$18</oldFormula>
  </rdn>
  <rdn rId="0" localSheetId="3" customView="1" name="Z_18A482E0_C8B6_4AA1_9E04_15FA7C9CD5E3_.wvu.FilterData" hidden="1" oldHidden="1">
    <formula>TOTAL!$A$1:$A$18</formula>
    <oldFormula>TOTAL!$A$1:$A$18</oldFormula>
  </rdn>
  <rdn rId="0" localSheetId="4" customView="1" name="Z_18A482E0_C8B6_4AA1_9E04_15FA7C9CD5E3_.wvu.FilterData" hidden="1" oldHidden="1">
    <formula>Diego!$A$1:$A$18</formula>
    <oldFormula>Diego!$A$1:$A$18</oldFormula>
  </rdn>
  <rdn rId="0" localSheetId="5" customView="1" name="Z_18A482E0_C8B6_4AA1_9E04_15FA7C9CD5E3_.wvu.FilterData" hidden="1" oldHidden="1">
    <formula>Aelton!$A$1:$A$18</formula>
    <oldFormula>Aelton!$A$1:$A$18</oldFormula>
  </rdn>
  <rdn rId="0" localSheetId="6" customView="1" name="Z_18A482E0_C8B6_4AA1_9E04_15FA7C9CD5E3_.wvu.FilterData" hidden="1" oldHidden="1">
    <formula>Leonam!$A$1:$BD$18</formula>
    <oldFormula>Leonam!$A$1:$BD$18</oldFormula>
  </rdn>
  <rdn rId="0" localSheetId="7" customView="1" name="Z_18A482E0_C8B6_4AA1_9E04_15FA7C9CD5E3_.wvu.FilterData" hidden="1" oldHidden="1">
    <formula>Danilo!$A$1:$A$31</formula>
    <oldFormula>Danilo!$A$1:$A$31</oldFormula>
  </rdn>
  <rdn rId="0" localSheetId="8" customView="1" name="Z_18A482E0_C8B6_4AA1_9E04_15FA7C9CD5E3_.wvu.FilterData" hidden="1" oldHidden="1">
    <formula>Marcos!$A$1:$A$18</formula>
    <oldFormula>Marcos!$A$1:$A$18</oldFormula>
  </rdn>
  <rdn rId="0" localSheetId="9" customView="1" name="Z_18A482E0_C8B6_4AA1_9E04_15FA7C9CD5E3_.wvu.FilterData" hidden="1" oldHidden="1">
    <formula>Carlos!$A$1:$A$18</formula>
    <oldFormula>Carlos!$A$1:$A$18</oldFormula>
  </rdn>
  <rdn rId="0" localSheetId="10" customView="1" name="Z_18A482E0_C8B6_4AA1_9E04_15FA7C9CD5E3_.wvu.FilterData" hidden="1" oldHidden="1">
    <formula>Alessandro!$A$1:$A$18</formula>
    <oldFormula>Alessandro!$A$1:$A$18</oldFormula>
  </rdn>
  <rcv guid="{18A482E0-C8B6-4AA1-9E04-15FA7C9CD5E3}" action="add"/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3" sId="3">
    <oc r="H2">
      <f>Diego!M2+Aelton!M2+Leonam!M2+Danilo!M2+Marcos!M2+Carlos!M2+Alessandro!M2</f>
    </oc>
    <nc r="H2">
      <f>Diego!AL2+Aelton!AL2+Leonam!AL2+Danilo!AL2+Marcos!AL2+Carlos!AL2+Alessandro!AL2</f>
    </nc>
  </rcc>
  <rcc rId="824" sId="3" odxf="1" dxf="1">
    <oc r="H3">
      <f>Diego!M3+Aelton!M3+Leonam!M3+Danilo!M3+Marcos!M3+Carlos!M3+Alessandro!M3</f>
    </oc>
    <nc r="H3">
      <f>Diego!AL3+Aelton!AL3+Leonam!AL3+Danilo!AL3+Marcos!AL3+Carlos!AL3+Alessandro!AL3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25" sId="3">
    <oc r="H4">
      <f>Diego!M4+Aelton!M4+Leonam!M4+Danilo!M4+Marcos!M4+Carlos!M4+Alessandro!M4</f>
    </oc>
    <nc r="H4">
      <f>Diego!AL4+Aelton!AL4+Leonam!AL4+Danilo!AL4+Marcos!AL4+Carlos!AL4+Alessandro!AL4</f>
    </nc>
  </rcc>
  <rcc rId="826" sId="3" odxf="1" dxf="1">
    <oc r="H5">
      <f>Diego!M5+Aelton!M5+Leonam!M5+Danilo!M5+Marcos!M5+Carlos!M5+Alessandro!M5</f>
    </oc>
    <nc r="H5">
      <f>Diego!AL5+Aelton!AL5+Leonam!AL5+Danilo!AL5+Marcos!AL5+Carlos!AL5+Alessandro!AL5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27" sId="3">
    <oc r="H6">
      <f>Diego!M6+Aelton!M6+Leonam!M6+Danilo!M6+Marcos!M6+Carlos!M6+Alessandro!M6</f>
    </oc>
    <nc r="H6">
      <f>Diego!AL6+Aelton!AL6+Leonam!AL6+Danilo!AL6+Marcos!AL6+Carlos!AL6+Alessandro!AL6</f>
    </nc>
  </rcc>
  <rcc rId="828" sId="3" odxf="1" dxf="1">
    <oc r="H7">
      <f>Diego!M7+Aelton!M7+Leonam!M7+Danilo!M7+Marcos!M7+Carlos!M7+Alessandro!M7</f>
    </oc>
    <nc r="H7">
      <f>Diego!AL7+Aelton!AL7+Leonam!AL7+Danilo!AL7+Marcos!AL7+Carlos!AL7+Alessandro!AL7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29" sId="3">
    <oc r="H8">
      <f>Diego!M8+Aelton!M8+Leonam!M8+Danilo!M8+Marcos!M8+Carlos!M8+Alessandro!M8</f>
    </oc>
    <nc r="H8">
      <f>Diego!AL8+Aelton!AL8+Leonam!AL8+Danilo!AL8+Marcos!AL8+Carlos!AL8+Alessandro!AL8</f>
    </nc>
  </rcc>
  <rcc rId="830" sId="3" odxf="1" dxf="1">
    <oc r="H9">
      <f>Diego!M9+Aelton!M9+Leonam!M9+Danilo!M9+Marcos!M9+Carlos!M9+Alessandro!M9</f>
    </oc>
    <nc r="H9">
      <f>Diego!AL9+Aelton!AL9+Leonam!AL9+Danilo!AL9+Marcos!AL9+Carlos!AL9+Alessandro!AL9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31" sId="3">
    <oc r="H10">
      <f>Diego!M10+Aelton!M10+Leonam!M10+Danilo!M10+Marcos!M10+Carlos!M10+Alessandro!M10</f>
    </oc>
    <nc r="H10">
      <f>Diego!AL10+Aelton!AL10+Leonam!AL10+Danilo!AL10+Marcos!AL10+Carlos!AL10+Alessandro!AL10</f>
    </nc>
  </rcc>
  <rcc rId="832" sId="3" odxf="1" dxf="1">
    <oc r="H11">
      <f>Diego!M11+Aelton!M11+Leonam!M11+Danilo!M11+Marcos!M11+Carlos!M11+Alessandro!M11</f>
    </oc>
    <nc r="H11">
      <f>Diego!AL11+Aelton!AL11+Leonam!AL11+Danilo!AL11+Marcos!AL11+Carlos!AL11+Alessandro!AL11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33" sId="3">
    <oc r="H12">
      <f>Diego!M12+Aelton!M12+Leonam!M12+Danilo!M12+Marcos!M12+Carlos!M12+Alessandro!M12</f>
    </oc>
    <nc r="H12">
      <f>Diego!AL12+Aelton!AL12+Leonam!AL12+Danilo!AL12+Marcos!AL12+Carlos!AL12+Alessandro!AL12</f>
    </nc>
  </rcc>
  <rcc rId="834" sId="3" odxf="1" dxf="1">
    <oc r="H13">
      <f>Diego!M13+Aelton!M13+Leonam!M13+Danilo!M13+Marcos!M13+Carlos!M13+Alessandro!M13</f>
    </oc>
    <nc r="H13">
      <f>Diego!AL13+Aelton!AL13+Leonam!AL13+Danilo!AL13+Marcos!AL13+Carlos!AL13+Alessandro!AL13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35" sId="3">
    <oc r="H14">
      <f>Diego!M14+Aelton!M14+Leonam!M14+Danilo!M14+Marcos!M14+Carlos!M14+Alessandro!M14</f>
    </oc>
    <nc r="H14">
      <f>Diego!AL14+Aelton!AL14+Leonam!AL14+Danilo!AL14+Marcos!AL14+Carlos!AL14+Alessandro!AL14</f>
    </nc>
  </rcc>
  <rcc rId="836" sId="3" odxf="1" dxf="1">
    <oc r="H15">
      <f>Diego!M15+Aelton!M15+Leonam!M15+Danilo!M15+Marcos!M15+Carlos!M15+Alessandro!M15</f>
    </oc>
    <nc r="H15">
      <f>Diego!AL15+Aelton!AL15+Leonam!AL15+Danilo!AL15+Marcos!AL15+Carlos!AL15+Alessandro!AL15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37" sId="3">
    <oc r="H16">
      <f>Diego!M16+Aelton!M16+Leonam!M16+Danilo!M16+Marcos!M16+Carlos!M16+Alessandro!M16</f>
    </oc>
    <nc r="H16">
      <f>Diego!AL16+Aelton!AL16+Leonam!AL16+Danilo!AL16+Marcos!AL16+Carlos!AL16+Alessandro!AL16</f>
    </nc>
  </rcc>
  <rcc rId="838" sId="3" odxf="1" dxf="1">
    <oc r="I3">
      <f>Diego!N3+Aelton!N3+Leonam!N3+Danilo!N3+Marcos!N3+Carlos!N3+Alessandro!N3</f>
    </oc>
    <nc r="I3">
      <f>Diego!AM3+Aelton!AM3+Leonam!AM3+Danilo!AM3+Marcos!AM3+Carlos!AM3+Alessandro!AM3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39" sId="3">
    <oc r="I4">
      <f>Diego!N4+Aelton!N4+Leonam!N4+Danilo!N4+Marcos!N4+Carlos!N4+Alessandro!N4</f>
    </oc>
    <nc r="I4">
      <f>Diego!AM4+Aelton!AM4+Leonam!AM4+Danilo!AM4+Marcos!AM4+Carlos!AM4+Alessandro!AM4</f>
    </nc>
  </rcc>
  <rcc rId="840" sId="3" odxf="1" dxf="1">
    <oc r="I5">
      <f>Diego!N5+Aelton!N5+Leonam!N5+Danilo!N5+Marcos!N5+Carlos!N5+Alessandro!N5</f>
    </oc>
    <nc r="I5">
      <f>Diego!AM5+Aelton!AM5+Leonam!AM5+Danilo!AM5+Marcos!AM5+Carlos!AM5+Alessandro!AM5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41" sId="3">
    <oc r="I6">
      <f>Diego!N6+Aelton!N6+Leonam!N6+Danilo!N6+Marcos!N6+Carlos!N6+Alessandro!N6</f>
    </oc>
    <nc r="I6">
      <f>Diego!AM6+Aelton!AM6+Leonam!AM6+Danilo!AM6+Marcos!AM6+Carlos!AM6+Alessandro!AM6</f>
    </nc>
  </rcc>
  <rcc rId="842" sId="3" odxf="1" dxf="1">
    <oc r="I7">
      <f>Diego!N7+Aelton!N7+Leonam!N7+Danilo!N7+Marcos!N7+Carlos!N7+Alessandro!N7</f>
    </oc>
    <nc r="I7">
      <f>Diego!AM7+Aelton!AM7+Leonam!AM7+Danilo!AM7+Marcos!AM7+Carlos!AM7+Alessandro!AM7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43" sId="3">
    <oc r="I8">
      <f>Diego!N8+Aelton!N8+Leonam!N8+Danilo!N8+Marcos!N8+Carlos!N8+Alessandro!N8</f>
    </oc>
    <nc r="I8">
      <f>Diego!AM8+Aelton!AM8+Leonam!AM8+Danilo!AM8+Marcos!AM8+Carlos!AM8+Alessandro!AM8</f>
    </nc>
  </rcc>
  <rcc rId="844" sId="3" odxf="1" dxf="1">
    <oc r="I9">
      <f>Diego!N9+Aelton!N9+Leonam!N9+Danilo!N9+Marcos!N9+Carlos!N9+Alessandro!N9</f>
    </oc>
    <nc r="I9">
      <f>Diego!AM9+Aelton!AM9+Leonam!AM9+Danilo!AM9+Marcos!AM9+Carlos!AM9+Alessandro!AM9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45" sId="3">
    <oc r="I10">
      <f>Diego!N10+Aelton!N10+Leonam!N10+Danilo!N10+Marcos!N10+Carlos!N10+Alessandro!N10</f>
    </oc>
    <nc r="I10">
      <f>Diego!AM10+Aelton!AM10+Leonam!AM10+Danilo!AM10+Marcos!AM10+Carlos!AM10+Alessandro!AM10</f>
    </nc>
  </rcc>
  <rcc rId="846" sId="3" odxf="1" dxf="1">
    <oc r="I11">
      <f>Diego!N11+Aelton!N11+Leonam!N11+Danilo!N11+Marcos!N11+Carlos!N11+Alessandro!N11</f>
    </oc>
    <nc r="I11">
      <f>Diego!AM11+Aelton!AM11+Leonam!AM11+Danilo!AM11+Marcos!AM11+Carlos!AM11+Alessandro!AM11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47" sId="3">
    <oc r="I12">
      <f>Diego!N12+Aelton!N12+Leonam!N12+Danilo!N12+Marcos!N12+Carlos!N12+Alessandro!N12</f>
    </oc>
    <nc r="I12">
      <f>Diego!AM12+Aelton!AM12+Leonam!AM12+Danilo!AM12+Marcos!AM12+Carlos!AM12+Alessandro!AM12</f>
    </nc>
  </rcc>
  <rcc rId="848" sId="3" odxf="1" dxf="1">
    <oc r="I13">
      <f>Diego!N13+Aelton!N13+Leonam!N13+Danilo!N13+Marcos!N13+Carlos!N13+Alessandro!N13</f>
    </oc>
    <nc r="I13">
      <f>Diego!AM13+Aelton!AM13+Leonam!AM13+Danilo!AM13+Marcos!AM13+Carlos!AM13+Alessandro!AM13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49" sId="3">
    <oc r="I14">
      <f>Diego!N14+Aelton!N14+Leonam!N14+Danilo!N14+Marcos!N14+Carlos!N14+Alessandro!N14</f>
    </oc>
    <nc r="I14">
      <f>Diego!AM14+Aelton!AM14+Leonam!AM14+Danilo!AM14+Marcos!AM14+Carlos!AM14+Alessandro!AM14</f>
    </nc>
  </rcc>
  <rcc rId="850" sId="3" odxf="1" dxf="1">
    <oc r="I15">
      <f>Diego!N15+Aelton!N15+Leonam!N15+Danilo!N15+Marcos!N15+Carlos!N15+Alessandro!N15</f>
    </oc>
    <nc r="I15">
      <f>Diego!AM15+Aelton!AM15+Leonam!AM15+Danilo!AM15+Marcos!AM15+Carlos!AM15+Alessandro!AM15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51" sId="3">
    <oc r="I16">
      <f>Diego!N16+Aelton!N16+Leonam!N16+Danilo!N16+Marcos!N16+Carlos!N16+Alessandro!N16</f>
    </oc>
    <nc r="I16">
      <f>Diego!AM16+Aelton!AM16+Leonam!AM16+Danilo!AM16+Marcos!AM16+Carlos!AM16+Alessandro!AM16</f>
    </nc>
  </rcc>
  <rcc rId="852" sId="3">
    <oc r="I2">
      <f>Diego!N2+Aelton!N2+Leonam!N2+Danilo!N2+Marcos!N2+Carlos!N2+Alessandro!N2</f>
    </oc>
    <nc r="I2">
      <f>Diego!AR2+Aelton!AR2+Leonam!AR2+Danilo!AR2+Marcos!AR2+Carlos!AR2+Alessandro!AR2</f>
    </nc>
  </rcc>
  <rcc rId="853" sId="3" odxf="1" dxf="1">
    <oc r="J3">
      <f>Diego!O3+Aelton!O3+Leonam!O3+Danilo!O3+Marcos!O3+Carlos!O3+Alessandro!O3</f>
    </oc>
    <nc r="J3">
      <f>Diego!AN3+Aelton!AN3+Leonam!AN3+Danilo!AN3+Marcos!AN3+Carlos!AN3+Alessandro!AN3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54" sId="3">
    <oc r="J4">
      <f>Diego!O4+Aelton!O4+Leonam!O4+Danilo!O4+Marcos!O4+Carlos!O4+Alessandro!O4</f>
    </oc>
    <nc r="J4">
      <f>Diego!AN4+Aelton!AN4+Leonam!AN4+Danilo!AN4+Marcos!AN4+Carlos!AN4+Alessandro!AN4</f>
    </nc>
  </rcc>
  <rcc rId="855" sId="3" odxf="1" dxf="1">
    <oc r="J5">
      <f>Diego!O5+Aelton!O5+Leonam!O5+Danilo!O5+Marcos!O5+Carlos!O5+Alessandro!O5</f>
    </oc>
    <nc r="J5">
      <f>Diego!AN5+Aelton!AN5+Leonam!AN5+Danilo!AN5+Marcos!AN5+Carlos!AN5+Alessandro!AN5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56" sId="3">
    <oc r="J6">
      <f>Diego!O6+Aelton!O6+Leonam!O6+Danilo!O6+Marcos!O6+Carlos!O6+Alessandro!O6</f>
    </oc>
    <nc r="J6">
      <f>Diego!AN6+Aelton!AN6+Leonam!AN6+Danilo!AN6+Marcos!AN6+Carlos!AN6+Alessandro!AN6</f>
    </nc>
  </rcc>
  <rcc rId="857" sId="3" odxf="1" dxf="1">
    <oc r="J7">
      <f>Diego!O7+Aelton!O7+Leonam!O7+Danilo!O7+Marcos!O7+Carlos!O7+Alessandro!O7</f>
    </oc>
    <nc r="J7">
      <f>Diego!AN7+Aelton!AN7+Leonam!AN7+Danilo!AN7+Marcos!AN7+Carlos!AN7+Alessandro!AN7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58" sId="3">
    <oc r="J8">
      <f>Diego!O8+Aelton!O8+Leonam!O8+Danilo!O8+Marcos!O8+Carlos!O8+Alessandro!O8</f>
    </oc>
    <nc r="J8">
      <f>Diego!AN8+Aelton!AN8+Leonam!AN8+Danilo!AN8+Marcos!AN8+Carlos!AN8+Alessandro!AN8</f>
    </nc>
  </rcc>
  <rcc rId="859" sId="3" odxf="1" dxf="1">
    <oc r="J9">
      <f>Diego!O9+Aelton!O9+Leonam!O9+Danilo!O9+Marcos!O9+Carlos!O9+Alessandro!O9</f>
    </oc>
    <nc r="J9">
      <f>Diego!AN9+Aelton!AN9+Leonam!AN9+Danilo!AN9+Marcos!AN9+Carlos!AN9+Alessandro!AN9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60" sId="3">
    <oc r="J10">
      <f>Diego!O10+Aelton!O10+Leonam!O10+Danilo!O10+Marcos!O10+Carlos!O10+Alessandro!O10</f>
    </oc>
    <nc r="J10">
      <f>Diego!AN10+Aelton!AN10+Leonam!AN10+Danilo!AN10+Marcos!AN10+Carlos!AN10+Alessandro!AN10</f>
    </nc>
  </rcc>
  <rcc rId="861" sId="3" odxf="1" dxf="1">
    <oc r="J11">
      <f>Diego!O11+Aelton!O11+Leonam!O11+Danilo!O11+Marcos!O11+Carlos!O11+Alessandro!O11</f>
    </oc>
    <nc r="J11">
      <f>Diego!AN11+Aelton!AN11+Leonam!AN11+Danilo!AN11+Marcos!AN11+Carlos!AN11+Alessandro!AN11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62" sId="3">
    <oc r="J12">
      <f>Diego!O12+Aelton!O12+Leonam!O12+Danilo!O12+Marcos!O12+Carlos!O12+Alessandro!O12</f>
    </oc>
    <nc r="J12">
      <f>Diego!AN12+Aelton!AN12+Leonam!AN12+Danilo!AN12+Marcos!AN12+Carlos!AN12+Alessandro!AN12</f>
    </nc>
  </rcc>
  <rcc rId="863" sId="3" odxf="1" dxf="1">
    <oc r="J13">
      <f>Diego!O13+Aelton!O13+Leonam!O13+Danilo!O13+Marcos!O13+Carlos!O13+Alessandro!O13</f>
    </oc>
    <nc r="J13">
      <f>Diego!AN13+Aelton!AN13+Leonam!AN13+Danilo!AN13+Marcos!AN13+Carlos!AN13+Alessandro!AN13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64" sId="3">
    <oc r="J14">
      <f>Diego!O14+Aelton!O14+Leonam!O14+Danilo!O14+Marcos!O14+Carlos!O14+Alessandro!O14</f>
    </oc>
    <nc r="J14">
      <f>Diego!AN14+Aelton!AN14+Leonam!AN14+Danilo!AN14+Marcos!AN14+Carlos!AN14+Alessandro!AN14</f>
    </nc>
  </rcc>
  <rcc rId="865" sId="3" odxf="1" dxf="1">
    <oc r="J15">
      <f>Diego!O15+Aelton!O15+Leonam!O15+Danilo!O15+Marcos!O15+Carlos!O15+Alessandro!O15</f>
    </oc>
    <nc r="J15">
      <f>Diego!AN15+Aelton!AN15+Leonam!AN15+Danilo!AN15+Marcos!AN15+Carlos!AN15+Alessandro!AN15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66" sId="3">
    <oc r="J16">
      <f>Diego!O16+Aelton!O16+Leonam!O16+Danilo!O16+Marcos!O16+Carlos!O16+Alessandro!O16</f>
    </oc>
    <nc r="J16">
      <f>Diego!AN16+Aelton!AN16+Leonam!AN16+Danilo!AN16+Marcos!AN16+Carlos!AN16+Alessandro!AN16</f>
    </nc>
  </rcc>
  <rcc rId="867" sId="3">
    <oc r="J2">
      <f>Diego!O2+Aelton!O2+Leonam!O2+Danilo!O2+Marcos!O2+Carlos!O2+Alessandro!O2</f>
    </oc>
    <nc r="J2">
      <f>Diego!AX2+Aelton!AX2+Leonam!AX2+Danilo!AX2+Marcos!AX2+Carlos!AX2+Alessandro!AX2</f>
    </nc>
  </rcc>
  <rcc rId="868" sId="3">
    <oc r="K2">
      <f>Diego!P2+Aelton!P2+Leonam!P2+Danilo!P2+Marcos!P2+Carlos!P2+Alessandro!P2</f>
    </oc>
    <nc r="K2">
      <f>Diego!BD2+Aelton!BD2+Leonam!BD2+Danilo!BD2+Marcos!BD2+Carlos!BD2+Alessandro!BD2</f>
    </nc>
  </rcc>
  <rcc rId="869" sId="3" odxf="1" dxf="1">
    <oc r="K3">
      <f>Diego!P3+Aelton!P3+Leonam!P3+Danilo!P3+Marcos!P3+Carlos!P3+Alessandro!P3</f>
    </oc>
    <nc r="K3">
      <f>Diego!BD3+Aelton!BD3+Leonam!BD3+Danilo!BD3+Marcos!BD3+Carlos!BD3+Alessandro!BD3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70" sId="3">
    <oc r="K4">
      <f>Diego!P4+Aelton!P4+Leonam!P4+Danilo!P4+Marcos!P4+Carlos!P4+Alessandro!P4</f>
    </oc>
    <nc r="K4">
      <f>Diego!BD4+Aelton!BD4+Leonam!BD4+Danilo!BD4+Marcos!BD4+Carlos!BD4+Alessandro!BD4</f>
    </nc>
  </rcc>
  <rcc rId="871" sId="3" odxf="1" dxf="1">
    <oc r="K5">
      <f>Diego!P5+Aelton!P5+Leonam!P5+Danilo!P5+Marcos!P5+Carlos!P5+Alessandro!P5</f>
    </oc>
    <nc r="K5">
      <f>Diego!BD5+Aelton!BD5+Leonam!BD5+Danilo!BD5+Marcos!BD5+Carlos!BD5+Alessandro!BD5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72" sId="3">
    <oc r="K6">
      <f>Diego!P6+Aelton!P6+Leonam!P6+Danilo!P6+Marcos!P6+Carlos!P6+Alessandro!P6</f>
    </oc>
    <nc r="K6">
      <f>Diego!BD6+Aelton!BD6+Leonam!BD6+Danilo!BD6+Marcos!BD6+Carlos!BD6+Alessandro!BD6</f>
    </nc>
  </rcc>
  <rcc rId="873" sId="3" odxf="1" dxf="1">
    <oc r="K7">
      <f>Diego!P7+Aelton!P7+Leonam!P7+Danilo!P7+Marcos!P7+Carlos!P7+Alessandro!P7</f>
    </oc>
    <nc r="K7">
      <f>Diego!BD7+Aelton!BD7+Leonam!BD7+Danilo!BD7+Marcos!BD7+Carlos!BD7+Alessandro!BD7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74" sId="3">
    <oc r="K8">
      <f>Diego!P8+Aelton!P8+Leonam!P8+Danilo!P8+Marcos!P8+Carlos!P8+Alessandro!P8</f>
    </oc>
    <nc r="K8">
      <f>Diego!BD8+Aelton!BD8+Leonam!BD8+Danilo!BD8+Marcos!BD8+Carlos!BD8+Alessandro!BD8</f>
    </nc>
  </rcc>
  <rcc rId="875" sId="3" odxf="1" dxf="1">
    <oc r="K9">
      <f>Diego!P9+Aelton!P9+Leonam!P9+Danilo!P9+Marcos!P9+Carlos!P9+Alessandro!P9</f>
    </oc>
    <nc r="K9">
      <f>Diego!BD9+Aelton!BD9+Leonam!BD9+Danilo!BD9+Marcos!BD9+Carlos!BD9+Alessandro!BD9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76" sId="3">
    <oc r="K10">
      <f>Diego!P10+Aelton!P10+Leonam!P10+Danilo!P10+Marcos!P10+Carlos!P10+Alessandro!P10</f>
    </oc>
    <nc r="K10">
      <f>Diego!BD10+Aelton!BD10+Leonam!BD10+Danilo!BD10+Marcos!BD10+Carlos!BD10+Alessandro!BD10</f>
    </nc>
  </rcc>
  <rcc rId="877" sId="3" odxf="1" dxf="1">
    <oc r="K11">
      <f>Diego!P11+Aelton!P11+Leonam!P11+Danilo!P11+Marcos!P11+Carlos!P11+Alessandro!P11</f>
    </oc>
    <nc r="K11">
      <f>Diego!BD11+Aelton!BD11+Leonam!BD11+Danilo!BD11+Marcos!BD11+Carlos!BD11+Alessandro!BD11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78" sId="3">
    <oc r="K12">
      <f>Diego!P12+Aelton!P12+Leonam!P12+Danilo!P12+Marcos!P12+Carlos!P12+Alessandro!P12</f>
    </oc>
    <nc r="K12">
      <f>Diego!BD12+Aelton!BD12+Leonam!BD12+Danilo!BD12+Marcos!BD12+Carlos!BD12+Alessandro!BD12</f>
    </nc>
  </rcc>
  <rcc rId="879" sId="3" odxf="1" dxf="1">
    <oc r="K13">
      <f>Diego!P13+Aelton!P13+Leonam!P13+Danilo!P13+Marcos!P13+Carlos!P13+Alessandro!P13</f>
    </oc>
    <nc r="K13">
      <f>Diego!BD13+Aelton!BD13+Leonam!BD13+Danilo!BD13+Marcos!BD13+Carlos!BD13+Alessandro!BD13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80" sId="3">
    <oc r="K14">
      <f>Diego!P14+Aelton!P14+Leonam!P14+Danilo!P14+Marcos!P14+Carlos!P14+Alessandro!P14</f>
    </oc>
    <nc r="K14">
      <f>Diego!BD14+Aelton!BD14+Leonam!BD14+Danilo!BD14+Marcos!BD14+Carlos!BD14+Alessandro!BD14</f>
    </nc>
  </rcc>
  <rcc rId="881" sId="3" odxf="1" dxf="1">
    <oc r="K15">
      <f>Diego!P15+Aelton!P15+Leonam!P15+Danilo!P15+Marcos!P15+Carlos!P15+Alessandro!P15</f>
    </oc>
    <nc r="K15">
      <f>Diego!BD15+Aelton!BD15+Leonam!BD15+Danilo!BD15+Marcos!BD15+Carlos!BD15+Alessandro!BD15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882" sId="3">
    <oc r="K16">
      <f>Diego!P16+Aelton!P16+Leonam!P16+Danilo!P16+Marcos!P16+Carlos!P16+Alessandro!P16</f>
    </oc>
    <nc r="K16">
      <f>Diego!BD16+Aelton!BD16+Leonam!BD16+Danilo!BD16+Marcos!BD16+Carlos!BD16+Alessandro!BD16</f>
    </nc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3" sId="3" odxf="1" dxf="1">
    <oc r="D3">
      <f>Diego!N3+Aelton!N3+Leonam!N3+Danilo!N3+Marcos!N3+Carlos!N3+Alessandro!N3</f>
    </oc>
    <nc r="D3">
      <f>Diego!N3+Aelton!N3+Leonam!N3+Danilo!N3+Marcos!N3+Carlos!N3+Alessandro!N3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884" sId="3">
    <oc r="E3">
      <f>Diego!J3+Aelton!J3+Leonam!J3+Danilo!J3+Marcos!J3+Carlos!J3+Alessandro!J3</f>
    </oc>
    <nc r="E3">
      <f>Diego!J3+Aelton!J3+Leonam!J3+Danilo!J3+Marcos!J3+Carlos!J3+Alessandro!J3</f>
    </nc>
  </rcc>
  <rcc rId="885" sId="3" odxf="1" dxf="1">
    <oc r="F3">
      <f>Diego!Z3+Aelton!Z3+Leonam!Z3+Danilo!Z3+Marcos!Z3+Carlos!Z3+Alessandro!Z3</f>
    </oc>
    <nc r="F3">
      <f>Diego!Z3+Aelton!Z3+Leonam!Z3+Danilo!Z3+Marcos!Z3+Carlos!Z3+Alessandro!Z3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886" sId="3" odxf="1" dxf="1">
    <oc r="G3">
      <f>Diego!AF3+Aelton!AF3+Leonam!AF3+Danilo!AF3+Marcos!AF3+Carlos!AF3+Alessandro!AF3</f>
    </oc>
    <nc r="G3">
      <f>Diego!AF3+Aelton!AF3+Leonam!AF3+Danilo!AF3+Marcos!AF3+Carlos!AF3+Alessandro!AF3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887" sId="3" odxf="1" dxf="1">
    <oc r="H3">
      <f>Diego!AL3+Aelton!AL3+Leonam!AL3+Danilo!AL3+Marcos!AL3+Carlos!AL3+Alessandro!AL3</f>
    </oc>
    <nc r="H3">
      <f>Diego!AL3+Aelton!AL3+Leonam!AL3+Danilo!AL3+Marcos!AL3+Carlos!AL3+Alessandro!AL3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888" sId="3" odxf="1" dxf="1">
    <oc r="I3">
      <f>Diego!AM3+Aelton!AM3+Leonam!AM3+Danilo!AM3+Marcos!AM3+Carlos!AM3+Alessandro!AM3</f>
    </oc>
    <nc r="I3">
      <f>Diego!AM3+Aelton!AM3+Leonam!AM3+Danilo!AM3+Marcos!AM3+Carlos!AM3+Alessandro!AM3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889" sId="3" odxf="1" dxf="1">
    <oc r="J3">
      <f>Diego!AN3+Aelton!AN3+Leonam!AN3+Danilo!AN3+Marcos!AN3+Carlos!AN3+Alessandro!AN3</f>
    </oc>
    <nc r="J3">
      <f>Diego!AN3+Aelton!AN3+Leonam!AN3+Danilo!AN3+Marcos!AN3+Carlos!AN3+Alessandro!AN3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890" sId="3" odxf="1" dxf="1">
    <oc r="K3">
      <f>Diego!BD3+Aelton!BD3+Leonam!BD3+Danilo!BD3+Marcos!BD3+Carlos!BD3+Alessandro!BD3</f>
    </oc>
    <nc r="K3">
      <f>Diego!BD3+Aelton!BD3+Leonam!BD3+Danilo!BD3+Marcos!BD3+Carlos!BD3+Alessandro!BD3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891" sId="3">
    <oc r="C5">
      <f>Diego!H5+Aelton!H5+Leonam!H5+Danilo!H5+Marcos!H5+Carlos!H5+Alessandro!H5</f>
    </oc>
    <nc r="C5">
      <f>Diego!H5+Aelton!H5+Leonam!H5+Danilo!H5+Marcos!H5+Carlos!H5+Alessandro!H5</f>
    </nc>
  </rcc>
  <rcc rId="892" sId="3" odxf="1" dxf="1">
    <oc r="D5">
      <f>Diego!N5+Aelton!N5+Leonam!N5+Danilo!N5+Marcos!N5+Carlos!N5+Alessandro!N5</f>
    </oc>
    <nc r="D5">
      <f>Diego!N5+Aelton!N5+Leonam!N5+Danilo!N5+Marcos!N5+Carlos!N5+Alessandro!N5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893" sId="3">
    <oc r="E5">
      <f>Diego!J5+Aelton!J5+Leonam!J5+Danilo!J5+Marcos!J5+Carlos!J5+Alessandro!J5</f>
    </oc>
    <nc r="E5">
      <f>Diego!J5+Aelton!J5+Leonam!J5+Danilo!J5+Marcos!J5+Carlos!J5+Alessandro!J5</f>
    </nc>
  </rcc>
  <rcc rId="894" sId="3" odxf="1" dxf="1">
    <oc r="F5">
      <f>Diego!Z5+Aelton!Z5+Leonam!Z5+Danilo!Z5+Marcos!Z5+Carlos!Z5+Alessandro!Z5</f>
    </oc>
    <nc r="F5">
      <f>Diego!Z5+Aelton!Z5+Leonam!Z5+Danilo!Z5+Marcos!Z5+Carlos!Z5+Alessandro!Z5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895" sId="3" odxf="1" dxf="1">
    <oc r="G5">
      <f>Diego!AF5+Aelton!AF5+Leonam!AF5+Danilo!AF5+Marcos!AF5+Carlos!AF5+Alessandro!AF5</f>
    </oc>
    <nc r="G5">
      <f>Diego!AF5+Aelton!AF5+Leonam!AF5+Danilo!AF5+Marcos!AF5+Carlos!AF5+Alessandro!AF5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896" sId="3" odxf="1" dxf="1">
    <oc r="H5">
      <f>Diego!AL5+Aelton!AL5+Leonam!AL5+Danilo!AL5+Marcos!AL5+Carlos!AL5+Alessandro!AL5</f>
    </oc>
    <nc r="H5">
      <f>Diego!AL5+Aelton!AL5+Leonam!AL5+Danilo!AL5+Marcos!AL5+Carlos!AL5+Alessandro!AL5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897" sId="3" odxf="1" dxf="1">
    <oc r="I5">
      <f>Diego!AM5+Aelton!AM5+Leonam!AM5+Danilo!AM5+Marcos!AM5+Carlos!AM5+Alessandro!AM5</f>
    </oc>
    <nc r="I5">
      <f>Diego!AM5+Aelton!AM5+Leonam!AM5+Danilo!AM5+Marcos!AM5+Carlos!AM5+Alessandro!AM5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898" sId="3" odxf="1" dxf="1">
    <oc r="J5">
      <f>Diego!AN5+Aelton!AN5+Leonam!AN5+Danilo!AN5+Marcos!AN5+Carlos!AN5+Alessandro!AN5</f>
    </oc>
    <nc r="J5">
      <f>Diego!AN5+Aelton!AN5+Leonam!AN5+Danilo!AN5+Marcos!AN5+Carlos!AN5+Alessandro!AN5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899" sId="3" odxf="1" dxf="1">
    <oc r="K5">
      <f>Diego!BD5+Aelton!BD5+Leonam!BD5+Danilo!BD5+Marcos!BD5+Carlos!BD5+Alessandro!BD5</f>
    </oc>
    <nc r="K5">
      <f>Diego!BD5+Aelton!BD5+Leonam!BD5+Danilo!BD5+Marcos!BD5+Carlos!BD5+Alessandro!BD5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00" sId="3">
    <oc r="C7">
      <f>Diego!H7+Aelton!H7+Leonam!H7+Danilo!H7+Marcos!H7+Carlos!H7+Alessandro!H7</f>
    </oc>
    <nc r="C7">
      <f>Diego!H7+Aelton!H7+Leonam!H7+Danilo!H7+Marcos!H7+Carlos!H7+Alessandro!H7</f>
    </nc>
  </rcc>
  <rcc rId="901" sId="3" odxf="1" dxf="1">
    <oc r="D7">
      <f>Diego!N7+Aelton!N7+Leonam!N7+Danilo!N7+Marcos!N7+Carlos!N7+Alessandro!N7</f>
    </oc>
    <nc r="D7">
      <f>Diego!N7+Aelton!N7+Leonam!N7+Danilo!N7+Marcos!N7+Carlos!N7+Alessandro!N7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02" sId="3">
    <oc r="E7">
      <f>Diego!J7+Aelton!J7+Leonam!J7+Danilo!J7+Marcos!J7+Carlos!J7+Alessandro!J7</f>
    </oc>
    <nc r="E7">
      <f>Diego!J7+Aelton!J7+Leonam!J7+Danilo!J7+Marcos!J7+Carlos!J7+Alessandro!J7</f>
    </nc>
  </rcc>
  <rcc rId="903" sId="3" odxf="1" dxf="1">
    <oc r="F7">
      <f>Diego!Z7+Aelton!Z7+Leonam!Z7+Danilo!Z7+Marcos!Z7+Carlos!Z7+Alessandro!Z7</f>
    </oc>
    <nc r="F7">
      <f>Diego!Z7+Aelton!Z7+Leonam!Z7+Danilo!Z7+Marcos!Z7+Carlos!Z7+Alessandro!Z7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04" sId="3" odxf="1" dxf="1">
    <oc r="G7">
      <f>Diego!AF7+Aelton!AF7+Leonam!AF7+Danilo!AF7+Marcos!AF7+Carlos!AF7+Alessandro!AF7</f>
    </oc>
    <nc r="G7">
      <f>Diego!AF7+Aelton!AF7+Leonam!AF7+Danilo!AF7+Marcos!AF7+Carlos!AF7+Alessandro!AF7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05" sId="3" odxf="1" dxf="1">
    <oc r="H7">
      <f>Diego!AL7+Aelton!AL7+Leonam!AL7+Danilo!AL7+Marcos!AL7+Carlos!AL7+Alessandro!AL7</f>
    </oc>
    <nc r="H7">
      <f>Diego!AL7+Aelton!AL7+Leonam!AL7+Danilo!AL7+Marcos!AL7+Carlos!AL7+Alessandro!AL7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06" sId="3" odxf="1" dxf="1">
    <oc r="I7">
      <f>Diego!AM7+Aelton!AM7+Leonam!AM7+Danilo!AM7+Marcos!AM7+Carlos!AM7+Alessandro!AM7</f>
    </oc>
    <nc r="I7">
      <f>Diego!AM7+Aelton!AM7+Leonam!AM7+Danilo!AM7+Marcos!AM7+Carlos!AM7+Alessandro!AM7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07" sId="3" odxf="1" dxf="1">
    <oc r="J7">
      <f>Diego!AN7+Aelton!AN7+Leonam!AN7+Danilo!AN7+Marcos!AN7+Carlos!AN7+Alessandro!AN7</f>
    </oc>
    <nc r="J7">
      <f>Diego!AN7+Aelton!AN7+Leonam!AN7+Danilo!AN7+Marcos!AN7+Carlos!AN7+Alessandro!AN7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08" sId="3" odxf="1" dxf="1">
    <oc r="K7">
      <f>Diego!BD7+Aelton!BD7+Leonam!BD7+Danilo!BD7+Marcos!BD7+Carlos!BD7+Alessandro!BD7</f>
    </oc>
    <nc r="K7">
      <f>Diego!BD7+Aelton!BD7+Leonam!BD7+Danilo!BD7+Marcos!BD7+Carlos!BD7+Alessandro!BD7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09" sId="3">
    <oc r="C9">
      <f>Diego!H9+Aelton!H9+Leonam!H9+Danilo!H9+Marcos!H9+Carlos!H9+Alessandro!H9</f>
    </oc>
    <nc r="C9">
      <f>Diego!H9+Aelton!H9+Leonam!H9+Danilo!H9+Marcos!H9+Carlos!H9+Alessandro!H9</f>
    </nc>
  </rcc>
  <rcc rId="910" sId="3" odxf="1" dxf="1">
    <oc r="D9">
      <f>Diego!N9+Aelton!N9+Leonam!N9+Danilo!N9+Marcos!N9+Carlos!N9+Alessandro!N9</f>
    </oc>
    <nc r="D9">
      <f>Diego!N9+Aelton!N9+Leonam!N9+Danilo!N9+Marcos!N9+Carlos!N9+Alessandro!N9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11" sId="3">
    <oc r="E9">
      <f>Diego!J9+Aelton!J9+Leonam!J9+Danilo!J9+Marcos!J9+Carlos!J9+Alessandro!J9</f>
    </oc>
    <nc r="E9">
      <f>Diego!J9+Aelton!J9+Leonam!J9+Danilo!J9+Marcos!J9+Carlos!J9+Alessandro!J9</f>
    </nc>
  </rcc>
  <rcc rId="912" sId="3" odxf="1" dxf="1">
    <oc r="F9">
      <f>Diego!Z9+Aelton!Z9+Leonam!Z9+Danilo!Z9+Marcos!Z9+Carlos!Z9+Alessandro!Z9</f>
    </oc>
    <nc r="F9">
      <f>Diego!Z9+Aelton!Z9+Leonam!Z9+Danilo!Z9+Marcos!Z9+Carlos!Z9+Alessandro!Z9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13" sId="3" odxf="1" dxf="1">
    <oc r="G9">
      <f>Diego!AF9+Aelton!AF9+Leonam!AF9+Danilo!AF9+Marcos!AF9+Carlos!AF9+Alessandro!AF9</f>
    </oc>
    <nc r="G9">
      <f>Diego!AF9+Aelton!AF9+Leonam!AF9+Danilo!AF9+Marcos!AF9+Carlos!AF9+Alessandro!AF9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14" sId="3" odxf="1" dxf="1">
    <oc r="H9">
      <f>Diego!AL9+Aelton!AL9+Leonam!AL9+Danilo!AL9+Marcos!AL9+Carlos!AL9+Alessandro!AL9</f>
    </oc>
    <nc r="H9">
      <f>Diego!AL9+Aelton!AL9+Leonam!AL9+Danilo!AL9+Marcos!AL9+Carlos!AL9+Alessandro!AL9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15" sId="3" odxf="1" dxf="1">
    <oc r="I9">
      <f>Diego!AM9+Aelton!AM9+Leonam!AM9+Danilo!AM9+Marcos!AM9+Carlos!AM9+Alessandro!AM9</f>
    </oc>
    <nc r="I9">
      <f>Diego!AM9+Aelton!AM9+Leonam!AM9+Danilo!AM9+Marcos!AM9+Carlos!AM9+Alessandro!AM9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16" sId="3" odxf="1" dxf="1">
    <oc r="J9">
      <f>Diego!AN9+Aelton!AN9+Leonam!AN9+Danilo!AN9+Marcos!AN9+Carlos!AN9+Alessandro!AN9</f>
    </oc>
    <nc r="J9">
      <f>Diego!AN9+Aelton!AN9+Leonam!AN9+Danilo!AN9+Marcos!AN9+Carlos!AN9+Alessandro!AN9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17" sId="3" odxf="1" dxf="1">
    <oc r="K9">
      <f>Diego!BD9+Aelton!BD9+Leonam!BD9+Danilo!BD9+Marcos!BD9+Carlos!BD9+Alessandro!BD9</f>
    </oc>
    <nc r="K9">
      <f>Diego!BD9+Aelton!BD9+Leonam!BD9+Danilo!BD9+Marcos!BD9+Carlos!BD9+Alessandro!BD9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18" sId="3">
    <oc r="C11">
      <f>Diego!H11+Aelton!H11+Leonam!H11+Danilo!H11+Marcos!H11+Carlos!H11+Alessandro!H11</f>
    </oc>
    <nc r="C11">
      <f>Diego!H11+Aelton!H11+Leonam!H11+Danilo!H11+Marcos!H11+Carlos!H11+Alessandro!H11</f>
    </nc>
  </rcc>
  <rcc rId="919" sId="3" odxf="1" dxf="1">
    <oc r="D11">
      <f>Diego!N11+Aelton!N11+Leonam!N11+Danilo!N11+Marcos!N11+Carlos!N11+Alessandro!N11</f>
    </oc>
    <nc r="D11">
      <f>Diego!N11+Aelton!N11+Leonam!N11+Danilo!N11+Marcos!N11+Carlos!N11+Alessandro!N11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20" sId="3">
    <oc r="E11">
      <f>Diego!J11+Aelton!J11+Leonam!J11+Danilo!J11+Marcos!J11+Carlos!J11+Alessandro!J11</f>
    </oc>
    <nc r="E11">
      <f>Diego!J11+Aelton!J11+Leonam!J11+Danilo!J11+Marcos!J11+Carlos!J11+Alessandro!J11</f>
    </nc>
  </rcc>
  <rcc rId="921" sId="3" odxf="1" dxf="1">
    <oc r="F11">
      <f>Diego!Z11+Aelton!Z11+Leonam!Z11+Danilo!Z11+Marcos!Z11+Carlos!Z11+Alessandro!Z11</f>
    </oc>
    <nc r="F11">
      <f>Diego!Z11+Aelton!Z11+Leonam!Z11+Danilo!Z11+Marcos!Z11+Carlos!Z11+Alessandro!Z11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22" sId="3" odxf="1" dxf="1">
    <oc r="G11">
      <f>Diego!AF11+Aelton!AF11+Leonam!AF11+Danilo!AF11+Marcos!AF11+Carlos!AF11+Alessandro!AF11</f>
    </oc>
    <nc r="G11">
      <f>Diego!AF11+Aelton!AF11+Leonam!AF11+Danilo!AF11+Marcos!AF11+Carlos!AF11+Alessandro!AF11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23" sId="3" odxf="1" dxf="1">
    <oc r="H11">
      <f>Diego!AL11+Aelton!AL11+Leonam!AL11+Danilo!AL11+Marcos!AL11+Carlos!AL11+Alessandro!AL11</f>
    </oc>
    <nc r="H11">
      <f>Diego!AL11+Aelton!AL11+Leonam!AL11+Danilo!AL11+Marcos!AL11+Carlos!AL11+Alessandro!AL11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24" sId="3" odxf="1" dxf="1">
    <oc r="I11">
      <f>Diego!AM11+Aelton!AM11+Leonam!AM11+Danilo!AM11+Marcos!AM11+Carlos!AM11+Alessandro!AM11</f>
    </oc>
    <nc r="I11">
      <f>Diego!AM11+Aelton!AM11+Leonam!AM11+Danilo!AM11+Marcos!AM11+Carlos!AM11+Alessandro!AM11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25" sId="3" odxf="1" dxf="1">
    <oc r="J11">
      <f>Diego!AN11+Aelton!AN11+Leonam!AN11+Danilo!AN11+Marcos!AN11+Carlos!AN11+Alessandro!AN11</f>
    </oc>
    <nc r="J11">
      <f>Diego!AN11+Aelton!AN11+Leonam!AN11+Danilo!AN11+Marcos!AN11+Carlos!AN11+Alessandro!AN11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26" sId="3" odxf="1" dxf="1">
    <oc r="K11">
      <f>Diego!BD11+Aelton!BD11+Leonam!BD11+Danilo!BD11+Marcos!BD11+Carlos!BD11+Alessandro!BD11</f>
    </oc>
    <nc r="K11">
      <f>Diego!BD11+Aelton!BD11+Leonam!BD11+Danilo!BD11+Marcos!BD11+Carlos!BD11+Alessandro!BD11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27" sId="3">
    <oc r="C13">
      <f>Diego!H13+Aelton!H13+Leonam!H13+Danilo!H13+Marcos!H13+Carlos!H13+Alessandro!H13</f>
    </oc>
    <nc r="C13">
      <f>Diego!H13+Aelton!H13+Leonam!H13+Danilo!H13+Marcos!H13+Carlos!H13+Alessandro!H13</f>
    </nc>
  </rcc>
  <rcc rId="928" sId="3" odxf="1" dxf="1">
    <oc r="D13">
      <f>Diego!N13+Aelton!N13+Leonam!N13+Danilo!N13+Marcos!N13+Carlos!N13+Alessandro!N13</f>
    </oc>
    <nc r="D13">
      <f>Diego!N13+Aelton!N13+Leonam!N13+Danilo!N13+Marcos!N13+Carlos!N13+Alessandro!N13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29" sId="3">
    <oc r="E13">
      <f>Diego!J13+Aelton!J13+Leonam!J13+Danilo!J13+Marcos!J13+Carlos!J13+Alessandro!J13</f>
    </oc>
    <nc r="E13">
      <f>Diego!J13+Aelton!J13+Leonam!J13+Danilo!J13+Marcos!J13+Carlos!J13+Alessandro!J13</f>
    </nc>
  </rcc>
  <rcc rId="930" sId="3" odxf="1" dxf="1">
    <oc r="F13">
      <f>Diego!Z13+Aelton!Z13+Leonam!Z13+Danilo!Z13+Marcos!Z13+Carlos!Z13+Alessandro!Z13</f>
    </oc>
    <nc r="F13">
      <f>Diego!Z13+Aelton!Z13+Leonam!Z13+Danilo!Z13+Marcos!Z13+Carlos!Z13+Alessandro!Z13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31" sId="3" odxf="1" dxf="1">
    <oc r="G13">
      <f>Diego!AF13+Aelton!AF13+Leonam!AF13+Danilo!AF13+Marcos!AF13+Carlos!AF13+Alessandro!AF13</f>
    </oc>
    <nc r="G13">
      <f>Diego!AF13+Aelton!AF13+Leonam!AF13+Danilo!AF13+Marcos!AF13+Carlos!AF13+Alessandro!AF13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32" sId="3" odxf="1" dxf="1">
    <oc r="H13">
      <f>Diego!AL13+Aelton!AL13+Leonam!AL13+Danilo!AL13+Marcos!AL13+Carlos!AL13+Alessandro!AL13</f>
    </oc>
    <nc r="H13">
      <f>Diego!AL13+Aelton!AL13+Leonam!AL13+Danilo!AL13+Marcos!AL13+Carlos!AL13+Alessandro!AL13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33" sId="3" odxf="1" dxf="1">
    <oc r="I13">
      <f>Diego!AM13+Aelton!AM13+Leonam!AM13+Danilo!AM13+Marcos!AM13+Carlos!AM13+Alessandro!AM13</f>
    </oc>
    <nc r="I13">
      <f>Diego!AM13+Aelton!AM13+Leonam!AM13+Danilo!AM13+Marcos!AM13+Carlos!AM13+Alessandro!AM13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34" sId="3" odxf="1" dxf="1">
    <oc r="J13">
      <f>Diego!AN13+Aelton!AN13+Leonam!AN13+Danilo!AN13+Marcos!AN13+Carlos!AN13+Alessandro!AN13</f>
    </oc>
    <nc r="J13">
      <f>Diego!AN13+Aelton!AN13+Leonam!AN13+Danilo!AN13+Marcos!AN13+Carlos!AN13+Alessandro!AN13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35" sId="3" odxf="1" dxf="1">
    <oc r="K13">
      <f>Diego!BD13+Aelton!BD13+Leonam!BD13+Danilo!BD13+Marcos!BD13+Carlos!BD13+Alessandro!BD13</f>
    </oc>
    <nc r="K13">
      <f>Diego!BD13+Aelton!BD13+Leonam!BD13+Danilo!BD13+Marcos!BD13+Carlos!BD13+Alessandro!BD13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36" sId="3">
    <oc r="C15">
      <f>Diego!H15+Aelton!H15+Leonam!H15+Danilo!H15+Marcos!H15+Carlos!H15+Alessandro!H15</f>
    </oc>
    <nc r="C15">
      <f>Diego!H15+Aelton!H15+Leonam!H15+Danilo!H15+Marcos!H15+Carlos!H15+Alessandro!H15</f>
    </nc>
  </rcc>
  <rcc rId="937" sId="3" odxf="1" dxf="1">
    <oc r="D15">
      <f>Diego!N15+Aelton!N15+Leonam!N15+Danilo!N15+Marcos!N15+Carlos!N15+Alessandro!N15</f>
    </oc>
    <nc r="D15">
      <f>Diego!N15+Aelton!N15+Leonam!N15+Danilo!N15+Marcos!N15+Carlos!N15+Alessandro!N15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38" sId="3">
    <oc r="E15">
      <f>Diego!J15+Aelton!J15+Leonam!J15+Danilo!J15+Marcos!J15+Carlos!J15+Alessandro!J15</f>
    </oc>
    <nc r="E15">
      <f>Diego!J15+Aelton!J15+Leonam!J15+Danilo!J15+Marcos!J15+Carlos!J15+Alessandro!J15</f>
    </nc>
  </rcc>
  <rcc rId="939" sId="3" odxf="1" dxf="1">
    <oc r="F15">
      <f>Diego!Z15+Aelton!Z15+Leonam!Z15+Danilo!Z15+Marcos!Z15+Carlos!Z15+Alessandro!Z15</f>
    </oc>
    <nc r="F15">
      <f>Diego!Z15+Aelton!Z15+Leonam!Z15+Danilo!Z15+Marcos!Z15+Carlos!Z15+Alessandro!Z15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40" sId="3" odxf="1" dxf="1">
    <oc r="G15">
      <f>Diego!AF15+Aelton!AF15+Leonam!AF15+Danilo!AF15+Marcos!AF15+Carlos!AF15+Alessandro!AF15</f>
    </oc>
    <nc r="G15">
      <f>Diego!AF15+Aelton!AF15+Leonam!AF15+Danilo!AF15+Marcos!AF15+Carlos!AF15+Alessandro!AF15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41" sId="3" odxf="1" dxf="1">
    <oc r="H15">
      <f>Diego!AL15+Aelton!AL15+Leonam!AL15+Danilo!AL15+Marcos!AL15+Carlos!AL15+Alessandro!AL15</f>
    </oc>
    <nc r="H15">
      <f>Diego!AL15+Aelton!AL15+Leonam!AL15+Danilo!AL15+Marcos!AL15+Carlos!AL15+Alessandro!AL15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42" sId="3" odxf="1" dxf="1">
    <oc r="I15">
      <f>Diego!AM15+Aelton!AM15+Leonam!AM15+Danilo!AM15+Marcos!AM15+Carlos!AM15+Alessandro!AM15</f>
    </oc>
    <nc r="I15">
      <f>Diego!AM15+Aelton!AM15+Leonam!AM15+Danilo!AM15+Marcos!AM15+Carlos!AM15+Alessandro!AM15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43" sId="3" odxf="1" dxf="1">
    <oc r="J15">
      <f>Diego!AN15+Aelton!AN15+Leonam!AN15+Danilo!AN15+Marcos!AN15+Carlos!AN15+Alessandro!AN15</f>
    </oc>
    <nc r="J15">
      <f>Diego!AN15+Aelton!AN15+Leonam!AN15+Danilo!AN15+Marcos!AN15+Carlos!AN15+Alessandro!AN15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c rId="944" sId="3" odxf="1" dxf="1">
    <oc r="K15">
      <f>Diego!BD15+Aelton!BD15+Leonam!BD15+Danilo!BD15+Marcos!BD15+Carlos!BD15+Alessandro!BD15</f>
    </oc>
    <nc r="K15">
      <f>Diego!BD15+Aelton!BD15+Leonam!BD15+Danilo!BD15+Marcos!BD15+Carlos!BD15+Alessandro!BD15</f>
    </nc>
    <odxf>
      <fill>
        <patternFill>
          <bgColor rgb="FFFFFF00"/>
        </patternFill>
      </fill>
    </odxf>
    <ndxf>
      <fill>
        <patternFill>
          <bgColor theme="0"/>
        </patternFill>
      </fill>
    </ndxf>
  </rcc>
  <rcv guid="{18A482E0-C8B6-4AA1-9E04-15FA7C9CD5E3}" action="delete"/>
  <rdn rId="0" localSheetId="1" customView="1" name="Z_18A482E0_C8B6_4AA1_9E04_15FA7C9CD5E3_.wvu.FilterData" hidden="1" oldHidden="1">
    <formula>Patrícia!$A$1:$A$18</formula>
    <oldFormula>Patrícia!$A$1:$A$18</oldFormula>
  </rdn>
  <rdn rId="0" localSheetId="2" customView="1" name="Z_18A482E0_C8B6_4AA1_9E04_15FA7C9CD5E3_.wvu.FilterData" hidden="1" oldHidden="1">
    <formula>Marcelo!$A$1:$A$18</formula>
    <oldFormula>Marcelo!$A$1:$A$18</oldFormula>
  </rdn>
  <rdn rId="0" localSheetId="3" customView="1" name="Z_18A482E0_C8B6_4AA1_9E04_15FA7C9CD5E3_.wvu.FilterData" hidden="1" oldHidden="1">
    <formula>TOTAL!$A$1:$A$18</formula>
    <oldFormula>TOTAL!$A$1:$A$18</oldFormula>
  </rdn>
  <rdn rId="0" localSheetId="4" customView="1" name="Z_18A482E0_C8B6_4AA1_9E04_15FA7C9CD5E3_.wvu.FilterData" hidden="1" oldHidden="1">
    <formula>Diego!$A$1:$A$18</formula>
    <oldFormula>Diego!$A$1:$A$18</oldFormula>
  </rdn>
  <rdn rId="0" localSheetId="5" customView="1" name="Z_18A482E0_C8B6_4AA1_9E04_15FA7C9CD5E3_.wvu.FilterData" hidden="1" oldHidden="1">
    <formula>Aelton!$A$1:$A$18</formula>
    <oldFormula>Aelton!$A$1:$A$18</oldFormula>
  </rdn>
  <rdn rId="0" localSheetId="6" customView="1" name="Z_18A482E0_C8B6_4AA1_9E04_15FA7C9CD5E3_.wvu.FilterData" hidden="1" oldHidden="1">
    <formula>Leonam!$A$1:$BD$18</formula>
    <oldFormula>Leonam!$A$1:$BD$18</oldFormula>
  </rdn>
  <rdn rId="0" localSheetId="7" customView="1" name="Z_18A482E0_C8B6_4AA1_9E04_15FA7C9CD5E3_.wvu.FilterData" hidden="1" oldHidden="1">
    <formula>Danilo!$A$1:$A$31</formula>
    <oldFormula>Danilo!$A$1:$A$31</oldFormula>
  </rdn>
  <rdn rId="0" localSheetId="8" customView="1" name="Z_18A482E0_C8B6_4AA1_9E04_15FA7C9CD5E3_.wvu.FilterData" hidden="1" oldHidden="1">
    <formula>Marcos!$A$1:$A$18</formula>
    <oldFormula>Marcos!$A$1:$A$18</oldFormula>
  </rdn>
  <rdn rId="0" localSheetId="9" customView="1" name="Z_18A482E0_C8B6_4AA1_9E04_15FA7C9CD5E3_.wvu.FilterData" hidden="1" oldHidden="1">
    <formula>Carlos!$A$1:$A$18</formula>
    <oldFormula>Carlos!$A$1:$A$18</oldFormula>
  </rdn>
  <rdn rId="0" localSheetId="10" customView="1" name="Z_18A482E0_C8B6_4AA1_9E04_15FA7C9CD5E3_.wvu.FilterData" hidden="1" oldHidden="1">
    <formula>Alessandro!$A$1:$A$18</formula>
    <oldFormula>Alessandro!$A$1:$A$18</oldFormula>
  </rdn>
  <rcv guid="{18A482E0-C8B6-4AA1-9E04-15FA7C9CD5E3}" action="add"/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U18" start="0" length="0">
    <dxf>
      <alignment wrapText="1"/>
    </dxf>
  </rfmt>
  <rcc rId="955" sId="4" odxf="1" dxf="1">
    <nc r="U17" t="inlineStr">
      <is>
        <t>DIGITALIZANDO LIVROS DA LBA</t>
      </is>
    </nc>
    <odxf>
      <alignment wrapText="0"/>
    </odxf>
    <ndxf>
      <alignment wrapText="1"/>
    </ndxf>
  </rcc>
  <rcc rId="956" sId="4">
    <nc r="U18" t="inlineStr">
      <is>
        <t>MUDANÇA NO PERÍODO DA MANHA PARA 2° ANDAR</t>
      </is>
    </nc>
  </rcc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7" sId="7">
    <nc r="O11">
      <v>2</v>
    </nc>
  </rcc>
  <rcc rId="958" sId="7">
    <nc r="O12">
      <v>78</v>
    </nc>
  </rcc>
  <rcc rId="959" sId="7">
    <nc r="P11">
      <v>3</v>
    </nc>
  </rcc>
  <rcc rId="960" sId="7">
    <nc r="P12">
      <v>58</v>
    </nc>
  </rcc>
  <rcc rId="961" sId="7">
    <nc r="Q11">
      <v>2</v>
    </nc>
  </rcc>
  <rcc rId="962" sId="7">
    <nc r="Q12">
      <v>46</v>
    </nc>
  </rcc>
  <rcv guid="{B3CDE377-BA5D-4E06-91D9-3A48E1959BA5}" action="delete"/>
  <rdn rId="0" localSheetId="1" customView="1" name="Z_B3CDE377_BA5D_4E06_91D9_3A48E1959BA5_.wvu.FilterData" hidden="1" oldHidden="1">
    <formula>Patrícia!$A$1:$A$18</formula>
    <oldFormula>Patrícia!$A$1:$A$18</oldFormula>
  </rdn>
  <rdn rId="0" localSheetId="2" customView="1" name="Z_B3CDE377_BA5D_4E06_91D9_3A48E1959BA5_.wvu.FilterData" hidden="1" oldHidden="1">
    <formula>Marcelo!$A$1:$A$18</formula>
    <oldFormula>Marcelo!$A$1:$A$18</oldFormula>
  </rdn>
  <rdn rId="0" localSheetId="3" customView="1" name="Z_B3CDE377_BA5D_4E06_91D9_3A48E1959BA5_.wvu.FilterData" hidden="1" oldHidden="1">
    <formula>TOTAL!$A$1:$A$18</formula>
    <oldFormula>TOTAL!$A$1:$A$18</oldFormula>
  </rdn>
  <rdn rId="0" localSheetId="4" customView="1" name="Z_B3CDE377_BA5D_4E06_91D9_3A48E1959BA5_.wvu.FilterData" hidden="1" oldHidden="1">
    <formula>Diego!$A$1:$A$18</formula>
    <oldFormula>Diego!$A$1:$A$18</oldFormula>
  </rdn>
  <rdn rId="0" localSheetId="5" customView="1" name="Z_B3CDE377_BA5D_4E06_91D9_3A48E1959BA5_.wvu.FilterData" hidden="1" oldHidden="1">
    <formula>Aelton!$A$1:$A$18</formula>
    <oldFormula>Aelton!$A$1:$A$18</oldFormula>
  </rdn>
  <rdn rId="0" localSheetId="6" customView="1" name="Z_B3CDE377_BA5D_4E06_91D9_3A48E1959BA5_.wvu.FilterData" hidden="1" oldHidden="1">
    <formula>Leonam!$A$1:$BD$18</formula>
    <oldFormula>Leonam!$A$1:$BD$18</oldFormula>
  </rdn>
  <rdn rId="0" localSheetId="7" customView="1" name="Z_B3CDE377_BA5D_4E06_91D9_3A48E1959BA5_.wvu.FilterData" hidden="1" oldHidden="1">
    <formula>Danilo!$A$1:$A$31</formula>
    <oldFormula>Danilo!$A$1:$A$31</oldFormula>
  </rdn>
  <rdn rId="0" localSheetId="8" customView="1" name="Z_B3CDE377_BA5D_4E06_91D9_3A48E1959BA5_.wvu.FilterData" hidden="1" oldHidden="1">
    <formula>Marcos!$A$1:$A$18</formula>
    <oldFormula>Marcos!$A$1:$A$18</oldFormula>
  </rdn>
  <rdn rId="0" localSheetId="9" customView="1" name="Z_B3CDE377_BA5D_4E06_91D9_3A48E1959BA5_.wvu.FilterData" hidden="1" oldHidden="1">
    <formula>Carlos!$A$1:$A$18</formula>
    <oldFormula>Carlos!$A$1:$A$18</oldFormula>
  </rdn>
  <rdn rId="0" localSheetId="10" customView="1" name="Z_B3CDE377_BA5D_4E06_91D9_3A48E1959BA5_.wvu.FilterData" hidden="1" oldHidden="1">
    <formula>Alessandro!$A$1:$A$18</formula>
    <oldFormula>Alessandro!$A$1:$A$18</oldFormula>
  </rdn>
  <rcv guid="{B3CDE377-BA5D-4E06-91D9-3A48E1959BA5}" action="add"/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3" sId="7">
    <oc r="S15">
      <v>5</v>
    </oc>
    <nc r="S15"/>
  </rcc>
  <rcc rId="974" sId="7">
    <nc r="O7">
      <v>8</v>
    </nc>
  </rcc>
  <rcc rId="975" sId="7">
    <nc r="Q7">
      <v>8</v>
    </nc>
  </rcc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6" sId="7">
    <nc r="U11">
      <v>2</v>
    </nc>
  </rcc>
  <rcc rId="977" sId="7">
    <nc r="U12">
      <v>54</v>
    </nc>
  </rcc>
  <rcc rId="978" sId="7">
    <nc r="U7">
      <v>10</v>
    </nc>
  </rcc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9" sId="7">
    <nc r="R18" t="inlineStr">
      <is>
        <t>FERIADO</t>
      </is>
    </nc>
  </rcc>
  <rcc rId="980" sId="7">
    <nc r="S18" t="inlineStr">
      <is>
        <t>FERIADO</t>
      </is>
    </nc>
  </rcc>
  <rcc rId="981" sId="7">
    <nc r="Q18" t="inlineStr">
      <is>
        <t>ALMOÇO COM A EQUIPE</t>
      </is>
    </nc>
  </rcc>
  <rfmt sheetId="7" sqref="Q18">
    <dxf>
      <alignment wrapText="1"/>
    </dxf>
  </rfmt>
  <rfmt sheetId="7" sqref="R18">
    <dxf>
      <alignment wrapText="1"/>
    </dxf>
  </rfmt>
  <rfmt sheetId="7" sqref="S18">
    <dxf>
      <alignment wrapText="1"/>
    </dxf>
  </rfmt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U16" start="0" length="0">
    <dxf>
      <border outline="0">
        <bottom/>
      </border>
    </dxf>
  </rfmt>
  <rfmt sheetId="5" sqref="V16" start="0" length="0">
    <dxf>
      <border outline="0">
        <bottom/>
      </border>
    </dxf>
  </rfmt>
  <rcc rId="982" sId="5" odxf="1" dxf="1">
    <nc r="U17" t="inlineStr">
      <is>
        <t xml:space="preserve">1. Pela manhã - Nossa mudança do subsolo sala 1S 3.11 para o 2º andar sala 24.32.
2. Digitalização material da LBA, solicitado pela professora Gracyelle - Email de 12/02/2025. </t>
      </is>
    </nc>
    <odxf>
      <alignment wrapText="0"/>
    </odxf>
    <ndxf>
      <alignment wrapText="1"/>
    </ndxf>
  </rcc>
  <rcc rId="983" sId="5" odxf="1" dxf="1">
    <nc r="V17" t="inlineStr">
      <is>
        <t xml:space="preserve">Digitalização material da LBA, solicitado pela professora Gracyelle - Email de 12/02/2025. 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4" sId="5">
    <oc r="U17" t="inlineStr">
      <is>
        <t xml:space="preserve">1. Pela manhã - Nossa mudança do subsolo sala 1S 3.11 para o 2º andar sala 24.32.
2. Digitalização material da LBA, solicitado pela professora Gracyelle - Email de 12/02/2025. </t>
      </is>
    </oc>
    <nc r="U17" t="inlineStr">
      <is>
        <t xml:space="preserve">1. Pela manhã - Nossa mudança do subsolo sala 1S 3.11 para o 2º andar sala 24.32.
2. Digitalização material da LBA, solicitado pela professora Gracyelle - Email de 12/02/2025. </t>
      </is>
    </nc>
  </rcc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5" sId="4" odxf="1" dxf="1">
    <nc r="V17" t="inlineStr">
      <is>
        <t>DIGITALIZANDO LIVROS DA LBA</t>
      </is>
    </nc>
    <odxf>
      <alignment wrapText="0"/>
    </odxf>
    <ndxf>
      <alignment wrapText="1"/>
    </ndxf>
  </rcc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6" sId="4" odxf="1" dxf="1">
    <nc r="W17" t="inlineStr">
      <is>
        <t>DIGITALIZANDO LIVROS DA LBA</t>
      </is>
    </nc>
    <odxf>
      <alignment wrapText="0"/>
    </odxf>
    <ndxf>
      <alignment wrapText="1"/>
    </ndxf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7" sId="5" odxf="1" dxf="1">
    <nc r="W17" t="inlineStr">
      <is>
        <t xml:space="preserve">Digitalização material da LBA, solicitado pela professora Gracyelle - Email de 12/02/2025. 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X16" start="0" length="0">
    <dxf>
      <border outline="0">
        <bottom/>
      </border>
    </dxf>
  </rfmt>
  <rfmt sheetId="5" sqref="Y16" start="0" length="0">
    <dxf>
      <border outline="0">
        <bottom/>
      </border>
    </dxf>
  </rfmt>
  <rcc rId="1028" sId="5" odxf="1" dxf="1">
    <nc r="X17" t="inlineStr">
      <is>
        <t xml:space="preserve"> 1. Digitalização material da LBA, solicitado pela professora Gracyelle - Email de 12/02/2025. 
2. Ajuda na pesquisa do documento averbação da servidora MARILUZA PORTELA RIOS VIEIRA. 
</t>
      </is>
    </nc>
    <odxf>
      <alignment wrapText="0"/>
    </odxf>
    <ndxf>
      <alignment wrapText="1"/>
    </ndxf>
  </rcc>
  <rcc rId="1029" sId="5" odxf="1" dxf="1">
    <nc r="Y17" t="inlineStr">
      <is>
        <r>
          <t xml:space="preserve">1. Ajuda na pesquisa do documento averbação da servidora MARILUZA PORTELA RIOS VIEIRA. 
</t>
        </r>
        <r>
          <rPr>
            <sz val="11"/>
            <color rgb="FFFF0000"/>
            <rFont val="Aptos Narrow"/>
            <family val="2"/>
          </rPr>
          <t>Encontrado apenas no SEI (0500971).</t>
        </r>
      </is>
    </nc>
    <odxf>
      <alignment wrapText="0"/>
    </odxf>
    <ndxf>
      <alignment wrapText="1"/>
    </ndxf>
  </rcc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0" sId="5">
    <oc r="Y17" t="inlineStr">
      <is>
        <r>
          <t xml:space="preserve">1. Ajuda na pesquisa do documento averbação da servidora MARILUZA PORTELA RIOS VIEIRA. 
</t>
        </r>
        <r>
          <rPr>
            <sz val="11"/>
            <color rgb="FFFF0000"/>
            <rFont val="Aptos Narrow"/>
            <family val="2"/>
          </rPr>
          <t>Encontrado apenas no SEI (0500971).</t>
        </r>
      </is>
    </oc>
    <nc r="Y17" t="inlineStr">
      <is>
        <r>
          <t xml:space="preserve">1. Ajuda na pesquisa do documento averbação da servidora MARILUZA PORTELA RIOS VIEIRA. 
</t>
        </r>
        <r>
          <rPr>
            <sz val="11"/>
            <color rgb="FFFF0000"/>
            <rFont val="Aptos Narrow"/>
            <family val="2"/>
          </rPr>
          <t>Encontrado apenas no SEI (0500971).</t>
        </r>
        <r>
          <rPr>
            <sz val="11"/>
            <color theme="1"/>
            <rFont val="Aptos Narrow"/>
            <family val="2"/>
          </rPr>
          <t xml:space="preserve">
2. Inventário microfilmes.</t>
        </r>
      </is>
    </nc>
  </rcc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1" sId="5">
    <nc r="Y15">
      <v>5</v>
    </nc>
  </rcc>
  <rcc rId="1032" sId="5">
    <nc r="Y16">
      <v>9</v>
    </nc>
  </rcc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1033" sheetId="5" source="Y15:Y16" destination="X15:X16" sourceSheetId="5">
    <undo index="65535" exp="area" dr="U15:Y15" r="Z15" sId="5"/>
    <undo index="65535" exp="area" dr="U16:Y16" r="Z16" sId="5"/>
    <rfmt sheetId="5" sqref="X15" start="0" length="0">
      <dxf>
        <alignment horizontal="center" vertical="center"/>
      </dxf>
    </rfmt>
    <rfmt sheetId="5" sqref="X16" start="0" length="0">
      <dxf>
        <alignment horizontal="center" vertical="center"/>
      </dxf>
    </rfmt>
  </rm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4" sId="6" odxf="1" dxf="1">
    <nc r="Q17" t="inlineStr">
      <is>
        <t>DIGITALIZANDO LIVROS DA LBA</t>
      </is>
    </nc>
    <odxf>
      <alignment wrapText="0"/>
    </odxf>
    <ndxf>
      <alignment wrapText="1"/>
    </ndxf>
  </rcc>
  <rcc rId="1045" sId="6" odxf="1" dxf="1">
    <nc r="Q18" t="inlineStr">
      <is>
        <t xml:space="preserve">ALMOÇO PELA PARTE DA TARDE </t>
      </is>
    </nc>
    <odxf>
      <alignment wrapText="0"/>
    </odxf>
    <ndxf>
      <alignment wrapText="1"/>
    </ndxf>
  </rcc>
  <rfmt sheetId="6" xfDxf="1" sqref="U17" start="0" length="0">
    <dxf>
      <alignment horizontal="center" vertical="center"/>
    </dxf>
  </rfmt>
  <rfmt sheetId="6" sqref="U17">
    <dxf>
      <alignment wrapText="1"/>
    </dxf>
  </rfmt>
  <rcc rId="1046" sId="6">
    <nc r="U17" t="inlineStr">
      <is>
        <t xml:space="preserve"> Pela manhã - Nossa mudança do subsolo sala 1S 3.11 para o 2º andar sala 24.32.</t>
      </is>
    </nc>
  </rcc>
  <rcc rId="1047" sId="6" odxf="1" dxf="1">
    <nc r="V17" t="inlineStr">
      <is>
        <t>DIGITALIZANDO LIVROS DA LBA</t>
      </is>
    </nc>
    <odxf>
      <alignment wrapText="0"/>
    </odxf>
    <ndxf>
      <alignment wrapText="1"/>
    </ndxf>
  </rcc>
  <rcc rId="1048" sId="6" odxf="1" dxf="1">
    <nc r="W17" t="inlineStr">
      <is>
        <t>DIGITALIZANDO LIVROS DA LBA</t>
      </is>
    </nc>
    <odxf>
      <alignment wrapText="0"/>
    </odxf>
    <ndxf>
      <alignment wrapText="1"/>
    </ndxf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Danilo!$A$1:$A$31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9" sId="6">
    <nc r="X11">
      <v>4</v>
    </nc>
  </rcc>
  <rcc rId="1060" sId="6">
    <nc r="Y11">
      <v>4</v>
    </nc>
  </rcc>
  <rcc rId="1061" sId="6">
    <nc r="X12">
      <v>136</v>
    </nc>
  </rcc>
  <rcc rId="1062" sId="6">
    <nc r="Y12">
      <v>136</v>
    </nc>
  </rcc>
  <rcc rId="1063" sId="6">
    <nc r="AA11">
      <v>3</v>
    </nc>
  </rcc>
  <rcc rId="1064" sId="6">
    <nc r="AA12">
      <v>102</v>
    </nc>
  </rcc>
  <rcc rId="1065" sId="6">
    <nc r="AA4">
      <v>4</v>
    </nc>
  </rcc>
  <rcc rId="1066" sId="6">
    <nc r="AA13">
      <v>1</v>
    </nc>
  </rcc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E3" start="0" length="0">
    <dxf>
      <fill>
        <patternFill>
          <bgColor rgb="FFFFFF00"/>
        </patternFill>
      </fill>
    </dxf>
  </rfmt>
  <rcc rId="1067" sId="3">
    <oc r="E4">
      <f>Diego!J4+Aelton!J4+Leonam!J4+Danilo!J4+Marcos!J4+Carlos!J4+Alessandro!J4</f>
    </oc>
    <nc r="E4">
      <f>Diego!T4+Aelton!T4+Leonam!T4+Danilo!T4+Marcos!T4+Carlos!T4+Alessandro!T4</f>
    </nc>
  </rcc>
  <rfmt sheetId="3" sqref="E5" start="0" length="0">
    <dxf>
      <fill>
        <patternFill>
          <bgColor rgb="FFFFFF00"/>
        </patternFill>
      </fill>
    </dxf>
  </rfmt>
  <rcc rId="1068" sId="3">
    <oc r="E6">
      <f>Diego!J6+Aelton!J6+Leonam!J6+Danilo!J6+Marcos!J6+Carlos!J6+Alessandro!J6</f>
    </oc>
    <nc r="E6">
      <f>Diego!T6+Aelton!T6+Leonam!T6+Danilo!T6+Marcos!T6+Carlos!T6+Alessandro!T6</f>
    </nc>
  </rcc>
  <rfmt sheetId="3" sqref="E7" start="0" length="0">
    <dxf>
      <fill>
        <patternFill>
          <bgColor rgb="FFFFFF00"/>
        </patternFill>
      </fill>
    </dxf>
  </rfmt>
  <rcc rId="1069" sId="3">
    <oc r="E8">
      <f>Diego!J8+Aelton!J8+Leonam!J8+Danilo!J8+Marcos!J8+Carlos!J8+Alessandro!J8</f>
    </oc>
    <nc r="E8">
      <f>Diego!T8+Aelton!T8+Leonam!T8+Danilo!T8+Marcos!T8+Carlos!T8+Alessandro!T8</f>
    </nc>
  </rcc>
  <rfmt sheetId="3" sqref="E9" start="0" length="0">
    <dxf>
      <fill>
        <patternFill>
          <bgColor rgb="FFFFFF00"/>
        </patternFill>
      </fill>
    </dxf>
  </rfmt>
  <rcc rId="1070" sId="3">
    <oc r="E10">
      <f>Diego!J10+Aelton!J10+Leonam!J10+Danilo!J10+Marcos!J10+Carlos!J10+Alessandro!J10</f>
    </oc>
    <nc r="E10">
      <f>Diego!T10+Aelton!T10+Leonam!T10+Danilo!T10+Marcos!T10+Carlos!T10+Alessandro!T10</f>
    </nc>
  </rcc>
  <rfmt sheetId="3" sqref="E11" start="0" length="0">
    <dxf>
      <fill>
        <patternFill>
          <bgColor rgb="FFFFFF00"/>
        </patternFill>
      </fill>
    </dxf>
  </rfmt>
  <rcc rId="1071" sId="3">
    <oc r="E12">
      <f>Diego!J12+Aelton!J12+Leonam!J12+Danilo!J12+Marcos!J12+Carlos!J12+Alessandro!J12</f>
    </oc>
    <nc r="E12">
      <f>Diego!T12+Aelton!T12+Leonam!T12+Danilo!T12+Marcos!T12+Carlos!T12+Alessandro!T12</f>
    </nc>
  </rcc>
  <rfmt sheetId="3" sqref="E13" start="0" length="0">
    <dxf>
      <fill>
        <patternFill>
          <bgColor rgb="FFFFFF00"/>
        </patternFill>
      </fill>
    </dxf>
  </rfmt>
  <rcc rId="1072" sId="3">
    <oc r="E14">
      <f>Diego!J14+Aelton!J14+Leonam!J14+Danilo!J14+Marcos!J14+Carlos!J14+Alessandro!J14</f>
    </oc>
    <nc r="E14">
      <f>Diego!T14+Aelton!T14+Leonam!T14+Danilo!T14+Marcos!T14+Carlos!T14+Alessandro!T14</f>
    </nc>
  </rcc>
  <rfmt sheetId="3" sqref="E15" start="0" length="0">
    <dxf>
      <fill>
        <patternFill>
          <bgColor rgb="FFFFFF00"/>
        </patternFill>
      </fill>
    </dxf>
  </rfmt>
  <rcc rId="1073" sId="3">
    <oc r="E16">
      <f>Diego!J16+Aelton!J16+Leonam!J16+Danilo!J16+Marcos!J16+Carlos!J16+Alessandro!J16</f>
    </oc>
    <nc r="E16">
      <f>Diego!T16+Aelton!T16+Leonam!T16+Danilo!T16+Marcos!T16+Carlos!T16+Alessandro!T16</f>
    </nc>
  </rcc>
  <rcc rId="1074" sId="3" odxf="1" dxf="1">
    <oc r="E3">
      <f>Diego!J3+Aelton!J3+Leonam!J3+Danilo!J3+Marcos!J3+Carlos!J3+Alessandro!J3</f>
    </oc>
    <nc r="E3">
      <f>Diego!T3+Aelton!T3+Leonam!T3+Danilo!T3+Marcos!T3+Carlos!T3+Alessandro!T3</f>
    </nc>
    <ndxf>
      <fill>
        <patternFill>
          <bgColor theme="0"/>
        </patternFill>
      </fill>
    </ndxf>
  </rcc>
  <rcc rId="1075" sId="3" odxf="1" dxf="1">
    <oc r="E5">
      <f>Diego!J5+Aelton!J5+Leonam!J5+Danilo!J5+Marcos!J5+Carlos!J5+Alessandro!J5</f>
    </oc>
    <nc r="E5">
      <f>Diego!T5+Aelton!T5+Leonam!T5+Danilo!T5+Marcos!T5+Carlos!T5+Alessandro!T5</f>
    </nc>
    <ndxf>
      <fill>
        <patternFill>
          <bgColor theme="0"/>
        </patternFill>
      </fill>
    </ndxf>
  </rcc>
  <rcc rId="1076" sId="3" odxf="1" dxf="1">
    <oc r="E7">
      <f>Diego!J7+Aelton!J7+Leonam!J7+Danilo!J7+Marcos!J7+Carlos!J7+Alessandro!J7</f>
    </oc>
    <nc r="E7">
      <f>Diego!T7+Aelton!T7+Leonam!T7+Danilo!T7+Marcos!T7+Carlos!T7+Alessandro!T7</f>
    </nc>
    <ndxf>
      <fill>
        <patternFill>
          <bgColor theme="0"/>
        </patternFill>
      </fill>
    </ndxf>
  </rcc>
  <rcc rId="1077" sId="3" odxf="1" dxf="1">
    <oc r="E9">
      <f>Diego!J9+Aelton!J9+Leonam!J9+Danilo!J9+Marcos!J9+Carlos!J9+Alessandro!J9</f>
    </oc>
    <nc r="E9">
      <f>Diego!T9+Aelton!T9+Leonam!T9+Danilo!T9+Marcos!T9+Carlos!T9+Alessandro!T9</f>
    </nc>
    <ndxf>
      <fill>
        <patternFill>
          <bgColor theme="0"/>
        </patternFill>
      </fill>
    </ndxf>
  </rcc>
  <rcc rId="1078" sId="3" odxf="1" dxf="1">
    <oc r="E11">
      <f>Diego!J11+Aelton!J11+Leonam!J11+Danilo!J11+Marcos!J11+Carlos!J11+Alessandro!J11</f>
    </oc>
    <nc r="E11">
      <f>Diego!T11+Aelton!T11+Leonam!T11+Danilo!T11+Marcos!T11+Carlos!T11+Alessandro!T11</f>
    </nc>
    <ndxf>
      <fill>
        <patternFill>
          <bgColor theme="0"/>
        </patternFill>
      </fill>
    </ndxf>
  </rcc>
  <rcc rId="1079" sId="3" odxf="1" dxf="1">
    <oc r="E13">
      <f>Diego!J13+Aelton!J13+Leonam!J13+Danilo!J13+Marcos!J13+Carlos!J13+Alessandro!J13</f>
    </oc>
    <nc r="E13">
      <f>Diego!T13+Aelton!T13+Leonam!T13+Danilo!T13+Marcos!T13+Carlos!T13+Alessandro!T13</f>
    </nc>
    <ndxf>
      <fill>
        <patternFill>
          <bgColor theme="0"/>
        </patternFill>
      </fill>
    </ndxf>
  </rcc>
  <rcc rId="1080" sId="3" odxf="1" dxf="1">
    <oc r="E15">
      <f>Diego!J15+Aelton!J15+Leonam!J15+Danilo!J15+Marcos!J15+Carlos!J15+Alessandro!J15</f>
    </oc>
    <nc r="E15">
      <f>Diego!T15+Aelton!T15+Leonam!T15+Danilo!T15+Marcos!T15+Carlos!T15+Alessandro!T15</f>
    </nc>
    <ndxf>
      <fill>
        <patternFill>
          <bgColor theme="0"/>
        </patternFill>
      </fill>
    </ndxf>
  </rcc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81" sId="5">
    <nc r="Y12">
      <v>67</v>
    </nc>
  </rcc>
  <rcc rId="1082" sId="5">
    <nc r="AA12">
      <v>138</v>
    </nc>
  </rcc>
  <rcc rId="1083" sId="5" xfDxf="1" dxf="1">
    <nc r="AA17" t="inlineStr">
      <is>
        <t xml:space="preserve"> Inventário microfilmes.</t>
      </is>
    </nc>
    <ndxf>
      <alignment horizontal="center" vertical="center"/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94" sId="5" odxf="1" dxf="1">
    <oc r="AA17" t="inlineStr">
      <is>
        <t xml:space="preserve"> Inventário microfilmes.</t>
      </is>
    </oc>
    <nc r="AA17" t="inlineStr">
      <is>
        <t xml:space="preserve"> Inventário microfilmes:
4 Caixas
138 microfilmes.</t>
      </is>
    </nc>
    <odxf>
      <alignment wrapText="0"/>
    </odxf>
    <ndxf>
      <alignment wrapText="1"/>
    </ndxf>
  </rcc>
  <rcc rId="1095" sId="5">
    <oc r="Y17" t="inlineStr">
      <is>
        <r>
          <t xml:space="preserve">1. Ajuda na pesquisa do documento averbação da servidora MARILUZA PORTELA RIOS VIEIRA. 
</t>
        </r>
        <r>
          <rPr>
            <sz val="11"/>
            <color rgb="FFFF0000"/>
            <rFont val="Aptos Narrow"/>
            <family val="2"/>
          </rPr>
          <t>Encontrado apenas no SEI (0500971).</t>
        </r>
        <r>
          <rPr>
            <sz val="11"/>
            <color theme="1"/>
            <rFont val="Aptos Narrow"/>
            <family val="2"/>
          </rPr>
          <t xml:space="preserve">
2. Inventário microfilmes.</t>
        </r>
      </is>
    </oc>
    <nc r="Y17" t="inlineStr">
      <is>
        <r>
          <t xml:space="preserve">1. Ajuda na pesquisa do documento averbação da servidora MARILUZA PORTELA RIOS VIEIRA. 
</t>
        </r>
        <r>
          <rPr>
            <sz val="11"/>
            <color rgb="FFFF0000"/>
            <rFont val="Aptos Narrow"/>
            <family val="2"/>
          </rPr>
          <t>Encontrado apenas no SEI (0500971).</t>
        </r>
        <r>
          <rPr>
            <sz val="11"/>
            <color theme="1"/>
            <rFont val="Aptos Narrow"/>
            <family val="2"/>
          </rPr>
          <t xml:space="preserve">
2. Inventário microfilmes:
2 Caixas
67 microfilmes.</t>
        </r>
      </is>
    </nc>
  </rcc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96" sId="4">
    <nc r="W11">
      <v>2</v>
    </nc>
  </rcc>
  <rcc rId="1097" sId="4">
    <nc r="W18" t="inlineStr">
      <is>
        <t xml:space="preserve">65  FITAS DE MICRO FILMES NUMERADAS </t>
      </is>
    </nc>
  </rcc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98" sId="8" odxf="1" dxf="1">
    <nc r="U17" t="inlineStr">
      <is>
        <t xml:space="preserve">1. Pela manhã - Nossa mudança do subsolo sala 1S 3.11 para o 2º andar sala 24.32.
2. Digitalização material da LBA, solicitado pela professora Gracyelle - Email de 12/02/2025. </t>
      </is>
    </nc>
    <odxf>
      <alignment wrapText="0"/>
    </odxf>
    <ndxf>
      <alignment wrapText="1"/>
    </ndxf>
  </rcc>
  <rcc rId="1099" sId="8" odxf="1" dxf="1">
    <nc r="V17" t="inlineStr">
      <is>
        <t xml:space="preserve">Digitalização material da LBA, solicitado pela professora Gracyelle - Email de 12/02/2025. 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fmt sheetId="8" sqref="W17" start="0" length="0">
    <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8" sqref="X17" start="0" length="0">
    <dxf>
      <alignment wrapText="1"/>
    </dxf>
  </rfmt>
  <rfmt sheetId="8" sqref="Y17" start="0" length="0">
    <dxf>
      <alignment wrapText="1"/>
    </dxf>
  </rfmt>
  <rfmt sheetId="8" sqref="AA17" start="0" length="0">
    <dxf>
      <alignment wrapText="1"/>
    </dxf>
  </rfmt>
  <rfmt sheetId="8" sqref="Y17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cc rId="1100" sId="8">
    <nc r="W17" t="inlineStr">
      <is>
        <t xml:space="preserve">Digitalização material da LBA, solicitado pela professora Gracyelle - Email de 12/02/2025. Inventário microfilmes:
2 Caixas 170 microfilmes. </t>
      </is>
    </nc>
  </rcc>
  <rcc rId="1101" sId="8">
    <nc r="X17" t="inlineStr">
      <is>
        <t xml:space="preserve"> Inventário microfilmes:
4 Caixas
140 microfilmes.</t>
      </is>
    </nc>
  </rcc>
  <rfmt sheetId="8" sqref="Y17" start="0" length="0">
    <dxf>
      <border outline="0">
        <left/>
        <right/>
        <top/>
        <bottom/>
      </border>
    </dxf>
  </rfmt>
  <rcc rId="1102" sId="8">
    <nc r="Y17" t="inlineStr">
      <is>
        <t xml:space="preserve"> Inventário microfilmes:
4 Caixas
140 microfilmes.</t>
      </is>
    </nc>
  </rcc>
  <rcc rId="1103" sId="8">
    <nc r="AA17" t="inlineStr">
      <is>
        <t xml:space="preserve"> Inventário microfilmes:
4 Caixas
139 microfilmes.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W18">
    <dxf>
      <alignment wrapText="1"/>
    </dxf>
  </rfmt>
  <rfmt sheetId="4" sqref="X18" start="0" length="0">
    <dxf>
      <alignment wrapText="1"/>
    </dxf>
  </rfmt>
  <rfmt sheetId="4" sqref="X18">
    <dxf>
      <alignment wrapText="0"/>
    </dxf>
  </rfmt>
  <rfmt sheetId="4" sqref="X18">
    <dxf>
      <alignment wrapText="1"/>
    </dxf>
  </rfmt>
  <rcc rId="1114" sId="4">
    <nc r="X11">
      <v>4</v>
    </nc>
  </rcc>
  <rcc rId="1115" sId="4">
    <nc r="Y11">
      <v>3</v>
    </nc>
  </rcc>
  <rcc rId="1116" sId="4">
    <nc r="AA11">
      <v>2</v>
    </nc>
  </rcc>
  <rfmt sheetId="4" sqref="Y18" start="0" length="0">
    <dxf>
      <alignment wrapText="1"/>
    </dxf>
  </rfmt>
  <rcc rId="1117" sId="4">
    <nc r="Y18" t="inlineStr">
      <is>
        <t xml:space="preserve">78 FITAS DE MICRO FILMES NUMERADAS </t>
      </is>
    </nc>
  </rcc>
  <rfmt sheetId="4" sqref="Z18" start="0" length="0">
    <dxf>
      <alignment wrapText="1"/>
    </dxf>
  </rfmt>
  <rcc rId="1118" sId="4">
    <nc r="X18" t="inlineStr">
      <is>
        <t xml:space="preserve">144  FITAS DE MICRO FILMES NUMERADAS </t>
      </is>
    </nc>
  </rcc>
  <rcc rId="1119" sId="4" odxf="1" dxf="1">
    <nc r="AA18" t="inlineStr">
      <is>
        <t xml:space="preserve">72 FITAS DE MICRO FILMES NUMERADAS </t>
      </is>
    </nc>
    <odxf>
      <alignment wrapText="0"/>
    </odxf>
    <ndxf>
      <alignment wrapText="1"/>
    </ndxf>
  </rcc>
  <rcc rId="1120" sId="4">
    <oc r="W18" t="inlineStr">
      <is>
        <t xml:space="preserve">65  FITAS DE MICRO FILMES NUMERADAS </t>
      </is>
    </oc>
    <nc r="W18" t="inlineStr">
      <is>
        <t xml:space="preserve">78  FITAS DE MICRO FILMES NUMERADAS </t>
      </is>
    </nc>
  </rcc>
  <rcc rId="1121" sId="4">
    <nc r="AA17" t="inlineStr">
      <is>
        <t xml:space="preserve">PROCURANDO CAIXAS PARA ELIMINAÇÃO </t>
      </is>
    </nc>
  </rcc>
  <rfmt sheetId="4" sqref="AA17">
    <dxf>
      <alignment wrapText="1"/>
    </dxf>
  </rfmt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32" sId="8">
    <oc r="W17" t="inlineStr">
      <is>
        <t xml:space="preserve">Digitalização material da LBA, solicitado pela professora Gracyelle - Email de 12/02/2025. Inventário microfilmes:
2 Caixas 170 microfilmes. </t>
      </is>
    </oc>
    <nc r="W17" t="inlineStr">
      <is>
        <t xml:space="preserve">Digitalização material da LBA, solicitado pela professora Gracyelle - Email de 12/02/2025. Inventário microfilmes:
2 Caixas 70 microfilmes. </t>
      </is>
    </nc>
  </rcc>
  <rcc rId="1133" sId="8">
    <nc r="W11">
      <v>70</v>
    </nc>
  </rcc>
  <rcc rId="1134" sId="8">
    <nc r="X11">
      <v>140</v>
    </nc>
  </rcc>
  <rcc rId="1135" sId="8">
    <nc r="Y11">
      <v>140</v>
    </nc>
  </rcc>
  <rcc rId="1136" sId="8">
    <nc r="AA11">
      <v>139</v>
    </nc>
  </rcc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37" sId="8">
    <nc r="R17" t="inlineStr">
      <is>
        <t>FERIADO</t>
      </is>
    </nc>
  </rcc>
  <rcc rId="1138" sId="8">
    <nc r="S17" t="inlineStr">
      <is>
        <t>PONTO FACULTATIVO</t>
      </is>
    </nc>
  </rcc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39" sId="7">
    <nc r="V11">
      <v>4</v>
    </nc>
  </rcc>
  <rcc rId="1140" sId="7">
    <nc r="V12">
      <v>39</v>
    </nc>
  </rcc>
  <rcc rId="1141" sId="7">
    <nc r="W11">
      <v>3</v>
    </nc>
  </rcc>
  <rcc rId="1142" sId="7">
    <nc r="W12">
      <v>53</v>
    </nc>
  </rcc>
  <rcv guid="{B3CDE377-BA5D-4E06-91D9-3A48E1959BA5}" action="delete"/>
  <rdn rId="0" localSheetId="1" customView="1" name="Z_B3CDE377_BA5D_4E06_91D9_3A48E1959BA5_.wvu.FilterData" hidden="1" oldHidden="1">
    <formula>Patrícia!$A$1:$A$18</formula>
    <oldFormula>Patrícia!$A$1:$A$18</oldFormula>
  </rdn>
  <rdn rId="0" localSheetId="2" customView="1" name="Z_B3CDE377_BA5D_4E06_91D9_3A48E1959BA5_.wvu.FilterData" hidden="1" oldHidden="1">
    <formula>Marcelo!$A$1:$A$18</formula>
    <oldFormula>Marcelo!$A$1:$A$18</oldFormula>
  </rdn>
  <rdn rId="0" localSheetId="3" customView="1" name="Z_B3CDE377_BA5D_4E06_91D9_3A48E1959BA5_.wvu.FilterData" hidden="1" oldHidden="1">
    <formula>TOTAL!$A$1:$A$18</formula>
    <oldFormula>TOTAL!$A$1:$A$18</oldFormula>
  </rdn>
  <rdn rId="0" localSheetId="4" customView="1" name="Z_B3CDE377_BA5D_4E06_91D9_3A48E1959BA5_.wvu.FilterData" hidden="1" oldHidden="1">
    <formula>Diego!$A$1:$A$18</formula>
    <oldFormula>Diego!$A$1:$A$18</oldFormula>
  </rdn>
  <rdn rId="0" localSheetId="5" customView="1" name="Z_B3CDE377_BA5D_4E06_91D9_3A48E1959BA5_.wvu.FilterData" hidden="1" oldHidden="1">
    <formula>Aelton!$A$1:$A$18</formula>
    <oldFormula>Aelton!$A$1:$A$18</oldFormula>
  </rdn>
  <rdn rId="0" localSheetId="6" customView="1" name="Z_B3CDE377_BA5D_4E06_91D9_3A48E1959BA5_.wvu.FilterData" hidden="1" oldHidden="1">
    <formula>Leonam!$A$1:$BD$18</formula>
    <oldFormula>Leonam!$A$1:$BD$18</oldFormula>
  </rdn>
  <rdn rId="0" localSheetId="7" customView="1" name="Z_B3CDE377_BA5D_4E06_91D9_3A48E1959BA5_.wvu.FilterData" hidden="1" oldHidden="1">
    <formula>Danilo!$A$1:$A$31</formula>
    <oldFormula>Danilo!$A$1:$A$31</oldFormula>
  </rdn>
  <rdn rId="0" localSheetId="8" customView="1" name="Z_B3CDE377_BA5D_4E06_91D9_3A48E1959BA5_.wvu.FilterData" hidden="1" oldHidden="1">
    <formula>Marcos!$A$1:$A$18</formula>
    <oldFormula>Marcos!$A$1:$A$18</oldFormula>
  </rdn>
  <rdn rId="0" localSheetId="9" customView="1" name="Z_B3CDE377_BA5D_4E06_91D9_3A48E1959BA5_.wvu.FilterData" hidden="1" oldHidden="1">
    <formula>Carlos!$A$1:$A$18</formula>
    <oldFormula>Carlos!$A$1:$A$18</oldFormula>
  </rdn>
  <rdn rId="0" localSheetId="10" customView="1" name="Z_B3CDE377_BA5D_4E06_91D9_3A48E1959BA5_.wvu.FilterData" hidden="1" oldHidden="1">
    <formula>Alessandro!$A$1:$A$18</formula>
    <oldFormula>Alessandro!$A$1:$A$18</oldFormula>
  </rdn>
  <rcv guid="{B3CDE377-BA5D-4E06-91D9-3A48E1959BA5}" action="add"/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3" sId="7">
    <nc r="V7">
      <v>2</v>
    </nc>
  </rcc>
  <rcc rId="1154" sId="7">
    <nc r="X13">
      <v>1</v>
    </nc>
  </rcc>
  <rcc rId="1155" sId="7">
    <nc r="X3">
      <v>4</v>
    </nc>
  </rcc>
  <rcc rId="1156" sId="7">
    <nc r="X2">
      <v>1</v>
    </nc>
  </rcc>
  <rcc rId="1157" sId="7">
    <nc r="Y11">
      <v>4</v>
    </nc>
  </rcc>
  <rcc rId="1158" sId="7">
    <nc r="Y12">
      <v>136</v>
    </nc>
  </rcc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9" sId="7">
    <nc r="AA11">
      <v>4</v>
    </nc>
  </rcc>
  <rcc rId="1160" sId="7">
    <nc r="AA12">
      <v>136</v>
    </nc>
  </rcc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B17" start="0" length="0">
    <dxf>
      <alignment wrapText="1"/>
    </dxf>
  </rfmt>
  <rcc rId="1161" sId="8">
    <nc r="AB17" t="inlineStr">
      <is>
        <t xml:space="preserve"> Procurando caixas para eleiminação p/ Sr. Carlos 12 cxs. Inventário microfilmes:
3 Caixas
105 microfilmes.</t>
      </is>
    </nc>
  </rcc>
  <rcc rId="1162" sId="8">
    <nc r="AB11">
      <v>105</v>
    </nc>
  </rcc>
  <rcc rId="1163" sId="8">
    <nc r="AB9">
      <v>12</v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AB18" start="0" length="0">
    <dxf>
      <alignment wrapText="1"/>
    </dxf>
  </rfmt>
  <rcc rId="1174" sId="4">
    <nc r="AB18" t="inlineStr">
      <is>
        <t xml:space="preserve">96 FITAS DE MICRO FILMES NUMERADAS </t>
      </is>
    </nc>
  </rcc>
  <rcc rId="1175" sId="4">
    <nc r="AB11">
      <v>3</v>
    </nc>
  </rcc>
  <rcc rId="1176" sId="4">
    <nc r="AB6">
      <v>12</v>
    </nc>
  </rcc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7" sId="6">
    <nc r="AB11">
      <v>2</v>
    </nc>
  </rcc>
  <rcc rId="1178" sId="6">
    <nc r="AB12">
      <v>63</v>
    </nc>
  </rcc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9" sId="6">
    <nc r="AA17" t="inlineStr">
      <is>
        <t xml:space="preserve">fazendo etiquetas para os micros-filmes </t>
      </is>
    </nc>
  </rcc>
  <rfmt sheetId="6" sqref="AA17">
    <dxf>
      <alignment wrapText="1"/>
    </dxf>
  </rfmt>
  <rcc rId="1180" sId="6" odxf="1" dxf="1">
    <nc r="AB17" t="inlineStr">
      <is>
        <t xml:space="preserve">fazendo etiquetas para os micros-filmes </t>
      </is>
    </nc>
    <odxf>
      <alignment wrapText="0"/>
    </odxf>
    <ndxf>
      <alignment wrapText="1"/>
    </ndxf>
  </rcc>
  <rcc rId="1181" sId="6" odxf="1" dxf="1">
    <nc r="Y17" t="inlineStr">
      <is>
        <t xml:space="preserve">fazendo etiquetas para os micros-filmes </t>
      </is>
    </nc>
    <odxf>
      <alignment wrapText="0"/>
    </odxf>
    <ndxf>
      <alignment wrapText="1"/>
    </ndxf>
  </rcc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2" sId="10">
    <nc r="O11">
      <v>4</v>
    </nc>
  </rcc>
  <rcc rId="1183" sId="10">
    <nc r="O12">
      <v>60</v>
    </nc>
  </rcc>
  <rcc rId="1184" sId="10">
    <nc r="Q18" t="inlineStr">
      <is>
        <t>Almoço com a Equipe</t>
      </is>
    </nc>
  </rcc>
  <rfmt sheetId="10" sqref="Q18">
    <dxf>
      <alignment wrapText="1"/>
    </dxf>
  </rfmt>
  <rfmt sheetId="10" sqref="R2:R16">
    <dxf>
      <alignment horizontal="general"/>
    </dxf>
  </rfmt>
  <rfmt sheetId="10" sqref="R2:R16">
    <dxf>
      <alignment horizontal="left"/>
    </dxf>
  </rfmt>
  <rfmt sheetId="10" sqref="R2:R16">
    <dxf>
      <alignment horizontal="center"/>
    </dxf>
  </rfmt>
  <rfmt sheetId="10" sqref="A18">
    <dxf>
      <alignment vertical="bottom" textRotation="255"/>
    </dxf>
  </rfmt>
  <ris rId="1185" sheetId="11" name="[INDICADORES - Junho-Julho_2025.xlsx]Planilha1" sheetPosition="10"/>
  <rfmt sheetId="11" sqref="L1:L15">
    <dxf>
      <alignment horizontal="center" vertical="center" wrapText="1" readingOrder="2"/>
    </dxf>
  </rfmt>
  <rfmt sheetId="11" sqref="L1:L15">
    <dxf>
      <alignment vertical="bottom" textRotation="255"/>
    </dxf>
  </rfmt>
  <rcc rId="1186" sId="10">
    <nc r="R2" t="inlineStr">
      <is>
        <t>FERIADO</t>
      </is>
    </nc>
  </rcc>
  <rcc rId="1187" sId="10">
    <nc r="S2" t="inlineStr">
      <is>
        <t>RECESSO</t>
      </is>
    </nc>
  </rcc>
  <rfmt sheetId="10" sqref="R2:S2" start="0" length="2147483647">
    <dxf>
      <font>
        <sz val="10"/>
      </font>
    </dxf>
  </rfmt>
  <rcc rId="1188" sId="10">
    <nc r="R3" t="inlineStr">
      <is>
        <t>FERIADO</t>
      </is>
    </nc>
  </rcc>
  <rcc rId="1189" sId="10">
    <nc r="S3" t="inlineStr">
      <is>
        <t>RECESSO</t>
      </is>
    </nc>
  </rcc>
  <rcc rId="1190" sId="10">
    <nc r="R4" t="inlineStr">
      <is>
        <t>FERIADO</t>
      </is>
    </nc>
  </rcc>
  <rcc rId="1191" sId="10">
    <nc r="S4" t="inlineStr">
      <is>
        <t>RECESSO</t>
      </is>
    </nc>
  </rcc>
  <rcc rId="1192" sId="10">
    <nc r="R5" t="inlineStr">
      <is>
        <t>FERIADO</t>
      </is>
    </nc>
  </rcc>
  <rcc rId="1193" sId="10">
    <nc r="S5" t="inlineStr">
      <is>
        <t>RECESSO</t>
      </is>
    </nc>
  </rcc>
  <rcc rId="1194" sId="10">
    <nc r="R6" t="inlineStr">
      <is>
        <t>FERIADO</t>
      </is>
    </nc>
  </rcc>
  <rcc rId="1195" sId="10">
    <nc r="S6" t="inlineStr">
      <is>
        <t>RECESSO</t>
      </is>
    </nc>
  </rcc>
  <rcc rId="1196" sId="10">
    <nc r="R7" t="inlineStr">
      <is>
        <t>FERIADO</t>
      </is>
    </nc>
  </rcc>
  <rcc rId="1197" sId="10">
    <nc r="S7" t="inlineStr">
      <is>
        <t>RECESSO</t>
      </is>
    </nc>
  </rcc>
  <rcc rId="1198" sId="10">
    <nc r="R8" t="inlineStr">
      <is>
        <t>FERIADO</t>
      </is>
    </nc>
  </rcc>
  <rcc rId="1199" sId="10">
    <nc r="S8" t="inlineStr">
      <is>
        <t>RECESSO</t>
      </is>
    </nc>
  </rcc>
  <rcc rId="1200" sId="10">
    <nc r="R9" t="inlineStr">
      <is>
        <t>FERIADO</t>
      </is>
    </nc>
  </rcc>
  <rcc rId="1201" sId="10">
    <nc r="S9" t="inlineStr">
      <is>
        <t>RECESSO</t>
      </is>
    </nc>
  </rcc>
  <rcc rId="1202" sId="10">
    <nc r="R10" t="inlineStr">
      <is>
        <t>FERIADO</t>
      </is>
    </nc>
  </rcc>
  <rcc rId="1203" sId="10">
    <nc r="S10" t="inlineStr">
      <is>
        <t>RECESSO</t>
      </is>
    </nc>
  </rcc>
  <rcc rId="1204" sId="10">
    <nc r="R11" t="inlineStr">
      <is>
        <t>FERIADO</t>
      </is>
    </nc>
  </rcc>
  <rcc rId="1205" sId="10">
    <nc r="S11" t="inlineStr">
      <is>
        <t>RECESSO</t>
      </is>
    </nc>
  </rcc>
  <rcc rId="1206" sId="10">
    <nc r="R12" t="inlineStr">
      <is>
        <t>FERIADO</t>
      </is>
    </nc>
  </rcc>
  <rcc rId="1207" sId="10">
    <nc r="S12" t="inlineStr">
      <is>
        <t>RECESSO</t>
      </is>
    </nc>
  </rcc>
  <rcc rId="1208" sId="10">
    <nc r="R13" t="inlineStr">
      <is>
        <t>FERIADO</t>
      </is>
    </nc>
  </rcc>
  <rcc rId="1209" sId="10">
    <nc r="S13" t="inlineStr">
      <is>
        <t>RECESSO</t>
      </is>
    </nc>
  </rcc>
  <rcc rId="1210" sId="10">
    <nc r="R14" t="inlineStr">
      <is>
        <t>FERIADO</t>
      </is>
    </nc>
  </rcc>
  <rcc rId="1211" sId="10">
    <nc r="S14" t="inlineStr">
      <is>
        <t>RECESSO</t>
      </is>
    </nc>
  </rcc>
  <rcc rId="1212" sId="10">
    <nc r="R15" t="inlineStr">
      <is>
        <t>FERIADO</t>
      </is>
    </nc>
  </rcc>
  <rcc rId="1213" sId="10">
    <nc r="S15" t="inlineStr">
      <is>
        <t>RECESSO</t>
      </is>
    </nc>
  </rcc>
  <rcc rId="1214" sId="10">
    <nc r="R16" t="inlineStr">
      <is>
        <t>FERIADO</t>
      </is>
    </nc>
  </rcc>
  <rcc rId="1215" sId="10">
    <nc r="S16" t="inlineStr">
      <is>
        <t>RECESSO</t>
      </is>
    </nc>
  </rcc>
  <rfmt sheetId="10" sqref="R2:S16" start="0" length="2147483647">
    <dxf>
      <font>
        <b/>
      </font>
    </dxf>
  </rfmt>
  <rfmt sheetId="10" sqref="R3:S16" start="0" length="2147483647">
    <dxf>
      <font>
        <sz val="10"/>
      </font>
    </dxf>
  </rfmt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Danilo!$A$1:$A$31</formula>
    <oldFormula>Danilo!$A$1:$A$31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9" customView="1" name="Z_3D987F8E_A6EA_454D_9537_6BFC5053CB00_.wvu.FilterData" hidden="1" oldHidden="1">
    <formula>Carlos!$A$1:$A$18</formula>
    <oldFormula>Carlos!$A$1:$A$18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cv guid="{3D987F8E-A6EA-454D-9537-6BFC5053CB00}" action="add"/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26" sId="10">
    <nc r="P11">
      <v>1</v>
    </nc>
  </rcc>
  <rcc rId="1227" sId="10">
    <nc r="P12">
      <v>54</v>
    </nc>
  </rcc>
  <rcc rId="1228" sId="10">
    <nc r="Q11">
      <v>1</v>
    </nc>
  </rcc>
  <rcc rId="1229" sId="10">
    <nc r="Q12">
      <v>18</v>
    </nc>
  </rcc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0" sId="10">
    <nc r="U11">
      <v>1</v>
    </nc>
  </rcc>
  <rcc rId="1231" sId="10">
    <nc r="U12">
      <v>25</v>
    </nc>
  </rcc>
  <rcc rId="1232" sId="10">
    <nc r="U7">
      <v>64</v>
    </nc>
  </rcc>
  <rcc rId="1233" sId="10">
    <nc r="V11">
      <v>4</v>
    </nc>
  </rcc>
  <rcc rId="1234" sId="10">
    <nc r="V12">
      <v>61</v>
    </nc>
  </rcc>
  <rcc rId="1235" sId="10">
    <nc r="W11">
      <v>3</v>
    </nc>
  </rcc>
  <rcc rId="1236" sId="10">
    <nc r="W12">
      <v>36</v>
    </nc>
  </rcc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7" sId="10">
    <nc r="X11">
      <v>3</v>
    </nc>
  </rcc>
  <rcc rId="1238" sId="10">
    <nc r="X12">
      <v>92</v>
    </nc>
  </rcc>
  <rcc rId="1239" sId="10">
    <nc r="Y11">
      <v>3</v>
    </nc>
  </rcc>
  <rcc rId="1240" sId="10">
    <nc r="Y12">
      <v>66</v>
    </nc>
  </rcc>
</revisions>
</file>

<file path=xl/revisions/revisionLog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1" sId="10">
    <nc r="AB11">
      <v>2</v>
    </nc>
  </rcc>
  <rcc rId="1242" sId="10">
    <nc r="AB12">
      <v>68</v>
    </nc>
  </rcc>
  <rcc rId="1243" sId="10">
    <nc r="AA11">
      <v>3</v>
    </nc>
  </rcc>
  <rcc rId="1244" sId="10">
    <nc r="AA12">
      <v>66</v>
    </nc>
  </rcc>
</revisions>
</file>

<file path=xl/revisions/revisionLog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5" sId="10">
    <nc r="C7">
      <v>25</v>
    </nc>
  </rcc>
  <rcc rId="1246" sId="10">
    <nc r="D7">
      <v>5</v>
    </nc>
  </rcc>
  <rcc rId="1247" sId="10">
    <nc r="E7">
      <v>15</v>
    </nc>
  </rcc>
  <rcc rId="1248" sId="10">
    <nc r="F7">
      <v>34</v>
    </nc>
  </rcc>
  <rcc rId="1249" sId="10">
    <nc r="G7">
      <v>21</v>
    </nc>
  </rcc>
  <rcc rId="1250" sId="10">
    <nc r="G6">
      <v>2</v>
    </nc>
  </rcc>
  <rcc rId="1251" sId="10">
    <nc r="F6">
      <v>2</v>
    </nc>
  </rcc>
  <rcc rId="1252" sId="10">
    <nc r="E6">
      <v>2</v>
    </nc>
  </rcc>
  <rcc rId="1253" sId="10">
    <nc r="D6">
      <v>1</v>
    </nc>
  </rcc>
  <rcc rId="1254" sId="10">
    <nc r="C6">
      <v>3</v>
    </nc>
  </rcc>
  <rcc rId="1255" sId="10">
    <nc r="I6">
      <v>2</v>
    </nc>
  </rcc>
  <rcc rId="1256" sId="10">
    <nc r="I7">
      <v>18</v>
    </nc>
  </rcc>
  <rcc rId="1257" sId="10">
    <nc r="J6">
      <v>2</v>
    </nc>
  </rcc>
  <rcc rId="1258" sId="10">
    <nc r="J7">
      <v>19</v>
    </nc>
  </rcc>
  <rcc rId="1259" sId="10">
    <nc r="K6">
      <v>1</v>
    </nc>
  </rcc>
  <rcc rId="1260" sId="10">
    <nc r="K7">
      <v>22</v>
    </nc>
  </rcc>
  <rcc rId="1261" sId="10">
    <nc r="L6">
      <v>1</v>
    </nc>
  </rcc>
  <rcc rId="1262" sId="10">
    <nc r="L7">
      <v>3</v>
    </nc>
  </rcc>
  <rcc rId="1263" sId="10">
    <nc r="M7">
      <v>24</v>
    </nc>
  </rcc>
  <rcc rId="1264" sId="10">
    <nc r="M6">
      <v>2</v>
    </nc>
  </rcc>
  <rcc rId="1265" sId="10">
    <nc r="O6">
      <v>1</v>
    </nc>
  </rcc>
  <rcc rId="1266" sId="10">
    <nc r="O7">
      <v>13</v>
    </nc>
  </rcc>
  <rcc rId="1267" sId="10">
    <nc r="Q6">
      <v>1</v>
    </nc>
  </rcc>
  <rcc rId="1268" sId="10">
    <nc r="Q7">
      <v>1</v>
    </nc>
  </rcc>
  <rcc rId="1269" sId="10">
    <nc r="U6">
      <v>1</v>
    </nc>
  </rcc>
  <rcc rId="1270" sId="10">
    <oc r="U7">
      <v>64</v>
    </oc>
    <nc r="U7">
      <v>21</v>
    </nc>
  </rcc>
  <rcc rId="1271" sId="10">
    <nc r="W6">
      <v>1</v>
    </nc>
  </rcc>
  <rcc rId="1272" sId="10">
    <nc r="W7">
      <v>1</v>
    </nc>
  </rcc>
</revisions>
</file>

<file path=xl/revisions/revisionLog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18A482E0-C8B6-4AA1-9E04-15FA7C9CD5E3}" action="delete"/>
  <rdn rId="0" localSheetId="1" customView="1" name="Z_18A482E0_C8B6_4AA1_9E04_15FA7C9CD5E3_.wvu.FilterData" hidden="1" oldHidden="1">
    <formula>Patrícia!$A$1:$A$18</formula>
    <oldFormula>Patrícia!$A$1:$A$18</oldFormula>
  </rdn>
  <rdn rId="0" localSheetId="2" customView="1" name="Z_18A482E0_C8B6_4AA1_9E04_15FA7C9CD5E3_.wvu.FilterData" hidden="1" oldHidden="1">
    <formula>Marcelo!$A$1:$A$18</formula>
    <oldFormula>Marcelo!$A$1:$A$18</oldFormula>
  </rdn>
  <rdn rId="0" localSheetId="3" customView="1" name="Z_18A482E0_C8B6_4AA1_9E04_15FA7C9CD5E3_.wvu.FilterData" hidden="1" oldHidden="1">
    <formula>TOTAL!$A$1:$A$18</formula>
    <oldFormula>TOTAL!$A$1:$A$18</oldFormula>
  </rdn>
  <rdn rId="0" localSheetId="4" customView="1" name="Z_18A482E0_C8B6_4AA1_9E04_15FA7C9CD5E3_.wvu.FilterData" hidden="1" oldHidden="1">
    <formula>Diego!$A$1:$A$18</formula>
    <oldFormula>Diego!$A$1:$A$18</oldFormula>
  </rdn>
  <rdn rId="0" localSheetId="5" customView="1" name="Z_18A482E0_C8B6_4AA1_9E04_15FA7C9CD5E3_.wvu.FilterData" hidden="1" oldHidden="1">
    <formula>Aelton!$A$1:$A$18</formula>
    <oldFormula>Aelton!$A$1:$A$18</oldFormula>
  </rdn>
  <rdn rId="0" localSheetId="6" customView="1" name="Z_18A482E0_C8B6_4AA1_9E04_15FA7C9CD5E3_.wvu.FilterData" hidden="1" oldHidden="1">
    <formula>Leonam!$A$1:$BD$18</formula>
    <oldFormula>Leonam!$A$1:$BD$18</oldFormula>
  </rdn>
  <rdn rId="0" localSheetId="7" customView="1" name="Z_18A482E0_C8B6_4AA1_9E04_15FA7C9CD5E3_.wvu.FilterData" hidden="1" oldHidden="1">
    <formula>Danilo!$A$1:$A$31</formula>
    <oldFormula>Danilo!$A$1:$A$31</oldFormula>
  </rdn>
  <rdn rId="0" localSheetId="8" customView="1" name="Z_18A482E0_C8B6_4AA1_9E04_15FA7C9CD5E3_.wvu.FilterData" hidden="1" oldHidden="1">
    <formula>Marcos!$A$1:$A$18</formula>
    <oldFormula>Marcos!$A$1:$A$18</oldFormula>
  </rdn>
  <rdn rId="0" localSheetId="9" customView="1" name="Z_18A482E0_C8B6_4AA1_9E04_15FA7C9CD5E3_.wvu.FilterData" hidden="1" oldHidden="1">
    <formula>Carlos!$A$1:$A$18</formula>
    <oldFormula>Carlos!$A$1:$A$18</oldFormula>
  </rdn>
  <rdn rId="0" localSheetId="10" customView="1" name="Z_18A482E0_C8B6_4AA1_9E04_15FA7C9CD5E3_.wvu.FilterData" hidden="1" oldHidden="1">
    <formula>Alessandro!$A$1:$A$18</formula>
    <oldFormula>Alessandro!$A$1:$A$18</oldFormula>
  </rdn>
  <rcv guid="{18A482E0-C8B6-4AA1-9E04-15FA7C9CD5E3}" action="add"/>
</revisions>
</file>

<file path=xl/revisions/revisionLog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Danilo!$A$1:$A$31</formula>
    <oldFormula>Danilo!$A$1:$A$31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9" customView="1" name="Z_3D987F8E_A6EA_454D_9537_6BFC5053CB00_.wvu.FilterData" hidden="1" oldHidden="1">
    <formula>Carlos!$A$1:$A$18</formula>
    <oldFormula>Carlos!$A$1:$A$18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cv guid="{3D987F8E-A6EA-454D-9537-6BFC5053CB00}" action="add"/>
</revisions>
</file>

<file path=xl/revisions/revisionLog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B16" start="0" length="0">
    <dxf>
      <border outline="0">
        <bottom/>
      </border>
    </dxf>
  </rfmt>
  <rfmt sheetId="5" sqref="AC16" start="0" length="0">
    <dxf>
      <border outline="0">
        <bottom/>
      </border>
    </dxf>
  </rfmt>
  <rfmt sheetId="5" sqref="AB17" start="0" length="0">
    <dxf>
      <alignment wrapText="1"/>
    </dxf>
  </rfmt>
  <rfmt sheetId="5" sqref="AC17" start="0" length="0">
    <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cc rId="1293" sId="5">
    <nc r="AB12">
      <v>102</v>
    </nc>
  </rcc>
  <rfmt sheetId="5" sqref="AB16" start="0" length="0">
    <dxf>
      <border outline="0">
        <bottom style="thin">
          <color indexed="64"/>
        </bottom>
      </border>
    </dxf>
  </rfmt>
  <rfmt sheetId="5" sqref="AC16" start="0" length="0">
    <dxf>
      <border outline="0">
        <bottom style="thin">
          <color indexed="64"/>
        </bottom>
      </border>
    </dxf>
  </rfmt>
  <rcc rId="1294" sId="5">
    <nc r="AB17" t="inlineStr">
      <is>
        <t xml:space="preserve">1. Inventário microfilmes.
3 Caixas
102 microfilmes
2. Ajuda na pesquisa do documento averbação da servidora MARILUZA PORTELA RIOS VIEIRA. </t>
      </is>
    </nc>
  </rcc>
  <rcc rId="1295" sId="5" odxf="1" dxf="1">
    <nc r="AC17" t="inlineStr">
      <is>
        <r>
          <t xml:space="preserve">Ajuda na pesquisa do documento </t>
        </r>
        <r>
          <rPr>
            <b/>
            <sz val="11"/>
            <color theme="1"/>
            <rFont val="Aptos Narrow"/>
            <family val="2"/>
          </rPr>
          <t>averbação</t>
        </r>
        <r>
          <rPr>
            <sz val="11"/>
            <color theme="1"/>
            <rFont val="Aptos Narrow"/>
            <family val="2"/>
          </rPr>
          <t xml:space="preserve"> da servidora MARILUZA PORTELA RIOS VIEIRA. </t>
        </r>
      </is>
    </nc>
    <ndxf>
      <border outline="0">
        <left/>
        <right/>
        <top/>
        <bottom/>
      </border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6" sId="4">
    <nc r="AC11">
      <v>3</v>
    </nc>
  </rcc>
  <rfmt sheetId="4" sqref="AC18" start="0" length="0">
    <dxf>
      <alignment wrapText="1"/>
    </dxf>
  </rfmt>
  <rcc rId="1307" sId="4">
    <nc r="AC18" t="inlineStr">
      <is>
        <t xml:space="preserve">97 FITAS DE MICRO FILMES NUMERADAS </t>
      </is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8" sId="8">
    <nc r="AC11">
      <v>137</v>
    </nc>
  </rcc>
  <rfmt sheetId="8" sqref="AC17" start="0" length="0">
    <dxf>
      <alignment wrapText="1"/>
    </dxf>
  </rfmt>
  <rcc rId="1319" sId="8">
    <nc r="AC17" t="inlineStr">
      <is>
        <t xml:space="preserve"> Inventário microfilmes:
4 Caixas
137 microfilmes.</t>
      </is>
    </nc>
  </rcc>
</revisions>
</file>

<file path=xl/revisions/revisionLog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0" sId="1">
    <nc r="AC13">
      <v>1</v>
    </nc>
  </rcc>
  <rcc rId="1321" sId="1">
    <nc r="AA13">
      <v>1</v>
    </nc>
  </rcc>
  <rcc rId="1322" sId="1">
    <nc r="V13">
      <v>1</v>
    </nc>
  </rcc>
  <rcc rId="1323" sId="1">
    <nc r="U13">
      <v>1</v>
    </nc>
  </rcc>
  <rcc rId="1324" sId="1">
    <nc r="P13">
      <v>1</v>
    </nc>
  </rcc>
  <rcc rId="1325" sId="1">
    <nc r="M13">
      <v>1</v>
    </nc>
  </rcc>
  <rcc rId="1326" sId="1">
    <nc r="J13">
      <v>1</v>
    </nc>
  </rcc>
</revisions>
</file>

<file path=xl/revisions/revisionLog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7" sId="6">
    <oc r="AA12">
      <v>102</v>
    </oc>
    <nc r="AA12">
      <v>90</v>
    </nc>
  </rcc>
  <rcc rId="1328" sId="6">
    <nc r="AC12">
      <v>2</v>
    </nc>
  </rcc>
  <rcc rId="1329" sId="6">
    <nc r="AC13">
      <v>55</v>
    </nc>
  </rcc>
  <rm rId="1330" sheetId="6" source="AC12:AC13" destination="AC11:AC12" sourceSheetId="6">
    <rfmt sheetId="6" sqref="AC11" start="0" length="0">
      <dxf>
        <alignment horizontal="center" vertical="center"/>
      </dxf>
    </rfmt>
  </rm>
  <rm rId="1331" sheetId="6" source="AB17" destination="AB18" sourceSheetId="6">
    <rfmt sheetId="6" sqref="AB18" start="0" length="0">
      <dxf>
        <alignment horizontal="center" vertical="center"/>
      </dxf>
    </rfmt>
  </rm>
  <rcc rId="1332" sId="6" odxf="1" dxf="1">
    <nc r="AB17" t="inlineStr">
      <is>
        <t xml:space="preserve">fazendo etiquetas para os micros-filmes </t>
      </is>
    </nc>
    <odxf>
      <alignment wrapText="0"/>
    </odxf>
    <ndxf>
      <alignment wrapText="1"/>
    </ndxf>
  </rcc>
  <rcc rId="1333" sId="6" odxf="1" dxf="1">
    <nc r="AC17" t="inlineStr">
      <is>
        <t xml:space="preserve">fazendo etiquetas para os micros-filmes </t>
      </is>
    </nc>
    <odxf>
      <alignment wrapText="0"/>
    </odxf>
    <ndxf>
      <alignment wrapText="1"/>
    </ndxf>
  </rcc>
  <rm rId="1334" sheetId="6" source="AB18" destination="AC18" sourceSheetId="6">
    <rfmt sheetId="6" sqref="AC18" start="0" length="0">
      <dxf>
        <alignment horizontal="center" vertical="center"/>
      </dxf>
    </rfmt>
  </rm>
  <rm rId="1335" sheetId="6" source="AC18" destination="AD18" sourceSheetId="6">
    <rfmt sheetId="6" sqref="AD18" start="0" length="0">
      <dxf>
        <alignment horizontal="center" vertical="center"/>
      </dxf>
    </rfmt>
  </rm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Danilo!$A$1:$A$31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56" sId="6">
    <nc r="AD2">
      <v>2</v>
    </nc>
  </rcc>
  <rcc rId="1357" sId="6">
    <nc r="AD3">
      <v>30</v>
    </nc>
  </rcc>
  <rcc rId="1358" sId="6">
    <nc r="AD13">
      <v>1</v>
    </nc>
  </rcc>
  <rcc rId="1359" sId="6">
    <nc r="AD11">
      <v>1</v>
    </nc>
  </rcc>
  <rcc rId="1360" sId="6">
    <nc r="AD12">
      <v>30</v>
    </nc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Danilo!$A$1:$A$31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71" sId="4">
    <nc r="AD13">
      <v>1</v>
    </nc>
  </rcc>
  <rcc rId="1372" sId="4">
    <nc r="AD18" t="inlineStr">
      <is>
        <t xml:space="preserve">PROCURANDO CAIXAS DA CGEOF/SESAN </t>
      </is>
    </nc>
  </rcc>
  <rfmt sheetId="4" sqref="AD18">
    <dxf>
      <alignment wrapText="1"/>
    </dxf>
  </rfmt>
  <rcc rId="1373" sId="4">
    <nc r="AD3">
      <v>30</v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4" sId="4">
    <nc r="AD2">
      <v>2</v>
    </nc>
  </rcc>
</revisions>
</file>

<file path=xl/revisions/revisionLog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5" sId="4" odxf="1" dxf="1">
    <nc r="AD17" t="inlineStr">
      <is>
        <t xml:space="preserve">PROCURANDO CAIXAS DA CGEOF/SESAN </t>
      </is>
    </nc>
    <odxf>
      <alignment wrapText="0"/>
    </odxf>
    <ndxf>
      <alignment wrapText="1"/>
    </ndxf>
  </rcc>
  <rcc rId="1386" sId="4">
    <oc r="AD18" t="inlineStr">
      <is>
        <t xml:space="preserve">PROCURANDO CAIXAS DA CGEOF/SESAN </t>
      </is>
    </oc>
    <nc r="AD18" t="inlineStr">
      <is>
        <t>2 PROCESSOS COM 34 VOLUMES</t>
      </is>
    </nc>
  </rcc>
</revisions>
</file>

<file path=xl/revisions/revisionLog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7" sId="6" odxf="1" dxf="1">
    <nc r="AD17" t="inlineStr">
      <is>
        <t xml:space="preserve">PROCURANDO CAIXAS DA CGEOF/SESAN </t>
      </is>
    </nc>
    <odxf>
      <alignment wrapText="0"/>
    </odxf>
    <ndxf>
      <alignment wrapText="1"/>
    </ndxf>
  </rcc>
  <rcc rId="1388" sId="6">
    <oc r="AD18" t="inlineStr">
      <is>
        <t xml:space="preserve">fazendo etiquetas para os micros-filmes </t>
      </is>
    </oc>
    <nc r="AD18" t="inlineStr">
      <is>
        <t>2 PROCESSOS COM 34 VOLUMES</t>
      </is>
    </nc>
  </rcc>
</revisions>
</file>

<file path=xl/revisions/revisionLog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9" sId="5">
    <nc r="AD2">
      <v>2</v>
    </nc>
  </rcc>
  <rcc rId="1390" sId="5" odxf="1" dxf="1">
    <nc r="AD17" t="inlineStr">
      <is>
        <t xml:space="preserve">1. Pesquisa do documento averbação da servidora MARILUZA PORTELA RIOS VIEIRA.
2.  </t>
      </is>
    </nc>
    <odxf>
      <alignment wrapText="0"/>
    </odxf>
    <ndxf>
      <alignment wrapText="1"/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01" sId="5">
    <oc r="AD17" t="inlineStr">
      <is>
        <t xml:space="preserve">1. Pesquisa do documento averbação da servidora MARILUZA PORTELA RIOS VIEIRA.
2.  </t>
      </is>
    </oc>
    <nc r="AD17" t="inlineStr">
      <is>
        <t>1. Pesquisa do documento averbação da servidora MARILUZA PORTELA RIOS VIEIRA.
2.  Pesquisa e busca processos: 00070.002379/2003-10 00070.007055/2003-78
3. Inventário microfilmes.
1 Caixa
35 microfilmes</t>
      </is>
    </nc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2" sId="5">
    <nc r="AD12">
      <v>35</v>
    </nc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33" sId="8">
    <nc r="AD13">
      <v>1</v>
    </nc>
  </rcc>
  <rcc rId="1434" sId="8" odxf="1" dxf="1">
    <nc r="AD17" t="inlineStr">
      <is>
        <t xml:space="preserve">PROCURANDO CAIXAS DA CGEOF/SESAN </t>
      </is>
    </nc>
    <odxf>
      <alignment wrapText="0"/>
    </odxf>
    <ndxf>
      <alignment wrapText="1"/>
    </ndxf>
  </rcc>
  <rcc rId="1435" sId="8" odxf="1" dxf="1">
    <nc r="AD18" t="inlineStr">
      <is>
        <t>2 PROCESSOS COM 34 VOLUMES</t>
      </is>
    </nc>
    <odxf>
      <alignment wrapText="0"/>
    </odxf>
    <ndxf>
      <alignment wrapText="1"/>
    </ndxf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E17" start="0" length="0">
    <dxf>
      <alignment wrapText="1"/>
    </dxf>
  </rfmt>
  <rcc rId="1457" sId="5">
    <nc r="AE17" t="inlineStr">
      <is>
        <t xml:space="preserve"> 1. Pesquisa do documento averbação da servidora
 MARILUZA PORTELA RIOS VIEIRA.
2. Inventário microfilmes.
1 Caixa
30 microfilmes.</t>
      </is>
    </nc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8" sId="5">
    <nc r="AE12">
      <v>30</v>
    </nc>
  </rcc>
</revisions>
</file>

<file path=xl/revisions/revisionLog1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9" sId="5">
    <oc r="AD17" t="inlineStr">
      <is>
        <t>1. Pesquisa do documento averbação da servidora MARILUZA PORTELA RIOS VIEIRA.
2.  Pesquisa e busca processos: 00070.002379/2003-10 00070.007055/2003-78
3. Inventário microfilmes.
1 Caixa
35 microfilmes</t>
      </is>
    </oc>
    <nc r="AD17" t="inlineStr">
      <is>
        <t>1. Pesquisa do documento averbação da servidora MARILUZA PORTELA RIOS VIEIRA.
2.  Pesquisa e busca processos: 00070.002379/2003-10 00070.007055/2003-78
3. Inventário microfilmes.
1 Caixa
30 microfilmes</t>
      </is>
    </nc>
  </rcc>
</revisions>
</file>

<file path=xl/revisions/revisionLog1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80" sId="5" odxf="1" dxf="1">
    <nc r="AG17" t="inlineStr">
      <is>
        <t>1. Inventário microfilmes.
1 Caixa
30 microfilmes.
2. Envio de 70 caixas para DAP/CGPC.
3. Recebimento de 70 caixas para DAP/CGPC.</t>
      </is>
    </nc>
    <odxf>
      <alignment wrapText="0"/>
    </odxf>
    <ndxf>
      <alignment wrapText="1"/>
    </ndxf>
  </rcc>
  <rcc rId="1481" sId="5">
    <nc r="AG2">
      <v>1</v>
    </nc>
  </rcc>
  <rcc rId="1482" sId="5">
    <nc r="AG4">
      <v>1</v>
    </nc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93" sId="4">
    <nc r="AE11">
      <v>3</v>
    </nc>
  </rcc>
  <rcc rId="1494" sId="4" odxf="1" dxf="1">
    <nc r="AE18" t="inlineStr">
      <is>
        <t xml:space="preserve">96 FITAS DE MICRO FILMES NUMERADAS </t>
      </is>
    </nc>
    <odxf>
      <alignment wrapText="0"/>
    </odxf>
    <ndxf>
      <alignment wrapText="1"/>
    </ndxf>
  </rcc>
  <rcc rId="1495" sId="4">
    <nc r="AG6">
      <v>20</v>
    </nc>
  </rcc>
  <rcc rId="1496" sId="4">
    <nc r="AG8">
      <v>20</v>
    </nc>
  </rcc>
  <rcc rId="1497" sId="4">
    <nc r="AG15">
      <v>95</v>
    </nc>
  </rcc>
  <rcc rId="1498" sId="4">
    <nc r="AG17" t="inlineStr">
      <is>
        <t xml:space="preserve">PROCURANDO CAIXAS PARA ELIMINAÇÃO PRA SEU CARLOS </t>
      </is>
    </nc>
  </rcc>
  <rfmt sheetId="4" sqref="AG17">
    <dxf>
      <alignment wrapText="1"/>
    </dxf>
  </rfmt>
  <rcc rId="1499" sId="4">
    <nc r="AG18" t="inlineStr">
      <is>
        <t>RECEBIMENTO DE 150 CAIXAS DA CGPC,MANDANDO MAIS 150 CAIXAS PARA CGPC</t>
      </is>
    </nc>
  </rcc>
  <rfmt sheetId="4" sqref="AH18">
    <dxf>
      <alignment wrapText="1"/>
    </dxf>
  </rfmt>
  <rfmt sheetId="4" sqref="AG18">
    <dxf>
      <alignment wrapText="1"/>
    </dxf>
  </rfmt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1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0" sId="4">
    <oc r="AG18" t="inlineStr">
      <is>
        <t>RECEBIMENTO DE 150 CAIXAS DA CGPC,MANDANDO MAIS 150 CAIXAS PARA CGPC</t>
      </is>
    </oc>
    <nc r="AG18" t="inlineStr">
      <is>
        <t>RECEBIMENTO DE 150 CAIXAS DA CGPC E MANDANDO MAIS 150 CAIXAS PARA CGPC</t>
      </is>
    </nc>
  </rcc>
</revisions>
</file>

<file path=xl/revisions/revisionLog1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1" sId="4">
    <oc r="AG18" t="inlineStr">
      <is>
        <t>RECEBIMENTO DE 150 CAIXAS DA CGPC E MANDANDO MAIS 150 CAIXAS PARA CGPC</t>
      </is>
    </oc>
    <nc r="AG18" t="inlineStr">
      <is>
        <t>RECEBIMENTO DE 70 CAIXAS DA CGPC E MANDANDO MAIS 70 CAIXAS PARA CGPC</t>
      </is>
    </nc>
  </rcc>
</revisions>
</file>

<file path=xl/revisions/revisionLog1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2" sId="7">
    <nc r="AB11">
      <v>3</v>
    </nc>
  </rcc>
  <rcc rId="1513" sId="7">
    <nc r="AE11">
      <v>2</v>
    </nc>
  </rcc>
  <rcc rId="1514" sId="7">
    <nc r="AE12">
      <v>72</v>
    </nc>
  </rcc>
  <rcc rId="1515" sId="7">
    <nc r="AB12">
      <v>108</v>
    </nc>
  </rcc>
  <rcc rId="1516" sId="7">
    <nc r="AC11">
      <v>3</v>
    </nc>
  </rcc>
  <rcc rId="1517" sId="7">
    <nc r="AC12">
      <v>108</v>
    </nc>
  </rcc>
  <rcc rId="1518" sId="7" odxf="1" dxf="1">
    <nc r="AD17" t="inlineStr">
      <is>
        <t xml:space="preserve">PROCURANDO CAIXAS DA CGEOF/SESAN </t>
      </is>
    </nc>
    <odxf>
      <alignment wrapText="0"/>
    </odxf>
    <ndxf>
      <alignment wrapText="1"/>
    </ndxf>
  </rcc>
  <rcc rId="1519" sId="7" odxf="1" dxf="1">
    <nc r="AD18" t="inlineStr">
      <is>
        <t>2 PROCESSOS COM 34 VOLUMES</t>
      </is>
    </nc>
    <odxf>
      <alignment wrapText="0"/>
    </odxf>
    <ndxf>
      <alignment wrapText="1"/>
    </ndxf>
  </rcc>
  <rcv guid="{B3CDE377-BA5D-4E06-91D9-3A48E1959BA5}" action="delete"/>
  <rdn rId="0" localSheetId="1" customView="1" name="Z_B3CDE377_BA5D_4E06_91D9_3A48E1959BA5_.wvu.FilterData" hidden="1" oldHidden="1">
    <formula>Patrícia!$A$1:$A$18</formula>
    <oldFormula>Patrícia!$A$1:$A$18</oldFormula>
  </rdn>
  <rdn rId="0" localSheetId="2" customView="1" name="Z_B3CDE377_BA5D_4E06_91D9_3A48E1959BA5_.wvu.FilterData" hidden="1" oldHidden="1">
    <formula>Marcelo!$A$1:$A$18</formula>
    <oldFormula>Marcelo!$A$1:$A$18</oldFormula>
  </rdn>
  <rdn rId="0" localSheetId="3" customView="1" name="Z_B3CDE377_BA5D_4E06_91D9_3A48E1959BA5_.wvu.FilterData" hidden="1" oldHidden="1">
    <formula>TOTAL!$A$1:$A$18</formula>
    <oldFormula>TOTAL!$A$1:$A$18</oldFormula>
  </rdn>
  <rdn rId="0" localSheetId="4" customView="1" name="Z_B3CDE377_BA5D_4E06_91D9_3A48E1959BA5_.wvu.FilterData" hidden="1" oldHidden="1">
    <formula>Diego!$A$1:$A$18</formula>
    <oldFormula>Diego!$A$1:$A$18</oldFormula>
  </rdn>
  <rdn rId="0" localSheetId="5" customView="1" name="Z_B3CDE377_BA5D_4E06_91D9_3A48E1959BA5_.wvu.FilterData" hidden="1" oldHidden="1">
    <formula>Aelton!$A$1:$A$18</formula>
    <oldFormula>Aelton!$A$1:$A$18</oldFormula>
  </rdn>
  <rdn rId="0" localSheetId="6" customView="1" name="Z_B3CDE377_BA5D_4E06_91D9_3A48E1959BA5_.wvu.FilterData" hidden="1" oldHidden="1">
    <formula>Leonam!$A$1:$BD$18</formula>
    <oldFormula>Leonam!$A$1:$BD$18</oldFormula>
  </rdn>
  <rdn rId="0" localSheetId="7" customView="1" name="Z_B3CDE377_BA5D_4E06_91D9_3A48E1959BA5_.wvu.FilterData" hidden="1" oldHidden="1">
    <formula>Danilo!$A$1:$A$31</formula>
    <oldFormula>Danilo!$A$1:$A$31</oldFormula>
  </rdn>
  <rdn rId="0" localSheetId="8" customView="1" name="Z_B3CDE377_BA5D_4E06_91D9_3A48E1959BA5_.wvu.FilterData" hidden="1" oldHidden="1">
    <formula>Marcos!$A$1:$A$18</formula>
    <oldFormula>Marcos!$A$1:$A$18</oldFormula>
  </rdn>
  <rdn rId="0" localSheetId="9" customView="1" name="Z_B3CDE377_BA5D_4E06_91D9_3A48E1959BA5_.wvu.FilterData" hidden="1" oldHidden="1">
    <formula>Carlos!$A$1:$A$18</formula>
    <oldFormula>Carlos!$A$1:$A$18</oldFormula>
  </rdn>
  <rdn rId="0" localSheetId="10" customView="1" name="Z_B3CDE377_BA5D_4E06_91D9_3A48E1959BA5_.wvu.FilterData" hidden="1" oldHidden="1">
    <formula>Alessandro!$A$1:$A$18</formula>
    <oldFormula>Alessandro!$A$1:$A$18</oldFormula>
  </rdn>
  <rcv guid="{B3CDE377-BA5D-4E06-91D9-3A48E1959BA5}" action="add"/>
</revisions>
</file>

<file path=xl/revisions/revisionLog1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0" sId="10">
    <nc r="AC11">
      <v>3</v>
    </nc>
  </rcc>
  <rcc rId="1531" sId="10">
    <nc r="AC12">
      <v>77</v>
    </nc>
  </rcc>
  <rcc rId="1532" sId="10">
    <nc r="AD11">
      <v>1</v>
    </nc>
  </rcc>
  <rcc rId="1533" sId="10">
    <nc r="AD12">
      <v>34</v>
    </nc>
  </rcc>
  <rcc rId="1534" sId="10">
    <nc r="AA15">
      <v>3</v>
    </nc>
  </rcc>
  <rcc rId="1535" sId="10">
    <nc r="AB15">
      <v>2</v>
    </nc>
  </rcc>
  <rcc rId="1536" sId="10">
    <nc r="AC15">
      <v>3</v>
    </nc>
  </rcc>
  <rcc rId="1537" sId="10">
    <nc r="AD15">
      <v>1</v>
    </nc>
  </rcc>
  <rcc rId="1538" sId="10">
    <nc r="U15">
      <v>1</v>
    </nc>
  </rcc>
  <rcc rId="1539" sId="10">
    <nc r="V15">
      <v>4</v>
    </nc>
  </rcc>
  <rcc rId="1540" sId="10">
    <nc r="W15">
      <v>3</v>
    </nc>
  </rcc>
  <rcc rId="1541" sId="10">
    <nc r="X15">
      <v>3</v>
    </nc>
  </rcc>
  <rcc rId="1542" sId="10">
    <nc r="Y15">
      <v>3</v>
    </nc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Danilo!$A$1:$A$31</formula>
    <oldFormula>Danilo!$A$1:$A$31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9" customView="1" name="Z_3D987F8E_A6EA_454D_9537_6BFC5053CB00_.wvu.FilterData" hidden="1" oldHidden="1">
    <formula>Carlos!$A$1:$A$18</formula>
    <oldFormula>Carlos!$A$1:$A$18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cv guid="{3D987F8E-A6EA-454D-9537-6BFC5053CB00}" action="add"/>
</revisions>
</file>

<file path=xl/revisions/revisionLog1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3" sId="10">
    <nc r="AE11">
      <v>2</v>
    </nc>
  </rcc>
  <rcc rId="1554" sId="10">
    <nc r="AE15">
      <v>2</v>
    </nc>
  </rcc>
  <rcc rId="1555" sId="10">
    <nc r="AE12">
      <v>71</v>
    </nc>
  </rcc>
  <rcc rId="1556" sId="10" odxf="1" dxf="1">
    <nc r="AG17" t="inlineStr">
      <is>
        <t>Consolidação da Planilha do ARCEM
(Em andamento)</t>
      </is>
    </nc>
    <odxf>
      <alignment wrapText="0"/>
    </odxf>
    <ndxf>
      <alignment wrapText="1"/>
    </ndxf>
  </rcc>
  <rcc rId="1557" sId="10">
    <nc r="AG13">
      <v>1</v>
    </nc>
  </rcc>
</revisions>
</file>

<file path=xl/revisions/revisionLog1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8" sId="10" odxf="1" dxf="1">
    <nc r="AD17" t="inlineStr">
      <is>
        <t xml:space="preserve">PROCURANDO CAIXAS DA CGEOF/SESAN </t>
      </is>
    </nc>
    <odxf>
      <alignment wrapText="0"/>
    </odxf>
    <ndxf>
      <alignment wrapText="1"/>
    </ndxf>
  </rcc>
</revisions>
</file>

<file path=xl/revisions/revisionLog1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9" sId="4">
    <nc r="AH11">
      <v>2</v>
    </nc>
  </rcc>
  <rcc rId="1560" sId="4">
    <nc r="AH18" t="inlineStr">
      <is>
        <t xml:space="preserve">72 FITAS DE MICRO FILMES NUMERADAS </t>
      </is>
    </nc>
  </rcc>
</revisions>
</file>

<file path=xl/revisions/revisionLog1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7" sId="5" odxf="1" dxf="1">
    <nc r="AJ16">
      <v>30</v>
    </nc>
    <odxf>
      <border outline="0">
        <bottom style="thin">
          <color indexed="64"/>
        </bottom>
      </border>
    </odxf>
    <ndxf>
      <border outline="0">
        <bottom/>
      </border>
    </ndxf>
  </rcc>
  <rcc rId="1618" sId="5" odxf="1" dxf="1">
    <nc r="AJ17" t="inlineStr">
      <is>
        <t>Conferência das caixas da 
CGPC/DEFNAS.</t>
      </is>
    </nc>
    <odxf>
      <alignment wrapText="0"/>
    </odxf>
    <ndxf>
      <alignment wrapText="1"/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39" sId="6" odxf="1" dxf="1">
    <nc r="AH17" t="inlineStr">
      <is>
        <t>1. Ida ao Bloco A com os chefes, Patrícia e Marcelo, para ver localização dos microfilmes para inventáriá-los. 
2.  Ida ao Bloco A para localização e análise das prováveis caixas onde possa estar o processo do FUNDESPORTE.</t>
      </is>
    </nc>
    <odxf>
      <alignment wrapText="0"/>
    </odxf>
    <ndxf>
      <alignment wrapText="1"/>
    </ndxf>
  </rcc>
  <rcc rId="1640" sId="6">
    <nc r="AG2">
      <v>1</v>
    </nc>
  </rcc>
  <rcc rId="1641" sId="6">
    <nc r="AG4">
      <v>1</v>
    </nc>
  </rcc>
  <rcc rId="1642" sId="6" odxf="1" dxf="1">
    <nc r="AG17" t="inlineStr">
      <is>
        <t>1. Inventário microfilmes.
1 Caixa
30 microfilmes.
2. Envio de 70 caixas para DAP/CGPC.
3. Recebimento de 70 caixas para DAP/CGPC.</t>
      </is>
    </nc>
    <odxf>
      <alignment wrapText="0"/>
    </odxf>
    <ndxf>
      <alignment wrapText="1"/>
    </ndxf>
  </rcc>
  <rcc rId="1643" sId="6">
    <nc r="AI15">
      <v>51</v>
    </nc>
  </rcc>
  <rcc rId="1644" sId="6">
    <nc r="AK17" t="inlineStr">
      <is>
        <t xml:space="preserve">confatrenização da festa junina </t>
      </is>
    </nc>
  </rcc>
  <rfmt sheetId="6" sqref="AK17">
    <dxf>
      <alignment wrapText="1"/>
    </dxf>
  </rfmt>
  <rcc rId="1645" sId="6">
    <nc r="AG18" t="inlineStr">
      <is>
        <t xml:space="preserve">fazendo curso </t>
      </is>
    </nc>
  </rcc>
  <rcc rId="1646" sId="6">
    <nc r="AH18" t="inlineStr">
      <is>
        <t xml:space="preserve">fazendo curso </t>
      </is>
    </nc>
  </rcc>
  <rcc rId="1647" sId="6">
    <nc r="AI18" t="inlineStr">
      <is>
        <t xml:space="preserve">fazendo curso </t>
      </is>
    </nc>
  </rcc>
  <rcc rId="1648" sId="6">
    <nc r="AJ18" t="inlineStr">
      <is>
        <t xml:space="preserve">fazendo curso </t>
      </is>
    </nc>
  </rcc>
  <rcc rId="1649" sId="6">
    <nc r="AK18" t="inlineStr">
      <is>
        <t xml:space="preserve">fazendo curso </t>
      </is>
    </nc>
  </rcc>
  <rfmt sheetId="6" sqref="AG18:AK18">
    <dxf>
      <alignment wrapText="1"/>
    </dxf>
  </rfmt>
  <rcc rId="1650" sId="6">
    <nc r="AI17" t="inlineStr">
      <is>
        <t>passando a planilha escrita dos micros-filmes para planilha digital</t>
      </is>
    </nc>
  </rcc>
  <rfmt sheetId="6" sqref="AI17">
    <dxf>
      <alignment wrapText="1"/>
    </dxf>
  </rfmt>
  <rcc rId="1651" sId="6" odxf="1" dxf="1">
    <nc r="AJ17" t="inlineStr">
      <is>
        <t>passando a planilha escrita dos micros-filmes para planilha digital</t>
      </is>
    </nc>
    <odxf>
      <alignment wrapText="0"/>
    </odxf>
    <ndxf>
      <alignment wrapText="1"/>
    </ndxf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Danilo!$A$1:$A$31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1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2192" sheetId="12" name="[INDICADORES - Junho-Julho_2025.xlsx]Planilha2" sheetPosition="3"/>
  <rcc rId="2193" sId="12" odxf="1" dxf="1">
    <nc r="A1" t="inlineStr">
      <is>
        <t>INDICADORES</t>
      </is>
    </nc>
    <odxf>
      <font>
        <b val="0"/>
        <sz val="11"/>
        <color theme="1"/>
        <name val="Aptos Narrow"/>
        <family val="2"/>
        <scheme val="minor"/>
      </font>
      <alignment horizontal="general" vertical="bottom"/>
      <border outline="0">
        <left/>
        <right/>
        <top/>
        <bottom/>
      </border>
    </odxf>
    <ndxf>
      <font>
        <b/>
        <sz val="11"/>
        <color theme="1"/>
        <name val="Aptos Narrow"/>
        <family val="2"/>
        <scheme val="minor"/>
      </font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12" sqref="B1" start="0" length="0">
    <dxf>
      <font>
        <b/>
        <sz val="16"/>
        <color theme="1"/>
        <name val="Aptos Narrow"/>
        <family val="2"/>
        <scheme val="minor"/>
      </font>
      <fill>
        <patternFill patternType="solid">
          <bgColor theme="2" tint="-9.9978637043366805E-2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2194" sId="12" odxf="1" dxf="1">
    <nc r="A2" t="inlineStr">
      <is>
        <t>Desarquivamento de Processos/Documentos - Saída de Guia Fora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EDEDED"/>
          <bgColor rgb="FFFFFF00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12" sqref="B2" start="0" length="0">
    <dxf>
      <font>
        <b/>
        <sz val="9"/>
        <color theme="1"/>
        <name val="Calibri"/>
        <family val="2"/>
        <scheme val="none"/>
      </font>
      <fill>
        <patternFill patternType="solid">
          <bgColor rgb="FFFFFF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2195" sId="12" odxf="1" dxf="1">
    <nc r="A3" t="inlineStr">
      <is>
        <t>Caixas consultadas em pesquisa de desarquivamento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EDEDED"/>
          <bgColor rgb="FFF2F2F2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12" sqref="B3" start="0" length="0">
    <dxf>
      <font>
        <b/>
        <sz val="9"/>
        <color auto="1"/>
        <name val="Calibri"/>
        <family val="2"/>
        <scheme val="none"/>
      </font>
      <fill>
        <patternFill patternType="solid">
          <fgColor rgb="FFDDDDDD"/>
          <bgColor rgb="FFF2F2F2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2196" sId="12" odxf="1" dxf="1">
    <nc r="A4" t="inlineStr">
      <is>
        <t>Retorno de Processos/Documentos Desarquivados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DDDDDD"/>
          <bgColor rgb="FFFFFF00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12" sqref="B4" start="0" length="0">
    <dxf>
      <font>
        <b/>
        <sz val="9"/>
        <color auto="1"/>
        <name val="Calibri"/>
        <family val="2"/>
        <scheme val="none"/>
      </font>
      <fill>
        <patternFill patternType="solid">
          <fgColor rgb="FFEDEDED"/>
          <bgColor rgb="FFFFFF0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2197" sId="12" odxf="1" dxf="1">
    <nc r="A5" t="inlineStr">
      <is>
        <t>Recebimento de Documentos - Guia de Transferência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DDDDDD"/>
          <bgColor rgb="FFF2F2F2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12" sqref="B5" start="0" length="0">
    <dxf>
      <font>
        <b/>
        <sz val="9"/>
        <color auto="1"/>
        <name val="Calibri"/>
        <family val="2"/>
        <scheme val="none"/>
      </font>
      <fill>
        <patternFill patternType="solid">
          <fgColor rgb="FFDDDDDD"/>
          <bgColor rgb="FFF2F2F2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2198" sId="12" odxf="1" dxf="1">
    <nc r="A6" t="inlineStr">
      <is>
        <t>Caixas separadas para classificação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DDDDDD"/>
          <bgColor rgb="FFFFFF00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12" sqref="B6" start="0" length="0">
    <dxf>
      <font>
        <b/>
        <sz val="9"/>
        <color auto="1"/>
        <name val="Calibri"/>
        <family val="2"/>
        <scheme val="none"/>
      </font>
      <fill>
        <patternFill patternType="solid">
          <fgColor rgb="FFDDDDDD"/>
          <bgColor rgb="FFFFFF0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2199" sId="12" odxf="1" dxf="1">
    <nc r="A7" t="inlineStr">
      <is>
        <t>Processos/Documentos classificados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DDDDDD"/>
          <bgColor rgb="FFF2F2F2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00" sId="12" odxf="1" dxf="1">
    <nc r="B7" t="inlineStr">
      <is>
        <t>PLANILHA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9"/>
        <color auto="1"/>
        <name val="Calibri"/>
        <family val="2"/>
        <scheme val="none"/>
      </font>
      <fill>
        <patternFill patternType="solid">
          <fgColor rgb="FFDDDDDD"/>
          <bgColor rgb="FFF2F2F2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01" sId="12" odxf="1" dxf="1">
    <nc r="A8" t="inlineStr">
      <is>
        <t>Caixas separadas para eliminação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DDDDDD"/>
          <bgColor rgb="FFFFFF00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12" sqref="B8" start="0" length="0">
    <dxf>
      <font>
        <b/>
        <sz val="9"/>
        <color auto="1"/>
        <name val="Calibri"/>
        <family val="2"/>
        <scheme val="none"/>
      </font>
      <fill>
        <patternFill patternType="solid">
          <fgColor rgb="FFDDDDDD"/>
          <bgColor rgb="FFFFFF0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2202" sId="12" odxf="1" dxf="1">
    <nc r="A9" t="inlineStr">
      <is>
        <t xml:space="preserve">Caixas listadas para eliminação 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DDDDDD"/>
          <bgColor rgb="FFF2F2F2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03" sId="12" odxf="1" dxf="1">
    <nc r="B9" t="inlineStr">
      <is>
        <t>PLANILHA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9"/>
        <color auto="1"/>
        <name val="Calibri"/>
        <family val="2"/>
        <scheme val="none"/>
      </font>
      <fill>
        <patternFill patternType="solid">
          <fgColor rgb="FFDDDDDD"/>
          <bgColor rgb="FFF2F2F2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04" sId="12" odxf="1" dxf="1">
    <nc r="A10" t="inlineStr">
      <is>
        <t>Processos/Documentos listados para eliminação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DDDDDD"/>
          <bgColor rgb="FFFFFF00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05" sId="12" odxf="1" dxf="1">
    <nc r="B10" t="inlineStr">
      <is>
        <t>PLANILHA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9"/>
        <color auto="1"/>
        <name val="Calibri"/>
        <family val="2"/>
        <scheme val="none"/>
      </font>
      <fill>
        <patternFill patternType="solid">
          <fgColor rgb="FFEDEDED"/>
          <bgColor rgb="FFFFFF0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06" sId="12" odxf="1" dxf="1">
    <nc r="A11" t="inlineStr">
      <is>
        <t>Caixas inventariadas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DDDDDD"/>
          <bgColor rgb="FFF2F2F2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07" sId="12" odxf="1" dxf="1">
    <nc r="B11" t="inlineStr">
      <is>
        <t>PLANILHA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9"/>
        <color auto="1"/>
        <name val="Calibri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08" sId="12" odxf="1" dxf="1">
    <nc r="A12" t="inlineStr">
      <is>
        <t>Processos/documentos inventariados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DDDDDD"/>
          <bgColor rgb="FFFFFF00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09" sId="12" odxf="1" dxf="1">
    <nc r="B12" t="inlineStr">
      <is>
        <t>PLANILHA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9"/>
        <color auto="1"/>
        <name val="Calibri"/>
        <family val="2"/>
        <scheme val="none"/>
      </font>
      <fill>
        <patternFill patternType="solid">
          <fgColor rgb="FFDDDDDD"/>
          <bgColor rgb="FFFFFF0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10" sId="12" odxf="1" dxf="1">
    <nc r="A13" t="inlineStr">
      <is>
        <t>Documentos administrativos produzidos (Despacho, Nota Técnica, minutas diversas)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DDDDDD"/>
          <bgColor rgb="FFF2F2F2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12" sqref="B13" start="0" length="0">
    <dxf>
      <font>
        <b/>
        <sz val="9"/>
        <color auto="1"/>
        <name val="Calibri"/>
        <family val="2"/>
        <scheme val="none"/>
      </font>
      <fill>
        <patternFill patternType="solid">
          <fgColor rgb="FFDDDDDD"/>
          <bgColor rgb="FFF2F2F2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2211" sId="12" odxf="1" dxf="1">
    <nc r="A14" t="inlineStr">
      <is>
        <t>Orientação técnica / atendimentos realizados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DDDDDD"/>
          <bgColor rgb="FFFFFF00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12" sId="12" odxf="1" dxf="1">
    <nc r="B14" t="inlineStr">
      <is>
        <t>SEI, E-MAIL, TELEFONE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9"/>
        <color auto="1"/>
        <name val="Calibri"/>
        <family val="2"/>
        <scheme val="none"/>
      </font>
      <fill>
        <patternFill patternType="solid">
          <fgColor rgb="FFDDDDDD"/>
          <bgColor rgb="FFFFFF0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cc rId="2213" sId="12" odxf="1" dxf="1">
    <nc r="A15" t="inlineStr">
      <is>
        <t>Caixas remanejada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EDEDED"/>
          <bgColor rgb="FFF2F2F2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12" sqref="B15" start="0" length="0">
    <dxf>
      <font>
        <b/>
        <sz val="9"/>
        <color auto="1"/>
        <name val="Calibri"/>
        <family val="2"/>
        <scheme val="none"/>
      </font>
      <fill>
        <patternFill patternType="solid">
          <fgColor rgb="FFDDDDDD"/>
          <bgColor rgb="FFF2F2F2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cc rId="2214" sId="12" odxf="1" dxf="1">
    <nc r="A16" t="inlineStr">
      <is>
        <t>Caixas conferidas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wrapText="0"/>
      <border outline="0">
        <left/>
        <right/>
        <top/>
        <bottom/>
      </border>
    </odxf>
    <ndxf>
      <font>
        <b/>
        <sz val="11"/>
        <color auto="1"/>
        <name val="Calibri"/>
        <family val="2"/>
        <scheme val="none"/>
      </font>
      <fill>
        <patternFill patternType="solid">
          <fgColor rgb="FFEDEDED"/>
          <bgColor rgb="FFFFFF00"/>
        </patternFill>
      </fill>
      <alignment horizontal="right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ndxf>
  </rcc>
  <rfmt sheetId="12" sqref="B16" start="0" length="0">
    <dxf>
      <font>
        <b/>
        <sz val="9"/>
        <color auto="1"/>
        <name val="Calibri"/>
        <family val="2"/>
        <scheme val="none"/>
      </font>
      <fill>
        <patternFill patternType="solid">
          <fgColor rgb="FFDDDDDD"/>
          <bgColor rgb="FFFFFF0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rfmt>
  <rfmt sheetId="12" sqref="B1" start="0" length="2147483647">
    <dxf>
      <font>
        <sz val="14"/>
      </font>
    </dxf>
  </rfmt>
  <rcc rId="2215" sId="12">
    <nc r="B1" t="inlineStr">
      <is>
        <t>FONTE</t>
      </is>
    </nc>
  </rcc>
  <rfmt sheetId="12" sqref="B1" start="0" length="2147483647">
    <dxf>
      <font>
        <sz val="12"/>
      </font>
    </dxf>
  </rfmt>
  <rfmt sheetId="12" sqref="B1" start="0" length="2147483647">
    <dxf>
      <font>
        <sz val="11"/>
      </font>
    </dxf>
  </rfmt>
  <rfmt sheetId="12" sqref="B1" start="0" length="2147483647">
    <dxf>
      <font>
        <b val="0"/>
      </font>
    </dxf>
  </rfmt>
  <rfmt sheetId="12" sqref="A1" start="0" length="2147483647">
    <dxf>
      <font>
        <sz val="12"/>
      </font>
    </dxf>
  </rfmt>
  <rfmt sheetId="12" sqref="A1" start="0" length="2147483647">
    <dxf>
      <font>
        <sz val="14"/>
      </font>
    </dxf>
  </rfmt>
  <rfmt sheetId="12" sqref="A1" start="0" length="2147483647">
    <dxf>
      <font>
        <sz val="16"/>
      </font>
    </dxf>
  </rfmt>
  <rfmt sheetId="12" sqref="A1" start="0" length="2147483647">
    <dxf>
      <font>
        <sz val="18"/>
      </font>
    </dxf>
  </rfmt>
  <rfmt sheetId="12" sqref="B1" start="0" length="2147483647">
    <dxf>
      <font>
        <b/>
      </font>
    </dxf>
  </rfmt>
  <rfmt sheetId="12" sqref="B2:B16" start="0" length="2147483647">
    <dxf>
      <font>
        <sz val="10"/>
      </font>
    </dxf>
  </rfmt>
  <rfmt sheetId="12" sqref="B2:B16" start="0" length="2147483647">
    <dxf>
      <font>
        <sz val="11"/>
      </font>
    </dxf>
  </rfmt>
  <rfmt sheetId="12" sqref="B2:B16" start="0" length="2147483647">
    <dxf>
      <font>
        <sz val="12"/>
      </font>
    </dxf>
  </rfmt>
  <rfmt sheetId="12" sqref="B2:B16" start="0" length="2147483647">
    <dxf>
      <font>
        <sz val="14"/>
      </font>
    </dxf>
  </rfmt>
  <rfmt sheetId="12" sqref="B2:B16" start="0" length="2147483647">
    <dxf>
      <font>
        <sz val="12"/>
      </font>
    </dxf>
  </rfmt>
  <rfmt sheetId="12" sqref="A2:A16" start="0" length="2147483647">
    <dxf>
      <font>
        <sz val="12"/>
      </font>
    </dxf>
  </rfmt>
  <rfmt sheetId="12" sqref="A2:A16" start="0" length="2147483647">
    <dxf>
      <font>
        <sz val="14"/>
      </font>
    </dxf>
  </rfmt>
  <rfmt sheetId="12" sqref="A2:A16" start="0" length="2147483647">
    <dxf>
      <font>
        <sz val="12"/>
      </font>
    </dxf>
  </rfmt>
  <rfmt sheetId="12" sqref="A2:A16" start="0" length="2147483647">
    <dxf>
      <font>
        <sz val="14"/>
      </font>
    </dxf>
  </rfmt>
  <rcc rId="2216" sId="12">
    <nc r="B2" t="inlineStr">
      <is>
        <t>SEI (Depachos ou Ofícios assinados na unidade Diarq)</t>
      </is>
    </nc>
  </rcc>
  <rfmt sheetId="12" sqref="B2">
    <dxf>
      <alignment horizontal="left"/>
    </dxf>
  </rfmt>
  <rfmt sheetId="12" sqref="B2:B16">
    <dxf>
      <alignment horizontal="general"/>
    </dxf>
  </rfmt>
  <rfmt sheetId="12" sqref="B2:B16">
    <dxf>
      <alignment horizontal="left"/>
    </dxf>
  </rfmt>
  <rcc rId="2217" sId="12">
    <nc r="B3" t="inlineStr">
      <is>
        <t>CONTAGEM INDIVIDUAL (Caixas abertas para verificação de conteúdo em contexto de pesquisa para desarquivamento)</t>
      </is>
    </nc>
  </rcc>
  <rcc rId="2218" sId="12" odxf="1" dxf="1">
    <nc r="B4" t="inlineStr">
      <is>
        <t>SEI (Depachos ou Ofícios assinados na unidade Diarq)</t>
      </is>
    </nc>
    <ndxf>
      <font>
        <sz val="12"/>
        <color auto="1"/>
        <name val="Calibri"/>
        <scheme val="none"/>
      </font>
      <fill>
        <patternFill>
          <fgColor indexed="64"/>
        </patternFill>
      </fill>
      <alignment wrapText="0"/>
    </ndxf>
  </rcc>
  <rcc rId="2219" sId="12">
    <nc r="B5" t="inlineStr">
      <is>
        <t>SEI  (Depachos ou Ofícios assinados na unidade Diarq)</t>
      </is>
    </nc>
  </rcc>
  <rcc rId="2220" sId="12">
    <nc r="B6" t="inlineStr">
      <is>
        <t>CONTAGEM INDIVIDUAL (Caixas  "puxadas" nas estantes como uma pré-seleção para classificação)</t>
      </is>
    </nc>
  </rcc>
  <rcc rId="2221" sId="12">
    <nc r="B8" t="inlineStr">
      <is>
        <t>CONTAGEM INDIVIDUAL (Caixas "puxadas" nas estantes como uma pré-seleção para eliminação)</t>
      </is>
    </nc>
  </rcc>
  <rcc rId="2222" sId="12">
    <nc r="B15" t="inlineStr">
      <is>
        <t>CONTAGEM INDIVIDUAL (Caixas deslocadas/movimentadas visando reorganização temporária ou permanente)</t>
      </is>
    </nc>
  </rcc>
  <rcc rId="2223" sId="12">
    <nc r="B16" t="inlineStr">
      <is>
        <t>CONTAGEM INDIVIDUAL (Caixas consultadas para simples 'conferência de quantitativo' ou do 'conteúdo do espelho' em atividades diversas)</t>
      </is>
    </nc>
  </rcc>
  <rcc rId="2224" sId="12">
    <nc r="B13" t="inlineStr">
      <is>
        <t>SEI (Depachos, Ofícios ou outros documentos assinados na unidade Diarq)</t>
      </is>
    </nc>
  </rcc>
</revisions>
</file>

<file path=xl/revisions/revisionLog1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25" sId="3">
    <oc r="J16">
      <f>Diego!AN16+Aelton!AN16+Leonam!AN16+Danilo!AN16+Marcos!AN16+Carlos!AN16+Alessandro!AN16</f>
    </oc>
    <nc r="J16">
      <f>Diego!AX16+Aelton!AX16+Leonam!AX16+Danilo!AX16+Marcos!AX16+Carlos!AX16+Alessandro!AX16</f>
    </nc>
  </rcc>
  <rcc rId="2226" sId="3">
    <oc r="J12">
      <f>Diego!AN12+Aelton!AN12+Leonam!AN12+Danilo!AN12+Marcos!AN12+Carlos!AN12+Alessandro!AN12</f>
    </oc>
    <nc r="J12">
      <f>Diego!AX12+Aelton!AX12+Leonam!AX12+Danilo!AX12+Marcos!AX12+Carlos!AX12+Alessandro!AX12</f>
    </nc>
  </rcc>
  <rcc rId="2227" sId="3">
    <oc r="J10">
      <f>Diego!AN10+Aelton!AN10+Leonam!AN10+Danilo!AN10+Marcos!AN10+Carlos!AN10+Alessandro!AN10</f>
    </oc>
    <nc r="J10">
      <f>Diego!AX10+Aelton!AX10+Leonam!AX10+Danilo!AX10+Marcos!AX10+Carlos!AX10+Alessandro!AX10</f>
    </nc>
  </rcc>
  <rcc rId="2228" sId="3">
    <oc r="J8">
      <f>Diego!AN8+Aelton!AN8+Leonam!AN8+Danilo!AN8+Marcos!AN8+Carlos!AN8+Alessandro!AN8</f>
    </oc>
    <nc r="J8">
      <f>Diego!AX8+Aelton!AX8+Leonam!AX8+Danilo!AX8+Marcos!AX8+Carlos!AX8+Alessandro!AX8</f>
    </nc>
  </rcc>
  <rcc rId="2229" sId="3">
    <oc r="J6">
      <f>Diego!AN6+Aelton!AN6+Leonam!AN6+Danilo!AN6+Marcos!AN6+Carlos!AN6+Alessandro!AN6</f>
    </oc>
    <nc r="J6">
      <f>Diego!AX6+Aelton!AX6+Leonam!AX6+Danilo!AX6+Marcos!AX6+Carlos!AX6+Alessandro!AX6</f>
    </nc>
  </rcc>
  <rcc rId="2230" sId="3">
    <oc r="J4">
      <f>Diego!AN4+Aelton!AN4+Leonam!AN4+Danilo!AN4+Marcos!AN4+Carlos!AN4+Alessandro!AN4</f>
    </oc>
    <nc r="J4">
      <f>Diego!AX4+Aelton!AX4+Leonam!AX4+Danilo!AX4+Marcos!AX4+Carlos!AX4+Alessandro!AX4</f>
    </nc>
  </rcc>
  <rcc rId="2231" sId="3">
    <oc r="J2">
      <f>Diego!AX2+Aelton!AX2+Leonam!AX2+Danilo!AX2+Marcos!AX2+Carlos!AX2+Alessandro!AX2</f>
    </oc>
    <nc r="J2">
      <f>Diego!AX2+Aelton!AX2+Leonam!AX2+Danilo!AX2+Marcos!AX2+Carlos!AX2+Alessandro!AX2</f>
    </nc>
  </rcc>
  <rcc rId="2232" sId="3">
    <oc r="J3">
      <f>Diego!AN3+Aelton!AN3+Leonam!AN3+Danilo!AN3+Marcos!AN3+Carlos!AN3+Alessandro!AN3</f>
    </oc>
    <nc r="J3">
      <f>Diego!AX3+Aelton!AX3+Leonam!AX3+Danilo!AX3+Marcos!AX3+Carlos!AX3+Alessandro!AX3</f>
    </nc>
  </rcc>
  <rcc rId="2233" sId="3">
    <oc r="J5">
      <f>Diego!AN5+Aelton!AN5+Leonam!AN5+Danilo!AN5+Marcos!AN5+Carlos!AN5+Alessandro!AN5</f>
    </oc>
    <nc r="J5">
      <f>Diego!AX5+Aelton!AX5+Leonam!AX5+Danilo!AX5+Marcos!AX5+Carlos!AX5+Alessandro!AX5</f>
    </nc>
  </rcc>
  <rcc rId="2234" sId="3">
    <oc r="J7">
      <f>Diego!AN7+Aelton!AN7+Leonam!AN7+Danilo!AN7+Marcos!AN7+Carlos!AN7+Alessandro!AN7</f>
    </oc>
    <nc r="J7">
      <f>Diego!AX7+Aelton!AX7+Leonam!AX7+Danilo!AX7+Marcos!AX7+Carlos!AX7+Alessandro!AX7</f>
    </nc>
  </rcc>
  <rcc rId="2235" sId="3">
    <oc r="J9">
      <f>Diego!AN9+Aelton!AN9+Leonam!AN9+Danilo!AN9+Marcos!AN9+Carlos!AN9+Alessandro!AN9</f>
    </oc>
    <nc r="J9">
      <f>Diego!AX9+Aelton!AX9+Leonam!AX9+Danilo!AX9+Marcos!AX9+Carlos!AX9+Alessandro!AX9</f>
    </nc>
  </rcc>
  <rcc rId="2236" sId="3">
    <oc r="J13">
      <f>Diego!AN13+Aelton!AN13+Leonam!AN13+Danilo!AN13+Marcos!AN13+Carlos!AN13+Alessandro!AN13</f>
    </oc>
    <nc r="J13">
      <f>Diego!AX13+Aelton!AX13+Leonam!AX13+Danilo!AX13+Marcos!AX13+Carlos!AX13+Alessandro!AX13</f>
    </nc>
  </rcc>
  <rcc rId="2237" sId="3">
    <oc r="J15">
      <f>Diego!AN15+Aelton!AN15+Leonam!AN15+Danilo!AN15+Marcos!AN15+Carlos!AN15+Alessandro!AN15</f>
    </oc>
    <nc r="J15">
      <f>Diego!AX15+Aelton!AX15+Leonam!AX15+Danilo!AX15+Marcos!AX15+Carlos!AX15+Alessandro!AX15</f>
    </nc>
  </rcc>
  <rcc rId="2238" sId="7">
    <oc r="AX12">
      <f>SUM(AS12:AW12)</f>
    </oc>
    <nc r="AX12">
      <f>SUM(AS12:AW12)</f>
    </nc>
  </rcc>
  <rcc rId="2239" sId="7">
    <oc r="AX15">
      <f>SUM(AS15:AW15)</f>
    </oc>
    <nc r="AX15">
      <f>SUM(AS15:AW15)</f>
    </nc>
  </rcc>
  <rcc rId="2240" sId="3">
    <oc r="J14">
      <f>Diego!AN14+Aelton!AN14+Leonam!AN14+Danilo!AN14+Marcos!AN14+Carlos!AN14+Alessandro!AN14</f>
    </oc>
    <nc r="J14">
      <f>Diego!AX14+Aelton!AX14+Leonam!AX14+Danilo!AX14+Marcos!AX14+Carlos!AX14+Alessandro!AX14</f>
    </nc>
  </rcc>
  <rcc rId="2241" sId="3">
    <oc r="J11">
      <f>Diego!AN11+Aelton!AN11+Leonam!AN11+Danilo!AN11+Marcos!AN11+Carlos!AN11+Alessandro!AN11</f>
    </oc>
    <nc r="J11">
      <f>Diego!AX11+Aelton!AX11+Leonam!AX11+Danilo!AX11+Marcos!AX11+Carlos!AX11+Alessandro!AX11</f>
    </nc>
  </rcc>
</revisions>
</file>

<file path=xl/revisions/revisionLog1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2" sId="9">
    <nc r="W10">
      <v>6</v>
    </nc>
  </rcc>
  <rcc rId="2243" sId="9">
    <nc r="W9">
      <v>4</v>
    </nc>
  </rcc>
  <rcc rId="2244" sId="9">
    <oc r="W11">
      <v>4</v>
    </oc>
    <nc r="W11"/>
  </rcc>
  <rcc rId="2245" sId="9">
    <oc r="W12">
      <v>5</v>
    </oc>
    <nc r="W12"/>
  </rcc>
  <rcc rId="2246" sId="9">
    <nc r="AB9">
      <v>12</v>
    </nc>
  </rcc>
  <rcc rId="2247" sId="9">
    <nc r="AB10">
      <v>12</v>
    </nc>
  </rcc>
  <rcc rId="2248" sId="9">
    <oc r="AB11">
      <v>12</v>
    </oc>
    <nc r="AB11"/>
  </rcc>
  <rcc rId="2249" sId="9">
    <oc r="AB12">
      <v>12</v>
    </oc>
    <nc r="AB12"/>
  </rcc>
  <rcc rId="2250" sId="9">
    <nc r="AH9">
      <v>13</v>
    </nc>
  </rcc>
  <rcc rId="2251" sId="9">
    <nc r="AH10">
      <v>13</v>
    </nc>
  </rcc>
  <rcc rId="2252" sId="9">
    <oc r="AH11">
      <v>14</v>
    </oc>
    <nc r="AH11"/>
  </rcc>
  <rcc rId="2253" sId="9">
    <oc r="AH12">
      <v>14</v>
    </oc>
    <nc r="AH12"/>
  </rcc>
  <rcc rId="2254" sId="9">
    <nc r="AN9">
      <v>13</v>
    </nc>
  </rcc>
  <rcc rId="2255" sId="9">
    <nc r="AN10">
      <v>13</v>
    </nc>
  </rcc>
  <rcc rId="2256" sId="9">
    <nc r="AQ10">
      <v>9</v>
    </nc>
  </rcc>
  <rcc rId="2257" sId="9">
    <nc r="AQ9">
      <v>9</v>
    </nc>
  </rcc>
  <rcc rId="2258" sId="9">
    <nc r="AT10">
      <v>5</v>
    </nc>
  </rcc>
  <rcc rId="2259" sId="9">
    <nc r="AT9">
      <v>5</v>
    </nc>
  </rcc>
  <rcc rId="2260" sId="9">
    <nc r="AV10">
      <v>5</v>
    </nc>
  </rcc>
  <rcc rId="2261" sId="9">
    <nc r="AV9">
      <v>5</v>
    </nc>
  </rcc>
  <rcc rId="2262" sId="9">
    <nc r="AW10">
      <v>5</v>
    </nc>
  </rcc>
  <rcc rId="2263" sId="9">
    <nc r="AW9">
      <v>5</v>
    </nc>
  </rcc>
</revisions>
</file>

<file path=xl/revisions/revisionLog1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64" sId="4">
    <nc r="AW12">
      <v>12</v>
    </nc>
  </rcc>
  <rcc rId="2265" sId="4">
    <nc r="AY12">
      <v>118</v>
    </nc>
  </rcc>
  <rcc rId="2266" sId="4">
    <nc r="AY15">
      <v>22</v>
    </nc>
  </rcc>
  <rcc rId="2267" sId="4" odxf="1" dxf="1">
    <nc r="AY18" t="inlineStr">
      <is>
        <t>passando a planilha escrita dos micros-filmes para planilha digital</t>
      </is>
    </nc>
    <odxf>
      <alignment wrapText="0"/>
    </odxf>
    <ndxf>
      <alignment wrapText="1"/>
    </ndxf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1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8" sId="10">
    <nc r="AV15">
      <v>7</v>
    </nc>
  </rcc>
  <rcc rId="2279" sId="10">
    <nc r="AW16">
      <v>6</v>
    </nc>
  </rcc>
  <rcc rId="2280" sId="10">
    <nc r="AS11">
      <v>4</v>
    </nc>
  </rcc>
  <rcc rId="2281" sId="10">
    <nc r="AS12">
      <v>42</v>
    </nc>
  </rcc>
  <rcc rId="2282" sId="10">
    <nc r="AO16">
      <v>227</v>
    </nc>
  </rcc>
  <rcc rId="2283" sId="10">
    <nc r="AP16">
      <v>264</v>
    </nc>
  </rcc>
  <rcc rId="2284" sId="10">
    <nc r="AQ16">
      <v>1235</v>
    </nc>
  </rcc>
  <rcc rId="2285" sId="10">
    <oc r="AO15">
      <v>227</v>
    </oc>
    <nc r="AO15"/>
  </rcc>
  <rcc rId="2286" sId="10">
    <oc r="AP15">
      <v>264</v>
    </oc>
    <nc r="AP15"/>
  </rcc>
  <rcc rId="2287" sId="10">
    <oc r="AQ15">
      <v>1235</v>
    </oc>
    <nc r="AQ15"/>
  </rcc>
</revisions>
</file>

<file path=xl/revisions/revisionLog1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8" sId="10">
    <nc r="AT11">
      <v>2</v>
    </nc>
  </rcc>
  <rcc rId="2289" sId="10">
    <nc r="AT12">
      <v>68</v>
    </nc>
  </rcc>
  <rcc rId="2290" sId="10">
    <nc r="AU11">
      <v>3</v>
    </nc>
  </rcc>
  <rcc rId="2291" sId="10">
    <nc r="AU12">
      <v>105</v>
    </nc>
  </rcc>
  <rcc rId="2292" sId="10">
    <nc r="AV11">
      <v>2</v>
    </nc>
  </rcc>
  <rcc rId="2293" sId="10">
    <nc r="AV12">
      <v>68</v>
    </nc>
  </rcc>
  <rcc rId="2294" sId="10" odxf="1" dxf="1">
    <nc r="AW17" t="inlineStr">
      <is>
        <t xml:space="preserve">  Pesquisa e busca por processo 
referente ao  214/95 (SIAFI nº 138116)
FUNDESPORTE.
23132.000438/95-22.
Total: 13 caixas.
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295" sId="10" odxf="1" dxf="1">
    <nc r="AS17" t="inlineStr">
      <is>
        <t>Preenchimento de planilha com inventário de microfilmes/audiovisual</t>
      </is>
    </nc>
    <odxf>
      <alignment wrapText="0"/>
    </odxf>
    <ndxf>
      <alignment wrapText="1"/>
    </ndxf>
  </rcc>
  <rcc rId="2296" sId="10" odxf="1" dxf="1">
    <nc r="AT17" t="inlineStr">
      <is>
        <t>Preenchimento de planilha com inventário de microfilmes/audiovisual</t>
      </is>
    </nc>
    <odxf>
      <alignment wrapText="0"/>
    </odxf>
    <ndxf>
      <alignment wrapText="1"/>
    </ndxf>
  </rcc>
  <rcc rId="2297" sId="10" odxf="1" dxf="1">
    <nc r="AU17" t="inlineStr">
      <is>
        <t>Preenchimento de planilha com inventário de microfilmes/audiovisual</t>
      </is>
    </nc>
    <odxf>
      <alignment wrapText="0"/>
    </odxf>
    <ndxf>
      <alignment wrapText="1"/>
    </ndxf>
  </rcc>
  <rcc rId="2298" sId="10" odxf="1" dxf="1">
    <nc r="AV17" t="inlineStr">
      <is>
        <t>Preenchimento de planilha com inventário de microfilmes/audiovisual</t>
      </is>
    </nc>
    <odxf>
      <alignment wrapText="0"/>
    </odxf>
    <ndxf>
      <alignment wrapText="1"/>
    </ndxf>
  </rcc>
  <rcc rId="2299" sId="10" odxf="1" dxf="1">
    <nc r="AM17" t="inlineStr">
      <is>
        <t>Preenchimento de planilha com inventário de microfilmes/audiovisual</t>
      </is>
    </nc>
    <odxf>
      <alignment wrapText="0"/>
    </odxf>
    <ndxf>
      <alignment wrapText="1"/>
    </ndxf>
  </rcc>
  <rcc rId="2300" sId="10" odxf="1" dxf="1">
    <nc r="AN17" t="inlineStr">
      <is>
        <t>Preenchimento de planilha com inventário de microfilmes/audiovisual</t>
      </is>
    </nc>
    <odxf>
      <alignment wrapText="0"/>
    </odxf>
    <ndxf>
      <alignment wrapText="1"/>
    </ndxf>
  </rcc>
  <rcc rId="2301" sId="10">
    <oc r="AO17" t="inlineStr">
      <is>
        <t>caixa remanejadas pra identificação se faz parte Microfilmagens/LBA</t>
      </is>
    </oc>
    <nc r="AO17" t="inlineStr">
      <is>
        <t>caixa remanejadas pra identificação se faz parte Microfilmagens/LBA
E
Preenchimento de planilha com inventário de microfilmes/audiovisual</t>
      </is>
    </nc>
  </rcc>
  <rcc rId="2302" sId="10">
    <oc r="AP17" t="inlineStr">
      <is>
        <t>caixa remanejadas pra identificação se faz parte Microfilmagens/LBA</t>
      </is>
    </oc>
    <nc r="AP17" t="inlineStr">
      <is>
        <t>caixa remanejadas pra identificação se faz parte Microfilmagens/LBA
E
Preenchimento de planilha com inventário de microfilmes/audiovisual</t>
      </is>
    </nc>
  </rcc>
  <rcc rId="2303" sId="10">
    <oc r="AQ17" t="inlineStr">
      <is>
        <t>caixa remanejadas pra identificação se faz parte Microfilmagens/LBA</t>
      </is>
    </oc>
    <nc r="AQ17" t="inlineStr">
      <is>
        <t>caixa remanejadas pra identificação se faz parte Microfilmagens/LBA
E
Preenchimento de planilha com inventário de microfilmes/audiovisual</t>
      </is>
    </nc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Danilo!$A$1:$A$31</formula>
    <oldFormula>Danilo!$A$1:$A$31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9" customView="1" name="Z_3D987F8E_A6EA_454D_9537_6BFC5053CB00_.wvu.FilterData" hidden="1" oldHidden="1">
    <formula>Carlos!$A$1:$A$18</formula>
    <oldFormula>Carlos!$A$1:$A$18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cv guid="{3D987F8E-A6EA-454D-9537-6BFC5053CB00}" action="add"/>
</revisions>
</file>

<file path=xl/revisions/revisionLog1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Y17" start="0" length="0">
    <dxf>
      <alignment wrapText="1"/>
    </dxf>
  </rfmt>
  <rcc rId="2314" sId="8">
    <nc r="AY17" t="inlineStr">
      <is>
        <t>PROCURANDO CAIXAS PARA ELIMINAÇÃO PARA SR. CARLOS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1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25" sId="4" odxf="1" dxf="1">
    <nc r="AZ18" t="inlineStr">
      <is>
        <t>passando a planilha escrita dos micros-filmes para planilha digital</t>
      </is>
    </nc>
    <odxf>
      <alignment wrapText="0"/>
    </odxf>
    <ndxf>
      <alignment wrapText="1"/>
    </ndxf>
  </rcc>
  <rcc rId="2326" sId="4">
    <nc r="AZ12">
      <v>85</v>
    </nc>
  </rcc>
  <rfmt sheetId="4" sqref="AZ17">
    <dxf>
      <alignment wrapText="1"/>
    </dxf>
  </rfmt>
  <rcc rId="2327" sId="4">
    <nc r="AZ17" t="inlineStr">
      <is>
        <t xml:space="preserve">Olhando tds a salas na parte da tarde com a  CPMT  </t>
      </is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1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Y17">
    <dxf>
      <alignment wrapText="1"/>
    </dxf>
  </rfmt>
  <rfmt sheetId="10" sqref="AZ17" start="0" length="0">
    <dxf>
      <alignment wrapText="1"/>
    </dxf>
  </rfmt>
  <rcc rId="2338" sId="10">
    <nc r="AZ17" t="inlineStr">
      <is>
        <r>
          <t>Continuação Revisão planilha do Inventário do</t>
        </r>
        <r>
          <rPr>
            <b/>
            <sz val="11"/>
            <color theme="1"/>
            <rFont val="Aptos Narrow"/>
            <family val="2"/>
          </rPr>
          <t xml:space="preserve"> ARCEN</t>
        </r>
        <r>
          <rPr>
            <sz val="11"/>
            <color theme="1"/>
            <rFont val="Aptos Narrow"/>
            <family val="2"/>
          </rPr>
          <t xml:space="preserve">
e Consolidação auxílio do Marcelo</t>
        </r>
      </is>
    </nc>
  </rcc>
  <rcc rId="2339" sId="10">
    <nc r="AY17" t="inlineStr">
      <is>
        <r>
          <t xml:space="preserve">Revisão planilha do Inventário do </t>
        </r>
        <r>
          <rPr>
            <b/>
            <sz val="11"/>
            <color theme="1"/>
            <rFont val="Aptos Narrow"/>
            <family val="2"/>
          </rPr>
          <t>ARCEN</t>
        </r>
      </is>
    </nc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Danilo!$A$1:$A$31</formula>
    <oldFormula>Danilo!$A$1:$A$31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9" customView="1" name="Z_3D987F8E_A6EA_454D_9537_6BFC5053CB00_.wvu.FilterData" hidden="1" oldHidden="1">
    <formula>Carlos!$A$1:$A$18</formula>
    <oldFormula>Carlos!$A$1:$A$18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cv guid="{3D987F8E-A6EA-454D-9537-6BFC5053CB00}" action="add"/>
</revisions>
</file>

<file path=xl/revisions/revisionLog1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0" sId="8">
    <nc r="AZ17" t="inlineStr">
      <is>
        <t>CONTAGEM DE ESPAÇO VAGOS NOS MODULOS E ESTANTES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1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BB17">
    <dxf>
      <alignment wrapText="1"/>
    </dxf>
  </rfmt>
  <rfmt sheetId="8" sqref="AZ17">
    <dxf>
      <alignment wrapText="1"/>
    </dxf>
  </rfmt>
  <rcc rId="2361" sId="8" odxf="1" dxf="1">
    <nc r="BA17" t="inlineStr">
      <is>
        <t>CONTAGEM DE ESPAÇO VAGOS NOS MODULOS E ESTANTES</t>
      </is>
    </nc>
    <odxf>
      <alignment wrapText="0"/>
    </odxf>
    <ndxf>
      <alignment wrapText="1"/>
    </ndxf>
  </rcc>
  <rcc rId="2362" sId="8">
    <oc r="AZ17" t="inlineStr">
      <is>
        <t>CONTAGEM DE ESPAÇO VAGOS NOS MODULOS E ESTANTES</t>
      </is>
    </oc>
    <nc r="AZ17"/>
  </rcc>
  <rcc rId="2363" sId="8">
    <nc r="AY12">
      <v>10</v>
    </nc>
  </rcc>
  <rcc rId="2364" sId="8">
    <nc r="BA12">
      <v>87</v>
    </nc>
  </rcc>
</revisions>
</file>

<file path=xl/revisions/revisionLog1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65" sId="8">
    <oc r="BA17" t="inlineStr">
      <is>
        <t>CONTAGEM DE ESPAÇO VAGOS NOS MODULOS E ESTANTES</t>
      </is>
    </oc>
    <nc r="BA17" t="inlineStr">
      <is>
        <t>CONTAGEM DE ESPAÇO VAGOS NOS MODULOS E ESTANTES SALA 4.47</t>
      </is>
    </nc>
  </rcc>
</revisions>
</file>

<file path=xl/revisions/revisionLog1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66" sId="6" odxf="1" dxf="1">
    <nc r="AY17" t="inlineStr">
      <is>
        <t>passando a planilha escrita dos micros-filmes para planilha digital</t>
      </is>
    </nc>
    <odxf>
      <alignment wrapText="0"/>
    </odxf>
    <ndxf>
      <alignment wrapText="1"/>
    </ndxf>
  </rcc>
  <rcc rId="2367" sId="6" odxf="1" dxf="1">
    <nc r="AZ17" t="inlineStr">
      <is>
        <t>passando a planilha escrita dos micros-filmes para planilha digital</t>
      </is>
    </nc>
    <odxf>
      <alignment wrapText="0"/>
    </odxf>
    <ndxf>
      <alignment wrapText="1"/>
    </ndxf>
  </rcc>
  <rcc rId="2368" sId="6" odxf="1" dxf="1">
    <nc r="BA17" t="inlineStr">
      <is>
        <t>passando a planilha escrita dos micros-filmes para planilha digital</t>
      </is>
    </nc>
    <odxf>
      <alignment wrapText="0"/>
    </odxf>
    <ndxf>
      <alignment wrapText="1"/>
    </ndxf>
  </rcc>
  <rfmt sheetId="6" sqref="AY18">
    <dxf>
      <alignment wrapText="1"/>
    </dxf>
  </rfmt>
  <rcc rId="2369" sId="6" odxf="1" dxf="1">
    <nc r="AZ18" t="inlineStr">
      <is>
        <t xml:space="preserve">procurando caixas de eliminação p/ o Carlos </t>
      </is>
    </nc>
    <odxf>
      <alignment wrapText="0"/>
    </odxf>
    <ndxf>
      <alignment wrapText="1"/>
    </ndxf>
  </rcc>
  <rcc rId="2370" sId="6" odxf="1" dxf="1">
    <nc r="BA18" t="inlineStr">
      <is>
        <t xml:space="preserve">procurando caixas de eliminação p/ o Carlos </t>
      </is>
    </nc>
    <odxf>
      <alignment wrapText="0"/>
    </odxf>
    <ndxf>
      <alignment wrapText="1"/>
    </ndxf>
  </rcc>
  <rcc rId="2371" sId="6" odxf="1" dxf="1">
    <nc r="BB18" t="inlineStr">
      <is>
        <t xml:space="preserve">procurando caixas de eliminação p/ o Carlos </t>
      </is>
    </nc>
    <odxf>
      <alignment wrapText="0"/>
    </odxf>
    <ndxf>
      <alignment wrapText="1"/>
    </ndxf>
  </rcc>
  <rcc rId="2372" sId="6" odxf="1" dxf="1">
    <nc r="BB17" t="inlineStr">
      <is>
        <t>passando a planilha escrita dos micros-filmes para planilha digital</t>
      </is>
    </nc>
    <odxf>
      <alignment wrapText="0"/>
    </odxf>
    <ndxf>
      <alignment wrapText="1"/>
    </ndxf>
  </rcc>
  <rcc rId="2373" sId="6">
    <nc r="AY12">
      <v>81</v>
    </nc>
  </rcc>
  <rcc rId="2374" sId="6">
    <nc r="AZ12">
      <v>31</v>
    </nc>
  </rcc>
  <rcc rId="2375" sId="6">
    <nc r="AS12">
      <v>39</v>
    </nc>
  </rcc>
  <rcc rId="2376" sId="6">
    <nc r="AT12">
      <v>32</v>
    </nc>
  </rcc>
  <rcc rId="2377" sId="6">
    <nc r="AU12">
      <v>30</v>
    </nc>
  </rcc>
  <rcc rId="2378" sId="6">
    <nc r="AV12">
      <v>26</v>
    </nc>
  </rcc>
  <rcc rId="2379" sId="6">
    <oc r="AW17" t="inlineStr">
      <is>
        <t>passando a planilha escrita dos micros-filmes para planilha digital</t>
      </is>
    </oc>
    <nc r="AW17" t="inlineStr">
      <is>
        <t xml:space="preserve">procurando caixas de eliminação p/ o Carlos </t>
      </is>
    </nc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Danilo!$A$1:$A$31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1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0" sId="10" odxf="1" dxf="1">
    <nc r="BA17" t="inlineStr">
      <is>
        <r>
          <t>Continuação Revisão planilha do Inventário do</t>
        </r>
        <r>
          <rPr>
            <b/>
            <sz val="11"/>
            <color theme="1"/>
            <rFont val="Aptos Narrow"/>
            <family val="2"/>
          </rPr>
          <t xml:space="preserve"> ARCEN</t>
        </r>
        <r>
          <rPr>
            <sz val="11"/>
            <color theme="1"/>
            <rFont val="Aptos Narrow"/>
            <family val="2"/>
          </rPr>
          <t xml:space="preserve">
e Consolidação auxílio do Marcelo</t>
        </r>
      </is>
    </nc>
    <odxf>
      <alignment wrapText="0"/>
    </odxf>
    <ndxf>
      <alignment wrapText="1"/>
    </ndxf>
  </rcc>
  <rcc rId="2391" sId="10" odxf="1" dxf="1">
    <nc r="BB17" t="inlineStr">
      <is>
        <r>
          <t>Continuação Revisão planilha do Inventário do</t>
        </r>
        <r>
          <rPr>
            <b/>
            <sz val="11"/>
            <color theme="1"/>
            <rFont val="Aptos Narrow"/>
            <family val="2"/>
          </rPr>
          <t xml:space="preserve"> ARCEN</t>
        </r>
        <r>
          <rPr>
            <sz val="11"/>
            <color theme="1"/>
            <rFont val="Aptos Narrow"/>
            <family val="2"/>
          </rPr>
          <t xml:space="preserve">
e Consolidação auxílio do Marcelo</t>
        </r>
      </is>
    </nc>
    <odxf>
      <alignment wrapText="0"/>
    </odxf>
    <ndxf>
      <alignment wrapText="1"/>
    </ndxf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Danilo!$A$1:$A$31</formula>
    <oldFormula>Danilo!$A$1:$A$31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9" customView="1" name="Z_3D987F8E_A6EA_454D_9537_6BFC5053CB00_.wvu.FilterData" hidden="1" oldHidden="1">
    <formula>Carlos!$A$1:$A$18</formula>
    <oldFormula>Carlos!$A$1:$A$18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cv guid="{3D987F8E-A6EA-454D-9537-6BFC5053CB00}" action="add"/>
</revisions>
</file>

<file path=xl/revisions/revisionLog1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2" sId="4">
    <nc r="BA12">
      <v>24</v>
    </nc>
  </rcc>
  <rcc rId="2403" sId="4">
    <nc r="BA15">
      <v>14</v>
    </nc>
  </rcc>
  <rcc rId="2404" sId="4">
    <nc r="BA18" t="inlineStr">
      <is>
        <t xml:space="preserve">PROCURANDO CAIXAS PARA ELIMINAÇÃO </t>
      </is>
    </nc>
  </rcc>
  <rfmt sheetId="4" sqref="BA18">
    <dxf>
      <alignment wrapText="1"/>
    </dxf>
  </rfmt>
  <rfmt sheetId="4" sqref="BB18" start="0" length="0">
    <dxf>
      <alignment wrapText="1"/>
    </dxf>
  </rfmt>
  <rcc rId="2405" sId="4">
    <nc r="BB18" t="inlineStr">
      <is>
        <t xml:space="preserve">PROCURANDO CAIXAS PARA ELIMINAÇÃO NO TOTAL OLHEI 3000 MIL CAIXAS  </t>
      </is>
    </nc>
  </rcc>
  <rcc rId="2406" sId="4">
    <nc r="BB12">
      <v>18</v>
    </nc>
  </rcc>
</revisions>
</file>

<file path=xl/revisions/revisionLog1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7" sId="8">
    <nc r="AZ17" t="inlineStr">
      <is>
        <t>CONTAGEM DE ESPAÇO VAGOS NOS MODULOS E ESTANTES SALA 4.47</t>
      </is>
    </nc>
  </rcc>
  <rcc rId="2408" sId="8">
    <oc r="BA17" t="inlineStr">
      <is>
        <t>CONTAGEM DE ESPAÇO VAGOS NOS MODULOS E ESTANTES SALA 4.47</t>
      </is>
    </oc>
    <nc r="BA17" t="inlineStr">
      <is>
        <t>CONTAGEM DE ESPAÇO VAGOS NOS MODULOS E ESTANTES SALA 3.60</t>
      </is>
    </nc>
  </rcc>
  <rcc rId="2409" sId="8">
    <nc r="BB17" t="inlineStr">
      <is>
        <t>CONTAGEM DE ESPAÇO VAGOS NOS MODULOS E ESTANTES SALA 3.35 e 3.61</t>
      </is>
    </nc>
  </rcc>
  <rcc rId="2410" sId="8">
    <nc r="AZ12">
      <v>87</v>
    </nc>
  </rcc>
  <rcc rId="2411" sId="8">
    <oc r="BA12">
      <v>87</v>
    </oc>
    <nc r="BA12"/>
  </rcc>
</revisions>
</file>

<file path=xl/revisions/revisionLog1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2" sId="7">
    <oc r="AL15">
      <f>SUM(AG15:AK15)</f>
    </oc>
    <nc r="AL15">
      <f>SUM(AG15:AK15)</f>
    </nc>
  </rcc>
  <rcv guid="{B3CDE377-BA5D-4E06-91D9-3A48E1959BA5}" action="delete"/>
  <rdn rId="0" localSheetId="1" customView="1" name="Z_B3CDE377_BA5D_4E06_91D9_3A48E1959BA5_.wvu.FilterData" hidden="1" oldHidden="1">
    <formula>Patrícia!$A$1:$A$18</formula>
    <oldFormula>Patrícia!$A$1:$A$18</oldFormula>
  </rdn>
  <rdn rId="0" localSheetId="2" customView="1" name="Z_B3CDE377_BA5D_4E06_91D9_3A48E1959BA5_.wvu.FilterData" hidden="1" oldHidden="1">
    <formula>Marcelo!$A$1:$A$18</formula>
    <oldFormula>Marcelo!$A$1:$A$18</oldFormula>
  </rdn>
  <rdn rId="0" localSheetId="3" customView="1" name="Z_B3CDE377_BA5D_4E06_91D9_3A48E1959BA5_.wvu.FilterData" hidden="1" oldHidden="1">
    <formula>TOTAL!$A$1:$A$18</formula>
    <oldFormula>TOTAL!$A$1:$A$18</oldFormula>
  </rdn>
  <rdn rId="0" localSheetId="4" customView="1" name="Z_B3CDE377_BA5D_4E06_91D9_3A48E1959BA5_.wvu.FilterData" hidden="1" oldHidden="1">
    <formula>Diego!$A$1:$A$18</formula>
    <oldFormula>Diego!$A$1:$A$18</oldFormula>
  </rdn>
  <rdn rId="0" localSheetId="5" customView="1" name="Z_B3CDE377_BA5D_4E06_91D9_3A48E1959BA5_.wvu.FilterData" hidden="1" oldHidden="1">
    <formula>Aelton!$A$1:$A$18</formula>
    <oldFormula>Aelton!$A$1:$A$18</oldFormula>
  </rdn>
  <rdn rId="0" localSheetId="6" customView="1" name="Z_B3CDE377_BA5D_4E06_91D9_3A48E1959BA5_.wvu.FilterData" hidden="1" oldHidden="1">
    <formula>Leonam!$A$1:$BD$18</formula>
    <oldFormula>Leonam!$A$1:$BD$18</oldFormula>
  </rdn>
  <rdn rId="0" localSheetId="7" customView="1" name="Z_B3CDE377_BA5D_4E06_91D9_3A48E1959BA5_.wvu.FilterData" hidden="1" oldHidden="1">
    <formula>Danilo!$A$1:$A$31</formula>
    <oldFormula>Danilo!$A$1:$A$31</oldFormula>
  </rdn>
  <rdn rId="0" localSheetId="8" customView="1" name="Z_B3CDE377_BA5D_4E06_91D9_3A48E1959BA5_.wvu.FilterData" hidden="1" oldHidden="1">
    <formula>Marcos!$A$1:$A$18</formula>
    <oldFormula>Marcos!$A$1:$A$18</oldFormula>
  </rdn>
  <rdn rId="0" localSheetId="9" customView="1" name="Z_B3CDE377_BA5D_4E06_91D9_3A48E1959BA5_.wvu.FilterData" hidden="1" oldHidden="1">
    <formula>Carlos!$A$1:$A$18</formula>
    <oldFormula>Carlos!$A$1:$A$18</oldFormula>
  </rdn>
  <rdn rId="0" localSheetId="10" customView="1" name="Z_B3CDE377_BA5D_4E06_91D9_3A48E1959BA5_.wvu.FilterData" hidden="1" oldHidden="1">
    <formula>Alessandro!$A$1:$A$18</formula>
    <oldFormula>Alessandro!$A$1:$A$18</oldFormula>
  </rdn>
  <rcv guid="{B3CDE377-BA5D-4E06-91D9-3A48E1959BA5}" action="add"/>
</revisions>
</file>

<file path=xl/revisions/revisionLog1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3" sId="6">
    <nc r="BB12">
      <v>35</v>
    </nc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Danilo!$A$1:$A$31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1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Z2" start="0" length="0">
    <dxf>
      <alignment wrapText="1"/>
    </dxf>
  </rfmt>
  <rfmt sheetId="5" sqref="AZ3" start="0" length="0">
    <dxf>
      <alignment wrapText="1"/>
    </dxf>
  </rfmt>
  <rfmt sheetId="5" sqref="AZ4" start="0" length="0">
    <dxf>
      <alignment wrapText="1"/>
    </dxf>
  </rfmt>
  <rfmt sheetId="5" sqref="AZ5" start="0" length="0">
    <dxf>
      <alignment wrapText="1"/>
    </dxf>
  </rfmt>
  <rfmt sheetId="5" sqref="AZ6" start="0" length="0">
    <dxf>
      <alignment wrapText="1"/>
    </dxf>
  </rfmt>
  <rfmt sheetId="5" sqref="AZ7" start="0" length="0">
    <dxf>
      <alignment wrapText="1"/>
    </dxf>
  </rfmt>
  <rfmt sheetId="5" sqref="AZ8" start="0" length="0">
    <dxf>
      <alignment wrapText="1"/>
    </dxf>
  </rfmt>
  <rfmt sheetId="5" sqref="AZ9" start="0" length="0">
    <dxf>
      <alignment wrapText="1"/>
    </dxf>
  </rfmt>
  <rfmt sheetId="5" sqref="AZ10" start="0" length="0">
    <dxf>
      <alignment wrapText="1"/>
    </dxf>
  </rfmt>
  <rfmt sheetId="5" sqref="AZ11" start="0" length="0">
    <dxf>
      <alignment wrapText="1"/>
    </dxf>
  </rfmt>
  <rcc rId="2434" sId="5" odxf="1" dxf="1">
    <nc r="AZ12">
      <v>21</v>
    </nc>
    <odxf>
      <alignment wrapText="0"/>
    </odxf>
    <ndxf>
      <alignment wrapText="1"/>
    </ndxf>
  </rcc>
  <rfmt sheetId="5" sqref="AZ13" start="0" length="0">
    <dxf>
      <alignment wrapText="1"/>
    </dxf>
  </rfmt>
  <rfmt sheetId="5" sqref="AZ14" start="0" length="0">
    <dxf>
      <alignment wrapText="1"/>
    </dxf>
  </rfmt>
  <rfmt sheetId="5" sqref="AZ15" start="0" length="0">
    <dxf>
      <alignment wrapText="1"/>
    </dxf>
  </rfmt>
  <rcc rId="2435" sId="5" odxf="1" dxf="1">
    <nc r="AY16">
      <v>4</v>
    </nc>
    <odxf>
      <border outline="0">
        <bottom style="thin">
          <color indexed="64"/>
        </bottom>
      </border>
    </odxf>
    <ndxf>
      <border outline="0">
        <bottom/>
      </border>
    </ndxf>
  </rcc>
  <rfmt sheetId="5" sqref="AZ16" start="0" length="0">
    <dxf>
      <alignment wrapText="1"/>
      <border outline="0">
        <bottom/>
      </border>
    </dxf>
  </rfmt>
  <rfmt sheetId="5" sqref="BA16" start="0" length="0">
    <dxf>
      <border outline="0">
        <bottom/>
      </border>
    </dxf>
  </rfmt>
  <rfmt sheetId="5" sqref="BB16" start="0" length="0">
    <dxf>
      <border outline="0">
        <bottom/>
      </border>
    </dxf>
  </rfmt>
  <rfmt sheetId="5" sqref="BC16" start="0" length="0">
    <dxf>
      <border outline="0">
        <bottom/>
      </border>
    </dxf>
  </rfmt>
  <rcc rId="2436" sId="5" odxf="1" dxf="1">
    <nc r="AY17" t="inlineStr">
      <is>
        <t>1. Busca e conferência de caixas de microfilmes LBA.
Total: 4 caixas, sendo 1 de fita k-7.
2. Aguardando o pessoal para retirar as 6 baias da sala 3.11.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437" sId="5" odxf="1" dxf="1">
    <nc r="AZ17" t="inlineStr">
      <is>
        <t>1. Aguardando o pessoal para retirar as 6 baias da sala 3.11.
2. Reunião às 10h da manhã com a chefe Patrícia.
3. Inventário fitas k-7 LBA.
Total: 21</t>
      </is>
    </nc>
    <odxf>
      <alignment wrapText="0"/>
    </odxf>
    <ndxf>
      <alignment wrapText="1"/>
    </ndxf>
  </rcc>
  <rcc rId="2438" sId="5" odxf="1" dxf="1">
    <nc r="BA17" t="inlineStr">
      <is>
        <t>Levantamento de espaços de caixa nos Arquivos - DNIT.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439" sId="5" odxf="1" dxf="1">
    <nc r="BB17" t="inlineStr">
      <is>
        <t>Levantamento de espaços de caixa nos Arquivos - DNIT.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440" sId="5" odxf="1" dxf="1">
    <nc r="BC17" t="inlineStr">
      <is>
        <t>Alimentação planilha Espaços em Aberto de caixa nos Arquivos - DNIT.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61" sId="4">
    <nc r="BC12">
      <v>78</v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1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2" sId="5">
    <oc r="BB17" t="inlineStr">
      <is>
        <t>Levantamento de espaços de caixa nos Arquivos - DNIT.</t>
      </is>
    </oc>
    <nc r="BB17" t="inlineStr">
      <is>
        <r>
          <t xml:space="preserve">Levantamento de espaços de caixa nos Arquivos - DNIT.
</t>
        </r>
        <r>
          <rPr>
            <b/>
            <sz val="11"/>
            <color theme="1"/>
            <rFont val="Aptos Narrow"/>
            <family val="2"/>
          </rPr>
          <t>Total de espaços: 1604.</t>
        </r>
      </is>
    </nc>
  </rcc>
</revisions>
</file>

<file path=xl/revisions/revisionLog1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BC17">
    <dxf>
      <alignment wrapText="1"/>
    </dxf>
  </rfmt>
  <rcc rId="2473" sId="8">
    <nc r="BC17" t="inlineStr">
      <is>
        <t>ALIMENTANDO A PLANILHA DE ESPAÇOS NOS ARQUIVO TOTAL DE 1.604 ESPAÇOS</t>
      </is>
    </nc>
  </rcc>
  <rcc rId="2474" sId="8">
    <oc r="AZ12">
      <v>87</v>
    </oc>
    <nc r="AZ12"/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1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5" sId="6">
    <nc r="BC12">
      <v>35</v>
    </nc>
  </rcc>
  <rcc rId="2486" sId="6" odxf="1" dxf="1">
    <nc r="BC17" t="inlineStr">
      <is>
        <t>passando a planilha escrita dos micros-filmes para planilha digital</t>
      </is>
    </nc>
    <odxf>
      <alignment wrapText="0"/>
    </odxf>
    <ndxf>
      <alignment wrapText="1"/>
    </ndxf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Danilo!$A$1:$A$31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1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B3CDE377-BA5D-4E06-91D9-3A48E1959BA5}" action="delete"/>
  <rdn rId="0" localSheetId="1" customView="1" name="Z_B3CDE377_BA5D_4E06_91D9_3A48E1959BA5_.wvu.FilterData" hidden="1" oldHidden="1">
    <formula>Patrícia!$A$1:$A$18</formula>
    <oldFormula>Patrícia!$A$1:$A$18</oldFormula>
  </rdn>
  <rdn rId="0" localSheetId="2" customView="1" name="Z_B3CDE377_BA5D_4E06_91D9_3A48E1959BA5_.wvu.FilterData" hidden="1" oldHidden="1">
    <formula>Marcelo!$A$1:$A$18</formula>
    <oldFormula>Marcelo!$A$1:$A$18</oldFormula>
  </rdn>
  <rdn rId="0" localSheetId="3" customView="1" name="Z_B3CDE377_BA5D_4E06_91D9_3A48E1959BA5_.wvu.FilterData" hidden="1" oldHidden="1">
    <formula>TOTAL!$A$1:$A$18</formula>
    <oldFormula>TOTAL!$A$1:$A$18</oldFormula>
  </rdn>
  <rdn rId="0" localSheetId="4" customView="1" name="Z_B3CDE377_BA5D_4E06_91D9_3A48E1959BA5_.wvu.FilterData" hidden="1" oldHidden="1">
    <formula>Diego!$A$1:$A$18</formula>
    <oldFormula>Diego!$A$1:$A$18</oldFormula>
  </rdn>
  <rdn rId="0" localSheetId="5" customView="1" name="Z_B3CDE377_BA5D_4E06_91D9_3A48E1959BA5_.wvu.FilterData" hidden="1" oldHidden="1">
    <formula>Aelton!$A$1:$A$18</formula>
    <oldFormula>Aelton!$A$1:$A$18</oldFormula>
  </rdn>
  <rdn rId="0" localSheetId="6" customView="1" name="Z_B3CDE377_BA5D_4E06_91D9_3A48E1959BA5_.wvu.FilterData" hidden="1" oldHidden="1">
    <formula>Leonam!$A$1:$BD$18</formula>
    <oldFormula>Leonam!$A$1:$BD$18</oldFormula>
  </rdn>
  <rdn rId="0" localSheetId="7" customView="1" name="Z_B3CDE377_BA5D_4E06_91D9_3A48E1959BA5_.wvu.FilterData" hidden="1" oldHidden="1">
    <formula>Danilo!$A$1:$A$31</formula>
    <oldFormula>Danilo!$A$1:$A$31</oldFormula>
  </rdn>
  <rdn rId="0" localSheetId="8" customView="1" name="Z_B3CDE377_BA5D_4E06_91D9_3A48E1959BA5_.wvu.FilterData" hidden="1" oldHidden="1">
    <formula>Marcos!$A$1:$A$18</formula>
    <oldFormula>Marcos!$A$1:$A$18</oldFormula>
  </rdn>
  <rdn rId="0" localSheetId="9" customView="1" name="Z_B3CDE377_BA5D_4E06_91D9_3A48E1959BA5_.wvu.FilterData" hidden="1" oldHidden="1">
    <formula>Carlos!$A$1:$A$18</formula>
    <oldFormula>Carlos!$A$1:$A$18</oldFormula>
  </rdn>
  <rdn rId="0" localSheetId="10" customView="1" name="Z_B3CDE377_BA5D_4E06_91D9_3A48E1959BA5_.wvu.FilterData" hidden="1" oldHidden="1">
    <formula>Alessandro!$A$1:$A$18</formula>
    <oldFormula>Alessandro!$A$1:$A$18</oldFormula>
  </rdn>
  <rcv guid="{B3CDE377-BA5D-4E06-91D9-3A48E1959BA5}" action="add"/>
</revisions>
</file>

<file path=xl/revisions/revisionLog1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07" sId="7" odxf="1" dxf="1">
    <nc r="AY17" t="inlineStr">
      <is>
        <t>PROCURANDO CAIXAS PARA ELIMINAÇÃO PARA SR. CARLOS</t>
      </is>
    </nc>
    <odxf>
      <alignment wrapText="0"/>
    </odxf>
    <ndxf>
      <alignment wrapText="1"/>
    </ndxf>
  </rcc>
  <rcc rId="2508" sId="7">
    <nc r="AZ12">
      <v>21</v>
    </nc>
  </rcc>
  <rcc rId="2509" sId="7" odxf="1" dxf="1">
    <nc r="BA17" t="inlineStr">
      <is>
        <t>Levantamento de espaços de caixa nos Arquivos - DNIT.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510" sId="7">
    <nc r="BB3">
      <v>3</v>
    </nc>
  </rcc>
  <rcc rId="2511" sId="7">
    <nc r="BB2">
      <v>1</v>
    </nc>
  </rcc>
  <rcc rId="2512" sId="7">
    <nc r="BB13">
      <v>2</v>
    </nc>
  </rcc>
  <rcc rId="2513" sId="7">
    <nc r="BC15">
      <v>14</v>
    </nc>
  </rcc>
  <rcc rId="2514" sId="8">
    <nc r="BC15">
      <v>14</v>
    </nc>
  </rcc>
</revisions>
</file>

<file path=xl/revisions/revisionLog1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15" sId="8">
    <nc r="AZ12">
      <v>21</v>
    </nc>
  </rcc>
</revisions>
</file>

<file path=xl/revisions/revisionLog1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16" sId="5" odxf="1" dxf="1" numFmtId="21">
    <nc r="BE1">
      <v>45873</v>
    </nc>
    <odxf>
      <numFmt numFmtId="0" formatCode="General"/>
    </odxf>
    <ndxf>
      <numFmt numFmtId="21" formatCode="dd/mmm"/>
    </ndxf>
  </rcc>
  <rcc rId="2517" sId="5" odxf="1" dxf="1">
    <nc r="BE17" t="inlineStr">
      <is>
        <t>1. Procura de caixas para eliminação.
2. Acompanhamento da conferência dos parimônios no Bloco A, sala G-15</t>
      </is>
    </nc>
    <odxf>
      <alignment wrapText="0"/>
    </odxf>
    <ndxf>
      <alignment wrapText="1"/>
    </ndxf>
  </rcc>
  <rcc rId="2518" sId="5" odxf="1" dxf="1" numFmtId="21">
    <nc r="BF1">
      <v>45874</v>
    </nc>
    <odxf>
      <numFmt numFmtId="0" formatCode="General"/>
    </odxf>
    <ndxf>
      <numFmt numFmtId="21" formatCode="dd/mmm"/>
    </ndxf>
  </rcc>
  <rcc rId="2519" sId="5" odxf="1" dxf="1" numFmtId="21">
    <nc r="BG1">
      <v>45875</v>
    </nc>
    <odxf>
      <numFmt numFmtId="0" formatCode="General"/>
    </odxf>
    <ndxf>
      <numFmt numFmtId="21" formatCode="dd/mmm"/>
    </ndxf>
  </rcc>
  <rcc rId="2520" sId="5" odxf="1" dxf="1" numFmtId="21">
    <nc r="BH1">
      <v>45876</v>
    </nc>
    <odxf>
      <numFmt numFmtId="0" formatCode="General"/>
    </odxf>
    <ndxf>
      <numFmt numFmtId="21" formatCode="dd/mmm"/>
    </ndxf>
  </rcc>
  <rcc rId="2521" sId="5" odxf="1" dxf="1" numFmtId="21">
    <nc r="BI1">
      <v>45877</v>
    </nc>
    <odxf>
      <numFmt numFmtId="0" formatCode="General"/>
    </odxf>
    <ndxf>
      <numFmt numFmtId="21" formatCode="dd/mmm"/>
    </ndxf>
  </rcc>
  <rcc rId="2522" sId="5" odxf="1" dxf="1">
    <nc r="BJ1" t="inlineStr">
      <is>
        <t>TOTAL SEMANA</t>
      </is>
    </nc>
    <odxf>
      <fill>
        <patternFill patternType="none">
          <bgColor indexed="65"/>
        </patternFill>
      </fill>
      <border outline="0">
        <right/>
        <top/>
        <bottom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23" sId="5" odxf="1" dxf="1">
    <nc r="BJ2">
      <f>SUM(BE2:BI2)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24" sId="5" odxf="1" dxf="1">
    <nc r="BJ3">
      <f>SUM(BE3:BI3)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25" sId="5" odxf="1" dxf="1">
    <nc r="BJ4">
      <f>SUM(BE4:BI4)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26" sId="5" odxf="1" dxf="1">
    <nc r="BJ5">
      <f>SUM(BE5:BI5)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27" sId="5" odxf="1" dxf="1">
    <nc r="BJ6">
      <f>SUM(BE6:BI6)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28" sId="5" odxf="1" dxf="1">
    <nc r="BJ7">
      <f>SUM(BE7:BI7)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29" sId="5" odxf="1" dxf="1">
    <nc r="BJ8">
      <f>SUM(BE8:BI8)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30" sId="5" odxf="1" dxf="1">
    <nc r="BJ9">
      <f>SUM(BE9:BI9)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31" sId="5" odxf="1" dxf="1">
    <nc r="BJ10">
      <f>SUM(BE10:BI10)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32" sId="5" odxf="1" dxf="1">
    <nc r="BJ11">
      <f>SUM(BE11:BI11)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33" sId="5" odxf="1" dxf="1">
    <nc r="BJ12">
      <f>SUM(BE12:BI12)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34" sId="5" odxf="1" dxf="1">
    <nc r="BJ13">
      <f>SUM(BE13:BI13)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35" sId="5" odxf="1" dxf="1">
    <nc r="BJ14">
      <f>SUM(BE14:BI14)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36" sId="5" odxf="1" dxf="1">
    <nc r="BJ15">
      <f>SUM(BE15:BI15)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537" sId="5" odxf="1" dxf="1">
    <nc r="BJ16">
      <f>SUM(BE16:BI16)</f>
    </nc>
    <odxf>
      <fill>
        <patternFill patternType="none">
          <bgColor indexed="65"/>
        </patternFill>
      </fill>
      <border outline="0">
        <right/>
        <bottom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  <bottom style="thin">
          <color indexed="64"/>
        </bottom>
      </border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xfDxf="1" sqref="BF17" start="0" length="0">
    <dxf>
      <alignment horizontal="center" vertical="center"/>
    </dxf>
  </rfmt>
  <rcc rId="2548" sId="5" odxf="1" dxf="1">
    <nc r="BF17" t="inlineStr">
      <is>
        <t xml:space="preserve"> Procura de caixas para 
eliminação.</t>
      </is>
    </nc>
    <ndxf>
      <alignment wrapText="1"/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H1" start="0" length="0">
    <dxf>
      <numFmt numFmtId="19" formatCode="dd/mm/yyyy"/>
      <fill>
        <patternFill patternType="solid">
          <bgColor theme="6" tint="0.79998168889431442"/>
        </patternFill>
      </fill>
    </dxf>
  </rfmt>
  <rfmt sheetId="5" sqref="BH2" start="0" length="0">
    <dxf>
      <fill>
        <patternFill patternType="solid">
          <bgColor theme="6" tint="0.79998168889431442"/>
        </patternFill>
      </fill>
    </dxf>
  </rfmt>
  <rfmt sheetId="5" sqref="BH3" start="0" length="0">
    <dxf>
      <fill>
        <patternFill patternType="solid">
          <bgColor theme="6" tint="0.79998168889431442"/>
        </patternFill>
      </fill>
    </dxf>
  </rfmt>
  <rfmt sheetId="5" sqref="BH4" start="0" length="0">
    <dxf>
      <fill>
        <patternFill patternType="solid">
          <bgColor theme="6" tint="0.79998168889431442"/>
        </patternFill>
      </fill>
    </dxf>
  </rfmt>
  <rfmt sheetId="5" sqref="BH5" start="0" length="0">
    <dxf>
      <fill>
        <patternFill patternType="solid">
          <bgColor theme="6" tint="0.79998168889431442"/>
        </patternFill>
      </fill>
    </dxf>
  </rfmt>
  <rfmt sheetId="5" sqref="BH6" start="0" length="0">
    <dxf>
      <fill>
        <patternFill patternType="solid">
          <bgColor theme="6" tint="0.79998168889431442"/>
        </patternFill>
      </fill>
    </dxf>
  </rfmt>
  <rfmt sheetId="5" sqref="BH7" start="0" length="0">
    <dxf>
      <fill>
        <patternFill patternType="solid">
          <bgColor theme="6" tint="0.79998168889431442"/>
        </patternFill>
      </fill>
    </dxf>
  </rfmt>
  <rfmt sheetId="5" sqref="BH8" start="0" length="0">
    <dxf>
      <fill>
        <patternFill patternType="solid">
          <bgColor theme="6" tint="0.79998168889431442"/>
        </patternFill>
      </fill>
    </dxf>
  </rfmt>
  <rfmt sheetId="5" sqref="BH9" start="0" length="0">
    <dxf>
      <fill>
        <patternFill patternType="solid">
          <bgColor theme="6" tint="0.79998168889431442"/>
        </patternFill>
      </fill>
    </dxf>
  </rfmt>
  <rfmt sheetId="5" sqref="BH10" start="0" length="0">
    <dxf>
      <fill>
        <patternFill patternType="solid">
          <bgColor theme="6" tint="0.79998168889431442"/>
        </patternFill>
      </fill>
    </dxf>
  </rfmt>
  <rfmt sheetId="5" sqref="BH11" start="0" length="0">
    <dxf>
      <fill>
        <patternFill patternType="solid">
          <bgColor theme="6" tint="0.79998168889431442"/>
        </patternFill>
      </fill>
    </dxf>
  </rfmt>
  <rfmt sheetId="5" sqref="BH12" start="0" length="0">
    <dxf>
      <fill>
        <patternFill patternType="solid">
          <bgColor theme="6" tint="0.79998168889431442"/>
        </patternFill>
      </fill>
    </dxf>
  </rfmt>
  <rfmt sheetId="5" sqref="BH13" start="0" length="0">
    <dxf>
      <fill>
        <patternFill patternType="solid">
          <bgColor theme="6" tint="0.79998168889431442"/>
        </patternFill>
      </fill>
    </dxf>
  </rfmt>
  <rfmt sheetId="5" sqref="BH14" start="0" length="0">
    <dxf>
      <fill>
        <patternFill patternType="solid">
          <bgColor theme="6" tint="0.79998168889431442"/>
        </patternFill>
      </fill>
    </dxf>
  </rfmt>
  <rfmt sheetId="5" sqref="BH15" start="0" length="0">
    <dxf>
      <fill>
        <patternFill patternType="solid">
          <bgColor theme="6" tint="0.79998168889431442"/>
        </patternFill>
      </fill>
    </dxf>
  </rfmt>
  <rfmt sheetId="5" sqref="BH16" start="0" length="0">
    <dxf>
      <fill>
        <patternFill patternType="solid">
          <bgColor theme="6" tint="0.79998168889431442"/>
        </patternFill>
      </fill>
    </dxf>
  </rfmt>
  <rcc rId="2569" sId="5" odxf="1" dxf="1">
    <nc r="BH17" t="inlineStr">
      <is>
        <t>Palestra no Arquivo Nacional
Fomos liberados do Ponto Eletrônico.</t>
      </is>
    </nc>
    <odxf>
      <fill>
        <patternFill patternType="none">
          <bgColor indexed="65"/>
        </patternFill>
      </fill>
      <alignment wrapText="0"/>
      <border outline="0">
        <left/>
        <right/>
        <top/>
        <bottom/>
      </border>
    </odxf>
    <ndxf>
      <fill>
        <patternFill patternType="solid">
          <bgColor theme="6" tint="0.79998168889431442"/>
        </patternFill>
      </fill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</revisions>
</file>

<file path=xl/revisions/revisionLog1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E1" start="0" length="0">
    <dxf>
      <numFmt numFmtId="19" formatCode="dd/mm/yyyy"/>
    </dxf>
  </rfmt>
  <rfmt sheetId="5" sqref="BF1" start="0" length="0">
    <dxf>
      <numFmt numFmtId="19" formatCode="dd/mm/yyyy"/>
    </dxf>
  </rfmt>
  <rfmt sheetId="5" sqref="BG1" start="0" length="0">
    <dxf>
      <numFmt numFmtId="19" formatCode="dd/mm/yyyy"/>
    </dxf>
  </rfmt>
  <rfmt sheetId="5" sqref="BI1" start="0" length="0">
    <dxf>
      <numFmt numFmtId="19" formatCode="dd/mm/yyyy"/>
    </dxf>
  </rfmt>
  <rcc rId="2570" sId="5" odxf="1" dxf="1">
    <nc r="BG17" t="inlineStr">
      <is>
        <t xml:space="preserve"> Procura de caixas para 
eliminação.</t>
      </is>
    </nc>
    <odxf>
      <alignment wrapText="0"/>
    </odxf>
    <ndxf>
      <alignment wrapText="1"/>
    </ndxf>
  </rcc>
  <rcc rId="2571" sId="5" odxf="1" dxf="1">
    <nc r="BI17" t="inlineStr">
      <is>
        <t xml:space="preserve"> Pesquisa e busca pelo processo
71000.004542/2005-12 (SESAN)</t>
      </is>
    </nc>
    <odxf>
      <alignment wrapText="0"/>
    </odxf>
    <ndxf>
      <alignment wrapText="1"/>
    </ndxf>
  </rcc>
</revisions>
</file>

<file path=xl/revisions/revisionLog1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E1" start="0" length="0">
    <dxf>
      <numFmt numFmtId="21" formatCode="dd/mmm"/>
      <border outline="0">
        <top style="thin">
          <color indexed="64"/>
        </top>
        <bottom style="thin">
          <color indexed="64"/>
        </bottom>
      </border>
    </dxf>
  </rfmt>
  <rfmt sheetId="5" sqref="BF1" start="0" length="0">
    <dxf>
      <numFmt numFmtId="21" formatCode="dd/mmm"/>
      <border outline="0">
        <top style="thin">
          <color indexed="64"/>
        </top>
        <bottom style="thin">
          <color indexed="64"/>
        </bottom>
      </border>
    </dxf>
  </rfmt>
  <rfmt sheetId="5" sqref="BG1" start="0" length="0">
    <dxf>
      <numFmt numFmtId="21" formatCode="dd/mmm"/>
      <border outline="0">
        <top style="thin">
          <color indexed="64"/>
        </top>
        <bottom style="thin">
          <color indexed="64"/>
        </bottom>
      </border>
    </dxf>
  </rfmt>
  <rfmt sheetId="5" sqref="BH1" start="0" length="0">
    <dxf>
      <numFmt numFmtId="21" formatCode="dd/mmm"/>
      <fill>
        <patternFill patternType="none">
          <bgColor indexed="65"/>
        </patternFill>
      </fill>
      <border outline="0">
        <top style="thin">
          <color indexed="64"/>
        </top>
        <bottom style="thin">
          <color indexed="64"/>
        </bottom>
      </border>
    </dxf>
  </rfmt>
  <rfmt sheetId="5" sqref="BI1" start="0" length="0">
    <dxf>
      <numFmt numFmtId="21" formatCode="dd/mmm"/>
      <border outline="0">
        <top style="thin">
          <color indexed="64"/>
        </top>
        <bottom style="thin">
          <color indexed="64"/>
        </bottom>
      </border>
    </dxf>
  </rfmt>
</revisions>
</file>

<file path=xl/revisions/revisionLog1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72" sId="5">
    <oc r="BG17" t="inlineStr">
      <is>
        <t xml:space="preserve"> Procura de caixas para 
eliminação.</t>
      </is>
    </oc>
    <nc r="BG17" t="inlineStr">
      <is>
        <t>1. Procura de caixas para eliminação.
2. Acompanhamento da conferência dos parimônios no Bloco A, sala G-15</t>
      </is>
    </nc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83" sId="8" odxf="1" dxf="1">
    <nc r="BE17" t="inlineStr">
      <is>
        <t xml:space="preserve"> Procura de caixas para 
eliminação.</t>
      </is>
    </nc>
    <odxf>
      <alignment wrapText="0" readingOrder="0"/>
    </odxf>
    <ndxf>
      <alignment wrapText="1" readingOrder="0"/>
    </ndxf>
  </rcc>
  <rcc rId="2584" sId="8" odxf="1" dxf="1">
    <nc r="BF17" t="inlineStr">
      <is>
        <t xml:space="preserve"> Procura de caixas para 
eliminação.</t>
      </is>
    </nc>
    <odxf>
      <alignment wrapText="0" readingOrder="0"/>
    </odxf>
    <ndxf>
      <alignment wrapText="1" readingOrder="0"/>
    </ndxf>
  </rcc>
  <rcc rId="2585" sId="8" odxf="1" dxf="1">
    <nc r="BG17" t="inlineStr">
      <is>
        <t xml:space="preserve"> Procura de caixas para 
eliminação.</t>
      </is>
    </nc>
    <odxf>
      <alignment wrapText="0" readingOrder="0"/>
    </odxf>
    <ndxf>
      <alignment wrapText="1" readingOrder="0"/>
    </ndxf>
  </rcc>
  <rcc rId="2586" sId="8" odxf="1" dxf="1">
    <nc r="BH17" t="inlineStr">
      <is>
        <t>Palestra no Arquivo Nacional
Fomos liberados do Ponto Eletrônico.</t>
      </is>
    </nc>
    <odxf>
      <fill>
        <patternFill patternType="none">
          <bgColor indexed="65"/>
        </patternFill>
      </fill>
      <alignment wrapText="0" readingOrder="0"/>
      <border outline="0">
        <left/>
        <right/>
        <top/>
        <bottom/>
      </border>
    </odxf>
    <ndxf>
      <fill>
        <patternFill patternType="solid">
          <bgColor theme="6" tint="0.79998168889431442"/>
        </patternFill>
      </fill>
      <alignment wrapText="1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587" sId="8" odxf="1" dxf="1">
    <nc r="BI17" t="inlineStr">
      <is>
        <t xml:space="preserve"> Procura de caixas para 
eliminação.</t>
      </is>
    </nc>
    <odxf>
      <alignment wrapText="0" readingOrder="0"/>
    </odxf>
    <ndxf>
      <alignment wrapText="1" readingOrder="0"/>
    </ndxf>
  </rcc>
  <rcc rId="2588" sId="8" odxf="1" dxf="1" numFmtId="21">
    <nc r="BE1">
      <v>45873</v>
    </nc>
    <odxf>
      <numFmt numFmtId="0" formatCode="General"/>
    </odxf>
    <ndxf>
      <numFmt numFmtId="21" formatCode="dd/mmm"/>
    </ndxf>
  </rcc>
  <rcc rId="2589" sId="8" odxf="1" dxf="1" numFmtId="21">
    <nc r="BF1">
      <v>45874</v>
    </nc>
    <odxf>
      <numFmt numFmtId="0" formatCode="General"/>
    </odxf>
    <ndxf>
      <numFmt numFmtId="21" formatCode="dd/mmm"/>
    </ndxf>
  </rcc>
  <rcc rId="2590" sId="8" odxf="1" dxf="1" numFmtId="21">
    <nc r="BG1">
      <v>45875</v>
    </nc>
    <odxf>
      <numFmt numFmtId="0" formatCode="General"/>
    </odxf>
    <ndxf>
      <numFmt numFmtId="21" formatCode="dd/mmm"/>
    </ndxf>
  </rcc>
  <rcc rId="2591" sId="8" odxf="1" dxf="1" numFmtId="21">
    <nc r="BH1">
      <v>45876</v>
    </nc>
    <odxf>
      <numFmt numFmtId="0" formatCode="General"/>
    </odxf>
    <ndxf>
      <numFmt numFmtId="21" formatCode="dd/mmm"/>
    </ndxf>
  </rcc>
  <rcc rId="2592" sId="8" odxf="1" dxf="1" numFmtId="21">
    <nc r="BI1">
      <v>45877</v>
    </nc>
    <odxf>
      <numFmt numFmtId="0" formatCode="General"/>
    </odxf>
    <ndxf>
      <numFmt numFmtId="21" formatCode="dd/mmm"/>
    </ndxf>
  </rcc>
  <rcc rId="2593" sId="8" odxf="1" dxf="1">
    <nc r="BJ1" t="inlineStr">
      <is>
        <t>TOTAL SEMANA</t>
      </is>
    </nc>
    <odxf>
      <fill>
        <patternFill patternType="none">
          <bgColor indexed="65"/>
        </patternFill>
      </fill>
      <border outline="0">
        <right/>
        <top/>
        <bottom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94" sId="8" odxf="1" dxf="1" numFmtId="21">
    <nc r="BK1">
      <v>45880</v>
    </nc>
    <odxf>
      <numFmt numFmtId="0" formatCode="General"/>
    </odxf>
    <ndxf>
      <numFmt numFmtId="21" formatCode="dd/mmm"/>
    </ndxf>
  </rcc>
  <rcc rId="2595" sId="8" odxf="1" dxf="1" numFmtId="21">
    <nc r="BL1">
      <v>45881</v>
    </nc>
    <odxf>
      <numFmt numFmtId="0" formatCode="General"/>
    </odxf>
    <ndxf>
      <numFmt numFmtId="21" formatCode="dd/mmm"/>
    </ndxf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1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6" sId="8" odxf="1" dxf="1" numFmtId="21">
    <nc r="BM1">
      <v>45882</v>
    </nc>
    <odxf>
      <numFmt numFmtId="0" formatCode="General"/>
    </odxf>
    <ndxf>
      <numFmt numFmtId="21" formatCode="dd/mmm"/>
    </ndxf>
  </rcc>
</revisions>
</file>

<file path=xl/revisions/revisionLog1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7" sId="8">
    <nc r="BM17" t="inlineStr">
      <is>
        <t>Procurando processos no bloco A</t>
      </is>
    </nc>
  </rcc>
  <rfmt sheetId="8" sqref="BM17">
    <dxf>
      <alignment wrapText="1"/>
    </dxf>
  </rfmt>
  <rcc rId="2608" sId="8" odxf="1" dxf="1">
    <nc r="BK17" t="inlineStr">
      <is>
        <t xml:space="preserve"> Procura de caixas para 
eliminação.</t>
      </is>
    </nc>
    <odxf>
      <alignment wrapText="0"/>
    </odxf>
    <ndxf>
      <alignment wrapText="1"/>
    </ndxf>
  </rcc>
  <rcc rId="2609" sId="8" odxf="1" dxf="1">
    <nc r="BL17" t="inlineStr">
      <is>
        <t xml:space="preserve"> Procura de caixas para 
eliminação.</t>
      </is>
    </nc>
    <odxf>
      <alignment wrapText="0"/>
    </odxf>
    <ndxf>
      <alignment wrapText="1"/>
    </ndxf>
  </rcc>
</revisions>
</file>

<file path=xl/revisions/revisionLog1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0" sId="5" odxf="1" dxf="1" numFmtId="21">
    <nc r="BK1">
      <v>45880</v>
    </nc>
    <odxf>
      <numFmt numFmtId="0" formatCode="General"/>
    </odxf>
    <ndxf>
      <numFmt numFmtId="21" formatCode="dd/mmm"/>
    </ndxf>
  </rcc>
  <rcc rId="2611" sId="5" odxf="1" dxf="1" numFmtId="21">
    <nc r="BL1">
      <v>45881</v>
    </nc>
    <odxf>
      <numFmt numFmtId="0" formatCode="General"/>
    </odxf>
    <ndxf>
      <numFmt numFmtId="21" formatCode="dd/mmm"/>
    </ndxf>
  </rcc>
  <rcc rId="2612" sId="5" odxf="1" dxf="1" numFmtId="21">
    <nc r="BM1">
      <v>45882</v>
    </nc>
    <odxf>
      <numFmt numFmtId="0" formatCode="General"/>
    </odxf>
    <ndxf>
      <numFmt numFmtId="21" formatCode="dd/mmm"/>
    </ndxf>
  </rcc>
  <rcc rId="2613" sId="5" odxf="1" dxf="1" numFmtId="21">
    <nc r="BN1">
      <v>45883</v>
    </nc>
    <odxf>
      <numFmt numFmtId="0" formatCode="General"/>
    </odxf>
    <ndxf>
      <numFmt numFmtId="21" formatCode="dd/mmm"/>
    </ndxf>
  </rcc>
  <rcc rId="2614" sId="5" odxf="1" dxf="1" numFmtId="21">
    <nc r="BO1">
      <v>45884</v>
    </nc>
    <odxf>
      <numFmt numFmtId="0" formatCode="General"/>
    </odxf>
    <ndxf>
      <numFmt numFmtId="21" formatCode="dd/mmm"/>
    </ndxf>
  </rcc>
  <rcc rId="2615" sId="5" odxf="1" dxf="1">
    <nc r="BP1" t="inlineStr">
      <is>
        <t>TOTAL SEMANA</t>
      </is>
    </nc>
    <odxf>
      <fill>
        <patternFill patternType="none">
          <bgColor indexed="65"/>
        </patternFill>
      </fill>
      <border outline="0">
        <right/>
        <top/>
        <bottom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16" sId="5" odxf="1" dxf="1">
    <nc r="BP2">
      <f>SUM(BK2:BO2)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17" sId="5" odxf="1" dxf="1">
    <nc r="BP3">
      <f>SUM(BK3:BO3)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18" sId="5" odxf="1" dxf="1">
    <nc r="BP4">
      <f>SUM(BK4:BO4)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19" sId="5" odxf="1" dxf="1">
    <nc r="BP5">
      <f>SUM(BK5:BO5)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20" sId="5" odxf="1" dxf="1">
    <nc r="BP6">
      <f>SUM(BK6:BO6)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21" sId="5" odxf="1" dxf="1">
    <nc r="BP7">
      <f>SUM(BK7:BO7)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22" sId="5" odxf="1" dxf="1">
    <nc r="BP8">
      <f>SUM(BK8:BO8)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23" sId="5" odxf="1" dxf="1">
    <nc r="BP9">
      <f>SUM(BK9:BO9)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24" sId="5" odxf="1" dxf="1">
    <nc r="BP10">
      <f>SUM(BK10:BO10)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25" sId="5" odxf="1" dxf="1">
    <nc r="BP11">
      <f>SUM(BK11:BO11)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26" sId="5" odxf="1" dxf="1">
    <nc r="BP12">
      <f>SUM(BK12:BO12)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27" sId="5" odxf="1" dxf="1">
    <nc r="BP13">
      <f>SUM(BK13:BO13)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28" sId="5" odxf="1" dxf="1">
    <nc r="BP14">
      <f>SUM(BK14:BO14)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29" sId="5" odxf="1" dxf="1">
    <nc r="BP15">
      <f>SUM(BK15:BO15)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ndxf>
  </rcc>
  <rcc rId="2630" sId="5" odxf="1" dxf="1">
    <nc r="BP16">
      <f>SUM(BK16:BO16)</f>
    </nc>
    <odxf>
      <fill>
        <patternFill patternType="none">
          <bgColor indexed="65"/>
        </patternFill>
      </fill>
      <border outline="0">
        <right/>
        <bottom/>
      </border>
    </odxf>
    <ndxf>
      <fill>
        <patternFill patternType="solid">
          <bgColor theme="0" tint="-0.249977111117893"/>
        </patternFill>
      </fill>
      <border outline="0">
        <right style="thin">
          <color indexed="64"/>
        </right>
        <bottom style="thin">
          <color indexed="64"/>
        </bottom>
      </border>
    </ndxf>
  </rcc>
  <rcc rId="2631" sId="5">
    <nc r="BL14">
      <v>1</v>
    </nc>
  </rcc>
  <rcc rId="2632" sId="5" odxf="1" dxf="1">
    <nc r="BK17" t="inlineStr">
      <is>
        <r>
          <t xml:space="preserve"> Pesquisa e busca pelo processo
71000.004542/2005-12 (SESAN)
</t>
        </r>
        <r>
          <rPr>
            <sz val="11"/>
            <color rgb="FFFF0000"/>
            <rFont val="Aptos Narrow"/>
            <family val="2"/>
          </rPr>
          <t>Não encontrado registro de entrada neste arquivo.</t>
        </r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633" sId="5" odxf="1" dxf="1">
    <nc r="BL17" t="inlineStr">
      <is>
        <t xml:space="preserve">1. E-mail de orientação de desarquivamento para o Wederson da CGPC.
2. Pesquisa e busca pelo processo  44000.006180/1997-51 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634" sId="5" odxf="1" dxf="1">
    <nc r="BM17" t="inlineStr">
      <is>
        <t>1. Pesquisa e busca pelo processo  44000.006180/1997-51.
2. Pesquisa e busca pela pasta funcional - DYLENY TEIXEIRA ALVES DA SILVA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635" sId="5" odxf="1" dxf="1">
    <nc r="BN17" t="inlineStr">
      <is>
        <t xml:space="preserve"> 1. Pesquisa e busca pelo processo  44000.006180/1997-51.
2. Inventário de fotos LBA.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636" sId="5" odxf="1" dxf="1">
    <nc r="BO17" t="inlineStr">
      <is>
        <t>Inventário de Fotos LBA.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47" sId="4">
    <oc r="AD2">
      <v>2</v>
    </oc>
    <nc r="AD2"/>
  </rcc>
  <rcc rId="2648" sId="4">
    <oc r="AD3">
      <v>30</v>
    </oc>
    <nc r="AD3"/>
  </rcc>
  <rcc rId="2649" sId="4">
    <oc r="AB6">
      <v>12</v>
    </oc>
    <nc r="AB6"/>
  </rcc>
  <rcc rId="2650" sId="4">
    <oc r="AA11">
      <v>2</v>
    </oc>
    <nc r="AA11"/>
  </rcc>
  <rcc rId="2651" sId="4">
    <oc r="AB11">
      <v>3</v>
    </oc>
    <nc r="AB11"/>
  </rcc>
  <rcc rId="2652" sId="4">
    <oc r="AC11">
      <v>3</v>
    </oc>
    <nc r="AC11"/>
  </rcc>
  <rcc rId="2653" sId="4">
    <oc r="AE11">
      <v>3</v>
    </oc>
    <nc r="AE11"/>
  </rcc>
  <rcc rId="2654" sId="4">
    <oc r="AD13">
      <v>1</v>
    </oc>
    <nc r="AD13"/>
  </rcc>
  <rcc rId="2655" sId="4">
    <oc r="AA17" t="inlineStr">
      <is>
        <t xml:space="preserve">PROCURANDO CAIXAS PARA ELIMINAÇÃO </t>
      </is>
    </oc>
    <nc r="AA17"/>
  </rcc>
  <rcc rId="2656" sId="4">
    <oc r="AD17" t="inlineStr">
      <is>
        <t xml:space="preserve">PROCURANDO CAIXAS DA CGEOF/SESAN </t>
      </is>
    </oc>
    <nc r="AD17"/>
  </rcc>
  <rcc rId="2657" sId="4">
    <oc r="AA18" t="inlineStr">
      <is>
        <t xml:space="preserve">72 FITAS DE MICRO FILMES NUMERADAS </t>
      </is>
    </oc>
    <nc r="AA18"/>
  </rcc>
  <rcc rId="2658" sId="4">
    <oc r="AB18" t="inlineStr">
      <is>
        <t xml:space="preserve">96 FITAS DE MICRO FILMES NUMERADAS </t>
      </is>
    </oc>
    <nc r="AB18"/>
  </rcc>
  <rcc rId="2659" sId="4">
    <oc r="AC18" t="inlineStr">
      <is>
        <t xml:space="preserve">97 FITAS DE MICRO FILMES NUMERADAS </t>
      </is>
    </oc>
    <nc r="AC18"/>
  </rcc>
  <rcc rId="2660" sId="4">
    <oc r="AD18" t="inlineStr">
      <is>
        <t>2 PROCESSOS COM 34 VOLUMES</t>
      </is>
    </oc>
    <nc r="AD18"/>
  </rcc>
  <rcc rId="2661" sId="4">
    <oc r="AE18" t="inlineStr">
      <is>
        <t xml:space="preserve">96 FITAS DE MICRO FILMES NUMERADAS </t>
      </is>
    </oc>
    <nc r="AE18"/>
  </rcc>
  <rcc rId="2662" sId="4">
    <oc r="AG6">
      <v>20</v>
    </oc>
    <nc r="AG6"/>
  </rcc>
  <rcc rId="2663" sId="4">
    <oc r="AG8">
      <v>20</v>
    </oc>
    <nc r="AG8"/>
  </rcc>
  <rcc rId="2664" sId="4">
    <oc r="AH11">
      <v>2</v>
    </oc>
    <nc r="AH11"/>
  </rcc>
  <rcc rId="2665" sId="4">
    <oc r="AJ12">
      <v>34</v>
    </oc>
    <nc r="AJ12"/>
  </rcc>
  <rcc rId="2666" sId="4">
    <oc r="AK12">
      <v>30</v>
    </oc>
    <nc r="AK12"/>
  </rcc>
  <rcc rId="2667" sId="4">
    <oc r="AG15">
      <v>95</v>
    </oc>
    <nc r="AG15"/>
  </rcc>
  <rcc rId="2668" sId="4">
    <oc r="AI15">
      <v>51</v>
    </oc>
    <nc r="AI15"/>
  </rcc>
  <rcc rId="2669" sId="4">
    <oc r="AG17" t="inlineStr">
      <is>
        <t xml:space="preserve">PROCURANDO CAIXAS PARA ELIMINAÇÃO PRA SEU CARLOS </t>
      </is>
    </oc>
    <nc r="AG17"/>
  </rcc>
  <rcc rId="2670" sId="4">
    <oc r="AK17" t="inlineStr">
      <is>
        <t xml:space="preserve">confatrenização da festa junina </t>
      </is>
    </oc>
    <nc r="AK17"/>
  </rcc>
  <rcc rId="2671" sId="4">
    <oc r="AG18" t="inlineStr">
      <is>
        <t>RECEBIMENTO DE 70 CAIXAS DA CGPC E MANDANDO MAIS 70 CAIXAS PARA CGPC</t>
      </is>
    </oc>
    <nc r="AG18"/>
  </rcc>
  <rcc rId="2672" sId="4">
    <oc r="AH18" t="inlineStr">
      <is>
        <t xml:space="preserve">72 FITAS DE MICRO FILMES NUMERADAS </t>
      </is>
    </oc>
    <nc r="AH18"/>
  </rcc>
  <rcc rId="2673" sId="4">
    <oc r="AJ18" t="inlineStr">
      <is>
        <t>passando a planilha escrita dos micros-filmes para planilha digital</t>
      </is>
    </oc>
    <nc r="AJ18"/>
  </rcc>
  <rcc rId="2674" sId="4">
    <oc r="AK18" t="inlineStr">
      <is>
        <t>passando a planilha escrita dos micros-filmes para planilha digital</t>
      </is>
    </oc>
    <nc r="AK18"/>
  </rcc>
  <rcc rId="2675" sId="4">
    <oc r="AN5">
      <v>7</v>
    </oc>
    <nc r="AN5"/>
  </rcc>
  <rcc rId="2676" sId="4">
    <oc r="AN12">
      <v>52</v>
    </oc>
    <nc r="AN12"/>
  </rcc>
  <rcc rId="2677" sId="4">
    <oc r="AO12">
      <v>53</v>
    </oc>
    <nc r="AO12"/>
  </rcc>
  <rcc rId="2678" sId="4">
    <oc r="AP12">
      <v>47</v>
    </oc>
    <nc r="AP12"/>
  </rcc>
  <rcc rId="2679" sId="4">
    <oc r="AQ12">
      <v>52</v>
    </oc>
    <nc r="AQ12"/>
  </rcc>
  <rcc rId="2680" sId="4">
    <oc r="AM15">
      <v>40</v>
    </oc>
    <nc r="AM15"/>
  </rcc>
  <rcc rId="2681" sId="4">
    <oc r="AN15">
      <v>20</v>
    </oc>
    <nc r="AN15"/>
  </rcc>
  <rcc rId="2682" sId="4">
    <oc r="AP15">
      <v>11</v>
    </oc>
    <nc r="AP15"/>
  </rcc>
  <rcc rId="2683" sId="4">
    <oc r="AM17" t="inlineStr">
      <is>
        <t xml:space="preserve">Separando caixas para eliminação </t>
      </is>
    </oc>
    <nc r="AM17"/>
  </rcc>
  <rcc rId="2684" sId="4">
    <oc r="AN18" t="inlineStr">
      <is>
        <t>passando a planilha escrita dos micros-filmes para planilha digital</t>
      </is>
    </oc>
    <nc r="AN18"/>
  </rcc>
  <rcc rId="2685" sId="4">
    <oc r="AO18" t="inlineStr">
      <is>
        <t>passando a planilha escrita dos micros-filmes para planilha digital</t>
      </is>
    </oc>
    <nc r="AO18"/>
  </rcc>
  <rcc rId="2686" sId="4">
    <oc r="AP18" t="inlineStr">
      <is>
        <t>passando a planilha escrita dos micros-filmes para planilha digital</t>
      </is>
    </oc>
    <nc r="AP18"/>
  </rcc>
  <rcc rId="2687" sId="4">
    <oc r="AQ18" t="inlineStr">
      <is>
        <t>passando a planilha escrita dos micros-filmes para planilha digital</t>
      </is>
    </oc>
    <nc r="AQ18"/>
  </rcc>
  <rcc rId="2688" sId="4">
    <oc r="AS11" t="inlineStr">
      <is>
        <t>FOLGA</t>
      </is>
    </oc>
    <nc r="AS11"/>
  </rcc>
  <rcc rId="2689" sId="4">
    <oc r="AT12">
      <v>52</v>
    </oc>
    <nc r="AT12"/>
  </rcc>
  <rcc rId="2690" sId="4">
    <oc r="AU12">
      <v>43</v>
    </oc>
    <nc r="AU12"/>
  </rcc>
  <rcc rId="2691" sId="4">
    <oc r="AV12">
      <v>35</v>
    </oc>
    <nc r="AV12"/>
  </rcc>
  <rcc rId="2692" sId="4">
    <oc r="AW12">
      <v>12</v>
    </oc>
    <nc r="AW12"/>
  </rcc>
  <rcc rId="2693" sId="4">
    <oc r="AV15">
      <v>15</v>
    </oc>
    <nc r="AV15"/>
  </rcc>
  <rcc rId="2694" sId="4">
    <oc r="AS17" t="inlineStr">
      <is>
        <t xml:space="preserve">Falta comunicada a chefia </t>
      </is>
    </oc>
    <nc r="AS17"/>
  </rcc>
  <rcc rId="2695" sId="4">
    <oc r="AT17" t="inlineStr">
      <is>
        <t xml:space="preserve">Separando caixas para eliminação </t>
      </is>
    </oc>
    <nc r="AT17"/>
  </rcc>
  <rcc rId="2696" sId="4">
    <oc r="AV17" t="inlineStr">
      <is>
        <t xml:space="preserve">PROCURANDO CAIXAS PARA ELIMINAÇÃO </t>
      </is>
    </oc>
    <nc r="AV17"/>
  </rcc>
  <rcc rId="2697" sId="4">
    <oc r="AW17" t="inlineStr">
      <is>
        <t>PROCURANDO CAIXAS DE VHS</t>
      </is>
    </oc>
    <nc r="AW17"/>
  </rcc>
  <rcc rId="2698" sId="4">
    <oc r="AT18" t="inlineStr">
      <is>
        <t>passando a planilha escrita dos micros-filmes para planilha digital</t>
      </is>
    </oc>
    <nc r="AT18"/>
  </rcc>
  <rcc rId="2699" sId="4">
    <oc r="AU18" t="inlineStr">
      <is>
        <t>passando a planilha escrita dos micros-filmes para planilha digital</t>
      </is>
    </oc>
    <nc r="AU18"/>
  </rcc>
  <rcc rId="2700" sId="4">
    <oc r="AW18" t="inlineStr">
      <is>
        <t>PLANILHANDO FITAS VHS</t>
      </is>
    </oc>
    <nc r="AW18"/>
  </rcc>
  <rcc rId="2701" sId="4">
    <oc r="AY12">
      <v>118</v>
    </oc>
    <nc r="AY12"/>
  </rcc>
  <rcc rId="2702" sId="4">
    <oc r="AZ12">
      <v>85</v>
    </oc>
    <nc r="AZ12"/>
  </rcc>
  <rcc rId="2703" sId="4">
    <oc r="BA12">
      <v>24</v>
    </oc>
    <nc r="BA12"/>
  </rcc>
  <rcc rId="2704" sId="4">
    <oc r="BB12">
      <v>18</v>
    </oc>
    <nc r="BB12"/>
  </rcc>
  <rcc rId="2705" sId="4">
    <oc r="BC12">
      <v>78</v>
    </oc>
    <nc r="BC12"/>
  </rcc>
  <rcc rId="2706" sId="4">
    <oc r="AY15">
      <v>22</v>
    </oc>
    <nc r="AY15"/>
  </rcc>
  <rcc rId="2707" sId="4">
    <oc r="BA15">
      <v>14</v>
    </oc>
    <nc r="BA15"/>
  </rcc>
  <rcc rId="2708" sId="4">
    <oc r="AZ17" t="inlineStr">
      <is>
        <t xml:space="preserve">Olhando tds a salas na parte da tarde com a  CPMT  </t>
      </is>
    </oc>
    <nc r="AZ17"/>
  </rcc>
  <rcc rId="2709" sId="4">
    <oc r="AY18" t="inlineStr">
      <is>
        <t>passando a planilha escrita dos micros-filmes para planilha digital</t>
      </is>
    </oc>
    <nc r="AY18"/>
  </rcc>
  <rcc rId="2710" sId="4">
    <oc r="AZ18" t="inlineStr">
      <is>
        <t>passando a planilha escrita dos micros-filmes para planilha digital</t>
      </is>
    </oc>
    <nc r="AZ18"/>
  </rcc>
  <rcc rId="2711" sId="4">
    <oc r="BA18" t="inlineStr">
      <is>
        <t xml:space="preserve">PROCURANDO CAIXAS PARA ELIMINAÇÃO </t>
      </is>
    </oc>
    <nc r="BA18"/>
  </rcc>
  <rcc rId="2712" sId="4">
    <oc r="BB18" t="inlineStr">
      <is>
        <t xml:space="preserve">PROCURANDO CAIXAS PARA ELIMINAÇÃO NO TOTAL OLHEI 3000 MIL CAIXAS  </t>
      </is>
    </oc>
    <nc r="BB18"/>
  </rcc>
  <rcc rId="2713" sId="4" numFmtId="21">
    <oc r="C1">
      <v>45810</v>
    </oc>
    <nc r="C1">
      <v>45873</v>
    </nc>
  </rcc>
  <rcc rId="2714" sId="4" odxf="1" dxf="1" numFmtId="21">
    <oc r="D1">
      <v>45811</v>
    </oc>
    <nc r="D1">
      <v>45874</v>
    </nc>
    <odxf>
      <border outline="0">
        <left/>
      </border>
    </odxf>
    <ndxf>
      <border outline="0">
        <left style="thin">
          <color indexed="64"/>
        </left>
      </border>
    </ndxf>
  </rcc>
  <rcc rId="2715" sId="4" odxf="1" dxf="1" numFmtId="21">
    <oc r="E1">
      <v>45812</v>
    </oc>
    <nc r="E1">
      <v>45875</v>
    </nc>
    <odxf>
      <border outline="0">
        <left/>
      </border>
    </odxf>
    <ndxf>
      <border outline="0">
        <left style="thin">
          <color indexed="64"/>
        </left>
      </border>
    </ndxf>
  </rcc>
  <rcc rId="2716" sId="4" odxf="1" dxf="1" numFmtId="21">
    <oc r="F1">
      <v>45813</v>
    </oc>
    <nc r="F1">
      <v>45876</v>
    </nc>
    <odxf>
      <border outline="0">
        <left/>
      </border>
    </odxf>
    <ndxf>
      <border outline="0">
        <left style="thin">
          <color indexed="64"/>
        </left>
      </border>
    </ndxf>
  </rcc>
  <rcc rId="2717" sId="4" odxf="1" dxf="1" numFmtId="21">
    <oc r="G1">
      <v>45814</v>
    </oc>
    <nc r="G1">
      <v>45877</v>
    </nc>
    <odxf>
      <border outline="0">
        <left/>
      </border>
    </odxf>
    <ndxf>
      <border outline="0">
        <left style="thin">
          <color indexed="64"/>
        </left>
      </border>
    </ndxf>
  </rcc>
  <rcc rId="2718" sId="4" numFmtId="21">
    <oc r="I1">
      <v>45817</v>
    </oc>
    <nc r="I1">
      <v>45880</v>
    </nc>
  </rcc>
  <rcc rId="2719" sId="4" numFmtId="21">
    <oc r="J1">
      <v>45818</v>
    </oc>
    <nc r="J1">
      <v>45881</v>
    </nc>
  </rcc>
  <rcc rId="2720" sId="4" numFmtId="21">
    <oc r="K1">
      <v>45819</v>
    </oc>
    <nc r="K1">
      <v>45882</v>
    </nc>
  </rcc>
  <rcc rId="2721" sId="4" numFmtId="21">
    <oc r="L1">
      <v>45820</v>
    </oc>
    <nc r="L1">
      <v>45883</v>
    </nc>
  </rcc>
  <rcc rId="2722" sId="4" numFmtId="21">
    <oc r="M1">
      <v>45821</v>
    </oc>
    <nc r="M1">
      <v>45884</v>
    </nc>
  </rcc>
  <rcc rId="2723" sId="4" numFmtId="21">
    <oc r="O1">
      <v>45824</v>
    </oc>
    <nc r="O1">
      <v>45887</v>
    </nc>
  </rcc>
  <rcc rId="2724" sId="4" numFmtId="21">
    <oc r="P1">
      <v>45825</v>
    </oc>
    <nc r="P1">
      <v>45888</v>
    </nc>
  </rcc>
  <rcc rId="2725" sId="4" numFmtId="21">
    <oc r="Q1">
      <v>45826</v>
    </oc>
    <nc r="Q1">
      <v>45889</v>
    </nc>
  </rcc>
  <rcc rId="2726" sId="4" numFmtId="21">
    <oc r="R1">
      <v>45827</v>
    </oc>
    <nc r="R1">
      <v>45890</v>
    </nc>
  </rcc>
  <rcc rId="2727" sId="4" numFmtId="21">
    <oc r="S1">
      <v>45828</v>
    </oc>
    <nc r="S1">
      <v>45891</v>
    </nc>
  </rcc>
  <rcc rId="2728" sId="4" numFmtId="21">
    <oc r="U1">
      <v>45831</v>
    </oc>
    <nc r="U1">
      <v>45894</v>
    </nc>
  </rcc>
  <rcc rId="2729" sId="4" numFmtId="21">
    <oc r="V1">
      <v>45832</v>
    </oc>
    <nc r="V1">
      <v>45895</v>
    </nc>
  </rcc>
  <rcc rId="2730" sId="4" numFmtId="21">
    <oc r="W1">
      <v>45833</v>
    </oc>
    <nc r="W1">
      <v>45896</v>
    </nc>
  </rcc>
  <rcc rId="2731" sId="4" numFmtId="21">
    <oc r="X1">
      <v>45834</v>
    </oc>
    <nc r="X1">
      <v>45897</v>
    </nc>
  </rcc>
  <rcc rId="2732" sId="4" numFmtId="21">
    <oc r="Y1">
      <v>45835</v>
    </oc>
    <nc r="Y1">
      <v>45898</v>
    </nc>
  </rcc>
  <rcc rId="2733" sId="4" numFmtId="21">
    <oc r="AA1">
      <v>45838</v>
    </oc>
    <nc r="AA1">
      <v>45901</v>
    </nc>
  </rcc>
  <rcc rId="2734" sId="4" numFmtId="21">
    <oc r="AB1">
      <v>45839</v>
    </oc>
    <nc r="AB1">
      <v>45902</v>
    </nc>
  </rcc>
  <rcc rId="2735" sId="4" numFmtId="21">
    <oc r="AC1">
      <v>45840</v>
    </oc>
    <nc r="AC1">
      <v>45903</v>
    </nc>
  </rcc>
  <rcc rId="2736" sId="4" numFmtId="21">
    <oc r="AD1">
      <v>45841</v>
    </oc>
    <nc r="AD1">
      <v>45904</v>
    </nc>
  </rcc>
  <rcc rId="2737" sId="4" numFmtId="21">
    <oc r="AE1">
      <v>45842</v>
    </oc>
    <nc r="AE1">
      <v>45905</v>
    </nc>
  </rcc>
  <rcc rId="2738" sId="4" numFmtId="21">
    <oc r="AG1">
      <v>45845</v>
    </oc>
    <nc r="AG1">
      <v>45908</v>
    </nc>
  </rcc>
  <rcc rId="2739" sId="4" numFmtId="21">
    <oc r="AH1">
      <v>45846</v>
    </oc>
    <nc r="AH1">
      <v>45909</v>
    </nc>
  </rcc>
  <rcc rId="2740" sId="4" numFmtId="21">
    <oc r="AI1" t="inlineStr">
      <is>
        <t>09/JU</t>
      </is>
    </oc>
    <nc r="AI1">
      <v>45910</v>
    </nc>
  </rcc>
  <rcc rId="2741" sId="4" numFmtId="21">
    <oc r="AJ1">
      <v>45848</v>
    </oc>
    <nc r="AJ1">
      <v>45911</v>
    </nc>
  </rcc>
  <rcc rId="2742" sId="4" numFmtId="21">
    <oc r="AK1">
      <v>45849</v>
    </oc>
    <nc r="AK1">
      <v>45912</v>
    </nc>
  </rcc>
  <rcc rId="2743" sId="4" numFmtId="21">
    <oc r="AM1">
      <v>45852</v>
    </oc>
    <nc r="AM1">
      <v>45915</v>
    </nc>
  </rcc>
  <rcc rId="2744" sId="4" numFmtId="21">
    <oc r="AN1">
      <v>45853</v>
    </oc>
    <nc r="AN1">
      <v>45916</v>
    </nc>
  </rcc>
  <rcc rId="2745" sId="4" numFmtId="21">
    <oc r="AO1">
      <v>45854</v>
    </oc>
    <nc r="AO1">
      <v>45917</v>
    </nc>
  </rcc>
  <rcc rId="2746" sId="4" numFmtId="21">
    <oc r="AP1">
      <v>45855</v>
    </oc>
    <nc r="AP1">
      <v>45918</v>
    </nc>
  </rcc>
  <rcc rId="2747" sId="4" numFmtId="21">
    <oc r="AQ1">
      <v>45856</v>
    </oc>
    <nc r="AQ1">
      <v>45919</v>
    </nc>
  </rcc>
  <rcc rId="2748" sId="4" numFmtId="21">
    <oc r="AS1">
      <v>45859</v>
    </oc>
    <nc r="AS1">
      <v>45922</v>
    </nc>
  </rcc>
  <rcc rId="2749" sId="4" numFmtId="21">
    <oc r="AT1">
      <v>45860</v>
    </oc>
    <nc r="AT1">
      <v>45923</v>
    </nc>
  </rcc>
  <rcc rId="2750" sId="4" numFmtId="21">
    <oc r="AU1">
      <v>45861</v>
    </oc>
    <nc r="AU1">
      <v>45924</v>
    </nc>
  </rcc>
  <rcc rId="2751" sId="4" numFmtId="21">
    <oc r="AV1">
      <v>45862</v>
    </oc>
    <nc r="AV1">
      <v>45925</v>
    </nc>
  </rcc>
  <rcc rId="2752" sId="4" numFmtId="21">
    <oc r="AW1">
      <v>45863</v>
    </oc>
    <nc r="AW1">
      <v>45926</v>
    </nc>
  </rcc>
  <rcc rId="2753" sId="4" numFmtId="21">
    <oc r="AY1">
      <v>45866</v>
    </oc>
    <nc r="AY1">
      <v>45929</v>
    </nc>
  </rcc>
  <rcc rId="2754" sId="4" numFmtId="21">
    <oc r="AZ1">
      <v>45867</v>
    </oc>
    <nc r="AZ1">
      <v>45930</v>
    </nc>
  </rcc>
  <rcc rId="2755" sId="4" numFmtId="21">
    <oc r="BA1">
      <v>45868</v>
    </oc>
    <nc r="BA1">
      <v>45931</v>
    </nc>
  </rcc>
  <rcc rId="2756" sId="4" numFmtId="21">
    <oc r="BB1">
      <v>45869</v>
    </oc>
    <nc r="BB1">
      <v>45932</v>
    </nc>
  </rcc>
  <rcc rId="2757" sId="4" numFmtId="21">
    <oc r="BC1">
      <v>45870</v>
    </oc>
    <nc r="BC1">
      <v>45933</v>
    </nc>
  </rcc>
  <rcv guid="{18A482E0-C8B6-4AA1-9E04-15FA7C9CD5E3}" action="delete"/>
  <rdn rId="0" localSheetId="1" customView="1" name="Z_18A482E0_C8B6_4AA1_9E04_15FA7C9CD5E3_.wvu.FilterData" hidden="1" oldHidden="1">
    <formula>Patrícia!$A$1:$A$18</formula>
    <oldFormula>Patrícia!$A$1:$A$18</oldFormula>
  </rdn>
  <rdn rId="0" localSheetId="2" customView="1" name="Z_18A482E0_C8B6_4AA1_9E04_15FA7C9CD5E3_.wvu.FilterData" hidden="1" oldHidden="1">
    <formula>Marcelo!$A$1:$A$18</formula>
    <oldFormula>Marcelo!$A$1:$A$18</oldFormula>
  </rdn>
  <rdn rId="0" localSheetId="3" customView="1" name="Z_18A482E0_C8B6_4AA1_9E04_15FA7C9CD5E3_.wvu.FilterData" hidden="1" oldHidden="1">
    <formula>TOTAL!$A$1:$A$18</formula>
    <oldFormula>TOTAL!$A$1:$A$18</oldFormula>
  </rdn>
  <rdn rId="0" localSheetId="4" customView="1" name="Z_18A482E0_C8B6_4AA1_9E04_15FA7C9CD5E3_.wvu.FilterData" hidden="1" oldHidden="1">
    <formula>Diego!$A$1:$A$18</formula>
    <oldFormula>Diego!$A$1:$A$18</oldFormula>
  </rdn>
  <rdn rId="0" localSheetId="5" customView="1" name="Z_18A482E0_C8B6_4AA1_9E04_15FA7C9CD5E3_.wvu.FilterData" hidden="1" oldHidden="1">
    <formula>Aelton!$A$1:$A$18</formula>
    <oldFormula>Aelton!$A$1:$A$18</oldFormula>
  </rdn>
  <rdn rId="0" localSheetId="6" customView="1" name="Z_18A482E0_C8B6_4AA1_9E04_15FA7C9CD5E3_.wvu.FilterData" hidden="1" oldHidden="1">
    <formula>Leonam!$A$1:$BD$18</formula>
    <oldFormula>Leonam!$A$1:$BD$18</oldFormula>
  </rdn>
  <rdn rId="0" localSheetId="7" customView="1" name="Z_18A482E0_C8B6_4AA1_9E04_15FA7C9CD5E3_.wvu.FilterData" hidden="1" oldHidden="1">
    <formula>Danilo!$A$1:$A$31</formula>
    <oldFormula>Danilo!$A$1:$A$31</oldFormula>
  </rdn>
  <rdn rId="0" localSheetId="8" customView="1" name="Z_18A482E0_C8B6_4AA1_9E04_15FA7C9CD5E3_.wvu.FilterData" hidden="1" oldHidden="1">
    <formula>Marcos!$A$1:$A$18</formula>
    <oldFormula>Marcos!$A$1:$A$18</oldFormula>
  </rdn>
  <rdn rId="0" localSheetId="9" customView="1" name="Z_18A482E0_C8B6_4AA1_9E04_15FA7C9CD5E3_.wvu.FilterData" hidden="1" oldHidden="1">
    <formula>Carlos!$A$1:$A$18</formula>
    <oldFormula>Carlos!$A$1:$A$18</oldFormula>
  </rdn>
  <rdn rId="0" localSheetId="10" customView="1" name="Z_18A482E0_C8B6_4AA1_9E04_15FA7C9CD5E3_.wvu.FilterData" hidden="1" oldHidden="1">
    <formula>Alessandro!$A$1:$A$18</formula>
    <oldFormula>Alessandro!$A$1:$A$18</oldFormula>
  </rdn>
  <rcv guid="{18A482E0-C8B6-4AA1-9E04-15FA7C9CD5E3}" action="add"/>
</revisions>
</file>

<file path=xl/revisions/revisionLog1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68" sId="4">
    <oc r="D8">
      <v>9</v>
    </oc>
    <nc r="D8"/>
  </rcc>
  <rcc rId="2769" sId="4">
    <oc r="E8">
      <v>34</v>
    </oc>
    <nc r="E8"/>
  </rcc>
  <rcc rId="2770" sId="4">
    <oc r="D9">
      <v>9</v>
    </oc>
    <nc r="D9"/>
  </rcc>
  <rcc rId="2771" sId="4">
    <oc r="E9">
      <v>34</v>
    </oc>
    <nc r="E9"/>
  </rcc>
  <rcc rId="2772" sId="4">
    <oc r="G13">
      <v>1</v>
    </oc>
    <nc r="G13"/>
  </rcc>
  <rcc rId="2773" sId="4">
    <oc r="C15">
      <v>10</v>
    </oc>
    <nc r="C15"/>
  </rcc>
  <rcc rId="2774" sId="4">
    <oc r="D15">
      <v>30</v>
    </oc>
    <nc r="D15"/>
  </rcc>
  <rcc rId="2775" sId="4">
    <oc r="F15">
      <v>55</v>
    </oc>
    <nc r="F15"/>
  </rcc>
  <rcc rId="2776" sId="4">
    <oc r="E16">
      <v>164</v>
    </oc>
    <nc r="E16"/>
  </rcc>
  <rcc rId="2777" sId="4" numFmtId="4">
    <oc r="F16">
      <v>2286</v>
    </oc>
    <nc r="F16"/>
  </rcc>
  <rcc rId="2778" sId="4" numFmtId="4">
    <oc r="G16">
      <v>15687</v>
    </oc>
    <nc r="G16"/>
  </rcc>
  <rcc rId="2779" sId="4">
    <oc r="C17" t="inlineStr">
      <is>
        <t xml:space="preserve">PROCURANDO CAIXAS PARA ELIMINAÇÃO </t>
      </is>
    </oc>
    <nc r="C17"/>
  </rcc>
  <rcc rId="2780" sId="4">
    <oc r="F17" t="inlineStr">
      <is>
        <t xml:space="preserve">PROCURANDO CAIXAS PARA ELIMINAÇÃO </t>
      </is>
    </oc>
    <nc r="F17"/>
  </rcc>
  <rcc rId="2781" sId="4">
    <oc r="G17" t="inlineStr">
      <is>
        <t xml:space="preserve">PROCURANDO CAIXAS PARA ELIMINAÇÃO </t>
      </is>
    </oc>
    <nc r="G17"/>
  </rcc>
  <rcc rId="2782" sId="4">
    <oc r="K8">
      <v>20</v>
    </oc>
    <nc r="K8"/>
  </rcc>
  <rcc rId="2783" sId="4">
    <oc r="L8">
      <v>14</v>
    </oc>
    <nc r="L8"/>
  </rcc>
  <rcc rId="2784" sId="4">
    <oc r="K9">
      <v>20</v>
    </oc>
    <nc r="K9"/>
  </rcc>
  <rcc rId="2785" sId="4">
    <oc r="L9">
      <v>14</v>
    </oc>
    <nc r="L9"/>
  </rcc>
  <rcc rId="2786" sId="4">
    <oc r="M9">
      <v>9</v>
    </oc>
    <nc r="M9"/>
  </rcc>
  <rcc rId="2787" sId="4">
    <oc r="J13">
      <v>1</v>
    </oc>
    <nc r="J13"/>
  </rcc>
  <rcc rId="2788" sId="4">
    <oc r="K13">
      <v>1</v>
    </oc>
    <nc r="K13"/>
  </rcc>
  <rcc rId="2789" sId="4">
    <oc r="M13">
      <v>1</v>
    </oc>
    <nc r="M13"/>
  </rcc>
  <rcc rId="2790" sId="4">
    <oc r="L14">
      <v>1</v>
    </oc>
    <nc r="L14"/>
  </rcc>
  <rcc rId="2791" sId="4">
    <oc r="J15">
      <v>140</v>
    </oc>
    <nc r="J15"/>
  </rcc>
  <rcc rId="2792" sId="4">
    <oc r="L15">
      <v>30</v>
    </oc>
    <nc r="L15"/>
  </rcc>
  <rcc rId="2793" sId="4">
    <oc r="M15">
      <v>27</v>
    </oc>
    <nc r="M15"/>
  </rcc>
  <rcc rId="2794" sId="4" numFmtId="4">
    <oc r="I16">
      <v>3724</v>
    </oc>
    <nc r="I16"/>
  </rcc>
  <rcc rId="2795" sId="4">
    <oc r="I17" t="inlineStr">
      <is>
        <t xml:space="preserve">PROCURANDO CAIXAS PARA ELIMINAÇÃO </t>
      </is>
    </oc>
    <nc r="I17"/>
  </rcc>
  <rcc rId="2796" sId="4">
    <oc r="J17" t="inlineStr">
      <is>
        <t xml:space="preserve">PROCURANDO CAIXAS PARA ELIMINAÇÃO </t>
      </is>
    </oc>
    <nc r="J17"/>
  </rcc>
  <rcc rId="2797" sId="4">
    <oc r="J18" t="inlineStr">
      <is>
        <t>Fazendo palletes</t>
      </is>
    </oc>
    <nc r="J18"/>
  </rcc>
  <rcc rId="2798" sId="4">
    <oc r="P15">
      <v>11</v>
    </oc>
    <nc r="P15"/>
  </rcc>
  <rcc rId="2799" sId="4">
    <oc r="O17" t="inlineStr">
      <is>
        <t xml:space="preserve">FAZENDO PALETES 80 CAIXAS PRA CADA </t>
      </is>
    </oc>
    <nc r="O17"/>
  </rcc>
  <rcc rId="2800" sId="4">
    <oc r="Q17" t="inlineStr">
      <is>
        <t>DIGITALIZANDO LIVROS DA LBA</t>
      </is>
    </oc>
    <nc r="Q17"/>
  </rcc>
  <rcc rId="2801" sId="4">
    <oc r="R17" t="inlineStr">
      <is>
        <t>FERIADO</t>
      </is>
    </oc>
    <nc r="R17"/>
  </rcc>
  <rcc rId="2802" sId="4">
    <oc r="S17" t="inlineStr">
      <is>
        <t>PONTO FACULTATIVO</t>
      </is>
    </oc>
    <nc r="S17"/>
  </rcc>
  <rcc rId="2803" sId="4">
    <oc r="Q18" t="inlineStr">
      <is>
        <t xml:space="preserve">ALMOÇO PELA PARTE DA TARDE </t>
      </is>
    </oc>
    <nc r="Q18"/>
  </rcc>
  <rcc rId="2804" sId="4">
    <oc r="W11">
      <v>2</v>
    </oc>
    <nc r="W11"/>
  </rcc>
  <rcc rId="2805" sId="4">
    <oc r="X11">
      <v>4</v>
    </oc>
    <nc r="X11"/>
  </rcc>
  <rcc rId="2806" sId="4">
    <oc r="Y11">
      <v>3</v>
    </oc>
    <nc r="Y11"/>
  </rcc>
  <rcc rId="2807" sId="4">
    <oc r="U17" t="inlineStr">
      <is>
        <t>DIGITALIZANDO LIVROS DA LBA</t>
      </is>
    </oc>
    <nc r="U17"/>
  </rcc>
  <rcc rId="2808" sId="4">
    <oc r="V17" t="inlineStr">
      <is>
        <t>DIGITALIZANDO LIVROS DA LBA</t>
      </is>
    </oc>
    <nc r="V17"/>
  </rcc>
  <rcc rId="2809" sId="4">
    <oc r="W17" t="inlineStr">
      <is>
        <t>DIGITALIZANDO LIVROS DA LBA</t>
      </is>
    </oc>
    <nc r="W17"/>
  </rcc>
  <rcc rId="2810" sId="4">
    <oc r="U18" t="inlineStr">
      <is>
        <t>MUDANÇA NO PERÍODO DA MANHA PARA 2° ANDAR</t>
      </is>
    </oc>
    <nc r="U18"/>
  </rcc>
  <rcc rId="2811" sId="4">
    <oc r="W18" t="inlineStr">
      <is>
        <t xml:space="preserve">78  FITAS DE MICRO FILMES NUMERADAS </t>
      </is>
    </oc>
    <nc r="W18"/>
  </rcc>
  <rcc rId="2812" sId="4">
    <oc r="X18" t="inlineStr">
      <is>
        <t xml:space="preserve">144  FITAS DE MICRO FILMES NUMERADAS </t>
      </is>
    </oc>
    <nc r="X18"/>
  </rcc>
  <rcc rId="2813" sId="4">
    <oc r="Y18" t="inlineStr">
      <is>
        <t xml:space="preserve">78 FITAS DE MICRO FILMES NUMERADAS </t>
      </is>
    </oc>
    <nc r="Y18"/>
  </rcc>
  <rcc rId="2814" sId="5" numFmtId="21">
    <oc r="C1">
      <v>45810</v>
    </oc>
    <nc r="C1">
      <v>45873</v>
    </nc>
  </rcc>
  <rcc rId="2815" sId="5" odxf="1" dxf="1" numFmtId="21">
    <oc r="D1">
      <v>45811</v>
    </oc>
    <nc r="D1">
      <v>45874</v>
    </nc>
    <odxf>
      <border outline="0">
        <left/>
      </border>
    </odxf>
    <ndxf>
      <border outline="0">
        <left style="thin">
          <color indexed="64"/>
        </left>
      </border>
    </ndxf>
  </rcc>
  <rcc rId="2816" sId="5" odxf="1" dxf="1" numFmtId="21">
    <oc r="E1">
      <v>45812</v>
    </oc>
    <nc r="E1">
      <v>45875</v>
    </nc>
    <odxf>
      <border outline="0">
        <left/>
      </border>
    </odxf>
    <ndxf>
      <border outline="0">
        <left style="thin">
          <color indexed="64"/>
        </left>
      </border>
    </ndxf>
  </rcc>
  <rcc rId="2817" sId="5" odxf="1" dxf="1" numFmtId="21">
    <oc r="F1">
      <v>45813</v>
    </oc>
    <nc r="F1">
      <v>45876</v>
    </nc>
    <odxf>
      <border outline="0">
        <left/>
      </border>
    </odxf>
    <ndxf>
      <border outline="0">
        <left style="thin">
          <color indexed="64"/>
        </left>
      </border>
    </ndxf>
  </rcc>
  <rcc rId="2818" sId="5" odxf="1" dxf="1" numFmtId="21">
    <oc r="G1">
      <v>45814</v>
    </oc>
    <nc r="G1">
      <v>45877</v>
    </nc>
    <odxf>
      <border outline="0">
        <left/>
      </border>
    </odxf>
    <ndxf>
      <border outline="0">
        <left style="thin">
          <color indexed="64"/>
        </left>
      </border>
    </ndxf>
  </rcc>
  <rcc rId="2819" sId="5" numFmtId="21">
    <oc r="I1">
      <v>45817</v>
    </oc>
    <nc r="I1">
      <v>45880</v>
    </nc>
  </rcc>
  <rcc rId="2820" sId="5" numFmtId="21">
    <oc r="J1">
      <v>45818</v>
    </oc>
    <nc r="J1">
      <v>45881</v>
    </nc>
  </rcc>
  <rcc rId="2821" sId="5" numFmtId="21">
    <oc r="K1">
      <v>45819</v>
    </oc>
    <nc r="K1">
      <v>45882</v>
    </nc>
  </rcc>
  <rcc rId="2822" sId="5" numFmtId="21">
    <oc r="L1">
      <v>45820</v>
    </oc>
    <nc r="L1">
      <v>45883</v>
    </nc>
  </rcc>
  <rcc rId="2823" sId="5" numFmtId="21">
    <oc r="M1">
      <v>45821</v>
    </oc>
    <nc r="M1">
      <v>45884</v>
    </nc>
  </rcc>
  <rcc rId="2824" sId="5" numFmtId="21">
    <oc r="O1">
      <v>45824</v>
    </oc>
    <nc r="O1">
      <v>45887</v>
    </nc>
  </rcc>
  <rcc rId="2825" sId="5" numFmtId="21">
    <oc r="P1">
      <v>45825</v>
    </oc>
    <nc r="P1">
      <v>45888</v>
    </nc>
  </rcc>
  <rcc rId="2826" sId="5" numFmtId="21">
    <oc r="Q1">
      <v>45826</v>
    </oc>
    <nc r="Q1">
      <v>45889</v>
    </nc>
  </rcc>
  <rcc rId="2827" sId="5" numFmtId="21">
    <oc r="R1">
      <v>45827</v>
    </oc>
    <nc r="R1">
      <v>45890</v>
    </nc>
  </rcc>
  <rcc rId="2828" sId="5" numFmtId="21">
    <oc r="S1">
      <v>45828</v>
    </oc>
    <nc r="S1">
      <v>45891</v>
    </nc>
  </rcc>
  <rcc rId="2829" sId="5" numFmtId="21">
    <oc r="U1">
      <v>45831</v>
    </oc>
    <nc r="U1">
      <v>45894</v>
    </nc>
  </rcc>
  <rcc rId="2830" sId="5" numFmtId="21">
    <oc r="V1">
      <v>45832</v>
    </oc>
    <nc r="V1">
      <v>45895</v>
    </nc>
  </rcc>
  <rcc rId="2831" sId="5" numFmtId="21">
    <oc r="W1">
      <v>45833</v>
    </oc>
    <nc r="W1">
      <v>45896</v>
    </nc>
  </rcc>
  <rcc rId="2832" sId="5" numFmtId="21">
    <oc r="X1">
      <v>45834</v>
    </oc>
    <nc r="X1">
      <v>45897</v>
    </nc>
  </rcc>
  <rcc rId="2833" sId="5" numFmtId="21">
    <oc r="Y1">
      <v>45835</v>
    </oc>
    <nc r="Y1">
      <v>45898</v>
    </nc>
  </rcc>
  <rcc rId="2834" sId="5" numFmtId="21">
    <oc r="AA1">
      <v>45838</v>
    </oc>
    <nc r="AA1">
      <v>45901</v>
    </nc>
  </rcc>
  <rcc rId="2835" sId="5" numFmtId="21">
    <oc r="AB1">
      <v>45839</v>
    </oc>
    <nc r="AB1">
      <v>45902</v>
    </nc>
  </rcc>
  <rcc rId="2836" sId="5" numFmtId="21">
    <oc r="AC1">
      <v>45840</v>
    </oc>
    <nc r="AC1">
      <v>45903</v>
    </nc>
  </rcc>
  <rcc rId="2837" sId="5" numFmtId="21">
    <oc r="AD1">
      <v>45841</v>
    </oc>
    <nc r="AD1">
      <v>45904</v>
    </nc>
  </rcc>
  <rcc rId="2838" sId="5" numFmtId="21">
    <oc r="AE1">
      <v>45842</v>
    </oc>
    <nc r="AE1">
      <v>45905</v>
    </nc>
  </rcc>
  <rcc rId="2839" sId="5" numFmtId="21">
    <oc r="AG1">
      <v>45845</v>
    </oc>
    <nc r="AG1">
      <v>45908</v>
    </nc>
  </rcc>
  <rcc rId="2840" sId="5" numFmtId="21">
    <oc r="AH1">
      <v>45846</v>
    </oc>
    <nc r="AH1">
      <v>45909</v>
    </nc>
  </rcc>
  <rcc rId="2841" sId="5" numFmtId="21">
    <oc r="AI1">
      <v>45847</v>
    </oc>
    <nc r="AI1">
      <v>45910</v>
    </nc>
  </rcc>
  <rcc rId="2842" sId="5" numFmtId="21">
    <oc r="AJ1">
      <v>45848</v>
    </oc>
    <nc r="AJ1">
      <v>45911</v>
    </nc>
  </rcc>
  <rcc rId="2843" sId="5" odxf="1" dxf="1" numFmtId="21">
    <oc r="AK1" t="inlineStr">
      <is>
        <t>11/07/2025
Atestado Médico</t>
      </is>
    </oc>
    <nc r="AK1">
      <v>45912</v>
    </nc>
    <odxf>
      <fill>
        <patternFill patternType="solid">
          <bgColor theme="9" tint="0.79998168889431442"/>
        </patternFill>
      </fill>
      <alignment wrapText="1"/>
    </odxf>
    <ndxf>
      <fill>
        <patternFill patternType="none">
          <bgColor indexed="65"/>
        </patternFill>
      </fill>
      <alignment wrapText="0"/>
    </ndxf>
  </rcc>
  <rcc rId="2844" sId="5" numFmtId="21">
    <oc r="AM1">
      <v>45852</v>
    </oc>
    <nc r="AM1">
      <v>45915</v>
    </nc>
  </rcc>
  <rcc rId="2845" sId="5" numFmtId="21">
    <oc r="AN1">
      <v>45853</v>
    </oc>
    <nc r="AN1">
      <v>45916</v>
    </nc>
  </rcc>
  <rcc rId="2846" sId="5" numFmtId="21">
    <oc r="AO1">
      <v>45854</v>
    </oc>
    <nc r="AO1">
      <v>45917</v>
    </nc>
  </rcc>
  <rcc rId="2847" sId="5" numFmtId="21">
    <oc r="AP1">
      <v>45855</v>
    </oc>
    <nc r="AP1">
      <v>45918</v>
    </nc>
  </rcc>
  <rcc rId="2848" sId="5" numFmtId="21">
    <oc r="AQ1">
      <v>45856</v>
    </oc>
    <nc r="AQ1">
      <v>45919</v>
    </nc>
  </rcc>
  <rcc rId="2849" sId="5" numFmtId="21">
    <oc r="AS1">
      <v>45859</v>
    </oc>
    <nc r="AS1">
      <v>45922</v>
    </nc>
  </rcc>
  <rcc rId="2850" sId="5" numFmtId="21">
    <oc r="AT1">
      <v>45860</v>
    </oc>
    <nc r="AT1">
      <v>45923</v>
    </nc>
  </rcc>
  <rcc rId="2851" sId="5" numFmtId="21">
    <oc r="AU1">
      <v>45861</v>
    </oc>
    <nc r="AU1">
      <v>45924</v>
    </nc>
  </rcc>
  <rcc rId="2852" sId="5" numFmtId="21">
    <oc r="AV1">
      <v>45862</v>
    </oc>
    <nc r="AV1">
      <v>45925</v>
    </nc>
  </rcc>
  <rcc rId="2853" sId="5" numFmtId="21">
    <oc r="AW1">
      <v>45863</v>
    </oc>
    <nc r="AW1">
      <v>45926</v>
    </nc>
  </rcc>
  <rcc rId="2854" sId="5" numFmtId="21">
    <oc r="AY1">
      <v>45866</v>
    </oc>
    <nc r="AY1">
      <v>45929</v>
    </nc>
  </rcc>
  <rcc rId="2855" sId="5" numFmtId="21">
    <oc r="AZ1">
      <v>45867</v>
    </oc>
    <nc r="AZ1">
      <v>45930</v>
    </nc>
  </rcc>
  <rcc rId="2856" sId="5" numFmtId="21">
    <oc r="BA1">
      <v>45868</v>
    </oc>
    <nc r="BA1">
      <v>45931</v>
    </nc>
  </rcc>
  <rcc rId="2857" sId="5" numFmtId="21">
    <oc r="BB1">
      <v>45869</v>
    </oc>
    <nc r="BB1">
      <v>45932</v>
    </nc>
  </rcc>
  <rcc rId="2858" sId="5" numFmtId="21">
    <oc r="BC1">
      <v>45870</v>
    </oc>
    <nc r="BC1">
      <v>45933</v>
    </nc>
  </rcc>
  <rcc rId="2859" sId="5" odxf="1" dxf="1">
    <oc r="BE1">
      <v>45873</v>
    </oc>
    <nc r="BE1"/>
    <odxf>
      <numFmt numFmtId="21" formatCode="dd/mmm"/>
      <border outline="0">
        <top style="thin">
          <color indexed="64"/>
        </top>
        <bottom style="thin">
          <color indexed="64"/>
        </bottom>
      </border>
    </odxf>
    <ndxf>
      <numFmt numFmtId="0" formatCode="General"/>
      <border outline="0">
        <top/>
        <bottom/>
      </border>
    </ndxf>
  </rcc>
  <rcc rId="2860" sId="5" odxf="1" dxf="1">
    <oc r="BF1">
      <v>45874</v>
    </oc>
    <nc r="BF1"/>
    <odxf>
      <numFmt numFmtId="21" formatCode="dd/mmm"/>
      <border outline="0">
        <top style="thin">
          <color indexed="64"/>
        </top>
        <bottom style="thin">
          <color indexed="64"/>
        </bottom>
      </border>
    </odxf>
    <ndxf>
      <numFmt numFmtId="0" formatCode="General"/>
      <border outline="0">
        <top/>
        <bottom/>
      </border>
    </ndxf>
  </rcc>
  <rcc rId="2861" sId="5" odxf="1" dxf="1">
    <oc r="BG1">
      <v>45875</v>
    </oc>
    <nc r="BG1"/>
    <odxf>
      <numFmt numFmtId="21" formatCode="dd/mmm"/>
      <border outline="0">
        <top style="thin">
          <color indexed="64"/>
        </top>
        <bottom style="thin">
          <color indexed="64"/>
        </bottom>
      </border>
    </odxf>
    <ndxf>
      <numFmt numFmtId="0" formatCode="General"/>
      <border outline="0">
        <top/>
        <bottom/>
      </border>
    </ndxf>
  </rcc>
  <rcc rId="2862" sId="5" odxf="1" dxf="1">
    <oc r="BH1">
      <v>45876</v>
    </oc>
    <nc r="BH1"/>
    <odxf>
      <numFmt numFmtId="21" formatCode="dd/mmm"/>
      <border outline="0">
        <top style="thin">
          <color indexed="64"/>
        </top>
        <bottom style="thin">
          <color indexed="64"/>
        </bottom>
      </border>
    </odxf>
    <ndxf>
      <numFmt numFmtId="0" formatCode="General"/>
      <border outline="0">
        <top/>
        <bottom/>
      </border>
    </ndxf>
  </rcc>
  <rcc rId="2863" sId="5" odxf="1" dxf="1">
    <oc r="BI1">
      <v>45877</v>
    </oc>
    <nc r="BI1"/>
    <odxf>
      <numFmt numFmtId="21" formatCode="dd/mmm"/>
      <border outline="0">
        <top style="thin">
          <color indexed="64"/>
        </top>
        <bottom style="thin">
          <color indexed="64"/>
        </bottom>
      </border>
    </odxf>
    <ndxf>
      <numFmt numFmtId="0" formatCode="General"/>
      <border outline="0">
        <top/>
        <bottom/>
      </border>
    </ndxf>
  </rcc>
  <rcc rId="2864" sId="5" odxf="1" dxf="1">
    <oc r="BJ1" t="inlineStr">
      <is>
        <t>TOTAL SEMANA</t>
      </is>
    </oc>
    <nc r="BJ1"/>
    <odxf>
      <fill>
        <patternFill patternType="solid">
          <bgColor theme="0" tint="-0.249977111117893"/>
        </patternFill>
      </fill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ill>
        <patternFill patternType="none">
          <bgColor indexed="65"/>
        </patternFill>
      </fill>
      <border outline="0">
        <right/>
        <top/>
        <bottom/>
      </border>
    </ndxf>
  </rcc>
  <rcc rId="2865" sId="5" odxf="1" dxf="1">
    <oc r="BK1">
      <v>45880</v>
    </oc>
    <nc r="BK1"/>
    <odxf>
      <numFmt numFmtId="21" formatCode="dd/mmm"/>
    </odxf>
    <ndxf>
      <numFmt numFmtId="0" formatCode="General"/>
    </ndxf>
  </rcc>
  <rcc rId="2866" sId="5" odxf="1" dxf="1">
    <oc r="BL1">
      <v>45881</v>
    </oc>
    <nc r="BL1"/>
    <odxf>
      <numFmt numFmtId="21" formatCode="dd/mmm"/>
    </odxf>
    <ndxf>
      <numFmt numFmtId="0" formatCode="General"/>
    </ndxf>
  </rcc>
  <rcc rId="2867" sId="5" odxf="1" dxf="1">
    <oc r="BM1">
      <v>45882</v>
    </oc>
    <nc r="BM1"/>
    <odxf>
      <numFmt numFmtId="21" formatCode="dd/mmm"/>
    </odxf>
    <ndxf>
      <numFmt numFmtId="0" formatCode="General"/>
    </ndxf>
  </rcc>
  <rcc rId="2868" sId="5" odxf="1" dxf="1">
    <oc r="BN1">
      <v>45883</v>
    </oc>
    <nc r="BN1"/>
    <odxf>
      <numFmt numFmtId="21" formatCode="dd/mmm"/>
    </odxf>
    <ndxf>
      <numFmt numFmtId="0" formatCode="General"/>
    </ndxf>
  </rcc>
  <rcc rId="2869" sId="5" odxf="1" dxf="1">
    <oc r="BO1">
      <v>45884</v>
    </oc>
    <nc r="BO1"/>
    <odxf>
      <numFmt numFmtId="21" formatCode="dd/mmm"/>
    </odxf>
    <ndxf>
      <numFmt numFmtId="0" formatCode="General"/>
    </ndxf>
  </rcc>
  <rcc rId="2870" sId="5" odxf="1" dxf="1">
    <oc r="BP1" t="inlineStr">
      <is>
        <t>TOTAL SEMANA</t>
      </is>
    </oc>
    <nc r="BP1"/>
    <odxf>
      <fill>
        <patternFill patternType="solid">
          <bgColor theme="0" tint="-0.249977111117893"/>
        </patternFill>
      </fill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ill>
        <patternFill patternType="none">
          <bgColor indexed="65"/>
        </patternFill>
      </fill>
      <border outline="0">
        <right/>
        <top/>
        <bottom/>
      </border>
    </ndxf>
  </rcc>
  <rcc rId="2871" sId="5">
    <oc r="G2">
      <v>6</v>
    </oc>
    <nc r="G2"/>
  </rcc>
  <rcc rId="2872" sId="5">
    <oc r="H2">
      <f>SUM(C2:G2)</f>
    </oc>
    <nc r="H2">
      <f>SUM(C2:G2)</f>
    </nc>
  </rcc>
  <rcc rId="2873" sId="5">
    <oc r="N2">
      <f>SUM(I2:M2)</f>
    </oc>
    <nc r="N2">
      <f>SUM(I2:M2)</f>
    </nc>
  </rcc>
  <rcc rId="2874" sId="5" odxf="1" dxf="1">
    <oc r="R2" t="inlineStr">
      <is>
        <t>FERIADO</t>
      </is>
    </oc>
    <nc r="R2"/>
    <odxf>
      <fill>
        <patternFill patternType="solid">
          <bgColor theme="9" tint="0.59999389629810485"/>
        </patternFill>
      </fill>
    </odxf>
    <ndxf>
      <fill>
        <patternFill patternType="none">
          <bgColor indexed="65"/>
        </patternFill>
      </fill>
    </ndxf>
  </rcc>
  <rcc rId="2875" sId="5" odxf="1" dxf="1">
    <oc r="S2" t="inlineStr">
      <is>
        <t>PONTO FACULTATIVO</t>
      </is>
    </oc>
    <nc r="S2"/>
    <odxf>
      <fill>
        <patternFill patternType="solid">
          <bgColor theme="9" tint="0.59999389629810485"/>
        </patternFill>
      </fill>
    </odxf>
    <ndxf>
      <fill>
        <patternFill patternType="none">
          <bgColor indexed="65"/>
        </patternFill>
      </fill>
    </ndxf>
  </rcc>
  <rcc rId="2876" sId="5">
    <oc r="T2">
      <f>SUM(O2:S2)</f>
    </oc>
    <nc r="T2">
      <f>SUM(O2:S2)</f>
    </nc>
  </rcc>
  <rcc rId="2877" sId="5">
    <oc r="Z2">
      <f>SUM(U2:Y2)</f>
    </oc>
    <nc r="Z2">
      <f>SUM(U2:Y2)</f>
    </nc>
  </rcc>
  <rcc rId="2878" sId="5">
    <oc r="AD2">
      <v>2</v>
    </oc>
    <nc r="AD2"/>
  </rcc>
  <rcc rId="2879" sId="5">
    <oc r="AF2">
      <f>SUM(AA2:AE2)</f>
    </oc>
    <nc r="AF2">
      <f>SUM(AA2:AE2)</f>
    </nc>
  </rcc>
  <rcc rId="2880" sId="5">
    <oc r="AG2">
      <v>1</v>
    </oc>
    <nc r="AG2"/>
  </rcc>
  <rcc rId="2881" sId="5">
    <oc r="AH2">
      <v>1</v>
    </oc>
    <nc r="AH2"/>
  </rcc>
  <rcc rId="2882" sId="5">
    <oc r="AL2">
      <f>SUM(AG2:AK2)</f>
    </oc>
    <nc r="AL2">
      <f>SUM(AG2:AK2)</f>
    </nc>
  </rcc>
  <rcc rId="2883" sId="5">
    <oc r="AR2">
      <f>SUM(AM2:AQ2)</f>
    </oc>
    <nc r="AR2">
      <f>SUM(AM2:AQ2)</f>
    </nc>
  </rcc>
  <rcc rId="2884" sId="5">
    <oc r="AX2">
      <f>SUM(AS2:AW2)</f>
    </oc>
    <nc r="AX2">
      <f>SUM(AS2:AW2)</f>
    </nc>
  </rcc>
  <rfmt sheetId="5" sqref="AZ2" start="0" length="0">
    <dxf>
      <alignment wrapText="0"/>
    </dxf>
  </rfmt>
  <rcc rId="2885" sId="5">
    <oc r="BD2">
      <f>SUM(AY2:BC2)</f>
    </oc>
    <nc r="BD2">
      <f>SUM(AY2:BC2)</f>
    </nc>
  </rcc>
  <rfmt sheetId="5" sqref="BH2" start="0" length="0">
    <dxf>
      <fill>
        <patternFill patternType="none">
          <bgColor indexed="65"/>
        </patternFill>
      </fill>
    </dxf>
  </rfmt>
  <rcc rId="2886" sId="5" odxf="1" dxf="1">
    <oc r="BJ2">
      <f>SUM(BE2:BI2)</f>
    </oc>
    <nc r="BJ2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2887" sId="5" odxf="1" dxf="1">
    <oc r="BP2">
      <f>SUM(BK2:BO2)</f>
    </oc>
    <nc r="BP2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2888" sId="5">
    <oc r="H3">
      <f>SUM(C3:G3)</f>
    </oc>
    <nc r="H3">
      <f>SUM(C3:G3)</f>
    </nc>
  </rcc>
  <rcc rId="2889" sId="5">
    <oc r="N3">
      <f>SUM(I3:M3)</f>
    </oc>
    <nc r="N3">
      <f>SUM(I3:M3)</f>
    </nc>
  </rcc>
  <rcc rId="2890" sId="5">
    <oc r="T3">
      <f>SUM(O3:S3)</f>
    </oc>
    <nc r="T3">
      <f>SUM(O3:S3)</f>
    </nc>
  </rcc>
  <rcc rId="2891" sId="5">
    <oc r="Z3">
      <f>SUM(U3:Y3)</f>
    </oc>
    <nc r="Z3">
      <f>SUM(U3:Y3)</f>
    </nc>
  </rcc>
  <rcc rId="2892" sId="5">
    <oc r="AF3">
      <f>SUM(AA3:AE3)</f>
    </oc>
    <nc r="AF3">
      <f>SUM(AA3:AE3)</f>
    </nc>
  </rcc>
  <rcc rId="2893" sId="5">
    <oc r="AL3">
      <f>SUM(AG3:AK3)</f>
    </oc>
    <nc r="AL3">
      <f>SUM(AG3:AK3)</f>
    </nc>
  </rcc>
  <rcc rId="2894" sId="5">
    <oc r="AR3">
      <f>SUM(AM3:AQ3)</f>
    </oc>
    <nc r="AR3">
      <f>SUM(AM3:AQ3)</f>
    </nc>
  </rcc>
  <rcc rId="2895" sId="5">
    <oc r="AX3">
      <f>SUM(AS3:AW3)</f>
    </oc>
    <nc r="AX3">
      <f>SUM(AS3:AW3)</f>
    </nc>
  </rcc>
  <rfmt sheetId="5" sqref="AZ3" start="0" length="0">
    <dxf>
      <alignment wrapText="0"/>
    </dxf>
  </rfmt>
  <rcc rId="2896" sId="5">
    <oc r="BD3">
      <f>SUM(AY3:BC3)</f>
    </oc>
    <nc r="BD3">
      <f>SUM(AY3:BC3)</f>
    </nc>
  </rcc>
  <rfmt sheetId="5" sqref="BH3" start="0" length="0">
    <dxf>
      <fill>
        <patternFill patternType="none">
          <bgColor indexed="65"/>
        </patternFill>
      </fill>
    </dxf>
  </rfmt>
  <rcc rId="2897" sId="5" odxf="1" dxf="1">
    <oc r="BJ3">
      <f>SUM(BE3:BI3)</f>
    </oc>
    <nc r="BJ3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2898" sId="5" odxf="1" dxf="1">
    <oc r="BP3">
      <f>SUM(BK3:BO3)</f>
    </oc>
    <nc r="BP3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2899" sId="5">
    <oc r="H4">
      <f>SUM(C4:G4)</f>
    </oc>
    <nc r="H4">
      <f>SUM(C4:G4)</f>
    </nc>
  </rcc>
  <rcc rId="2900" sId="5">
    <oc r="K4">
      <v>41</v>
    </oc>
    <nc r="K4"/>
  </rcc>
  <rcc rId="2901" sId="5">
    <oc r="N4">
      <f>SUM(I4:M4)</f>
    </oc>
    <nc r="N4">
      <f>SUM(I4:M4)</f>
    </nc>
  </rcc>
  <rcc rId="2902" sId="5">
    <oc r="Q4">
      <v>6</v>
    </oc>
    <nc r="Q4"/>
  </rcc>
  <rcc rId="2903" sId="5">
    <oc r="T4">
      <f>SUM(O4:S4)</f>
    </oc>
    <nc r="T4">
      <f>SUM(O4:S4)</f>
    </nc>
  </rcc>
  <rcc rId="2904" sId="5">
    <oc r="Z4">
      <f>SUM(U4:Y4)</f>
    </oc>
    <nc r="Z4">
      <f>SUM(U4:Y4)</f>
    </nc>
  </rcc>
  <rcc rId="2905" sId="5">
    <oc r="AF4">
      <f>SUM(AA4:AE4)</f>
    </oc>
    <nc r="AF4">
      <f>SUM(AA4:AE4)</f>
    </nc>
  </rcc>
  <rcc rId="2906" sId="5">
    <oc r="AG4">
      <v>1</v>
    </oc>
    <nc r="AG4"/>
  </rcc>
  <rcc rId="2907" sId="5">
    <oc r="AH4">
      <v>1</v>
    </oc>
    <nc r="AH4"/>
  </rcc>
  <rcc rId="2908" sId="5">
    <oc r="AL4">
      <f>SUM(AG4:AK4)</f>
    </oc>
    <nc r="AL4">
      <f>SUM(AG4:AK4)</f>
    </nc>
  </rcc>
  <rcc rId="2909" sId="5">
    <oc r="AR4">
      <f>SUM(AM4:AQ4)</f>
    </oc>
    <nc r="AR4">
      <f>SUM(AM4:AQ4)</f>
    </nc>
  </rcc>
  <rcc rId="2910" sId="5">
    <oc r="AX4">
      <f>SUM(AS4:AW4)</f>
    </oc>
    <nc r="AX4">
      <f>SUM(AS4:AW4)</f>
    </nc>
  </rcc>
  <rfmt sheetId="5" sqref="AZ4" start="0" length="0">
    <dxf>
      <alignment wrapText="0"/>
    </dxf>
  </rfmt>
  <rcc rId="2911" sId="5">
    <oc r="BD4">
      <f>SUM(AY4:BC4)</f>
    </oc>
    <nc r="BD4">
      <f>SUM(AY4:BC4)</f>
    </nc>
  </rcc>
  <rfmt sheetId="5" sqref="BH4" start="0" length="0">
    <dxf>
      <fill>
        <patternFill patternType="none">
          <bgColor indexed="65"/>
        </patternFill>
      </fill>
    </dxf>
  </rfmt>
  <rcc rId="2912" sId="5" odxf="1" dxf="1">
    <oc r="BJ4">
      <f>SUM(BE4:BI4)</f>
    </oc>
    <nc r="BJ4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2913" sId="5" odxf="1" dxf="1">
    <oc r="BP4">
      <f>SUM(BK4:BO4)</f>
    </oc>
    <nc r="BP4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2914" sId="5">
    <oc r="H5">
      <f>SUM(C5:G5)</f>
    </oc>
    <nc r="H5">
      <f>SUM(C5:G5)</f>
    </nc>
  </rcc>
  <rcc rId="2915" sId="5">
    <oc r="N5">
      <f>SUM(I5:M5)</f>
    </oc>
    <nc r="N5">
      <f>SUM(I5:M5)</f>
    </nc>
  </rcc>
  <rcc rId="2916" sId="5">
    <oc r="T5">
      <f>SUM(O5:S5)</f>
    </oc>
    <nc r="T5">
      <f>SUM(O5:S5)</f>
    </nc>
  </rcc>
  <rcc rId="2917" sId="5">
    <oc r="Z5">
      <f>SUM(U5:Y5)</f>
    </oc>
    <nc r="Z5">
      <f>SUM(U5:Y5)</f>
    </nc>
  </rcc>
  <rcc rId="2918" sId="5">
    <oc r="AF5">
      <f>SUM(AA5:AE5)</f>
    </oc>
    <nc r="AF5">
      <f>SUM(AA5:AE5)</f>
    </nc>
  </rcc>
  <rcc rId="2919" sId="5">
    <oc r="AL5">
      <f>SUM(AG5:AK5)</f>
    </oc>
    <nc r="AL5">
      <f>SUM(AG5:AK5)</f>
    </nc>
  </rcc>
  <rcc rId="2920" sId="5">
    <oc r="AR5">
      <f>SUM(AM5:AQ5)</f>
    </oc>
    <nc r="AR5">
      <f>SUM(AM5:AQ5)</f>
    </nc>
  </rcc>
  <rcc rId="2921" sId="5">
    <oc r="AX5">
      <f>SUM(AS5:AW5)</f>
    </oc>
    <nc r="AX5">
      <f>SUM(AS5:AW5)</f>
    </nc>
  </rcc>
  <rfmt sheetId="5" sqref="AZ5" start="0" length="0">
    <dxf>
      <alignment wrapText="0"/>
    </dxf>
  </rfmt>
  <rcc rId="2922" sId="5">
    <oc r="BD5">
      <f>SUM(AY5:BC5)</f>
    </oc>
    <nc r="BD5">
      <f>SUM(AY5:BC5)</f>
    </nc>
  </rcc>
  <rfmt sheetId="5" sqref="BH5" start="0" length="0">
    <dxf>
      <fill>
        <patternFill patternType="none">
          <bgColor indexed="65"/>
        </patternFill>
      </fill>
    </dxf>
  </rfmt>
  <rcc rId="2923" sId="5" odxf="1" dxf="1">
    <oc r="BJ5">
      <f>SUM(BE5:BI5)</f>
    </oc>
    <nc r="BJ5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2924" sId="5" odxf="1" dxf="1">
    <oc r="BP5">
      <f>SUM(BK5:BO5)</f>
    </oc>
    <nc r="BP5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2925" sId="5">
    <oc r="H6">
      <f>SUM(C6:G6)</f>
    </oc>
    <nc r="H6">
      <f>SUM(C6:G6)</f>
    </nc>
  </rcc>
  <rcc rId="2926" sId="5">
    <oc r="N6">
      <f>SUM(I6:M6)</f>
    </oc>
    <nc r="N6">
      <f>SUM(I6:M6)</f>
    </nc>
  </rcc>
  <rcc rId="2927" sId="5">
    <oc r="T6">
      <f>SUM(O6:S6)</f>
    </oc>
    <nc r="T6">
      <f>SUM(O6:S6)</f>
    </nc>
  </rcc>
  <rcc rId="2928" sId="5">
    <oc r="Z6">
      <f>SUM(U6:Y6)</f>
    </oc>
    <nc r="Z6">
      <f>SUM(U6:Y6)</f>
    </nc>
  </rcc>
  <rcc rId="2929" sId="5">
    <oc r="AF6">
      <f>SUM(AA6:AE6)</f>
    </oc>
    <nc r="AF6">
      <f>SUM(AA6:AE6)</f>
    </nc>
  </rcc>
  <rcc rId="2930" sId="5">
    <oc r="AL6">
      <f>SUM(AG6:AK6)</f>
    </oc>
    <nc r="AL6">
      <f>SUM(AG6:AK6)</f>
    </nc>
  </rcc>
  <rcc rId="2931" sId="5">
    <oc r="AR6">
      <f>SUM(AM6:AQ6)</f>
    </oc>
    <nc r="AR6">
      <f>SUM(AM6:AQ6)</f>
    </nc>
  </rcc>
  <rcc rId="2932" sId="5">
    <oc r="AX6">
      <f>SUM(AS6:AW6)</f>
    </oc>
    <nc r="AX6">
      <f>SUM(AS6:AW6)</f>
    </nc>
  </rcc>
  <rfmt sheetId="5" sqref="AZ6" start="0" length="0">
    <dxf>
      <alignment wrapText="0"/>
    </dxf>
  </rfmt>
  <rcc rId="2933" sId="5">
    <oc r="BD6">
      <f>SUM(AY6:BC6)</f>
    </oc>
    <nc r="BD6">
      <f>SUM(AY6:BC6)</f>
    </nc>
  </rcc>
  <rfmt sheetId="5" sqref="BH6" start="0" length="0">
    <dxf>
      <fill>
        <patternFill patternType="none">
          <bgColor indexed="65"/>
        </patternFill>
      </fill>
    </dxf>
  </rfmt>
  <rcc rId="2934" sId="5" odxf="1" dxf="1">
    <oc r="BJ6">
      <f>SUM(BE6:BI6)</f>
    </oc>
    <nc r="BJ6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2935" sId="5" odxf="1" dxf="1">
    <oc r="BP6">
      <f>SUM(BK6:BO6)</f>
    </oc>
    <nc r="BP6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2936" sId="5">
    <oc r="H7">
      <f>SUM(C7:G7)</f>
    </oc>
    <nc r="H7">
      <f>SUM(C7:G7)</f>
    </nc>
  </rcc>
  <rcc rId="2937" sId="5">
    <oc r="N7">
      <f>SUM(I7:M7)</f>
    </oc>
    <nc r="N7">
      <f>SUM(I7:M7)</f>
    </nc>
  </rcc>
  <rcc rId="2938" sId="5">
    <oc r="T7">
      <f>SUM(O7:S7)</f>
    </oc>
    <nc r="T7">
      <f>SUM(O7:S7)</f>
    </nc>
  </rcc>
  <rcc rId="2939" sId="5">
    <oc r="Z7">
      <f>SUM(U7:Y7)</f>
    </oc>
    <nc r="Z7">
      <f>SUM(U7:Y7)</f>
    </nc>
  </rcc>
  <rcc rId="2940" sId="5">
    <oc r="AF7">
      <f>SUM(AA7:AE7)</f>
    </oc>
    <nc r="AF7">
      <f>SUM(AA7:AE7)</f>
    </nc>
  </rcc>
  <rcc rId="2941" sId="5">
    <oc r="AL7">
      <f>SUM(AG7:AK7)</f>
    </oc>
    <nc r="AL7">
      <f>SUM(AG7:AK7)</f>
    </nc>
  </rcc>
  <rcc rId="2942" sId="5">
    <oc r="AR7">
      <f>SUM(AM7:AQ7)</f>
    </oc>
    <nc r="AR7">
      <f>SUM(AM7:AQ7)</f>
    </nc>
  </rcc>
  <rcc rId="2943" sId="5">
    <oc r="AX7">
      <f>SUM(AS7:AW7)</f>
    </oc>
    <nc r="AX7">
      <f>SUM(AS7:AW7)</f>
    </nc>
  </rcc>
  <rfmt sheetId="5" sqref="AZ7" start="0" length="0">
    <dxf>
      <alignment wrapText="0"/>
    </dxf>
  </rfmt>
  <rcc rId="2944" sId="5">
    <oc r="BD7">
      <f>SUM(AY7:BC7)</f>
    </oc>
    <nc r="BD7">
      <f>SUM(AY7:BC7)</f>
    </nc>
  </rcc>
  <rfmt sheetId="5" sqref="BH7" start="0" length="0">
    <dxf>
      <fill>
        <patternFill patternType="none">
          <bgColor indexed="65"/>
        </patternFill>
      </fill>
    </dxf>
  </rfmt>
  <rcc rId="2945" sId="5" odxf="1" dxf="1">
    <oc r="BJ7">
      <f>SUM(BE7:BI7)</f>
    </oc>
    <nc r="BJ7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2946" sId="5" odxf="1" dxf="1">
    <oc r="BP7">
      <f>SUM(BK7:BO7)</f>
    </oc>
    <nc r="BP7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2947" sId="5">
    <oc r="H8">
      <f>SUM(C8:G8)</f>
    </oc>
    <nc r="H8">
      <f>SUM(C8:G8)</f>
    </nc>
  </rcc>
  <rcc rId="2948" sId="5">
    <oc r="N8">
      <f>SUM(I8:M8)</f>
    </oc>
    <nc r="N8">
      <f>SUM(I8:M8)</f>
    </nc>
  </rcc>
  <rcc rId="2949" sId="5">
    <oc r="T8">
      <f>SUM(O8:S8)</f>
    </oc>
    <nc r="T8">
      <f>SUM(O8:S8)</f>
    </nc>
  </rcc>
  <rcc rId="2950" sId="5">
    <oc r="Z8">
      <f>SUM(U8:Y8)</f>
    </oc>
    <nc r="Z8">
      <f>SUM(U8:Y8)</f>
    </nc>
  </rcc>
  <rcc rId="2951" sId="5">
    <oc r="AF8">
      <f>SUM(AA8:AE8)</f>
    </oc>
    <nc r="AF8">
      <f>SUM(AA8:AE8)</f>
    </nc>
  </rcc>
  <rcc rId="2952" sId="5">
    <oc r="AL8">
      <f>SUM(AG8:AK8)</f>
    </oc>
    <nc r="AL8">
      <f>SUM(AG8:AK8)</f>
    </nc>
  </rcc>
  <rcc rId="2953" sId="5">
    <oc r="AR8">
      <f>SUM(AM8:AQ8)</f>
    </oc>
    <nc r="AR8">
      <f>SUM(AM8:AQ8)</f>
    </nc>
  </rcc>
  <rcc rId="2954" sId="5">
    <oc r="AX8">
      <f>SUM(AS8:AW8)</f>
    </oc>
    <nc r="AX8">
      <f>SUM(AS8:AW8)</f>
    </nc>
  </rcc>
  <rfmt sheetId="5" sqref="AZ8" start="0" length="0">
    <dxf>
      <alignment wrapText="0"/>
    </dxf>
  </rfmt>
  <rcc rId="2955" sId="5">
    <oc r="BD8">
      <f>SUM(AY8:BC8)</f>
    </oc>
    <nc r="BD8">
      <f>SUM(AY8:BC8)</f>
    </nc>
  </rcc>
  <rfmt sheetId="5" sqref="BH8" start="0" length="0">
    <dxf>
      <fill>
        <patternFill patternType="none">
          <bgColor indexed="65"/>
        </patternFill>
      </fill>
    </dxf>
  </rfmt>
  <rcc rId="2956" sId="5" odxf="1" dxf="1">
    <oc r="BJ8">
      <f>SUM(BE8:BI8)</f>
    </oc>
    <nc r="BJ8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2957" sId="5" odxf="1" dxf="1">
    <oc r="BP8">
      <f>SUM(BK8:BO8)</f>
    </oc>
    <nc r="BP8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2958" sId="5">
    <oc r="H9">
      <f>SUM(C9:G9)</f>
    </oc>
    <nc r="H9">
      <f>SUM(C9:G9)</f>
    </nc>
  </rcc>
  <rcc rId="2959" sId="5">
    <oc r="N9">
      <f>SUM(I9:M9)</f>
    </oc>
    <nc r="N9">
      <f>SUM(I9:M9)</f>
    </nc>
  </rcc>
  <rcc rId="2960" sId="5">
    <oc r="T9">
      <f>SUM(O9:S9)</f>
    </oc>
    <nc r="T9">
      <f>SUM(O9:S9)</f>
    </nc>
  </rcc>
  <rcc rId="2961" sId="5">
    <oc r="Z9">
      <f>SUM(U9:Y9)</f>
    </oc>
    <nc r="Z9">
      <f>SUM(U9:Y9)</f>
    </nc>
  </rcc>
  <rcc rId="2962" sId="5">
    <oc r="AF9">
      <f>SUM(AA9:AE9)</f>
    </oc>
    <nc r="AF9">
      <f>SUM(AA9:AE9)</f>
    </nc>
  </rcc>
  <rcc rId="2963" sId="5">
    <oc r="AL9">
      <f>SUM(AG9:AK9)</f>
    </oc>
    <nc r="AL9">
      <f>SUM(AG9:AK9)</f>
    </nc>
  </rcc>
  <rcc rId="2964" sId="5">
    <oc r="AR9">
      <f>SUM(AM9:AQ9)</f>
    </oc>
    <nc r="AR9">
      <f>SUM(AM9:AQ9)</f>
    </nc>
  </rcc>
  <rcc rId="2965" sId="5">
    <oc r="AX9">
      <f>SUM(AS9:AW9)</f>
    </oc>
    <nc r="AX9">
      <f>SUM(AS9:AW9)</f>
    </nc>
  </rcc>
  <rfmt sheetId="5" sqref="AZ9" start="0" length="0">
    <dxf>
      <alignment wrapText="0"/>
    </dxf>
  </rfmt>
  <rcc rId="2966" sId="5">
    <oc r="BD9">
      <f>SUM(AY9:BC9)</f>
    </oc>
    <nc r="BD9">
      <f>SUM(AY9:BC9)</f>
    </nc>
  </rcc>
  <rfmt sheetId="5" sqref="BH9" start="0" length="0">
    <dxf>
      <fill>
        <patternFill patternType="none">
          <bgColor indexed="65"/>
        </patternFill>
      </fill>
    </dxf>
  </rfmt>
  <rcc rId="2967" sId="5" odxf="1" dxf="1">
    <oc r="BJ9">
      <f>SUM(BE9:BI9)</f>
    </oc>
    <nc r="BJ9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2968" sId="5" odxf="1" dxf="1">
    <oc r="BP9">
      <f>SUM(BK9:BO9)</f>
    </oc>
    <nc r="BP9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2969" sId="5">
    <oc r="H10">
      <f>SUM(C10:G10)</f>
    </oc>
    <nc r="H10">
      <f>SUM(C10:G10)</f>
    </nc>
  </rcc>
  <rcc rId="2970" sId="5">
    <oc r="N10">
      <f>SUM(I10:M10)</f>
    </oc>
    <nc r="N10">
      <f>SUM(I10:M10)</f>
    </nc>
  </rcc>
  <rcc rId="2971" sId="5">
    <oc r="T10">
      <f>SUM(O10:S10)</f>
    </oc>
    <nc r="T10">
      <f>SUM(O10:S10)</f>
    </nc>
  </rcc>
  <rcc rId="2972" sId="5">
    <oc r="Z10">
      <f>SUM(U10:Y10)</f>
    </oc>
    <nc r="Z10">
      <f>SUM(U10:Y10)</f>
    </nc>
  </rcc>
  <rcc rId="2973" sId="5">
    <oc r="AF10">
      <f>SUM(AA10:AE10)</f>
    </oc>
    <nc r="AF10">
      <f>SUM(AA10:AE10)</f>
    </nc>
  </rcc>
  <rcc rId="2974" sId="5">
    <oc r="AL10">
      <f>SUM(AG10:AK10)</f>
    </oc>
    <nc r="AL10">
      <f>SUM(AG10:AK10)</f>
    </nc>
  </rcc>
  <rcc rId="2975" sId="5">
    <oc r="AR10">
      <f>SUM(AM10:AQ10)</f>
    </oc>
    <nc r="AR10">
      <f>SUM(AM10:AQ10)</f>
    </nc>
  </rcc>
  <rcc rId="2976" sId="5">
    <oc r="AX10">
      <f>SUM(AS10:AW10)</f>
    </oc>
    <nc r="AX10">
      <f>SUM(AS10:AW10)</f>
    </nc>
  </rcc>
  <rfmt sheetId="5" sqref="AZ10" start="0" length="0">
    <dxf>
      <alignment wrapText="0"/>
    </dxf>
  </rfmt>
  <rcc rId="2977" sId="5">
    <oc r="BD10">
      <f>SUM(AY10:BC10)</f>
    </oc>
    <nc r="BD10">
      <f>SUM(AY10:BC10)</f>
    </nc>
  </rcc>
  <rfmt sheetId="5" sqref="BH10" start="0" length="0">
    <dxf>
      <fill>
        <patternFill patternType="none">
          <bgColor indexed="65"/>
        </patternFill>
      </fill>
    </dxf>
  </rfmt>
  <rcc rId="2978" sId="5" odxf="1" dxf="1">
    <oc r="BJ10">
      <f>SUM(BE10:BI10)</f>
    </oc>
    <nc r="BJ10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2979" sId="5" odxf="1" dxf="1">
    <oc r="BP10">
      <f>SUM(BK10:BO10)</f>
    </oc>
    <nc r="BP10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2980" sId="5">
    <oc r="H11">
      <f>SUM(C11:G11)</f>
    </oc>
    <nc r="H11">
      <f>SUM(C11:G11)</f>
    </nc>
  </rcc>
  <rcc rId="2981" sId="5">
    <oc r="N11">
      <f>SUM(I11:M11)</f>
    </oc>
    <nc r="N11">
      <f>SUM(I11:M11)</f>
    </nc>
  </rcc>
  <rcc rId="2982" sId="5">
    <oc r="T11">
      <f>SUM(O11:S11)</f>
    </oc>
    <nc r="T11">
      <f>SUM(O11:S11)</f>
    </nc>
  </rcc>
  <rcc rId="2983" sId="5">
    <oc r="Z11">
      <f>SUM(U11:Y11)</f>
    </oc>
    <nc r="Z11">
      <f>SUM(U11:Y11)</f>
    </nc>
  </rcc>
  <rcc rId="2984" sId="5">
    <oc r="AF11">
      <f>SUM(AA11:AE11)</f>
    </oc>
    <nc r="AF11">
      <f>SUM(AA11:AE11)</f>
    </nc>
  </rcc>
  <rcc rId="2985" sId="5">
    <oc r="AL11">
      <f>SUM(AG11:AK11)</f>
    </oc>
    <nc r="AL11">
      <f>SUM(AG11:AK11)</f>
    </nc>
  </rcc>
  <rcc rId="2986" sId="5">
    <oc r="AR11">
      <f>SUM(AM11:AQ11)</f>
    </oc>
    <nc r="AR11">
      <f>SUM(AM11:AQ11)</f>
    </nc>
  </rcc>
  <rcc rId="2987" sId="5">
    <oc r="AX11">
      <f>SUM(AS11:AW11)</f>
    </oc>
    <nc r="AX11">
      <f>SUM(AS11:AW11)</f>
    </nc>
  </rcc>
  <rfmt sheetId="5" sqref="AZ11" start="0" length="0">
    <dxf>
      <alignment wrapText="0"/>
    </dxf>
  </rfmt>
  <rcc rId="2988" sId="5">
    <oc r="BD11">
      <f>SUM(AY11:BC11)</f>
    </oc>
    <nc r="BD11">
      <f>SUM(AY11:BC11)</f>
    </nc>
  </rcc>
  <rfmt sheetId="5" sqref="BH11" start="0" length="0">
    <dxf>
      <fill>
        <patternFill patternType="none">
          <bgColor indexed="65"/>
        </patternFill>
      </fill>
    </dxf>
  </rfmt>
  <rcc rId="2989" sId="5" odxf="1" dxf="1">
    <oc r="BJ11">
      <f>SUM(BE11:BI11)</f>
    </oc>
    <nc r="BJ11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2990" sId="5" odxf="1" dxf="1">
    <oc r="BP11">
      <f>SUM(BK11:BO11)</f>
    </oc>
    <nc r="BP11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2991" sId="5">
    <oc r="H12">
      <f>SUM(C12:G12)</f>
    </oc>
    <nc r="H12">
      <f>SUM(C12:G12)</f>
    </nc>
  </rcc>
  <rcc rId="2992" sId="5">
    <oc r="N12">
      <f>SUM(I12:M12)</f>
    </oc>
    <nc r="N12">
      <f>SUM(I12:M12)</f>
    </nc>
  </rcc>
  <rcc rId="2993" sId="5">
    <oc r="T12">
      <f>SUM(O12:S12)</f>
    </oc>
    <nc r="T12">
      <f>SUM(O12:S12)</f>
    </nc>
  </rcc>
  <rcc rId="2994" sId="5">
    <oc r="Y12">
      <v>67</v>
    </oc>
    <nc r="Y12"/>
  </rcc>
  <rcc rId="2995" sId="5">
    <oc r="Z12">
      <f>SUM(U12:Y12)</f>
    </oc>
    <nc r="Z12">
      <f>SUM(U12:Y12)</f>
    </nc>
  </rcc>
  <rcc rId="2996" sId="5">
    <oc r="AA12">
      <v>138</v>
    </oc>
    <nc r="AA12"/>
  </rcc>
  <rcc rId="2997" sId="5">
    <oc r="AB12">
      <v>102</v>
    </oc>
    <nc r="AB12"/>
  </rcc>
  <rcc rId="2998" sId="5">
    <oc r="AD12">
      <v>35</v>
    </oc>
    <nc r="AD12"/>
  </rcc>
  <rcc rId="2999" sId="5">
    <oc r="AE12">
      <v>30</v>
    </oc>
    <nc r="AE12"/>
  </rcc>
  <rcc rId="3000" sId="5">
    <oc r="AF12">
      <f>SUM(AA12:AE12)</f>
    </oc>
    <nc r="AF12">
      <f>SUM(AA12:AE12)</f>
    </nc>
  </rcc>
  <rcc rId="3001" sId="5">
    <oc r="AL12">
      <f>SUM(AG12:AK12)</f>
    </oc>
    <nc r="AL12">
      <f>SUM(AG12:AK12)</f>
    </nc>
  </rcc>
  <rcc rId="3002" sId="5">
    <oc r="AM12">
      <v>70</v>
    </oc>
    <nc r="AM12"/>
  </rcc>
  <rcc rId="3003" sId="5">
    <oc r="AN12">
      <v>68</v>
    </oc>
    <nc r="AN12"/>
  </rcc>
  <rcc rId="3004" sId="5">
    <oc r="AO12">
      <v>66</v>
    </oc>
    <nc r="AO12"/>
  </rcc>
  <rcc rId="3005" sId="5">
    <oc r="AP12">
      <v>63</v>
    </oc>
    <nc r="AP12"/>
  </rcc>
  <rcc rId="3006" sId="5">
    <oc r="AQ12">
      <v>70</v>
    </oc>
    <nc r="AQ12"/>
  </rcc>
  <rcc rId="3007" sId="5">
    <oc r="AR12">
      <f>SUM(AM12:AQ12)</f>
    </oc>
    <nc r="AR12">
      <f>SUM(AM12:AQ12)</f>
    </nc>
  </rcc>
  <rcc rId="3008" sId="5">
    <oc r="AS12">
      <v>36</v>
    </oc>
    <nc r="AS12"/>
  </rcc>
  <rcc rId="3009" sId="5">
    <oc r="AX12">
      <f>SUM(AS12:AW12)</f>
    </oc>
    <nc r="AX12">
      <f>SUM(AS12:AW12)</f>
    </nc>
  </rcc>
  <rcc rId="3010" sId="5" odxf="1" dxf="1">
    <oc r="AZ12">
      <v>21</v>
    </oc>
    <nc r="AZ12"/>
    <odxf>
      <alignment wrapText="1"/>
    </odxf>
    <ndxf>
      <alignment wrapText="0"/>
    </ndxf>
  </rcc>
  <rcc rId="3011" sId="5">
    <oc r="BD12">
      <f>SUM(AY12:BC12)</f>
    </oc>
    <nc r="BD12">
      <f>SUM(AY12:BC12)</f>
    </nc>
  </rcc>
  <rfmt sheetId="5" sqref="BH12" start="0" length="0">
    <dxf>
      <fill>
        <patternFill patternType="none">
          <bgColor indexed="65"/>
        </patternFill>
      </fill>
    </dxf>
  </rfmt>
  <rcc rId="3012" sId="5" odxf="1" dxf="1">
    <oc r="BJ12">
      <f>SUM(BE12:BI12)</f>
    </oc>
    <nc r="BJ12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3013" sId="5" odxf="1" dxf="1">
    <oc r="BP12">
      <f>SUM(BK12:BO12)</f>
    </oc>
    <nc r="BP12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3014" sId="5">
    <oc r="G13">
      <v>1</v>
    </oc>
    <nc r="G13"/>
  </rcc>
  <rcc rId="3015" sId="5">
    <oc r="H13">
      <f>SUM(C13:G13)</f>
    </oc>
    <nc r="H13">
      <f>SUM(C13:G13)</f>
    </nc>
  </rcc>
  <rcc rId="3016" sId="5">
    <oc r="N13">
      <f>SUM(I13:M13)</f>
    </oc>
    <nc r="N13">
      <f>SUM(I13:M13)</f>
    </nc>
  </rcc>
  <rcc rId="3017" sId="5">
    <oc r="T13">
      <f>SUM(O13:S13)</f>
    </oc>
    <nc r="T13">
      <f>SUM(O13:S13)</f>
    </nc>
  </rcc>
  <rcc rId="3018" sId="5">
    <oc r="Z13">
      <f>SUM(U13:Y13)</f>
    </oc>
    <nc r="Z13">
      <f>SUM(U13:Y13)</f>
    </nc>
  </rcc>
  <rcc rId="3019" sId="5">
    <oc r="AF13">
      <f>SUM(AA13:AE13)</f>
    </oc>
    <nc r="AF13">
      <f>SUM(AA13:AE13)</f>
    </nc>
  </rcc>
  <rcc rId="3020" sId="5">
    <oc r="AH13">
      <v>1</v>
    </oc>
    <nc r="AH13"/>
  </rcc>
  <rcc rId="3021" sId="5">
    <oc r="AL13">
      <f>SUM(AG13:AK13)</f>
    </oc>
    <nc r="AL13">
      <f>SUM(AG13:AK13)</f>
    </nc>
  </rcc>
  <rcc rId="3022" sId="5">
    <oc r="AR13">
      <f>SUM(AM13:AQ13)</f>
    </oc>
    <nc r="AR13">
      <f>SUM(AM13:AQ13)</f>
    </nc>
  </rcc>
  <rcc rId="3023" sId="5">
    <oc r="AX13">
      <f>SUM(AS13:AW13)</f>
    </oc>
    <nc r="AX13">
      <f>SUM(AS13:AW13)</f>
    </nc>
  </rcc>
  <rfmt sheetId="5" sqref="AZ13" start="0" length="0">
    <dxf>
      <alignment wrapText="0"/>
    </dxf>
  </rfmt>
  <rcc rId="3024" sId="5">
    <oc r="BD13">
      <f>SUM(AY13:BC13)</f>
    </oc>
    <nc r="BD13">
      <f>SUM(AY13:BC13)</f>
    </nc>
  </rcc>
  <rfmt sheetId="5" sqref="BH13" start="0" length="0">
    <dxf>
      <fill>
        <patternFill patternType="none">
          <bgColor indexed="65"/>
        </patternFill>
      </fill>
    </dxf>
  </rfmt>
  <rcc rId="3025" sId="5" odxf="1" dxf="1">
    <oc r="BJ13">
      <f>SUM(BE13:BI13)</f>
    </oc>
    <nc r="BJ13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3026" sId="5" odxf="1" dxf="1">
    <oc r="BP13">
      <f>SUM(BK13:BO13)</f>
    </oc>
    <nc r="BP13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3027" sId="5">
    <oc r="H14">
      <f>SUM(C14:G14)</f>
    </oc>
    <nc r="H14">
      <f>SUM(C14:G14)</f>
    </nc>
  </rcc>
  <rcc rId="3028" sId="5">
    <oc r="N14">
      <f>SUM(I14:M14)</f>
    </oc>
    <nc r="N14">
      <f>SUM(I14:M14)</f>
    </nc>
  </rcc>
  <rcc rId="3029" sId="5">
    <oc r="T14">
      <f>SUM(O14:S14)</f>
    </oc>
    <nc r="T14">
      <f>SUM(O14:S14)</f>
    </nc>
  </rcc>
  <rcc rId="3030" sId="5">
    <oc r="Z14">
      <f>SUM(U14:Y14)</f>
    </oc>
    <nc r="Z14">
      <f>SUM(U14:Y14)</f>
    </nc>
  </rcc>
  <rcc rId="3031" sId="5">
    <oc r="AF14">
      <f>SUM(AA14:AE14)</f>
    </oc>
    <nc r="AF14">
      <f>SUM(AA14:AE14)</f>
    </nc>
  </rcc>
  <rcc rId="3032" sId="5">
    <oc r="AL14">
      <f>SUM(AG14:AK14)</f>
    </oc>
    <nc r="AL14">
      <f>SUM(AG14:AK14)</f>
    </nc>
  </rcc>
  <rcc rId="3033" sId="5">
    <oc r="AR14">
      <f>SUM(AM14:AQ14)</f>
    </oc>
    <nc r="AR14">
      <f>SUM(AM14:AQ14)</f>
    </nc>
  </rcc>
  <rcc rId="3034" sId="5">
    <oc r="AX14">
      <f>SUM(AS14:AW14)</f>
    </oc>
    <nc r="AX14">
      <f>SUM(AS14:AW14)</f>
    </nc>
  </rcc>
  <rfmt sheetId="5" sqref="AZ14" start="0" length="0">
    <dxf>
      <alignment wrapText="0"/>
    </dxf>
  </rfmt>
  <rcc rId="3035" sId="5">
    <oc r="BD14">
      <f>SUM(AY14:BC14)</f>
    </oc>
    <nc r="BD14">
      <f>SUM(AY14:BC14)</f>
    </nc>
  </rcc>
  <rfmt sheetId="5" sqref="BH14" start="0" length="0">
    <dxf>
      <fill>
        <patternFill patternType="none">
          <bgColor indexed="65"/>
        </patternFill>
      </fill>
    </dxf>
  </rfmt>
  <rcc rId="3036" sId="5" odxf="1" dxf="1">
    <oc r="BJ14">
      <f>SUM(BE14:BI14)</f>
    </oc>
    <nc r="BJ14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3037" sId="5">
    <oc r="BL14">
      <v>1</v>
    </oc>
    <nc r="BL14"/>
  </rcc>
  <rcc rId="3038" sId="5" odxf="1" dxf="1">
    <oc r="BP14">
      <f>SUM(BK14:BO14)</f>
    </oc>
    <nc r="BP14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3039" sId="5">
    <oc r="G15">
      <v>14</v>
    </oc>
    <nc r="G15"/>
  </rcc>
  <rcc rId="3040" sId="5">
    <oc r="H15">
      <f>SUM(C15:G15)</f>
    </oc>
    <nc r="H15">
      <f>SUM(C15:G15)</f>
    </nc>
  </rcc>
  <rcc rId="3041" sId="5">
    <oc r="M15">
      <v>12</v>
    </oc>
    <nc r="M15"/>
  </rcc>
  <rcc rId="3042" sId="5">
    <oc r="N15">
      <f>SUM(I15:M15)</f>
    </oc>
    <nc r="N15">
      <f>SUM(I15:M15)</f>
    </nc>
  </rcc>
  <rcc rId="3043" sId="5">
    <oc r="T15">
      <f>SUM(O15:S15)</f>
    </oc>
    <nc r="T15">
      <f>SUM(O15:S15)</f>
    </nc>
  </rcc>
  <rcc rId="3044" sId="5">
    <oc r="X15">
      <v>5</v>
    </oc>
    <nc r="X15"/>
  </rcc>
  <rcc rId="3045" sId="5">
    <oc r="Z15">
      <f>SUM(U15:X15)</f>
    </oc>
    <nc r="Z15">
      <f>SUM(U15:Y15)</f>
    </nc>
  </rcc>
  <rcc rId="3046" sId="5">
    <oc r="AF15">
      <f>SUM(AA15:AE15)</f>
    </oc>
    <nc r="AF15">
      <f>SUM(AA15:AE15)</f>
    </nc>
  </rcc>
  <rcc rId="3047" sId="5">
    <oc r="AL15">
      <f>SUM(AG15:AK15)</f>
    </oc>
    <nc r="AL15">
      <f>SUM(AG15:AK15)</f>
    </nc>
  </rcc>
  <rcc rId="3048" sId="5">
    <oc r="AR15">
      <f>SUM(AM15:AQ15)</f>
    </oc>
    <nc r="AR15">
      <f>SUM(AM15:AQ15)</f>
    </nc>
  </rcc>
  <rcc rId="3049" sId="5">
    <oc r="AV15">
      <v>6</v>
    </oc>
    <nc r="AV15"/>
  </rcc>
  <rcc rId="3050" sId="5">
    <oc r="AX15">
      <f>SUM(AS15:AW15)</f>
    </oc>
    <nc r="AX15">
      <f>SUM(AS15:AW15)</f>
    </nc>
  </rcc>
  <rfmt sheetId="5" sqref="AZ15" start="0" length="0">
    <dxf>
      <alignment wrapText="0"/>
    </dxf>
  </rfmt>
  <rcc rId="3051" sId="5">
    <oc r="BD15">
      <f>SUM(AY15:BC15)</f>
    </oc>
    <nc r="BD15">
      <f>SUM(AY15:BC15)</f>
    </nc>
  </rcc>
  <rfmt sheetId="5" sqref="BH15" start="0" length="0">
    <dxf>
      <fill>
        <patternFill patternType="none">
          <bgColor indexed="65"/>
        </patternFill>
      </fill>
    </dxf>
  </rfmt>
  <rcc rId="3052" sId="5" odxf="1" dxf="1">
    <oc r="BJ15">
      <f>SUM(BE15:BI15)</f>
    </oc>
    <nc r="BJ15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3053" sId="5" odxf="1" dxf="1">
    <oc r="BP15">
      <f>SUM(BK15:BO15)</f>
    </oc>
    <nc r="BP15"/>
    <odxf>
      <fill>
        <patternFill patternType="solid">
          <bgColor theme="0" tint="-0.249977111117893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3054" sId="5" odxf="1" dxf="1" numFmtId="4">
    <oc r="F16">
      <v>7</v>
    </oc>
    <nc r="F16"/>
    <odxf>
      <numFmt numFmtId="0" formatCode="General"/>
    </odxf>
    <ndxf>
      <numFmt numFmtId="3" formatCode="#,##0"/>
    </ndxf>
  </rcc>
  <rfmt sheetId="5" sqref="G16" start="0" length="0">
    <dxf>
      <numFmt numFmtId="3" formatCode="#,##0"/>
      <border outline="0">
        <bottom style="thin">
          <color indexed="64"/>
        </bottom>
      </border>
    </dxf>
  </rfmt>
  <rcc rId="3055" sId="5">
    <oc r="H16">
      <f>SUM(C16:G16)</f>
    </oc>
    <nc r="H16">
      <f>SUM(C16:G16)</f>
    </nc>
  </rcc>
  <rcc rId="3056" sId="5" odxf="1" dxf="1" numFmtId="4">
    <oc r="I16">
      <v>13</v>
    </oc>
    <nc r="I16"/>
    <odxf>
      <numFmt numFmtId="0" formatCode="General"/>
      <border outline="0">
        <bottom/>
      </border>
    </odxf>
    <ndxf>
      <numFmt numFmtId="3" formatCode="#,##0"/>
      <border outline="0">
        <bottom style="thin">
          <color indexed="64"/>
        </bottom>
      </border>
    </ndxf>
  </rcc>
  <rfmt sheetId="5" sqref="K16" start="0" length="0">
    <dxf>
      <border outline="0">
        <bottom style="thin">
          <color indexed="64"/>
        </bottom>
      </border>
    </dxf>
  </rfmt>
  <rfmt sheetId="5" sqref="L16" start="0" length="0">
    <dxf>
      <border outline="0">
        <bottom style="thin">
          <color indexed="64"/>
        </bottom>
      </border>
    </dxf>
  </rfmt>
  <rfmt sheetId="5" sqref="M16" start="0" length="0">
    <dxf>
      <border outline="0">
        <bottom style="thin">
          <color indexed="64"/>
        </bottom>
      </border>
    </dxf>
  </rfmt>
  <rcc rId="3057" sId="5">
    <oc r="N16">
      <f>SUM(I16:M16)</f>
    </oc>
    <nc r="N16">
      <f>SUM(I16:M16)</f>
    </nc>
  </rcc>
  <rfmt sheetId="5" sqref="Q16" start="0" length="0">
    <dxf>
      <border outline="0">
        <bottom style="thin">
          <color indexed="64"/>
        </bottom>
      </border>
    </dxf>
  </rfmt>
  <rcc rId="3058" sId="5">
    <oc r="T16">
      <f>SUM(O16:S16)</f>
    </oc>
    <nc r="T16">
      <f>SUM(O16:S16)</f>
    </nc>
  </rcc>
  <rfmt sheetId="5" sqref="U16" start="0" length="0">
    <dxf>
      <border outline="0">
        <bottom style="thin">
          <color indexed="64"/>
        </bottom>
      </border>
    </dxf>
  </rfmt>
  <rfmt sheetId="5" sqref="V16" start="0" length="0">
    <dxf>
      <border outline="0">
        <bottom style="thin">
          <color indexed="64"/>
        </bottom>
      </border>
    </dxf>
  </rfmt>
  <rcc rId="3059" sId="5" odxf="1" dxf="1">
    <oc r="X16">
      <v>9</v>
    </oc>
    <nc r="X16"/>
    <odxf>
      <border outline="0">
        <bottom/>
      </border>
    </odxf>
    <ndxf>
      <border outline="0">
        <bottom style="thin">
          <color indexed="64"/>
        </bottom>
      </border>
    </ndxf>
  </rcc>
  <rfmt sheetId="5" sqref="Y16" start="0" length="0">
    <dxf>
      <border outline="0">
        <bottom style="thin">
          <color indexed="64"/>
        </bottom>
      </border>
    </dxf>
  </rfmt>
  <rcc rId="3060" sId="5">
    <oc r="Z16">
      <f>SUM(U16:X16)</f>
    </oc>
    <nc r="Z16">
      <f>SUM(U16:Y16)</f>
    </nc>
  </rcc>
  <rcc rId="3061" sId="5">
    <oc r="AF16">
      <f>SUM(AA16:AE16)</f>
    </oc>
    <nc r="AF16">
      <f>SUM(AA16:AE16)</f>
    </nc>
  </rcc>
  <rfmt sheetId="5" sqref="AH16" start="0" length="0">
    <dxf>
      <border outline="0">
        <bottom style="thin">
          <color indexed="64"/>
        </bottom>
      </border>
    </dxf>
  </rfmt>
  <rcc rId="3062" sId="5" odxf="1" dxf="1">
    <oc r="AI16">
      <v>30</v>
    </oc>
    <nc r="AI16"/>
    <odxf>
      <border outline="0">
        <bottom/>
      </border>
    </odxf>
    <ndxf>
      <border outline="0">
        <bottom style="thin">
          <color indexed="64"/>
        </bottom>
      </border>
    </ndxf>
  </rcc>
  <rcc rId="3063" sId="5" odxf="1" dxf="1">
    <oc r="AJ16">
      <v>30</v>
    </oc>
    <nc r="AJ16"/>
    <odxf>
      <border outline="0">
        <bottom/>
      </border>
    </odxf>
    <ndxf>
      <border outline="0">
        <bottom style="thin">
          <color indexed="64"/>
        </bottom>
      </border>
    </ndxf>
  </rcc>
  <rcc rId="3064" sId="5">
    <oc r="AL16">
      <f>SUM(AG16:AK16)</f>
    </oc>
    <nc r="AL16">
      <f>SUM(AG16:AK16)</f>
    </nc>
  </rcc>
  <rfmt sheetId="5" sqref="AM16" start="0" length="0">
    <dxf>
      <border outline="0">
        <bottom style="thin">
          <color indexed="64"/>
        </bottom>
      </border>
    </dxf>
  </rfmt>
  <rfmt sheetId="5" sqref="AN16" start="0" length="0">
    <dxf>
      <border outline="0">
        <bottom style="thin">
          <color indexed="64"/>
        </bottom>
      </border>
    </dxf>
  </rfmt>
  <rfmt sheetId="5" sqref="AO16" start="0" length="0">
    <dxf>
      <border outline="0">
        <bottom style="thin">
          <color indexed="64"/>
        </bottom>
      </border>
    </dxf>
  </rfmt>
  <rfmt sheetId="5" sqref="AP16" start="0" length="0">
    <dxf>
      <border outline="0">
        <bottom style="thin">
          <color indexed="64"/>
        </bottom>
      </border>
    </dxf>
  </rfmt>
  <rfmt sheetId="5" sqref="AQ16" start="0" length="0">
    <dxf>
      <border outline="0">
        <bottom style="thin">
          <color indexed="64"/>
        </bottom>
      </border>
    </dxf>
  </rfmt>
  <rcc rId="3065" sId="5">
    <oc r="AR16">
      <f>SUM(AM16:AQ16)</f>
    </oc>
    <nc r="AR16">
      <f>SUM(AM16:AQ16)</f>
    </nc>
  </rcc>
  <rfmt sheetId="5" sqref="AS16" start="0" length="0">
    <dxf>
      <border outline="0">
        <bottom style="thin">
          <color indexed="64"/>
        </bottom>
      </border>
    </dxf>
  </rfmt>
  <rfmt sheetId="5" sqref="AT16" start="0" length="0">
    <dxf>
      <border outline="0">
        <bottom style="thin">
          <color indexed="64"/>
        </bottom>
      </border>
    </dxf>
  </rfmt>
  <rfmt sheetId="5" sqref="AU16" start="0" length="0">
    <dxf>
      <border outline="0">
        <bottom style="thin">
          <color indexed="64"/>
        </bottom>
      </border>
    </dxf>
  </rfmt>
  <rfmt sheetId="5" sqref="AV16" start="0" length="0">
    <dxf>
      <border outline="0">
        <bottom style="thin">
          <color indexed="64"/>
        </bottom>
      </border>
    </dxf>
  </rfmt>
  <rcc rId="3066" sId="5" odxf="1" dxf="1">
    <oc r="AW16">
      <v>7</v>
    </oc>
    <nc r="AW16"/>
    <odxf>
      <border outline="0">
        <bottom/>
      </border>
    </odxf>
    <ndxf>
      <border outline="0">
        <bottom style="thin">
          <color indexed="64"/>
        </bottom>
      </border>
    </ndxf>
  </rcc>
  <rcc rId="3067" sId="5">
    <oc r="AX16">
      <f>SUM(AS16:AW16)</f>
    </oc>
    <nc r="AX16">
      <f>SUM(AS16:AW16)</f>
    </nc>
  </rcc>
  <rcc rId="3068" sId="5" odxf="1" dxf="1">
    <oc r="AY16">
      <v>4</v>
    </oc>
    <nc r="AY16"/>
    <odxf>
      <border outline="0">
        <bottom/>
      </border>
    </odxf>
    <ndxf>
      <border outline="0">
        <bottom style="thin">
          <color indexed="64"/>
        </bottom>
      </border>
    </ndxf>
  </rcc>
  <rfmt sheetId="5" sqref="AZ16" start="0" length="0">
    <dxf>
      <alignment wrapText="0"/>
      <border outline="0">
        <bottom style="thin">
          <color indexed="64"/>
        </bottom>
      </border>
    </dxf>
  </rfmt>
  <rfmt sheetId="5" sqref="BA16" start="0" length="0">
    <dxf>
      <border outline="0">
        <bottom style="thin">
          <color indexed="64"/>
        </bottom>
      </border>
    </dxf>
  </rfmt>
  <rfmt sheetId="5" sqref="BB16" start="0" length="0">
    <dxf>
      <border outline="0">
        <bottom style="thin">
          <color indexed="64"/>
        </bottom>
      </border>
    </dxf>
  </rfmt>
  <rfmt sheetId="5" sqref="BC16" start="0" length="0">
    <dxf>
      <border outline="0">
        <bottom style="thin">
          <color indexed="64"/>
        </bottom>
      </border>
    </dxf>
  </rfmt>
  <rcc rId="3069" sId="5">
    <oc r="BD16">
      <f>SUM(AY16:BC16)</f>
    </oc>
    <nc r="BD16">
      <f>SUM(AY16:BC16)</f>
    </nc>
  </rcc>
  <rfmt sheetId="5" sqref="BH16" start="0" length="0">
    <dxf>
      <fill>
        <patternFill patternType="none">
          <bgColor indexed="65"/>
        </patternFill>
      </fill>
    </dxf>
  </rfmt>
  <rcc rId="3070" sId="5" odxf="1" dxf="1">
    <oc r="BJ16">
      <f>SUM(BE16:BI16)</f>
    </oc>
    <nc r="BJ16"/>
    <odxf>
      <fill>
        <patternFill patternType="solid">
          <bgColor theme="0" tint="-0.249977111117893"/>
        </patternFill>
      </fill>
      <border outline="0">
        <right style="thin">
          <color indexed="64"/>
        </right>
        <bottom style="thin">
          <color indexed="64"/>
        </bottom>
      </border>
    </odxf>
    <ndxf>
      <fill>
        <patternFill patternType="none">
          <bgColor indexed="65"/>
        </patternFill>
      </fill>
      <border outline="0">
        <right/>
        <bottom/>
      </border>
    </ndxf>
  </rcc>
  <rcc rId="3071" sId="5" odxf="1" dxf="1">
    <oc r="BP16">
      <f>SUM(BK16:BO16)</f>
    </oc>
    <nc r="BP16"/>
    <odxf>
      <fill>
        <patternFill patternType="solid">
          <bgColor theme="0" tint="-0.249977111117893"/>
        </patternFill>
      </fill>
      <border outline="0">
        <right style="thin">
          <color indexed="64"/>
        </right>
        <bottom style="thin">
          <color indexed="64"/>
        </bottom>
      </border>
    </odxf>
    <ndxf>
      <fill>
        <patternFill patternType="none">
          <bgColor indexed="65"/>
        </patternFill>
      </fill>
      <border outline="0">
        <right/>
        <bottom/>
      </border>
    </ndxf>
  </rcc>
  <rcc rId="3072" sId="5" odxf="1" dxf="1">
    <oc r="C17" t="inlineStr">
      <is>
        <t xml:space="preserve">1. Listando filmes da LBA -DNIT, Sl. 4.47.
2. Procura da localização das caixas LBA para o pesquisador Prof. Dr. Bruno Sanches. Solicitação e-mail de 24/04/2025.
</t>
      </is>
    </oc>
    <nc r="C17"/>
    <o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border outline="0">
        <left/>
        <right/>
        <top/>
        <bottom/>
      </border>
    </ndxf>
  </rcc>
  <rcc rId="3073" sId="5" odxf="1" dxf="1">
    <oc r="D17" t="inlineStr">
      <is>
        <t>Listando filmes da LBA -DNIT, Sl. 4.47</t>
      </is>
    </oc>
    <nc r="D17"/>
    <o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border outline="0">
        <left/>
        <right/>
        <top/>
        <bottom/>
      </border>
    </ndxf>
  </rcc>
  <rcc rId="3074" sId="5" odxf="1" dxf="1">
    <oc r="E17" t="inlineStr">
      <is>
        <t xml:space="preserve">1. Listando filmes da LBA -DNIT, Sl. 4.47.
2. Procura da localização das caixas LBA para o pesquisador Prof. Dr. Bruno Sanches. Solicitação e-mail de 24/04/2025.
</t>
      </is>
    </oc>
    <nc r="E17"/>
    <o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border outline="0">
        <left/>
        <right/>
        <top/>
        <bottom/>
      </border>
    </ndxf>
  </rcc>
  <rcc rId="3075" sId="5">
    <oc r="F17" t="inlineStr">
      <is>
        <t>1. Procura da localização das caixas LBA para o pesquisador Prof. Dr. Bruno Sanches. Solicitação e-mail de 24/04/2025.
2. Pesquisa e busca dos processos
 23132.000386/1996-21
23132.000139/1995-51</t>
      </is>
    </oc>
    <nc r="F17"/>
  </rcc>
  <rcc rId="3076" sId="5">
    <oc r="G17" t="inlineStr">
      <is>
        <t>1. Atualização da planilha das caixas LBA para o pesquisador Prof. Dr. Bruno Sanches.
2. Caixas remanejadas para a sala 3.11, para o pesquisador prof. Dr. Bruno Sanches analisar.</t>
      </is>
    </oc>
    <nc r="G17"/>
  </rcc>
  <rcc rId="3077" sId="5" odxf="1" dxf="1">
    <oc r="I17" t="inlineStr">
      <is>
        <r>
          <t xml:space="preserve">Separação das 13 caixas da LBA, </t>
        </r>
        <r>
          <rPr>
            <b/>
            <sz val="11"/>
            <color theme="1"/>
            <rFont val="Aptos Narrow"/>
            <family val="2"/>
          </rPr>
          <t>conferindo o conteúdo de cada caixa</t>
        </r>
        <r>
          <rPr>
            <sz val="11"/>
            <color theme="1"/>
            <rFont val="Aptos Narrow"/>
            <family val="2"/>
          </rPr>
          <t>, no Bloco A - Sala G-15, para o pesquisador Prof. Dr. Bruno Sanches. Solicitação e-mail de 24/04/2025.</t>
        </r>
      </is>
    </oc>
    <nc r="I17"/>
    <o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border outline="0">
        <left/>
        <right/>
        <top/>
        <bottom/>
      </border>
    </ndxf>
  </rcc>
  <rcc rId="3078" sId="5" odxf="1" dxf="1">
    <oc r="J17" t="inlineStr">
      <is>
        <t>Acompanhando, no Bloco A - Sala G-15, o pesquisador Prof. Dr. Bruno Sanches em sua pesquisa.</t>
      </is>
    </oc>
    <nc r="J17"/>
    <o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border outline="0">
        <left/>
        <right/>
        <top/>
        <bottom/>
      </border>
    </ndxf>
  </rcc>
  <rcc rId="3079" sId="5">
    <oc r="K17" t="inlineStr">
      <is>
        <r>
          <t xml:space="preserve">1. </t>
        </r>
        <r>
          <rPr>
            <b/>
            <sz val="11"/>
            <color theme="1"/>
            <rFont val="Aptos Narrow"/>
            <family val="2"/>
          </rPr>
          <t>Movimentação de 31 documentos</t>
        </r>
        <r>
          <rPr>
            <sz val="11"/>
            <color theme="1"/>
            <rFont val="Aptos Narrow"/>
            <family val="2"/>
          </rPr>
          <t xml:space="preserve"> de  que estavam na sala 4.47 fora da caixa correspondente.
2. </t>
        </r>
        <r>
          <rPr>
            <b/>
            <sz val="11"/>
            <color theme="1"/>
            <rFont val="Aptos Narrow"/>
            <family val="2"/>
          </rPr>
          <t>Movimentação de 10 processos</t>
        </r>
        <r>
          <rPr>
            <sz val="11"/>
            <color theme="1"/>
            <rFont val="Aptos Narrow"/>
            <family val="2"/>
          </rPr>
          <t xml:space="preserve"> que estavam na sala 4.47 fora da caixa correspondente.</t>
        </r>
      </is>
    </oc>
    <nc r="K17"/>
  </rcc>
  <rcc rId="3080" sId="5" odxf="1" dxf="1">
    <oc r="L17" t="inlineStr">
      <is>
        <t xml:space="preserve">Pesquisando e reunindo o  material da LBA, para digitalização, buscando localização, solicitado pela professora Gracyelle - Email de 12/02/2025. </t>
      </is>
    </oc>
    <nc r="L17"/>
    <odxf>
      <alignment wrapText="1"/>
    </odxf>
    <ndxf>
      <alignment wrapText="0"/>
    </ndxf>
  </rcc>
  <rcc rId="3081" sId="5">
    <oc r="M17" t="inlineStr">
      <is>
        <t xml:space="preserve">1. Acompanhando, no DNIT - Sala 1S 3.11, o pesquisador Prof. Dr. Bruno Sanches em sua pesquisa.
2. Pesquisa para o prof. Bruno Saches sobre uma creche "A Casa da Criança" de Londrina Paraná.
Encontrado no Relatório Paraná 1955.
3. Digitalização material da LBA, solicitado pela professora Gracyelle - Email de 12/02/2025. </t>
      </is>
    </oc>
    <nc r="M17"/>
  </rcc>
  <rcc rId="3082" sId="5">
    <oc r="O17" t="inlineStr">
      <is>
        <t xml:space="preserve">Digitalização material da LBA, solicitado pela professora Gracyelle - Email de 12/02/2025. </t>
      </is>
    </oc>
    <nc r="O17"/>
  </rcc>
  <rcc rId="3083" sId="5" odxf="1" dxf="1">
    <oc r="P17" t="inlineStr">
      <is>
        <t xml:space="preserve">Digitalização material da LBA, solicitado pela professora Gracyelle - Email de 12/02/2025. </t>
      </is>
    </oc>
    <nc r="P17"/>
    <odxf>
      <alignment wrapText="1"/>
    </odxf>
    <ndxf>
      <alignment wrapText="0"/>
    </ndxf>
  </rcc>
  <rcc rId="3084" sId="5">
    <oc r="Q17" t="inlineStr">
      <is>
        <t>1. Digitalização material da LBA, solicitado pela professora Gracyelle - Email de 12/02/2025.
2. À tarde fui levar minha filha ao dentista.</t>
      </is>
    </oc>
    <nc r="Q17"/>
  </rcc>
  <rfmt sheetId="5" sqref="R17" start="0" length="0">
    <dxf>
      <alignment wrapText="1"/>
    </dxf>
  </rfmt>
  <rcc rId="3085" sId="5">
    <oc r="U17" t="inlineStr">
      <is>
        <t xml:space="preserve">1. Pela manhã - Nossa mudança do subsolo sala 1S 3.11 para o 2º andar sala 24.32.
2. Digitalização material da LBA, solicitado pela professora Gracyelle - Email de 12/02/2025. </t>
      </is>
    </oc>
    <nc r="U17"/>
  </rcc>
  <rcc rId="3086" sId="5" odxf="1" dxf="1">
    <oc r="V17" t="inlineStr">
      <is>
        <t xml:space="preserve">Digitalização material da LBA, solicitado pela professora Gracyelle - Email de 12/02/2025. </t>
      </is>
    </oc>
    <nc r="V17"/>
    <o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border outline="0">
        <left/>
        <right/>
        <top/>
        <bottom/>
      </border>
    </ndxf>
  </rcc>
  <rcc rId="3087" sId="5" odxf="1" dxf="1">
    <oc r="W17" t="inlineStr">
      <is>
        <t xml:space="preserve">Digitalização material da LBA, solicitado pela professora Gracyelle - Email de 12/02/2025. </t>
      </is>
    </oc>
    <nc r="W17"/>
    <o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border outline="0">
        <left/>
        <right/>
        <top/>
        <bottom/>
      </border>
    </ndxf>
  </rcc>
  <rcc rId="3088" sId="5" odxf="1" dxf="1">
    <oc r="X17" t="inlineStr">
      <is>
        <t xml:space="preserve"> 1. Digitalização material da LBA, solicitado pela professora Gracyelle - Email de 12/02/2025. 
2. Ajuda na pesquisa do documento averbação da servidora MARILUZA PORTELA RIOS VIEIRA. 
</t>
      </is>
    </oc>
    <nc r="X17"/>
    <odxf>
      <alignment wrapText="1"/>
    </odxf>
    <ndxf>
      <alignment wrapText="0"/>
    </ndxf>
  </rcc>
  <rcc rId="3089" sId="5" odxf="1" dxf="1">
    <oc r="Y17" t="inlineStr">
      <is>
        <r>
          <t xml:space="preserve">1. Ajuda na pesquisa do documento averbação da servidora MARILUZA PORTELA RIOS VIEIRA. 
</t>
        </r>
        <r>
          <rPr>
            <sz val="11"/>
            <color rgb="FFFF0000"/>
            <rFont val="Aptos Narrow"/>
            <family val="2"/>
          </rPr>
          <t>Encontrado apenas no SEI (0500971).</t>
        </r>
        <r>
          <rPr>
            <sz val="11"/>
            <color theme="1"/>
            <rFont val="Aptos Narrow"/>
            <family val="2"/>
          </rPr>
          <t xml:space="preserve">
2. Inventário microfilmes:
2 Caixas
67 microfilmes.</t>
        </r>
      </is>
    </oc>
    <nc r="Y17"/>
    <odxf>
      <alignment wrapText="1"/>
    </odxf>
    <ndxf>
      <alignment wrapText="0"/>
    </ndxf>
  </rcc>
  <rcc rId="3090" sId="5">
    <oc r="AA17" t="inlineStr">
      <is>
        <t xml:space="preserve"> Inventário microfilmes:
4 Caixas
138 microfilmes.</t>
      </is>
    </oc>
    <nc r="AA17"/>
  </rcc>
  <rcc rId="3091" sId="5" odxf="1" dxf="1">
    <oc r="AB17" t="inlineStr">
      <is>
        <t xml:space="preserve">1. Inventário microfilmes.
3 Caixas
102 microfilmes
2. Ajuda na pesquisa do documento averbação da servidora MARILUZA PORTELA RIOS VIEIRA. </t>
      </is>
    </oc>
    <nc r="AB17"/>
    <odxf>
      <alignment wrapText="1"/>
    </odxf>
    <ndxf>
      <alignment wrapText="0"/>
    </ndxf>
  </rcc>
  <rcc rId="3092" sId="5" odxf="1" dxf="1">
    <oc r="AC17" t="inlineStr">
      <is>
        <r>
          <t xml:space="preserve">Ajuda na pesquisa do documento </t>
        </r>
        <r>
          <rPr>
            <b/>
            <sz val="11"/>
            <color theme="1"/>
            <rFont val="Aptos Narrow"/>
            <family val="2"/>
          </rPr>
          <t>averbação</t>
        </r>
        <r>
          <rPr>
            <sz val="11"/>
            <color theme="1"/>
            <rFont val="Aptos Narrow"/>
            <family val="2"/>
          </rPr>
          <t xml:space="preserve"> da servidora MARILUZA PORTELA RIOS VIEIRA. </t>
        </r>
      </is>
    </oc>
    <nc r="AC17"/>
    <odxf>
      <alignment wrapText="1"/>
    </odxf>
    <ndxf>
      <alignment wrapText="0"/>
    </ndxf>
  </rcc>
  <rcc rId="3093" sId="5">
    <oc r="AD17" t="inlineStr">
      <is>
        <t>1. Pesquisa do documento averbação da servidora MARILUZA PORTELA RIOS VIEIRA.
2.  Pesquisa e busca processos: 00070.002379/2003-10 00070.007055/2003-78
3. Inventário microfilmes.
1 Caixa
30 microfilmes</t>
      </is>
    </oc>
    <nc r="AD17"/>
  </rcc>
  <rcc rId="3094" sId="5" odxf="1" dxf="1">
    <oc r="AE17" t="inlineStr">
      <is>
        <t xml:space="preserve"> 1. Pesquisa do documento averbação da servidora
 MARILUZA PORTELA RIOS VIEIRA.
2. Inventário microfilmes.
1 Caixa
30 microfilmes.</t>
      </is>
    </oc>
    <nc r="AE17"/>
    <odxf>
      <alignment wrapText="1"/>
    </odxf>
    <ndxf>
      <alignment wrapText="0"/>
    </ndxf>
  </rcc>
  <rcc rId="3095" sId="5">
    <oc r="AG17" t="inlineStr">
      <is>
        <t>1. Inventário microfilmes.
1 Caixa
30 microfilmes.
2. Envio de 70 caixas para DAP/CGPC.
3. Recebimento de 70 caixas para DAP/CGPC.</t>
      </is>
    </oc>
    <nc r="AG17"/>
  </rcc>
  <rcc rId="3096" sId="5" odxf="1" dxf="1">
    <oc r="AH17" t="inlineStr">
      <is>
        <t>1. Ida ao Bloco A com os chefes, Patrícia e Marcelo, para ver localização dos microfilmes para inventáriá-los. 
2.  Ida ao Bloco A para localização e análise das prováveis caixas onde possa estar o processo do FUNDESPORTE.</t>
      </is>
    </oc>
    <nc r="AH17"/>
    <odxf>
      <alignment wrapText="1"/>
    </odxf>
    <ndxf>
      <alignment wrapText="0"/>
    </ndxf>
  </rcc>
  <rcc rId="3097" sId="5" odxf="1" dxf="1">
    <oc r="AI17" t="inlineStr">
      <is>
        <t>Conferência das caixas da 
CGPC/DEFNAS.</t>
      </is>
    </oc>
    <nc r="AI17"/>
    <odxf>
      <alignment wrapText="1"/>
    </odxf>
    <ndxf>
      <alignment wrapText="0"/>
    </ndxf>
  </rcc>
  <rcc rId="3098" sId="5" odxf="1" dxf="1">
    <oc r="AJ17" t="inlineStr">
      <is>
        <t>Conferência das caixas da 
CGPC/DEFNAS.</t>
      </is>
    </oc>
    <nc r="AJ17"/>
    <odxf>
      <alignment wrapText="1"/>
    </odxf>
    <ndxf>
      <alignment wrapText="0"/>
    </ndxf>
  </rcc>
  <rfmt sheetId="5" sqref="AK17" start="0" length="0">
    <dxf>
      <alignment wrapText="1"/>
    </dxf>
  </rfmt>
  <rcc rId="3099" sId="5" odxf="1" dxf="1">
    <oc r="AM17" t="inlineStr">
      <is>
        <t>Inventário microfilmes.
2 Caixas
70 microfilmes</t>
      </is>
    </oc>
    <nc r="AM17"/>
    <o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border outline="0">
        <left/>
        <right/>
        <top/>
        <bottom/>
      </border>
    </ndxf>
  </rcc>
  <rcc rId="3100" sId="5" odxf="1" dxf="1">
    <oc r="AN17" t="inlineStr">
      <is>
        <t>Inventário microfilmes.
2 Caixas
68 microfilmes</t>
      </is>
    </oc>
    <nc r="AN17"/>
    <o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alignment wrapText="0"/>
      <border outline="0">
        <left/>
        <right/>
        <top/>
        <bottom/>
      </border>
    </ndxf>
  </rcc>
  <rcc rId="3101" sId="5" odxf="1" dxf="1">
    <oc r="AO17" t="inlineStr">
      <is>
        <t>Inventário microfilmes.
2 Caixas
66 microfilmes</t>
      </is>
    </oc>
    <nc r="AO17"/>
    <o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alignment wrapText="0"/>
      <border outline="0">
        <left/>
        <right/>
        <top/>
        <bottom/>
      </border>
    </ndxf>
  </rcc>
  <rcc rId="3102" sId="5" odxf="1" dxf="1">
    <oc r="AP17" t="inlineStr">
      <is>
        <t>Inventário microfilmes.
2 Caixas
63 microfilmes</t>
      </is>
    </oc>
    <nc r="AP17"/>
    <o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alignment wrapText="0"/>
      <border outline="0">
        <left/>
        <right/>
        <top/>
        <bottom/>
      </border>
    </ndxf>
  </rcc>
  <rcc rId="3103" sId="5" odxf="1" dxf="1">
    <oc r="AQ17" t="inlineStr">
      <is>
        <t>Inventário microfilmes.
2 Caixas
70 microfilmes</t>
      </is>
    </oc>
    <nc r="AQ17"/>
    <o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alignment wrapText="0"/>
      <border outline="0">
        <left/>
        <right/>
        <top/>
        <bottom/>
      </border>
    </ndxf>
  </rcc>
  <rcc rId="3104" sId="5" odxf="1" dxf="1">
    <oc r="AS17" t="inlineStr">
      <is>
        <t>Inventário microfilmes.
7 Caixas
34 VHS e 2 DVD</t>
      </is>
    </oc>
    <nc r="AS17"/>
    <o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border outline="0">
        <left/>
        <right/>
        <top/>
        <bottom/>
      </border>
    </ndxf>
  </rcc>
  <rcc rId="3105" sId="5" odxf="1" dxf="1">
    <oc r="AT17" t="inlineStr">
      <is>
        <t>Preenchimento Planilha
 Inventário audiovisuais LBA.</t>
      </is>
    </oc>
    <nc r="AT17"/>
    <o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border outline="0">
        <left/>
        <right/>
        <top/>
        <bottom/>
      </border>
    </ndxf>
  </rcc>
  <rcc rId="3106" sId="5" odxf="1" dxf="1">
    <oc r="AU17" t="inlineStr">
      <is>
        <t>Preenchimento Planilha
 Inventário audiovisuais LBA.</t>
      </is>
    </oc>
    <nc r="AU17"/>
    <o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alignment wrapText="0"/>
      <border outline="0">
        <left/>
        <right/>
        <top/>
        <bottom/>
      </border>
    </ndxf>
  </rcc>
  <rcc rId="3107" sId="5" odxf="1" dxf="1">
    <oc r="AV17" t="inlineStr">
      <is>
        <t>1. Preenchimento Planilha
 Inventário audiovisuais LBA.
2. Guarda e remanejamento das caixas  LBA que o professor Bruno pesquisou.
Total 13 caixas.</t>
      </is>
    </oc>
    <nc r="AV17"/>
    <o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border outline="0">
        <left/>
        <right/>
        <top/>
        <bottom/>
      </border>
    </ndxf>
  </rcc>
  <rcc rId="3108" sId="5" odxf="1" dxf="1">
    <oc r="AW17" t="inlineStr">
      <is>
        <t xml:space="preserve">  Pesquisa e busca por processo 
referente ao  214/95 (SIAFI nº 138116)
FUNDESPORTE.
23132.000438/95-22.
Total: 13 caixas.
</t>
      </is>
    </oc>
    <nc r="AW17"/>
    <o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border outline="0">
        <left/>
        <right/>
        <top/>
        <bottom/>
      </border>
    </ndxf>
  </rcc>
  <rcc rId="3109" sId="5" odxf="1" dxf="1">
    <oc r="AY17" t="inlineStr">
      <is>
        <t>1. Busca e conferência de caixas de microfilmes LBA.
Total: 4 caixas, sendo 1 de fita k-7.
2. Aguardando o pessoal para retirar as 6 baias da sala 3.11.</t>
      </is>
    </oc>
    <nc r="AY17"/>
    <o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alignment wrapText="0"/>
      <border outline="0">
        <left/>
        <right/>
        <top/>
        <bottom/>
      </border>
    </ndxf>
  </rcc>
  <rcc rId="3110" sId="5">
    <oc r="AZ17" t="inlineStr">
      <is>
        <t>1. Aguardando o pessoal para retirar as 6 baias da sala 3.11.
2. Reunião às 10h da manhã com a chefe Patrícia.
3. Inventário fitas k-7 LBA.
Total: 21</t>
      </is>
    </oc>
    <nc r="AZ17"/>
  </rcc>
  <rcc rId="3111" sId="5" odxf="1" dxf="1">
    <oc r="BA17" t="inlineStr">
      <is>
        <t>Levantamento de espaços de caixa nos Arquivos - DNIT.</t>
      </is>
    </oc>
    <nc r="BA17"/>
    <o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alignment wrapText="0"/>
      <border outline="0">
        <left/>
        <right/>
        <top/>
        <bottom/>
      </border>
    </ndxf>
  </rcc>
  <rcc rId="3112" sId="5" odxf="1" dxf="1">
    <oc r="BB17" t="inlineStr">
      <is>
        <r>
          <t xml:space="preserve">Levantamento de espaços de caixa nos Arquivos - DNIT.
</t>
        </r>
        <r>
          <rPr>
            <b/>
            <sz val="11"/>
            <color theme="1"/>
            <rFont val="Aptos Narrow"/>
            <family val="2"/>
          </rPr>
          <t>Total de espaços: 1604.</t>
        </r>
      </is>
    </oc>
    <nc r="BB17"/>
    <o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alignment wrapText="0"/>
      <border outline="0">
        <left/>
        <right/>
        <top/>
        <bottom/>
      </border>
    </ndxf>
  </rcc>
  <rcc rId="3113" sId="5" odxf="1" dxf="1">
    <oc r="BC17" t="inlineStr">
      <is>
        <t>Alimentação planilha Espaços em Aberto de caixa nos Arquivos - DNIT.</t>
      </is>
    </oc>
    <nc r="BC17"/>
    <o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alignment wrapText="0"/>
      <border outline="0">
        <left/>
        <right/>
        <top/>
        <bottom/>
      </border>
    </ndxf>
  </rcc>
  <rcc rId="3114" sId="5" odxf="1" dxf="1">
    <oc r="BE17" t="inlineStr">
      <is>
        <t>1. Procura de caixas para eliminação.
2. Acompanhamento da conferência dos parimônios no Bloco A, sala G-15</t>
      </is>
    </oc>
    <nc r="BE17"/>
    <odxf>
      <alignment wrapText="1"/>
    </odxf>
    <ndxf>
      <alignment wrapText="0"/>
    </ndxf>
  </rcc>
  <rcc rId="3115" sId="5" odxf="1" dxf="1">
    <oc r="BF17" t="inlineStr">
      <is>
        <t xml:space="preserve"> Procura de caixas para 
eliminação.</t>
      </is>
    </oc>
    <nc r="BF17"/>
    <odxf>
      <alignment wrapText="1"/>
    </odxf>
    <ndxf>
      <alignment wrapText="0"/>
    </ndxf>
  </rcc>
  <rcc rId="3116" sId="5" odxf="1" dxf="1">
    <oc r="BG17" t="inlineStr">
      <is>
        <t>1. Procura de caixas para eliminação.
2. Acompanhamento da conferência dos parimônios no Bloco A, sala G-15</t>
      </is>
    </oc>
    <nc r="BG17"/>
    <odxf>
      <alignment wrapText="1"/>
    </odxf>
    <ndxf>
      <alignment wrapText="0"/>
    </ndxf>
  </rcc>
  <rcc rId="3117" sId="5" odxf="1" dxf="1">
    <oc r="BH17" t="inlineStr">
      <is>
        <t>Palestra no Arquivo Nacional
Fomos liberados do Ponto Eletrônico.</t>
      </is>
    </oc>
    <nc r="BH17"/>
    <odxf>
      <fill>
        <patternFill patternType="solid">
          <bgColor theme="6" tint="0.79998168889431442"/>
        </patternFill>
      </fill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ill>
        <patternFill patternType="none">
          <bgColor indexed="65"/>
        </patternFill>
      </fill>
      <alignment wrapText="0"/>
      <border outline="0">
        <left/>
        <right/>
        <top/>
        <bottom/>
      </border>
    </ndxf>
  </rcc>
  <rcc rId="3118" sId="5" odxf="1" dxf="1">
    <oc r="BI17" t="inlineStr">
      <is>
        <t xml:space="preserve"> Pesquisa e busca pelo processo
71000.004542/2005-12 (SESAN)</t>
      </is>
    </oc>
    <nc r="BI17"/>
    <odxf>
      <alignment wrapText="1"/>
    </odxf>
    <ndxf>
      <alignment wrapText="0"/>
    </ndxf>
  </rcc>
  <rcc rId="3119" sId="5" odxf="1" dxf="1">
    <oc r="BK17" t="inlineStr">
      <is>
        <r>
          <t xml:space="preserve"> Pesquisa e busca pelo processo
71000.004542/2005-12 (SESAN)
</t>
        </r>
        <r>
          <rPr>
            <sz val="11"/>
            <color rgb="FFFF0000"/>
            <rFont val="Aptos Narrow"/>
            <family val="2"/>
          </rPr>
          <t>Não encontrado registro de entrada neste arquivo.</t>
        </r>
      </is>
    </oc>
    <nc r="BK17"/>
    <o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alignment wrapText="0"/>
      <border outline="0">
        <left/>
        <right/>
        <top/>
        <bottom/>
      </border>
    </ndxf>
  </rcc>
  <rcc rId="3120" sId="5" odxf="1" dxf="1">
    <oc r="BL17" t="inlineStr">
      <is>
        <t xml:space="preserve">1. E-mail de orientação de desarquivamento para o Wederson da CGPC.
2. Pesquisa e busca pelo processo  44000.006180/1997-51 </t>
      </is>
    </oc>
    <nc r="BL17"/>
    <o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alignment wrapText="0"/>
      <border outline="0">
        <left/>
        <right/>
        <top/>
        <bottom/>
      </border>
    </ndxf>
  </rcc>
  <rcc rId="3121" sId="5" odxf="1" dxf="1">
    <oc r="BM17" t="inlineStr">
      <is>
        <t>1. Pesquisa e busca pelo processo  44000.006180/1997-51.
2. Pesquisa e busca pela pasta funcional - DYLENY TEIXEIRA ALVES DA SILVA</t>
      </is>
    </oc>
    <nc r="BM17"/>
    <o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alignment wrapText="0"/>
      <border outline="0">
        <left/>
        <right/>
        <top/>
        <bottom/>
      </border>
    </ndxf>
  </rcc>
  <rcc rId="3122" sId="5" odxf="1" dxf="1">
    <oc r="BN17" t="inlineStr">
      <is>
        <t xml:space="preserve"> 1. Pesquisa e busca pelo processo  44000.006180/1997-51.
2. Inventário de fotos LBA.</t>
      </is>
    </oc>
    <nc r="BN17"/>
    <o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alignment wrapText="0"/>
      <border outline="0">
        <left/>
        <right/>
        <top/>
        <bottom/>
      </border>
    </ndxf>
  </rcc>
  <rcc rId="3123" sId="5" odxf="1" dxf="1">
    <oc r="BO17" t="inlineStr">
      <is>
        <t>Inventário de Fotos LBA.</t>
      </is>
    </oc>
    <nc r="BO17"/>
    <o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alignment wrapText="0"/>
      <border outline="0">
        <left/>
        <right/>
        <top/>
        <bottom/>
      </border>
    </ndxf>
  </rcc>
  <rfmt sheetId="5" sqref="J18" start="0" length="0">
    <dxf>
      <alignment wrapText="1"/>
    </dxf>
  </rfmt>
  <rfmt sheetId="5" sqref="Q18" start="0" length="0">
    <dxf>
      <alignment wrapText="1"/>
    </dxf>
  </rfmt>
  <rfmt sheetId="5" sqref="U18" start="0" length="0">
    <dxf>
      <alignment wrapText="1"/>
    </dxf>
  </rfmt>
  <rfmt sheetId="5" sqref="W18" start="0" length="0">
    <dxf>
      <alignment wrapText="1"/>
    </dxf>
  </rfmt>
  <rfmt sheetId="5" sqref="X18" start="0" length="0">
    <dxf>
      <alignment wrapText="1"/>
    </dxf>
  </rfmt>
  <rfmt sheetId="5" sqref="Y18" start="0" length="0">
    <dxf>
      <alignment wrapText="1"/>
    </dxf>
  </rfmt>
  <rfmt sheetId="5" sqref="Z18" start="0" length="0">
    <dxf>
      <alignment wrapText="1"/>
    </dxf>
  </rfmt>
  <rfmt sheetId="5" sqref="AA18" start="0" length="0">
    <dxf>
      <alignment wrapText="1"/>
    </dxf>
  </rfmt>
  <rfmt sheetId="5" sqref="AB18" start="0" length="0">
    <dxf>
      <alignment wrapText="1"/>
    </dxf>
  </rfmt>
  <rfmt sheetId="5" sqref="AC18" start="0" length="0">
    <dxf>
      <alignment wrapText="1"/>
    </dxf>
  </rfmt>
  <rfmt sheetId="5" sqref="AD18" start="0" length="0">
    <dxf>
      <alignment wrapText="1"/>
    </dxf>
  </rfmt>
  <rfmt sheetId="5" sqref="AE18" start="0" length="0">
    <dxf>
      <alignment wrapText="1"/>
    </dxf>
  </rfmt>
  <rfmt sheetId="5" sqref="AG18" start="0" length="0">
    <dxf>
      <alignment wrapText="1"/>
    </dxf>
  </rfmt>
  <rfmt sheetId="5" sqref="AH18" start="0" length="0">
    <dxf>
      <alignment wrapText="1"/>
    </dxf>
  </rfmt>
  <rfmt sheetId="5" sqref="AJ18" start="0" length="0">
    <dxf>
      <alignment wrapText="1"/>
    </dxf>
  </rfmt>
  <rfmt sheetId="5" sqref="AK18" start="0" length="0">
    <dxf>
      <alignment wrapText="1"/>
    </dxf>
  </rfmt>
  <rfmt sheetId="5" sqref="AN18" start="0" length="0">
    <dxf>
      <alignment wrapText="1"/>
    </dxf>
  </rfmt>
  <rfmt sheetId="5" sqref="AO18" start="0" length="0">
    <dxf>
      <alignment wrapText="1"/>
    </dxf>
  </rfmt>
  <rfmt sheetId="5" sqref="AP18" start="0" length="0">
    <dxf>
      <alignment wrapText="1"/>
    </dxf>
  </rfmt>
  <rfmt sheetId="5" sqref="AQ18" start="0" length="0">
    <dxf>
      <alignment wrapText="1"/>
    </dxf>
  </rfmt>
  <rfmt sheetId="5" sqref="AT18" start="0" length="0">
    <dxf>
      <alignment wrapText="1"/>
    </dxf>
  </rfmt>
  <rfmt sheetId="5" sqref="AU18" start="0" length="0">
    <dxf>
      <alignment wrapText="1"/>
    </dxf>
  </rfmt>
  <rfmt sheetId="5" sqref="AW18" start="0" length="0">
    <dxf>
      <alignment wrapText="1"/>
    </dxf>
  </rfmt>
  <rfmt sheetId="5" sqref="AY18" start="0" length="0">
    <dxf>
      <alignment wrapText="1"/>
    </dxf>
  </rfmt>
  <rfmt sheetId="5" sqref="AZ18" start="0" length="0">
    <dxf>
      <alignment wrapText="1"/>
    </dxf>
  </rfmt>
  <rfmt sheetId="5" sqref="BA18" start="0" length="0">
    <dxf>
      <alignment wrapText="1"/>
    </dxf>
  </rfmt>
  <rfmt sheetId="5" sqref="BB18" start="0" length="0">
    <dxf>
      <alignment wrapText="1"/>
    </dxf>
  </rfmt>
  <rcc rId="3124" sId="6" numFmtId="21">
    <oc r="C1">
      <v>45810</v>
    </oc>
    <nc r="C1">
      <v>45873</v>
    </nc>
  </rcc>
  <rcc rId="3125" sId="6" odxf="1" dxf="1" numFmtId="21">
    <oc r="D1">
      <v>45811</v>
    </oc>
    <nc r="D1">
      <v>45874</v>
    </nc>
    <odxf>
      <border outline="0">
        <left/>
      </border>
    </odxf>
    <ndxf>
      <border outline="0">
        <left style="thin">
          <color indexed="64"/>
        </left>
      </border>
    </ndxf>
  </rcc>
  <rcc rId="3126" sId="6" odxf="1" dxf="1" numFmtId="21">
    <oc r="E1">
      <v>45812</v>
    </oc>
    <nc r="E1">
      <v>45875</v>
    </nc>
    <odxf>
      <border outline="0">
        <left/>
      </border>
    </odxf>
    <ndxf>
      <border outline="0">
        <left style="thin">
          <color indexed="64"/>
        </left>
      </border>
    </ndxf>
  </rcc>
  <rcc rId="3127" sId="6" odxf="1" dxf="1" numFmtId="21">
    <oc r="F1">
      <v>45813</v>
    </oc>
    <nc r="F1">
      <v>45876</v>
    </nc>
    <odxf>
      <border outline="0">
        <left/>
      </border>
    </odxf>
    <ndxf>
      <border outline="0">
        <left style="thin">
          <color indexed="64"/>
        </left>
      </border>
    </ndxf>
  </rcc>
  <rcc rId="3128" sId="6" odxf="1" dxf="1" numFmtId="21">
    <oc r="G1">
      <v>45814</v>
    </oc>
    <nc r="G1">
      <v>45877</v>
    </nc>
    <odxf>
      <border outline="0">
        <left/>
      </border>
    </odxf>
    <ndxf>
      <border outline="0">
        <left style="thin">
          <color indexed="64"/>
        </left>
      </border>
    </ndxf>
  </rcc>
  <rcc rId="3129" sId="6" numFmtId="21">
    <oc r="I1">
      <v>45817</v>
    </oc>
    <nc r="I1">
      <v>45880</v>
    </nc>
  </rcc>
  <rcc rId="3130" sId="6" numFmtId="21">
    <oc r="J1">
      <v>45818</v>
    </oc>
    <nc r="J1">
      <v>45881</v>
    </nc>
  </rcc>
  <rcc rId="3131" sId="6" numFmtId="21">
    <oc r="K1">
      <v>45819</v>
    </oc>
    <nc r="K1">
      <v>45882</v>
    </nc>
  </rcc>
  <rcc rId="3132" sId="6" numFmtId="21">
    <oc r="L1">
      <v>45820</v>
    </oc>
    <nc r="L1">
      <v>45883</v>
    </nc>
  </rcc>
  <rcc rId="3133" sId="6" numFmtId="21">
    <oc r="M1">
      <v>45821</v>
    </oc>
    <nc r="M1">
      <v>45884</v>
    </nc>
  </rcc>
  <rcc rId="3134" sId="6" numFmtId="21">
    <oc r="O1">
      <v>45824</v>
    </oc>
    <nc r="O1">
      <v>45887</v>
    </nc>
  </rcc>
  <rcc rId="3135" sId="6" numFmtId="21">
    <oc r="P1">
      <v>45825</v>
    </oc>
    <nc r="P1">
      <v>45888</v>
    </nc>
  </rcc>
  <rcc rId="3136" sId="6" numFmtId="21">
    <oc r="Q1">
      <v>45826</v>
    </oc>
    <nc r="Q1">
      <v>45889</v>
    </nc>
  </rcc>
  <rcc rId="3137" sId="6" numFmtId="21">
    <oc r="R1">
      <v>45827</v>
    </oc>
    <nc r="R1">
      <v>45890</v>
    </nc>
  </rcc>
  <rcc rId="3138" sId="6" numFmtId="21">
    <oc r="S1">
      <v>45828</v>
    </oc>
    <nc r="S1">
      <v>45891</v>
    </nc>
  </rcc>
  <rcc rId="3139" sId="6" numFmtId="21">
    <oc r="U1">
      <v>45831</v>
    </oc>
    <nc r="U1">
      <v>45894</v>
    </nc>
  </rcc>
  <rcc rId="3140" sId="6" numFmtId="21">
    <oc r="V1">
      <v>45832</v>
    </oc>
    <nc r="V1">
      <v>45895</v>
    </nc>
  </rcc>
  <rcc rId="3141" sId="6" numFmtId="21">
    <oc r="W1">
      <v>45833</v>
    </oc>
    <nc r="W1">
      <v>45896</v>
    </nc>
  </rcc>
  <rcc rId="3142" sId="6" numFmtId="21">
    <oc r="X1">
      <v>45834</v>
    </oc>
    <nc r="X1">
      <v>45897</v>
    </nc>
  </rcc>
  <rcc rId="3143" sId="6" numFmtId="21">
    <oc r="Y1">
      <v>45835</v>
    </oc>
    <nc r="Y1">
      <v>45898</v>
    </nc>
  </rcc>
  <rcc rId="3144" sId="6" numFmtId="21">
    <oc r="AA1">
      <v>45838</v>
    </oc>
    <nc r="AA1">
      <v>45901</v>
    </nc>
  </rcc>
  <rcc rId="3145" sId="6" numFmtId="21">
    <oc r="AB1">
      <v>45839</v>
    </oc>
    <nc r="AB1">
      <v>45902</v>
    </nc>
  </rcc>
  <rcc rId="3146" sId="6" numFmtId="21">
    <oc r="AC1">
      <v>45840</v>
    </oc>
    <nc r="AC1">
      <v>45903</v>
    </nc>
  </rcc>
  <rcc rId="3147" sId="6" numFmtId="21">
    <oc r="AD1">
      <v>45841</v>
    </oc>
    <nc r="AD1">
      <v>45904</v>
    </nc>
  </rcc>
  <rcc rId="3148" sId="6" numFmtId="21">
    <oc r="AE1">
      <v>45842</v>
    </oc>
    <nc r="AE1">
      <v>45905</v>
    </nc>
  </rcc>
  <rcc rId="3149" sId="6" numFmtId="21">
    <oc r="AG1">
      <v>45845</v>
    </oc>
    <nc r="AG1">
      <v>45908</v>
    </nc>
  </rcc>
  <rcc rId="3150" sId="6" numFmtId="21">
    <oc r="AH1">
      <v>45846</v>
    </oc>
    <nc r="AH1">
      <v>45909</v>
    </nc>
  </rcc>
  <rcc rId="3151" sId="6" numFmtId="21">
    <oc r="AI1">
      <v>45847</v>
    </oc>
    <nc r="AI1">
      <v>45910</v>
    </nc>
  </rcc>
  <rcc rId="3152" sId="6" numFmtId="21">
    <oc r="AJ1">
      <v>45848</v>
    </oc>
    <nc r="AJ1">
      <v>45911</v>
    </nc>
  </rcc>
  <rcc rId="3153" sId="6" numFmtId="21">
    <oc r="AK1">
      <v>45849</v>
    </oc>
    <nc r="AK1">
      <v>45912</v>
    </nc>
  </rcc>
  <rcc rId="3154" sId="6" numFmtId="21">
    <oc r="AM1">
      <v>45852</v>
    </oc>
    <nc r="AM1">
      <v>45915</v>
    </nc>
  </rcc>
  <rcc rId="3155" sId="6" numFmtId="21">
    <oc r="AN1">
      <v>45853</v>
    </oc>
    <nc r="AN1">
      <v>45916</v>
    </nc>
  </rcc>
  <rcc rId="3156" sId="6" numFmtId="21">
    <oc r="AO1">
      <v>45854</v>
    </oc>
    <nc r="AO1">
      <v>45917</v>
    </nc>
  </rcc>
  <rcc rId="3157" sId="6" numFmtId="21">
    <oc r="AP1">
      <v>45855</v>
    </oc>
    <nc r="AP1">
      <v>45918</v>
    </nc>
  </rcc>
  <rcc rId="3158" sId="6" numFmtId="21">
    <oc r="AQ1">
      <v>45856</v>
    </oc>
    <nc r="AQ1">
      <v>45919</v>
    </nc>
  </rcc>
  <rcc rId="3159" sId="6" numFmtId="21">
    <oc r="AS1">
      <v>45859</v>
    </oc>
    <nc r="AS1">
      <v>45922</v>
    </nc>
  </rcc>
  <rcc rId="3160" sId="6" numFmtId="21">
    <oc r="AT1">
      <v>45860</v>
    </oc>
    <nc r="AT1">
      <v>45923</v>
    </nc>
  </rcc>
  <rcc rId="3161" sId="6" numFmtId="21">
    <oc r="AU1">
      <v>45861</v>
    </oc>
    <nc r="AU1">
      <v>45924</v>
    </nc>
  </rcc>
  <rcc rId="3162" sId="6" numFmtId="21">
    <oc r="AV1">
      <v>45862</v>
    </oc>
    <nc r="AV1">
      <v>45925</v>
    </nc>
  </rcc>
  <rcc rId="3163" sId="6" numFmtId="21">
    <oc r="AW1">
      <v>45863</v>
    </oc>
    <nc r="AW1">
      <v>45926</v>
    </nc>
  </rcc>
  <rcc rId="3164" sId="6" numFmtId="21">
    <oc r="AY1">
      <v>45866</v>
    </oc>
    <nc r="AY1">
      <v>45929</v>
    </nc>
  </rcc>
  <rcc rId="3165" sId="6" numFmtId="21">
    <oc r="AZ1">
      <v>45867</v>
    </oc>
    <nc r="AZ1">
      <v>45930</v>
    </nc>
  </rcc>
  <rcc rId="3166" sId="6" numFmtId="21">
    <oc r="BA1">
      <v>45868</v>
    </oc>
    <nc r="BA1">
      <v>45931</v>
    </nc>
  </rcc>
  <rcc rId="3167" sId="6" numFmtId="21">
    <oc r="BB1">
      <v>45869</v>
    </oc>
    <nc r="BB1">
      <v>45932</v>
    </nc>
  </rcc>
  <rcc rId="3168" sId="6" numFmtId="21">
    <oc r="BC1">
      <v>45870</v>
    </oc>
    <nc r="BC1">
      <v>45933</v>
    </nc>
  </rcc>
  <rcc rId="3169" sId="6">
    <oc r="H2">
      <f>SUM(C2:G2)</f>
    </oc>
    <nc r="H2">
      <f>SUM(C2:G2)</f>
    </nc>
  </rcc>
  <rcc rId="3170" sId="6">
    <oc r="M2">
      <v>3</v>
    </oc>
    <nc r="M2"/>
  </rcc>
  <rcc rId="3171" sId="6">
    <oc r="N2">
      <f>SUM(I2:M2)</f>
    </oc>
    <nc r="N2">
      <f>SUM(I2:M2)</f>
    </nc>
  </rcc>
  <rcc rId="3172" sId="6">
    <oc r="T2">
      <f>SUM(O2:S2)</f>
    </oc>
    <nc r="T2">
      <f>SUM(O2:S2)</f>
    </nc>
  </rcc>
  <rcc rId="3173" sId="6">
    <oc r="Z2">
      <f>SUM(U2:Y2)</f>
    </oc>
    <nc r="Z2">
      <f>SUM(U2:Y2)</f>
    </nc>
  </rcc>
  <rcc rId="3174" sId="6">
    <oc r="AD2">
      <v>2</v>
    </oc>
    <nc r="AD2"/>
  </rcc>
  <rcc rId="3175" sId="6">
    <oc r="AF2">
      <f>SUM(AA2:AE2)</f>
    </oc>
    <nc r="AF2">
      <f>SUM(AA2:AE2)</f>
    </nc>
  </rcc>
  <rcc rId="3176" sId="6">
    <oc r="AG2">
      <v>1</v>
    </oc>
    <nc r="AG2"/>
  </rcc>
  <rcc rId="3177" sId="6">
    <oc r="AL2">
      <f>SUM(AG2:AK2)</f>
    </oc>
    <nc r="AL2">
      <f>SUM(AG2:AK2)</f>
    </nc>
  </rcc>
  <rcc rId="3178" sId="6">
    <oc r="AR2">
      <f>SUM(AM2:AQ2)</f>
    </oc>
    <nc r="AR2">
      <f>SUM(AM2:AQ2)</f>
    </nc>
  </rcc>
  <rcc rId="3179" sId="6">
    <oc r="AX2">
      <f>SUM(AS2:AW2)</f>
    </oc>
    <nc r="AX2">
      <f>SUM(AS2:AW2)</f>
    </nc>
  </rcc>
  <rcc rId="3180" sId="6">
    <oc r="BD2">
      <f>SUM(AY2:BC2)</f>
    </oc>
    <nc r="BD2">
      <f>SUM(AY2:BC2)</f>
    </nc>
  </rcc>
  <rcc rId="3181" sId="6">
    <oc r="F3">
      <v>2</v>
    </oc>
    <nc r="F3"/>
  </rcc>
  <rcc rId="3182" sId="6">
    <oc r="H3">
      <f>SUM(C3:G3)</f>
    </oc>
    <nc r="H3">
      <f>SUM(C3:G3)</f>
    </nc>
  </rcc>
  <rcc rId="3183" sId="6">
    <oc r="J3">
      <v>1</v>
    </oc>
    <nc r="J3"/>
  </rcc>
  <rcc rId="3184" sId="6">
    <oc r="N3">
      <f>SUM(I3:M3)</f>
    </oc>
    <nc r="N3">
      <f>SUM(I3:M3)</f>
    </nc>
  </rcc>
  <rcc rId="3185" sId="6">
    <oc r="T3">
      <f>SUM(O3:S3)</f>
    </oc>
    <nc r="T3">
      <f>SUM(O3:S3)</f>
    </nc>
  </rcc>
  <rcc rId="3186" sId="6">
    <oc r="Z3">
      <f>SUM(U3:Y3)</f>
    </oc>
    <nc r="Z3">
      <f>SUM(U3:Y3)</f>
    </nc>
  </rcc>
  <rcc rId="3187" sId="6">
    <oc r="AD3">
      <v>30</v>
    </oc>
    <nc r="AD3"/>
  </rcc>
  <rcc rId="3188" sId="6">
    <oc r="AF3">
      <f>SUM(AA3:AE3)</f>
    </oc>
    <nc r="AF3">
      <f>SUM(AA3:AE3)</f>
    </nc>
  </rcc>
  <rcc rId="3189" sId="6">
    <oc r="AL3">
      <f>SUM(AG3:AK3)</f>
    </oc>
    <nc r="AL3">
      <f>SUM(AG3:AK3)</f>
    </nc>
  </rcc>
  <rcc rId="3190" sId="6">
    <oc r="AR3">
      <f>SUM(AM3:AQ3)</f>
    </oc>
    <nc r="AR3">
      <f>SUM(AM3:AQ3)</f>
    </nc>
  </rcc>
  <rcc rId="3191" sId="6">
    <oc r="AX3">
      <f>SUM(AS3:AW3)</f>
    </oc>
    <nc r="AX3">
      <f>SUM(AS3:AW3)</f>
    </nc>
  </rcc>
  <rcc rId="3192" sId="6">
    <oc r="BD3">
      <f>SUM(AY3:BC3)</f>
    </oc>
    <nc r="BD3">
      <f>SUM(AY3:BC3)</f>
    </nc>
  </rcc>
  <rcc rId="3193" sId="6">
    <oc r="H4">
      <f>SUM(C4:G4)</f>
    </oc>
    <nc r="H4">
      <f>SUM(C4:G4)</f>
    </nc>
  </rcc>
  <rcc rId="3194" sId="6">
    <oc r="N4">
      <f>SUM(I4:M4)</f>
    </oc>
    <nc r="N4">
      <f>SUM(I4:M4)</f>
    </nc>
  </rcc>
  <rcc rId="3195" sId="6">
    <oc r="T4">
      <f>SUM(O4:S4)</f>
    </oc>
    <nc r="T4">
      <f>SUM(O4:S4)</f>
    </nc>
  </rcc>
  <rcc rId="3196" sId="6">
    <oc r="Z4">
      <f>SUM(U4:Y4)</f>
    </oc>
    <nc r="Z4">
      <f>SUM(U4:Y4)</f>
    </nc>
  </rcc>
  <rcc rId="3197" sId="6">
    <oc r="AA4">
      <v>4</v>
    </oc>
    <nc r="AA4"/>
  </rcc>
  <rcc rId="3198" sId="6">
    <oc r="AF4">
      <f>SUM(AA4:AE4)</f>
    </oc>
    <nc r="AF4">
      <f>SUM(AA4:AE4)</f>
    </nc>
  </rcc>
  <rcc rId="3199" sId="6">
    <oc r="AG4">
      <v>1</v>
    </oc>
    <nc r="AG4"/>
  </rcc>
  <rcc rId="3200" sId="6">
    <oc r="AL4">
      <f>SUM(AG4:AK4)</f>
    </oc>
    <nc r="AL4">
      <f>SUM(AG4:AK4)</f>
    </nc>
  </rcc>
  <rcc rId="3201" sId="6">
    <oc r="AR4">
      <f>SUM(AM4:AQ4)</f>
    </oc>
    <nc r="AR4">
      <f>SUM(AM4:AQ4)</f>
    </nc>
  </rcc>
  <rcc rId="3202" sId="6">
    <oc r="AX4">
      <f>SUM(AS4:AW4)</f>
    </oc>
    <nc r="AX4">
      <f>SUM(AS4:AW4)</f>
    </nc>
  </rcc>
  <rcc rId="3203" sId="6">
    <oc r="BD4">
      <f>SUM(AY4:BC4)</f>
    </oc>
    <nc r="BD4">
      <f>SUM(AY4:BC4)</f>
    </nc>
  </rcc>
  <rcc rId="3204" sId="6">
    <oc r="H5">
      <f>SUM(C5:G5)</f>
    </oc>
    <nc r="H5">
      <f>SUM(C5:G5)</f>
    </nc>
  </rcc>
  <rcc rId="3205" sId="6">
    <oc r="N5">
      <f>SUM(I5:M5)</f>
    </oc>
    <nc r="N5">
      <f>SUM(I5:M5)</f>
    </nc>
  </rcc>
  <rcc rId="3206" sId="6">
    <oc r="T5">
      <f>SUM(O5:S5)</f>
    </oc>
    <nc r="T5">
      <f>SUM(O5:S5)</f>
    </nc>
  </rcc>
  <rcc rId="3207" sId="6">
    <oc r="Z5">
      <f>SUM(U5:Y5)</f>
    </oc>
    <nc r="Z5">
      <f>SUM(U5:Y5)</f>
    </nc>
  </rcc>
  <rcc rId="3208" sId="6">
    <oc r="AF5">
      <f>SUM(AA5:AE5)</f>
    </oc>
    <nc r="AF5">
      <f>SUM(AA5:AE5)</f>
    </nc>
  </rcc>
  <rcc rId="3209" sId="6">
    <oc r="AL5">
      <f>SUM(AG5:AK5)</f>
    </oc>
    <nc r="AL5">
      <f>SUM(AG5:AK5)</f>
    </nc>
  </rcc>
  <rcc rId="3210" sId="6">
    <oc r="AM5">
      <v>1</v>
    </oc>
    <nc r="AM5"/>
  </rcc>
  <rcc rId="3211" sId="6">
    <oc r="AR5">
      <f>SUM(AM5:AQ5)</f>
    </oc>
    <nc r="AR5">
      <f>SUM(AM5:AQ5)</f>
    </nc>
  </rcc>
  <rcc rId="3212" sId="6">
    <oc r="AX5">
      <f>SUM(AS5:AW5)</f>
    </oc>
    <nc r="AX5">
      <f>SUM(AS5:AW5)</f>
    </nc>
  </rcc>
  <rcc rId="3213" sId="6">
    <oc r="BD5">
      <f>SUM(AY5:BC5)</f>
    </oc>
    <nc r="BD5">
      <f>SUM(AY5:BC5)</f>
    </nc>
  </rcc>
  <rcc rId="3214" sId="6">
    <oc r="H6">
      <f>SUM(C6:G6)</f>
    </oc>
    <nc r="H6">
      <f>SUM(C6:G6)</f>
    </nc>
  </rcc>
  <rcc rId="3215" sId="6">
    <oc r="N6">
      <f>SUM(I6:M6)</f>
    </oc>
    <nc r="N6">
      <f>SUM(I6:M6)</f>
    </nc>
  </rcc>
  <rcc rId="3216" sId="6">
    <oc r="T6">
      <f>SUM(O6:S6)</f>
    </oc>
    <nc r="T6">
      <f>SUM(O6:S6)</f>
    </nc>
  </rcc>
  <rcc rId="3217" sId="6">
    <oc r="Z6">
      <f>SUM(U6:Y6)</f>
    </oc>
    <nc r="Z6">
      <f>SUM(U6:Y6)</f>
    </nc>
  </rcc>
  <rcc rId="3218" sId="6">
    <oc r="AF6">
      <f>SUM(AA6:AE6)</f>
    </oc>
    <nc r="AF6">
      <f>SUM(AA6:AE6)</f>
    </nc>
  </rcc>
  <rcc rId="3219" sId="6">
    <oc r="AL6">
      <f>SUM(AG6:AK6)</f>
    </oc>
    <nc r="AL6">
      <f>SUM(AG6:AK6)</f>
    </nc>
  </rcc>
  <rcc rId="3220" sId="6">
    <oc r="AR6">
      <f>SUM(AM6:AQ6)</f>
    </oc>
    <nc r="AR6">
      <f>SUM(AM6:AQ6)</f>
    </nc>
  </rcc>
  <rcc rId="3221" sId="6">
    <oc r="AX6">
      <f>SUM(AS6:AW6)</f>
    </oc>
    <nc r="AX6">
      <f>SUM(AS6:AW6)</f>
    </nc>
  </rcc>
  <rcc rId="3222" sId="6">
    <oc r="BD6">
      <f>SUM(AY6:BC6)</f>
    </oc>
    <nc r="BD6">
      <f>SUM(AY6:BC6)</f>
    </nc>
  </rcc>
  <rcc rId="3223" sId="6">
    <oc r="H7">
      <f>SUM(C7:G7)</f>
    </oc>
    <nc r="H7">
      <f>SUM(C7:G7)</f>
    </nc>
  </rcc>
  <rcc rId="3224" sId="6">
    <oc r="N7">
      <f>SUM(I7:M7)</f>
    </oc>
    <nc r="N7">
      <f>SUM(I7:M7)</f>
    </nc>
  </rcc>
  <rcc rId="3225" sId="6">
    <oc r="T7">
      <f>SUM(O7:S7)</f>
    </oc>
    <nc r="T7">
      <f>SUM(O7:S7)</f>
    </nc>
  </rcc>
  <rcc rId="3226" sId="6">
    <oc r="Z7">
      <f>SUM(U7:Y7)</f>
    </oc>
    <nc r="Z7">
      <f>SUM(U7:Y7)</f>
    </nc>
  </rcc>
  <rcc rId="3227" sId="6">
    <oc r="AF7">
      <f>SUM(AA7:AE7)</f>
    </oc>
    <nc r="AF7">
      <f>SUM(AA7:AE7)</f>
    </nc>
  </rcc>
  <rcc rId="3228" sId="6">
    <oc r="AL7">
      <f>SUM(AG7:AK7)</f>
    </oc>
    <nc r="AL7">
      <f>SUM(AG7:AK7)</f>
    </nc>
  </rcc>
  <rcc rId="3229" sId="6">
    <oc r="AR7">
      <f>SUM(AM7:AQ7)</f>
    </oc>
    <nc r="AR7">
      <f>SUM(AM7:AQ7)</f>
    </nc>
  </rcc>
  <rcc rId="3230" sId="6">
    <oc r="AX7">
      <f>SUM(AS7:AW7)</f>
    </oc>
    <nc r="AX7">
      <f>SUM(AS7:AW7)</f>
    </nc>
  </rcc>
  <rcc rId="3231" sId="6">
    <oc r="BD7">
      <f>SUM(AY7:BC7)</f>
    </oc>
    <nc r="BD7">
      <f>SUM(AY7:BC7)</f>
    </nc>
  </rcc>
  <rcc rId="3232" sId="6">
    <oc r="D8">
      <v>9</v>
    </oc>
    <nc r="D8"/>
  </rcc>
  <rcc rId="3233" sId="6">
    <oc r="E8">
      <v>38</v>
    </oc>
    <nc r="E8"/>
  </rcc>
  <rcc rId="3234" sId="6">
    <oc r="H8">
      <f>SUM(C8:G8)</f>
    </oc>
    <nc r="H8">
      <f>SUM(C8:G8)</f>
    </nc>
  </rcc>
  <rcc rId="3235" sId="6">
    <oc r="K8">
      <v>18</v>
    </oc>
    <nc r="K8"/>
  </rcc>
  <rcc rId="3236" sId="6">
    <oc r="N8">
      <f>SUM(I8:M8)</f>
    </oc>
    <nc r="N8">
      <f>SUM(I8:M8)</f>
    </nc>
  </rcc>
  <rcc rId="3237" sId="6">
    <oc r="T8">
      <f>SUM(O8:S8)</f>
    </oc>
    <nc r="T8">
      <f>SUM(O8:S8)</f>
    </nc>
  </rcc>
  <rcc rId="3238" sId="6">
    <oc r="Z8">
      <f>SUM(U8:Y8)</f>
    </oc>
    <nc r="Z8">
      <f>SUM(U8:Y8)</f>
    </nc>
  </rcc>
  <rcc rId="3239" sId="6">
    <oc r="AF8">
      <f>SUM(AA8:AE8)</f>
    </oc>
    <nc r="AF8">
      <f>SUM(AA8:AE8)</f>
    </nc>
  </rcc>
  <rcc rId="3240" sId="6">
    <oc r="AL8">
      <f>SUM(AG8:AK8)</f>
    </oc>
    <nc r="AL8">
      <f>SUM(AG8:AK8)</f>
    </nc>
  </rcc>
  <rcc rId="3241" sId="6">
    <oc r="AR8">
      <f>SUM(AM8:AQ8)</f>
    </oc>
    <nc r="AR8">
      <f>SUM(AM8:AQ8)</f>
    </nc>
  </rcc>
  <rcc rId="3242" sId="6">
    <oc r="AX8">
      <f>SUM(AS8:AW8)</f>
    </oc>
    <nc r="AX8">
      <f>SUM(AS8:AW8)</f>
    </nc>
  </rcc>
  <rcc rId="3243" sId="6">
    <oc r="BD8">
      <f>SUM(AY8:BC8)</f>
    </oc>
    <nc r="BD8">
      <f>SUM(AY8:BC8)</f>
    </nc>
  </rcc>
  <rcc rId="3244" sId="6">
    <oc r="D9">
      <v>9</v>
    </oc>
    <nc r="D9"/>
  </rcc>
  <rcc rId="3245" sId="6">
    <oc r="E9">
      <v>38</v>
    </oc>
    <nc r="E9"/>
  </rcc>
  <rcc rId="3246" sId="6">
    <oc r="H9">
      <f>SUM(C9:G9)</f>
    </oc>
    <nc r="H9">
      <f>SUM(C9:G9)</f>
    </nc>
  </rcc>
  <rcc rId="3247" sId="6">
    <oc r="K9">
      <v>19</v>
    </oc>
    <nc r="K9"/>
  </rcc>
  <rcc rId="3248" sId="6">
    <oc r="N9">
      <f>SUM(I9:M9)</f>
    </oc>
    <nc r="N9">
      <f>SUM(I9:M9)</f>
    </nc>
  </rcc>
  <rcc rId="3249" sId="6">
    <oc r="T9">
      <f>SUM(O9:S9)</f>
    </oc>
    <nc r="T9">
      <f>SUM(O9:S9)</f>
    </nc>
  </rcc>
  <rcc rId="3250" sId="6">
    <oc r="Z9">
      <f>SUM(U9:Y9)</f>
    </oc>
    <nc r="Z9">
      <f>SUM(U9:Y9)</f>
    </nc>
  </rcc>
  <rcc rId="3251" sId="6">
    <oc r="AF9">
      <f>SUM(AA9:AE9)</f>
    </oc>
    <nc r="AF9">
      <f>SUM(AA9:AE9)</f>
    </nc>
  </rcc>
  <rcc rId="3252" sId="6">
    <oc r="AL9">
      <f>SUM(AG9:AK9)</f>
    </oc>
    <nc r="AL9">
      <f>SUM(AG9:AK9)</f>
    </nc>
  </rcc>
  <rcc rId="3253" sId="6">
    <oc r="AR9">
      <f>SUM(AM9:AQ9)</f>
    </oc>
    <nc r="AR9">
      <f>SUM(AM9:AQ9)</f>
    </nc>
  </rcc>
  <rcc rId="3254" sId="6">
    <oc r="AX9">
      <f>SUM(AS9:AW9)</f>
    </oc>
    <nc r="AX9">
      <f>SUM(AS9:AW9)</f>
    </nc>
  </rcc>
  <rcc rId="3255" sId="6">
    <oc r="BD9">
      <f>SUM(AY9:BC9)</f>
    </oc>
    <nc r="BD9">
      <f>SUM(AY9:BC9)</f>
    </nc>
  </rcc>
  <rcc rId="3256" sId="6">
    <oc r="H10">
      <f>SUM(C10:G10)</f>
    </oc>
    <nc r="H10">
      <f>SUM(C10:G10)</f>
    </nc>
  </rcc>
  <rcc rId="3257" sId="6">
    <oc r="N10">
      <f>SUM(I10:M10)</f>
    </oc>
    <nc r="N10">
      <f>SUM(I10:M10)</f>
    </nc>
  </rcc>
  <rcc rId="3258" sId="6">
    <oc r="T10">
      <f>SUM(O10:S10)</f>
    </oc>
    <nc r="T10">
      <f>SUM(O10:S10)</f>
    </nc>
  </rcc>
  <rcc rId="3259" sId="6">
    <oc r="Z10">
      <f>SUM(U10:Y10)</f>
    </oc>
    <nc r="Z10">
      <f>SUM(U10:Y10)</f>
    </nc>
  </rcc>
  <rcc rId="3260" sId="6">
    <oc r="AF10">
      <f>SUM(AA10:AE10)</f>
    </oc>
    <nc r="AF10">
      <f>SUM(AA10:AE10)</f>
    </nc>
  </rcc>
  <rcc rId="3261" sId="6">
    <oc r="AL10">
      <f>SUM(AG10:AK10)</f>
    </oc>
    <nc r="AL10">
      <f>SUM(AG10:AK10)</f>
    </nc>
  </rcc>
  <rcc rId="3262" sId="6">
    <oc r="AR10">
      <f>SUM(AM10:AQ10)</f>
    </oc>
    <nc r="AR10">
      <f>SUM(AM10:AQ10)</f>
    </nc>
  </rcc>
  <rcc rId="3263" sId="6">
    <oc r="AX10">
      <f>SUM(AS10:AW10)</f>
    </oc>
    <nc r="AX10">
      <f>SUM(AS10:AW10)</f>
    </nc>
  </rcc>
  <rcc rId="3264" sId="6">
    <oc r="BD10">
      <f>SUM(AY10:BC10)</f>
    </oc>
    <nc r="BD10">
      <f>SUM(AY10:BC10)</f>
    </nc>
  </rcc>
  <rcc rId="3265" sId="6">
    <oc r="H11">
      <f>SUM(C11:G11)</f>
    </oc>
    <nc r="H11">
      <f>SUM(C11:G11)</f>
    </nc>
  </rcc>
  <rcc rId="3266" sId="6">
    <oc r="N11">
      <f>SUM(I11:M11)</f>
    </oc>
    <nc r="N11">
      <f>SUM(I11:M11)</f>
    </nc>
  </rcc>
  <rcc rId="3267" sId="6">
    <oc r="T11">
      <f>SUM(O11:S11)</f>
    </oc>
    <nc r="T11">
      <f>SUM(O11:S11)</f>
    </nc>
  </rcc>
  <rcc rId="3268" sId="6">
    <oc r="X11">
      <v>4</v>
    </oc>
    <nc r="X11"/>
  </rcc>
  <rcc rId="3269" sId="6">
    <oc r="Y11">
      <v>4</v>
    </oc>
    <nc r="Y11"/>
  </rcc>
  <rcc rId="3270" sId="6">
    <oc r="Z11">
      <f>SUM(U11:Y11)</f>
    </oc>
    <nc r="Z11">
      <f>SUM(U11:Y11)</f>
    </nc>
  </rcc>
  <rcc rId="3271" sId="6">
    <oc r="AA11">
      <v>3</v>
    </oc>
    <nc r="AA11"/>
  </rcc>
  <rcc rId="3272" sId="6">
    <oc r="AB11">
      <v>2</v>
    </oc>
    <nc r="AB11"/>
  </rcc>
  <rcc rId="3273" sId="6">
    <oc r="AC11">
      <v>2</v>
    </oc>
    <nc r="AC11"/>
  </rcc>
  <rcc rId="3274" sId="6">
    <oc r="AD11">
      <v>1</v>
    </oc>
    <nc r="AD11"/>
  </rcc>
  <rcc rId="3275" sId="6">
    <oc r="AF11">
      <f>SUM(AA11:AE11)</f>
    </oc>
    <nc r="AF11">
      <f>SUM(AA11:AE11)</f>
    </nc>
  </rcc>
  <rcc rId="3276" sId="6">
    <oc r="AL11">
      <f>SUM(AG11:AK11)</f>
    </oc>
    <nc r="AL11">
      <f>SUM(AG11:AK11)</f>
    </nc>
  </rcc>
  <rcc rId="3277" sId="6">
    <oc r="AR11">
      <f>SUM(AM11:AQ11)</f>
    </oc>
    <nc r="AR11">
      <f>SUM(AM11:AQ11)</f>
    </nc>
  </rcc>
  <rcc rId="3278" sId="6">
    <oc r="AX11">
      <f>SUM(AS11:AW11)</f>
    </oc>
    <nc r="AX11">
      <f>SUM(AS11:AW11)</f>
    </nc>
  </rcc>
  <rcc rId="3279" sId="6">
    <oc r="BD11">
      <f>SUM(AY11:BC11)</f>
    </oc>
    <nc r="BD11">
      <f>SUM(AY11:BC11)</f>
    </nc>
  </rcc>
  <rcc rId="3280" sId="6">
    <oc r="H12">
      <f>SUM(C12:G12)</f>
    </oc>
    <nc r="H12">
      <f>SUM(C12:G12)</f>
    </nc>
  </rcc>
  <rcc rId="3281" sId="6">
    <oc r="N12">
      <f>SUM(I12:M12)</f>
    </oc>
    <nc r="N12">
      <f>SUM(I12:M12)</f>
    </nc>
  </rcc>
  <rcc rId="3282" sId="6">
    <oc r="T12">
      <f>SUM(O12:S12)</f>
    </oc>
    <nc r="T12">
      <f>SUM(O12:S12)</f>
    </nc>
  </rcc>
  <rcc rId="3283" sId="6">
    <oc r="X12">
      <v>136</v>
    </oc>
    <nc r="X12"/>
  </rcc>
  <rcc rId="3284" sId="6">
    <oc r="Y12">
      <v>136</v>
    </oc>
    <nc r="Y12"/>
  </rcc>
  <rcc rId="3285" sId="6">
    <oc r="Z12">
      <f>SUM(U12:Y12)</f>
    </oc>
    <nc r="Z12">
      <f>SUM(U12:Y12)</f>
    </nc>
  </rcc>
  <rcc rId="3286" sId="6">
    <oc r="AA12">
      <v>90</v>
    </oc>
    <nc r="AA12"/>
  </rcc>
  <rcc rId="3287" sId="6">
    <oc r="AB12">
      <v>63</v>
    </oc>
    <nc r="AB12"/>
  </rcc>
  <rcc rId="3288" sId="6">
    <oc r="AC12">
      <v>55</v>
    </oc>
    <nc r="AC12"/>
  </rcc>
  <rcc rId="3289" sId="6">
    <oc r="AD12">
      <v>30</v>
    </oc>
    <nc r="AD12"/>
  </rcc>
  <rcc rId="3290" sId="6">
    <oc r="AF12">
      <f>SUM(AA12:AE12)</f>
    </oc>
    <nc r="AF12">
      <f>SUM(AA12:AE12)</f>
    </nc>
  </rcc>
  <rcc rId="3291" sId="6">
    <oc r="AL12">
      <f>SUM(AG12:AK12)</f>
    </oc>
    <nc r="AL12">
      <f>SUM(AG12:AK12)</f>
    </nc>
  </rcc>
  <rcc rId="3292" sId="6">
    <oc r="AR12">
      <f>SUM(AM12:AQ12)</f>
    </oc>
    <nc r="AR12">
      <f>SUM(AM12:AQ12)</f>
    </nc>
  </rcc>
  <rcc rId="3293" sId="6">
    <oc r="AS12">
      <v>39</v>
    </oc>
    <nc r="AS12"/>
  </rcc>
  <rcc rId="3294" sId="6">
    <oc r="AT12">
      <v>32</v>
    </oc>
    <nc r="AT12"/>
  </rcc>
  <rcc rId="3295" sId="6">
    <oc r="AU12">
      <v>30</v>
    </oc>
    <nc r="AU12"/>
  </rcc>
  <rcc rId="3296" sId="6">
    <oc r="AV12">
      <v>26</v>
    </oc>
    <nc r="AV12"/>
  </rcc>
  <rcc rId="3297" sId="6">
    <oc r="AX12">
      <f>SUM(AS12:AW12)</f>
    </oc>
    <nc r="AX12">
      <f>SUM(AS12:AW12)</f>
    </nc>
  </rcc>
  <rcc rId="3298" sId="6">
    <oc r="AY12">
      <v>81</v>
    </oc>
    <nc r="AY12"/>
  </rcc>
  <rcc rId="3299" sId="6">
    <oc r="AZ12">
      <v>31</v>
    </oc>
    <nc r="AZ12"/>
  </rcc>
  <rcc rId="3300" sId="6">
    <oc r="BB12">
      <v>35</v>
    </oc>
    <nc r="BB12"/>
  </rcc>
  <rcc rId="3301" sId="6">
    <oc r="BC12">
      <v>35</v>
    </oc>
    <nc r="BC12"/>
  </rcc>
  <rcc rId="3302" sId="6">
    <oc r="BD12">
      <f>SUM(AY12:BC12)</f>
    </oc>
    <nc r="BD12">
      <f>SUM(AY12:BC12)</f>
    </nc>
  </rcc>
  <rcc rId="3303" sId="6">
    <oc r="H13">
      <f>SUM(C13:G13)</f>
    </oc>
    <nc r="H13">
      <f>SUM(C13:G13)</f>
    </nc>
  </rcc>
  <rcc rId="3304" sId="6">
    <oc r="J13">
      <v>1</v>
    </oc>
    <nc r="J13"/>
  </rcc>
  <rcc rId="3305" sId="6">
    <oc r="M13">
      <v>1</v>
    </oc>
    <nc r="M13"/>
  </rcc>
  <rcc rId="3306" sId="6">
    <oc r="N13">
      <f>SUM(I13:M13)</f>
    </oc>
    <nc r="N13">
      <f>SUM(I13:M13)</f>
    </nc>
  </rcc>
  <rcc rId="3307" sId="6">
    <oc r="T13">
      <f>SUM(O13:S13)</f>
    </oc>
    <nc r="T13">
      <f>SUM(O13:S13)</f>
    </nc>
  </rcc>
  <rcc rId="3308" sId="6">
    <oc r="Z13">
      <f>SUM(U13:Y13)</f>
    </oc>
    <nc r="Z13">
      <f>SUM(U13:Y13)</f>
    </nc>
  </rcc>
  <rcc rId="3309" sId="6">
    <oc r="AA13">
      <v>1</v>
    </oc>
    <nc r="AA13"/>
  </rcc>
  <rcc rId="3310" sId="6">
    <oc r="AD13">
      <v>1</v>
    </oc>
    <nc r="AD13"/>
  </rcc>
  <rcc rId="3311" sId="6">
    <oc r="AF13">
      <f>SUM(AA13:AE13)</f>
    </oc>
    <nc r="AF13">
      <f>SUM(AA13:AE13)</f>
    </nc>
  </rcc>
  <rcc rId="3312" sId="6">
    <oc r="AL13">
      <f>SUM(AG13:AK13)</f>
    </oc>
    <nc r="AL13">
      <f>SUM(AG13:AK13)</f>
    </nc>
  </rcc>
  <rcc rId="3313" sId="6">
    <oc r="AR13">
      <f>SUM(AM13:AQ13)</f>
    </oc>
    <nc r="AR13">
      <f>SUM(AM13:AQ13)</f>
    </nc>
  </rcc>
  <rcc rId="3314" sId="6">
    <oc r="AX13">
      <f>SUM(AS13:AW13)</f>
    </oc>
    <nc r="AX13">
      <f>SUM(AS13:AW13)</f>
    </nc>
  </rcc>
  <rcc rId="3315" sId="6">
    <oc r="BD13">
      <f>SUM(AY13:BC13)</f>
    </oc>
    <nc r="BD13">
      <f>SUM(AY13:BC13)</f>
    </nc>
  </rcc>
  <rcc rId="3316" sId="6">
    <oc r="H14">
      <f>SUM(C14:G14)</f>
    </oc>
    <nc r="H14">
      <f>SUM(C14:G14)</f>
    </nc>
  </rcc>
  <rcc rId="3317" sId="6">
    <oc r="N14">
      <f>SUM(I14:M14)</f>
    </oc>
    <nc r="N14">
      <f>SUM(I14:M14)</f>
    </nc>
  </rcc>
  <rcc rId="3318" sId="6">
    <oc r="T14">
      <f>SUM(O14:S14)</f>
    </oc>
    <nc r="T14">
      <f>SUM(O14:S14)</f>
    </nc>
  </rcc>
  <rcc rId="3319" sId="6">
    <oc r="Z14">
      <f>SUM(U14:Y14)</f>
    </oc>
    <nc r="Z14">
      <f>SUM(U14:Y14)</f>
    </nc>
  </rcc>
  <rcc rId="3320" sId="6">
    <oc r="AF14">
      <f>SUM(AA14:AE14)</f>
    </oc>
    <nc r="AF14">
      <f>SUM(AA14:AE14)</f>
    </nc>
  </rcc>
  <rcc rId="3321" sId="6">
    <oc r="AL14">
      <f>SUM(AG14:AK14)</f>
    </oc>
    <nc r="AL14">
      <f>SUM(AG14:AK14)</f>
    </nc>
  </rcc>
  <rcc rId="3322" sId="6">
    <oc r="AR14">
      <f>SUM(AM14:AQ14)</f>
    </oc>
    <nc r="AR14">
      <f>SUM(AM14:AQ14)</f>
    </nc>
  </rcc>
  <rcc rId="3323" sId="6">
    <oc r="AX14">
      <f>SUM(AS14:AW14)</f>
    </oc>
    <nc r="AX14">
      <f>SUM(AS14:AW14)</f>
    </nc>
  </rcc>
  <rcc rId="3324" sId="6">
    <oc r="BD14">
      <f>SUM(AY14:BC14)</f>
    </oc>
    <nc r="BD14">
      <f>SUM(AY14:BC14)</f>
    </nc>
  </rcc>
  <rcc rId="3325" sId="6">
    <oc r="F15">
      <v>55</v>
    </oc>
    <nc r="F15"/>
  </rcc>
  <rcc rId="3326" sId="6">
    <oc r="H15">
      <f>SUM(C15:G15)</f>
    </oc>
    <nc r="H15">
      <f>SUM(C15:G15)</f>
    </nc>
  </rcc>
  <rcc rId="3327" sId="6">
    <oc r="J15">
      <v>140</v>
    </oc>
    <nc r="J15"/>
  </rcc>
  <rcc rId="3328" sId="6">
    <oc r="L15">
      <v>30</v>
    </oc>
    <nc r="L15"/>
  </rcc>
  <rcc rId="3329" sId="6">
    <oc r="M15">
      <v>27</v>
    </oc>
    <nc r="M15"/>
  </rcc>
  <rcc rId="3330" sId="6">
    <oc r="N15">
      <f>SUM(I15:M15)</f>
    </oc>
    <nc r="N15">
      <f>SUM(I15:M15)</f>
    </nc>
  </rcc>
  <rcc rId="3331" sId="6">
    <oc r="T15">
      <f>SUM(O15:S15)</f>
    </oc>
    <nc r="T15">
      <f>SUM(O15:S15)</f>
    </nc>
  </rcc>
  <rcc rId="3332" sId="6">
    <oc r="Z15">
      <f>SUM(U15:Y15)</f>
    </oc>
    <nc r="Z15">
      <f>SUM(U15:Y15)</f>
    </nc>
  </rcc>
  <rcc rId="3333" sId="6">
    <oc r="AF15">
      <f>SUM(AA15:AE15)</f>
    </oc>
    <nc r="AF15">
      <f>SUM(AA15:AE15)</f>
    </nc>
  </rcc>
  <rcc rId="3334" sId="6">
    <oc r="AI15">
      <v>51</v>
    </oc>
    <nc r="AI15"/>
  </rcc>
  <rcc rId="3335" sId="6">
    <oc r="AL15">
      <f>SUM(AG15:AK15)</f>
    </oc>
    <nc r="AL15">
      <f>SUM(AG15:AK15)</f>
    </nc>
  </rcc>
  <rcc rId="3336" sId="6">
    <oc r="AR15">
      <f>SUM(AM15:AQ15)</f>
    </oc>
    <nc r="AR15">
      <f>SUM(AM15:AQ15)</f>
    </nc>
  </rcc>
  <rcc rId="3337" sId="6">
    <oc r="AS15">
      <v>40</v>
    </oc>
    <nc r="AS15"/>
  </rcc>
  <rcc rId="3338" sId="6">
    <oc r="AT15">
      <v>20</v>
    </oc>
    <nc r="AT15"/>
  </rcc>
  <rcc rId="3339" sId="6">
    <oc r="AV15">
      <v>11</v>
    </oc>
    <nc r="AV15"/>
  </rcc>
  <rcc rId="3340" sId="6">
    <oc r="AX15">
      <f>SUM(AS15:AW15)</f>
    </oc>
    <nc r="AX15">
      <f>SUM(AS15:AW15)</f>
    </nc>
  </rcc>
  <rcc rId="3341" sId="6">
    <oc r="BD15">
      <f>SUM(AY15:BC15)</f>
    </oc>
    <nc r="BD15">
      <f>SUM(AY15:BC15)</f>
    </nc>
  </rcc>
  <rcc rId="3342" sId="6">
    <oc r="E16">
      <v>164</v>
    </oc>
    <nc r="E16"/>
  </rcc>
  <rcc rId="3343" sId="6" numFmtId="4">
    <oc r="F16">
      <v>2286</v>
    </oc>
    <nc r="F16"/>
  </rcc>
  <rcc rId="3344" sId="6" numFmtId="4">
    <oc r="G16">
      <v>15687</v>
    </oc>
    <nc r="G16"/>
  </rcc>
  <rcc rId="3345" sId="6">
    <oc r="H16">
      <f>SUM(C16:G16)</f>
    </oc>
    <nc r="H16">
      <f>SUM(C16:G16)</f>
    </nc>
  </rcc>
  <rcc rId="3346" sId="6" numFmtId="4">
    <oc r="I16">
      <v>3724</v>
    </oc>
    <nc r="I16"/>
  </rcc>
  <rcc rId="3347" sId="6">
    <oc r="N16">
      <f>SUM(I16:M16)</f>
    </oc>
    <nc r="N16">
      <f>SUM(I16:M16)</f>
    </nc>
  </rcc>
  <rcc rId="3348" sId="6">
    <oc r="T16">
      <f>SUM(O16:S16)</f>
    </oc>
    <nc r="T16">
      <f>SUM(O16:S16)</f>
    </nc>
  </rcc>
  <rcc rId="3349" sId="6">
    <oc r="Z16">
      <f>SUM(U16:Y16)</f>
    </oc>
    <nc r="Z16">
      <f>SUM(U16:Y16)</f>
    </nc>
  </rcc>
  <rcc rId="3350" sId="6">
    <oc r="AF16">
      <f>SUM(AA16:AE16)</f>
    </oc>
    <nc r="AF16">
      <f>SUM(AA16:AE16)</f>
    </nc>
  </rcc>
  <rcc rId="3351" sId="6">
    <oc r="AL16">
      <f>SUM(AG16:AK16)</f>
    </oc>
    <nc r="AL16">
      <f>SUM(AG16:AK16)</f>
    </nc>
  </rcc>
  <rcc rId="3352" sId="6">
    <oc r="AM16">
      <v>10</v>
    </oc>
    <nc r="AM16"/>
  </rcc>
  <rcc rId="3353" sId="6">
    <oc r="AR16">
      <f>SUM(AM16:AQ16)</f>
    </oc>
    <nc r="AR16">
      <f>SUM(AM16:AQ16)</f>
    </nc>
  </rcc>
  <rcc rId="3354" sId="6">
    <oc r="AX16">
      <f>SUM(AS16:AW16)</f>
    </oc>
    <nc r="AX16">
      <f>SUM(AS16:AW16)</f>
    </nc>
  </rcc>
  <rcc rId="3355" sId="6">
    <oc r="BD16">
      <f>SUM(AY16:BC16)</f>
    </oc>
    <nc r="BD16">
      <f>SUM(AY16:BC16)</f>
    </nc>
  </rcc>
  <rcc rId="3356" sId="6">
    <oc r="G17" t="inlineStr">
      <is>
        <t>acompanhano a instalação do ponto de rede e tomada na 4.47</t>
      </is>
    </oc>
    <nc r="G17"/>
  </rcc>
  <rcc rId="3357" sId="6">
    <oc r="I17" t="inlineStr">
      <is>
        <t xml:space="preserve">PROCURANDO CAIXAS PARA ELIMINAÇÃO </t>
      </is>
    </oc>
    <nc r="I17"/>
  </rcc>
  <rcc rId="3358" sId="6">
    <oc r="J17" t="inlineStr">
      <is>
        <t xml:space="preserve">PROCURANDO CAIXAS PARA ELIMINAÇÃO </t>
      </is>
    </oc>
    <nc r="J17"/>
  </rcc>
  <rcc rId="3359" sId="6">
    <oc r="O17" t="inlineStr">
      <is>
        <t xml:space="preserve">FAZENDO PALETES 80 CAIXAS PRA CADA </t>
      </is>
    </oc>
    <nc r="O17"/>
  </rcc>
  <rcc rId="3360" sId="6">
    <oc r="Q17" t="inlineStr">
      <is>
        <t>DIGITALIZANDO LIVROS DA LBA</t>
      </is>
    </oc>
    <nc r="Q17"/>
  </rcc>
  <rfmt sheetId="6" sqref="R17" start="0" length="0">
    <dxf>
      <alignment wrapText="1"/>
    </dxf>
  </rfmt>
  <rcc rId="3361" sId="6">
    <oc r="U17" t="inlineStr">
      <is>
        <t xml:space="preserve"> Pela manhã - Nossa mudança do subsolo sala 1S 3.11 para o 2º andar sala 24.32.</t>
      </is>
    </oc>
    <nc r="U17"/>
  </rcc>
  <rcc rId="3362" sId="6">
    <oc r="V17" t="inlineStr">
      <is>
        <t>DIGITALIZANDO LIVROS DA LBA</t>
      </is>
    </oc>
    <nc r="V17"/>
  </rcc>
  <rcc rId="3363" sId="6">
    <oc r="W17" t="inlineStr">
      <is>
        <t>DIGITALIZANDO LIVROS DA LBA</t>
      </is>
    </oc>
    <nc r="W17"/>
  </rcc>
  <rcc rId="3364" sId="6" odxf="1" dxf="1">
    <oc r="Y17" t="inlineStr">
      <is>
        <t xml:space="preserve">fazendo etiquetas para os micros-filmes </t>
      </is>
    </oc>
    <nc r="Y17"/>
    <odxf>
      <alignment wrapText="1"/>
    </odxf>
    <ndxf>
      <alignment wrapText="0"/>
    </ndxf>
  </rcc>
  <rcc rId="3365" sId="6">
    <oc r="AA17" t="inlineStr">
      <is>
        <t xml:space="preserve">fazendo etiquetas para os micros-filmes </t>
      </is>
    </oc>
    <nc r="AA17"/>
  </rcc>
  <rcc rId="3366" sId="6" odxf="1" dxf="1">
    <oc r="AB17" t="inlineStr">
      <is>
        <t xml:space="preserve">fazendo etiquetas para os micros-filmes </t>
      </is>
    </oc>
    <nc r="AB17"/>
    <odxf>
      <alignment wrapText="1"/>
    </odxf>
    <ndxf>
      <alignment wrapText="0"/>
    </ndxf>
  </rcc>
  <rcc rId="3367" sId="6" odxf="1" dxf="1">
    <oc r="AC17" t="inlineStr">
      <is>
        <t xml:space="preserve">fazendo etiquetas para os micros-filmes </t>
      </is>
    </oc>
    <nc r="AC17"/>
    <odxf>
      <alignment wrapText="1"/>
    </odxf>
    <ndxf>
      <alignment wrapText="0"/>
    </ndxf>
  </rcc>
  <rcc rId="3368" sId="6">
    <oc r="AD17" t="inlineStr">
      <is>
        <t xml:space="preserve">PROCURANDO CAIXAS DA CGEOF/SESAN </t>
      </is>
    </oc>
    <nc r="AD17"/>
  </rcc>
  <rcc rId="3369" sId="6">
    <oc r="AG17" t="inlineStr">
      <is>
        <t>1. Inventário microfilmes.
1 Caixa
30 microfilmes.
2. Envio de 70 caixas para DAP/CGPC.
3. Recebimento de 70 caixas para DAP/CGPC.</t>
      </is>
    </oc>
    <nc r="AG17"/>
  </rcc>
  <rcc rId="3370" sId="6" odxf="1" dxf="1">
    <oc r="AH17" t="inlineStr">
      <is>
        <t>1. Ida ao Bloco A com os chefes, Patrícia e Marcelo, para ver localização dos microfilmes para inventáriá-los. 
2.  Ida ao Bloco A para localização e análise das prováveis caixas onde possa estar o processo do FUNDESPORTE.</t>
      </is>
    </oc>
    <nc r="AH17"/>
    <odxf>
      <alignment wrapText="1"/>
    </odxf>
    <ndxf>
      <alignment wrapText="0"/>
    </ndxf>
  </rcc>
  <rcc rId="3371" sId="6" odxf="1" dxf="1">
    <oc r="AI17" t="inlineStr">
      <is>
        <t>passando a planilha escrita dos micros-filmes para planilha digital</t>
      </is>
    </oc>
    <nc r="AI17"/>
    <odxf>
      <alignment wrapText="1"/>
    </odxf>
    <ndxf>
      <alignment wrapText="0"/>
    </ndxf>
  </rcc>
  <rcc rId="3372" sId="6" odxf="1" dxf="1">
    <oc r="AJ17" t="inlineStr">
      <is>
        <t>passando a planilha escrita dos micros-filmes para planilha digital</t>
      </is>
    </oc>
    <nc r="AJ17"/>
    <odxf>
      <alignment wrapText="1"/>
    </odxf>
    <ndxf>
      <alignment wrapText="0"/>
    </ndxf>
  </rcc>
  <rcc rId="3373" sId="6">
    <oc r="AK17" t="inlineStr">
      <is>
        <t xml:space="preserve">confatrenização da festa junina </t>
      </is>
    </oc>
    <nc r="AK17"/>
  </rcc>
  <rcc rId="3374" sId="6">
    <oc r="AM17" t="inlineStr">
      <is>
        <t>01-fazendo etiquetas para os micros-filmes                   02- passando a planilha escrita dos micros-filmes para planilha digital</t>
      </is>
    </oc>
    <nc r="AM17"/>
  </rcc>
  <rcc rId="3375" sId="6" odxf="1" dxf="1">
    <oc r="AN17" t="inlineStr">
      <is>
        <t>passando a planilha escrita dos micros-filmes para planilha digital</t>
      </is>
    </oc>
    <nc r="AN17"/>
    <odxf>
      <alignment wrapText="1"/>
    </odxf>
    <ndxf>
      <alignment wrapText="0"/>
    </ndxf>
  </rcc>
  <rcc rId="3376" sId="6">
    <oc r="AO17" t="inlineStr">
      <is>
        <t>atestado</t>
      </is>
    </oc>
    <nc r="AO17"/>
  </rcc>
  <rcc rId="3377" sId="6">
    <oc r="AP17" t="inlineStr">
      <is>
        <t>atestado</t>
      </is>
    </oc>
    <nc r="AP17"/>
  </rcc>
  <rcc rId="3378" sId="6">
    <oc r="AQ17" t="inlineStr">
      <is>
        <t>atestado</t>
      </is>
    </oc>
    <nc r="AQ17"/>
  </rcc>
  <rcc rId="3379" sId="6">
    <oc r="AS17" t="inlineStr">
      <is>
        <t>01-procurando caixas para eliminação para seu Carlos                   02- passando a planilha escrita dos micros-filmes para planilha digital</t>
      </is>
    </oc>
    <nc r="AS17"/>
  </rcc>
  <rcc rId="3380" sId="6">
    <oc r="AT17" t="inlineStr">
      <is>
        <t>01-procurando caixas para eliminação para seu Carlos                   02- passando a planilha escrita dos micros-filmes para planilha digital</t>
      </is>
    </oc>
    <nc r="AT17"/>
  </rcc>
  <rcc rId="3381" sId="6" odxf="1" dxf="1">
    <oc r="AU17" t="inlineStr">
      <is>
        <t>passando a planilha escrita dos micros-filmes para planilha digital</t>
      </is>
    </oc>
    <nc r="AU17"/>
    <odxf>
      <alignment wrapText="1"/>
    </odxf>
    <ndxf>
      <alignment wrapText="0"/>
    </ndxf>
  </rcc>
  <rcc rId="3382" sId="6">
    <oc r="AV17" t="inlineStr">
      <is>
        <t>passando a planilha escrita dos micros-filmes para planilha digital</t>
      </is>
    </oc>
    <nc r="AV17"/>
  </rcc>
  <rcc rId="3383" sId="6">
    <oc r="AW17" t="inlineStr">
      <is>
        <t xml:space="preserve">procurando caixas de eliminação p/ o Carlos </t>
      </is>
    </oc>
    <nc r="AW17"/>
  </rcc>
  <rcc rId="3384" sId="6" odxf="1" dxf="1">
    <oc r="AY17" t="inlineStr">
      <is>
        <t>passando a planilha escrita dos micros-filmes para planilha digital</t>
      </is>
    </oc>
    <nc r="AY17"/>
    <odxf>
      <alignment wrapText="1"/>
    </odxf>
    <ndxf>
      <alignment wrapText="0"/>
    </ndxf>
  </rcc>
  <rcc rId="3385" sId="6">
    <oc r="AZ17" t="inlineStr">
      <is>
        <t>passando a planilha escrita dos micros-filmes para planilha digital</t>
      </is>
    </oc>
    <nc r="AZ17"/>
  </rcc>
  <rcc rId="3386" sId="6" odxf="1" dxf="1">
    <oc r="BA17" t="inlineStr">
      <is>
        <t>passando a planilha escrita dos micros-filmes para planilha digital</t>
      </is>
    </oc>
    <nc r="BA17"/>
    <odxf>
      <alignment wrapText="1"/>
    </odxf>
    <ndxf>
      <alignment wrapText="0"/>
    </ndxf>
  </rcc>
  <rcc rId="3387" sId="6" odxf="1" dxf="1">
    <oc r="BB17" t="inlineStr">
      <is>
        <t>passando a planilha escrita dos micros-filmes para planilha digital</t>
      </is>
    </oc>
    <nc r="BB17"/>
    <odxf>
      <alignment wrapText="1"/>
    </odxf>
    <ndxf>
      <alignment wrapText="0"/>
    </ndxf>
  </rcc>
  <rcc rId="3388" sId="6" odxf="1" dxf="1">
    <oc r="BC17" t="inlineStr">
      <is>
        <t>passando a planilha escrita dos micros-filmes para planilha digital</t>
      </is>
    </oc>
    <nc r="BC17"/>
    <odxf>
      <alignment wrapText="1"/>
    </odxf>
    <ndxf>
      <alignment wrapText="0"/>
    </ndxf>
  </rcc>
  <rcc rId="3389" sId="6">
    <oc r="C18" t="inlineStr">
      <is>
        <t xml:space="preserve">PROCURANDO CAIXAS PARA ELIMINAÇÃO </t>
      </is>
    </oc>
    <nc r="C18"/>
  </rcc>
  <rcc rId="3390" sId="6" odxf="1" dxf="1">
    <oc r="D18" t="inlineStr">
      <is>
        <t>lanche na sala nova a CDA</t>
      </is>
    </oc>
    <nc r="D18"/>
    <odxf>
      <alignment wrapText="1"/>
    </odxf>
    <ndxf>
      <alignment wrapText="0"/>
    </ndxf>
  </rcc>
  <rcc rId="3391" sId="6" odxf="1" dxf="1">
    <oc r="F18" t="inlineStr">
      <is>
        <t xml:space="preserve">PROCURANDO CAIXAS PARA ELIMINAÇÃO </t>
      </is>
    </oc>
    <nc r="F18"/>
    <odxf>
      <alignment wrapText="1"/>
    </odxf>
    <ndxf>
      <alignment wrapText="0"/>
    </ndxf>
  </rcc>
  <rcc rId="3392" sId="6" odxf="1" dxf="1">
    <oc r="G18" t="inlineStr">
      <is>
        <t xml:space="preserve">PROCURANDO CAIXAS PARA ELIMINAÇÃO </t>
      </is>
    </oc>
    <nc r="G18"/>
    <odxf>
      <alignment wrapText="1"/>
    </odxf>
    <ndxf>
      <alignment wrapText="0"/>
    </ndxf>
  </rcc>
  <rcc rId="3393" sId="6">
    <oc r="J18" t="inlineStr">
      <is>
        <t>Fazendo palletes</t>
      </is>
    </oc>
    <nc r="J18"/>
  </rcc>
  <rcc rId="3394" sId="6">
    <oc r="Q18" t="inlineStr">
      <is>
        <t xml:space="preserve">ALMOÇO PELA PARTE DA TARDE </t>
      </is>
    </oc>
    <nc r="Q18"/>
  </rcc>
  <rfmt sheetId="6" sqref="U18" start="0" length="0">
    <dxf>
      <alignment wrapText="1"/>
    </dxf>
  </rfmt>
  <rfmt sheetId="6" sqref="W18" start="0" length="0">
    <dxf>
      <alignment wrapText="1"/>
    </dxf>
  </rfmt>
  <rfmt sheetId="6" sqref="X18" start="0" length="0">
    <dxf>
      <alignment wrapText="1"/>
    </dxf>
  </rfmt>
  <rfmt sheetId="6" sqref="Y18" start="0" length="0">
    <dxf>
      <alignment wrapText="1"/>
    </dxf>
  </rfmt>
  <rfmt sheetId="6" sqref="Z18" start="0" length="0">
    <dxf>
      <alignment wrapText="1"/>
    </dxf>
  </rfmt>
  <rfmt sheetId="6" sqref="AA18" start="0" length="0">
    <dxf>
      <alignment wrapText="1"/>
    </dxf>
  </rfmt>
  <rfmt sheetId="6" sqref="AB18" start="0" length="0">
    <dxf>
      <alignment wrapText="1"/>
    </dxf>
  </rfmt>
  <rfmt sheetId="6" sqref="AC18" start="0" length="0">
    <dxf>
      <alignment wrapText="1"/>
    </dxf>
  </rfmt>
  <rcc rId="3395" sId="6">
    <oc r="AD18" t="inlineStr">
      <is>
        <t>2 PROCESSOS COM 34 VOLUMES</t>
      </is>
    </oc>
    <nc r="AD18"/>
  </rcc>
  <rfmt sheetId="6" sqref="AE18" start="0" length="0">
    <dxf>
      <alignment wrapText="1"/>
    </dxf>
  </rfmt>
  <rcc rId="3396" sId="6">
    <oc r="AG18" t="inlineStr">
      <is>
        <t xml:space="preserve">fazendo curso </t>
      </is>
    </oc>
    <nc r="AG18"/>
  </rcc>
  <rcc rId="3397" sId="6">
    <oc r="AH18" t="inlineStr">
      <is>
        <t xml:space="preserve">fazendo curso </t>
      </is>
    </oc>
    <nc r="AH18"/>
  </rcc>
  <rcc rId="3398" sId="6" odxf="1" dxf="1">
    <oc r="AI18" t="inlineStr">
      <is>
        <t xml:space="preserve">fazendo curso </t>
      </is>
    </oc>
    <nc r="AI18"/>
    <odxf>
      <alignment wrapText="1"/>
    </odxf>
    <ndxf>
      <alignment wrapText="0"/>
    </ndxf>
  </rcc>
  <rcc rId="3399" sId="6">
    <oc r="AJ18" t="inlineStr">
      <is>
        <t>fazendo curso / café da manhã CGLA</t>
      </is>
    </oc>
    <nc r="AJ18"/>
  </rcc>
  <rcc rId="3400" sId="6">
    <oc r="AK18" t="inlineStr">
      <is>
        <t xml:space="preserve">fazendo curso </t>
      </is>
    </oc>
    <nc r="AK18"/>
  </rcc>
  <rcc rId="3401" sId="6" odxf="1" dxf="1">
    <oc r="AM18" t="inlineStr">
      <is>
        <t xml:space="preserve">fazendo curso </t>
      </is>
    </oc>
    <nc r="AM18"/>
    <odxf>
      <alignment wrapText="1"/>
    </odxf>
    <ndxf>
      <alignment wrapText="0"/>
    </ndxf>
  </rcc>
  <rcc rId="3402" sId="6">
    <oc r="AN18" t="inlineStr">
      <is>
        <t xml:space="preserve">fazendo curso </t>
      </is>
    </oc>
    <nc r="AN18"/>
  </rcc>
  <rfmt sheetId="6" sqref="AO18" start="0" length="0">
    <dxf>
      <alignment wrapText="1"/>
    </dxf>
  </rfmt>
  <rfmt sheetId="6" sqref="AP18" start="0" length="0">
    <dxf>
      <alignment wrapText="1"/>
    </dxf>
  </rfmt>
  <rfmt sheetId="6" sqref="AQ18" start="0" length="0">
    <dxf>
      <alignment wrapText="1"/>
    </dxf>
  </rfmt>
  <rcc rId="3403" sId="6" odxf="1" dxf="1">
    <oc r="AS18" t="inlineStr">
      <is>
        <t xml:space="preserve">fazendo curso </t>
      </is>
    </oc>
    <nc r="AS18"/>
    <odxf>
      <alignment wrapText="1"/>
    </odxf>
    <ndxf>
      <alignment wrapText="0"/>
    </ndxf>
  </rcc>
  <rcc rId="3404" sId="6">
    <oc r="AT18" t="inlineStr">
      <is>
        <t xml:space="preserve">fazendo curso </t>
      </is>
    </oc>
    <nc r="AT18"/>
  </rcc>
  <rcc rId="3405" sId="6">
    <oc r="AU18" t="inlineStr">
      <is>
        <t xml:space="preserve">fazendo curso </t>
      </is>
    </oc>
    <nc r="AU18"/>
  </rcc>
  <rcc rId="3406" sId="6" odxf="1" dxf="1">
    <oc r="AV18" t="inlineStr">
      <is>
        <t xml:space="preserve">fazendo curso </t>
      </is>
    </oc>
    <nc r="AV18"/>
    <odxf>
      <alignment wrapText="1"/>
    </odxf>
    <ndxf>
      <alignment wrapText="0"/>
    </ndxf>
  </rcc>
  <rcc rId="3407" sId="6">
    <oc r="AW18" t="inlineStr">
      <is>
        <t xml:space="preserve">fazendo curso </t>
      </is>
    </oc>
    <nc r="AW18"/>
  </rcc>
  <rcc rId="3408" sId="6">
    <oc r="AZ18" t="inlineStr">
      <is>
        <t xml:space="preserve">procurando caixas de eliminação p/ o Carlos </t>
      </is>
    </oc>
    <nc r="AZ18"/>
  </rcc>
  <rcc rId="3409" sId="6">
    <oc r="BA18" t="inlineStr">
      <is>
        <t xml:space="preserve">procurando caixas de eliminação p/ o Carlos </t>
      </is>
    </oc>
    <nc r="BA18"/>
  </rcc>
  <rcc rId="3410" sId="6">
    <oc r="BB18" t="inlineStr">
      <is>
        <t xml:space="preserve">procurando caixas de eliminação p/ o Carlos </t>
      </is>
    </oc>
    <nc r="BB18"/>
  </rcc>
  <rcc rId="3411" sId="7" numFmtId="21">
    <oc r="C1">
      <v>45810</v>
    </oc>
    <nc r="C1">
      <v>45873</v>
    </nc>
  </rcc>
  <rcc rId="3412" sId="7" odxf="1" dxf="1" numFmtId="21">
    <oc r="D1">
      <v>45811</v>
    </oc>
    <nc r="D1">
      <v>45874</v>
    </nc>
    <odxf>
      <border outline="0">
        <left/>
      </border>
    </odxf>
    <ndxf>
      <border outline="0">
        <left style="thin">
          <color indexed="64"/>
        </left>
      </border>
    </ndxf>
  </rcc>
  <rcc rId="3413" sId="7" odxf="1" dxf="1" numFmtId="21">
    <oc r="E1">
      <v>45812</v>
    </oc>
    <nc r="E1">
      <v>45875</v>
    </nc>
    <odxf>
      <border outline="0">
        <left/>
      </border>
    </odxf>
    <ndxf>
      <border outline="0">
        <left style="thin">
          <color indexed="64"/>
        </left>
      </border>
    </ndxf>
  </rcc>
  <rcc rId="3414" sId="7" odxf="1" dxf="1" numFmtId="21">
    <oc r="F1">
      <v>45813</v>
    </oc>
    <nc r="F1">
      <v>45876</v>
    </nc>
    <odxf>
      <border outline="0">
        <left/>
      </border>
    </odxf>
    <ndxf>
      <border outline="0">
        <left style="thin">
          <color indexed="64"/>
        </left>
      </border>
    </ndxf>
  </rcc>
  <rcc rId="3415" sId="7" odxf="1" dxf="1" numFmtId="21">
    <oc r="G1">
      <v>45814</v>
    </oc>
    <nc r="G1">
      <v>45877</v>
    </nc>
    <odxf>
      <border outline="0">
        <left/>
      </border>
    </odxf>
    <ndxf>
      <border outline="0">
        <left style="thin">
          <color indexed="64"/>
        </left>
      </border>
    </ndxf>
  </rcc>
  <rcc rId="3416" sId="7" numFmtId="21">
    <oc r="I1">
      <v>45817</v>
    </oc>
    <nc r="I1">
      <v>45880</v>
    </nc>
  </rcc>
  <rcc rId="3417" sId="7" numFmtId="21">
    <oc r="J1">
      <v>45818</v>
    </oc>
    <nc r="J1">
      <v>45881</v>
    </nc>
  </rcc>
  <rcc rId="3418" sId="7" numFmtId="21">
    <oc r="K1">
      <v>45819</v>
    </oc>
    <nc r="K1">
      <v>45882</v>
    </nc>
  </rcc>
  <rcc rId="3419" sId="7" numFmtId="21">
    <oc r="L1">
      <v>45820</v>
    </oc>
    <nc r="L1">
      <v>45883</v>
    </nc>
  </rcc>
  <rcc rId="3420" sId="7" numFmtId="21">
    <oc r="M1">
      <v>45821</v>
    </oc>
    <nc r="M1">
      <v>45884</v>
    </nc>
  </rcc>
  <rcc rId="3421" sId="7" numFmtId="21">
    <oc r="O1">
      <v>45824</v>
    </oc>
    <nc r="O1">
      <v>45887</v>
    </nc>
  </rcc>
  <rcc rId="3422" sId="7" numFmtId="21">
    <oc r="P1">
      <v>45825</v>
    </oc>
    <nc r="P1">
      <v>45888</v>
    </nc>
  </rcc>
  <rcc rId="3423" sId="7" numFmtId="21">
    <oc r="Q1">
      <v>45826</v>
    </oc>
    <nc r="Q1">
      <v>45889</v>
    </nc>
  </rcc>
  <rcc rId="3424" sId="7" numFmtId="21">
    <oc r="R1">
      <v>45827</v>
    </oc>
    <nc r="R1">
      <v>45890</v>
    </nc>
  </rcc>
  <rcc rId="3425" sId="7" numFmtId="21">
    <oc r="S1">
      <v>45828</v>
    </oc>
    <nc r="S1">
      <v>45891</v>
    </nc>
  </rcc>
  <rcc rId="3426" sId="7" numFmtId="21">
    <oc r="U1">
      <v>45831</v>
    </oc>
    <nc r="U1">
      <v>45894</v>
    </nc>
  </rcc>
  <rcc rId="3427" sId="7" numFmtId="21">
    <oc r="V1">
      <v>45832</v>
    </oc>
    <nc r="V1">
      <v>45895</v>
    </nc>
  </rcc>
  <rcc rId="3428" sId="7" numFmtId="21">
    <oc r="W1">
      <v>45833</v>
    </oc>
    <nc r="W1">
      <v>45896</v>
    </nc>
  </rcc>
  <rcc rId="3429" sId="7" numFmtId="21">
    <oc r="X1">
      <v>45834</v>
    </oc>
    <nc r="X1">
      <v>45897</v>
    </nc>
  </rcc>
  <rcc rId="3430" sId="7" numFmtId="21">
    <oc r="Y1">
      <v>45835</v>
    </oc>
    <nc r="Y1">
      <v>45898</v>
    </nc>
  </rcc>
  <rcc rId="3431" sId="7" numFmtId="21">
    <oc r="AA1">
      <v>45838</v>
    </oc>
    <nc r="AA1">
      <v>45901</v>
    </nc>
  </rcc>
  <rcc rId="3432" sId="7" numFmtId="21">
    <oc r="AB1">
      <v>45839</v>
    </oc>
    <nc r="AB1">
      <v>45902</v>
    </nc>
  </rcc>
  <rcc rId="3433" sId="7" numFmtId="21">
    <oc r="AC1">
      <v>45840</v>
    </oc>
    <nc r="AC1">
      <v>45903</v>
    </nc>
  </rcc>
  <rcc rId="3434" sId="7" numFmtId="21">
    <oc r="AD1">
      <v>45841</v>
    </oc>
    <nc r="AD1">
      <v>45904</v>
    </nc>
  </rcc>
  <rcc rId="3435" sId="7" numFmtId="21">
    <oc r="AE1">
      <v>45842</v>
    </oc>
    <nc r="AE1">
      <v>45905</v>
    </nc>
  </rcc>
  <rcc rId="3436" sId="7" numFmtId="21">
    <oc r="AG1">
      <v>45845</v>
    </oc>
    <nc r="AG1">
      <v>45908</v>
    </nc>
  </rcc>
  <rcc rId="3437" sId="7" numFmtId="21">
    <oc r="AH1">
      <v>45846</v>
    </oc>
    <nc r="AH1">
      <v>45909</v>
    </nc>
  </rcc>
  <rcc rId="3438" sId="7" numFmtId="21">
    <oc r="AI1">
      <v>45847</v>
    </oc>
    <nc r="AI1">
      <v>45910</v>
    </nc>
  </rcc>
  <rcc rId="3439" sId="7" numFmtId="21">
    <oc r="AJ1">
      <v>45848</v>
    </oc>
    <nc r="AJ1">
      <v>45911</v>
    </nc>
  </rcc>
  <rcc rId="3440" sId="7" numFmtId="21">
    <oc r="AK1">
      <v>45849</v>
    </oc>
    <nc r="AK1">
      <v>45912</v>
    </nc>
  </rcc>
  <rcc rId="3441" sId="7" numFmtId="21">
    <oc r="AM1">
      <v>45852</v>
    </oc>
    <nc r="AM1">
      <v>45915</v>
    </nc>
  </rcc>
  <rcc rId="3442" sId="7" numFmtId="21">
    <oc r="AN1">
      <v>45853</v>
    </oc>
    <nc r="AN1">
      <v>45916</v>
    </nc>
  </rcc>
  <rcc rId="3443" sId="7" numFmtId="21">
    <oc r="AO1">
      <v>45854</v>
    </oc>
    <nc r="AO1">
      <v>45917</v>
    </nc>
  </rcc>
  <rcc rId="3444" sId="7" numFmtId="21">
    <oc r="AP1">
      <v>45855</v>
    </oc>
    <nc r="AP1">
      <v>45918</v>
    </nc>
  </rcc>
  <rcc rId="3445" sId="7" numFmtId="21">
    <oc r="AQ1">
      <v>45856</v>
    </oc>
    <nc r="AQ1">
      <v>45919</v>
    </nc>
  </rcc>
  <rcc rId="3446" sId="7" numFmtId="21">
    <oc r="AS1">
      <v>45859</v>
    </oc>
    <nc r="AS1">
      <v>45922</v>
    </nc>
  </rcc>
  <rcc rId="3447" sId="7" numFmtId="21">
    <oc r="AT1">
      <v>45860</v>
    </oc>
    <nc r="AT1">
      <v>45923</v>
    </nc>
  </rcc>
  <rcc rId="3448" sId="7" numFmtId="21">
    <oc r="AU1">
      <v>45861</v>
    </oc>
    <nc r="AU1">
      <v>45924</v>
    </nc>
  </rcc>
  <rcc rId="3449" sId="7" numFmtId="21">
    <oc r="AV1">
      <v>45862</v>
    </oc>
    <nc r="AV1">
      <v>45925</v>
    </nc>
  </rcc>
  <rcc rId="3450" sId="7" numFmtId="21">
    <oc r="AW1">
      <v>45863</v>
    </oc>
    <nc r="AW1">
      <v>45926</v>
    </nc>
  </rcc>
  <rcc rId="3451" sId="7" numFmtId="21">
    <oc r="AY1">
      <v>45866</v>
    </oc>
    <nc r="AY1">
      <v>45929</v>
    </nc>
  </rcc>
  <rcc rId="3452" sId="7" numFmtId="21">
    <oc r="AZ1">
      <v>45867</v>
    </oc>
    <nc r="AZ1">
      <v>45930</v>
    </nc>
  </rcc>
  <rcc rId="3453" sId="7" numFmtId="21">
    <oc r="BA1">
      <v>45868</v>
    </oc>
    <nc r="BA1">
      <v>45931</v>
    </nc>
  </rcc>
  <rcc rId="3454" sId="7" numFmtId="21">
    <oc r="BB1">
      <v>45869</v>
    </oc>
    <nc r="BB1">
      <v>45932</v>
    </nc>
  </rcc>
  <rcc rId="3455" sId="7" numFmtId="21">
    <oc r="BC1">
      <v>45870</v>
    </oc>
    <nc r="BC1">
      <v>45933</v>
    </nc>
  </rcc>
  <rfmt sheetId="7" sqref="BU1" start="0" length="0">
    <dxf>
      <numFmt numFmtId="0" formatCode="General"/>
    </dxf>
  </rfmt>
  <rfmt sheetId="7" sqref="BV1" start="0" length="0">
    <dxf>
      <numFmt numFmtId="0" formatCode="General"/>
    </dxf>
  </rfmt>
  <rfmt sheetId="7" sqref="BW1" start="0" length="0">
    <dxf>
      <numFmt numFmtId="0" formatCode="General"/>
    </dxf>
  </rfmt>
  <rfmt sheetId="7" sqref="BX1" start="0" length="0">
    <dxf>
      <numFmt numFmtId="0" formatCode="General"/>
    </dxf>
  </rfmt>
  <rfmt sheetId="7" sqref="BY1" start="0" length="0">
    <dxf>
      <numFmt numFmtId="0" formatCode="General"/>
    </dxf>
  </rfmt>
  <rfmt sheetId="7" sqref="BZ1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cc rId="3456" sId="7">
    <oc r="H2">
      <f>SUM(C2:G2)</f>
    </oc>
    <nc r="H2">
      <f>SUM(C2:G2)</f>
    </nc>
  </rcc>
  <rcc rId="3457" sId="7">
    <oc r="N2">
      <f>SUM(I2:M2)</f>
    </oc>
    <nc r="N2">
      <f>SUM(I2:M2)</f>
    </nc>
  </rcc>
  <rcc rId="3458" sId="7">
    <oc r="T2">
      <f>SUM(O2:S2)</f>
    </oc>
    <nc r="T2">
      <f>SUM(O2:S2)</f>
    </nc>
  </rcc>
  <rcc rId="3459" sId="7">
    <oc r="X2">
      <v>1</v>
    </oc>
    <nc r="X2"/>
  </rcc>
  <rcc rId="3460" sId="7">
    <oc r="Z2">
      <f>SUM(U2:Y2)</f>
    </oc>
    <nc r="Z2">
      <f>SUM(U2:Y2)</f>
    </nc>
  </rcc>
  <rcc rId="3461" sId="7">
    <oc r="AF2">
      <f>SUM(AA2:AE2)</f>
    </oc>
    <nc r="AF2">
      <f>SUM(AA2:AE2)</f>
    </nc>
  </rcc>
  <rcc rId="3462" sId="7">
    <oc r="AL2">
      <f>SUM(AG2:AK2)</f>
    </oc>
    <nc r="AL2">
      <f>SUM(AG2:AK2)</f>
    </nc>
  </rcc>
  <rcc rId="3463" sId="7">
    <oc r="AR2">
      <f>SUM(AM2:AQ2)</f>
    </oc>
    <nc r="AR2">
      <f>SUM(AM2:AQ2)</f>
    </nc>
  </rcc>
  <rcc rId="3464" sId="7">
    <oc r="AX2">
      <f>SUM(AS2:AW2)</f>
    </oc>
    <nc r="AX2">
      <f>SUM(AS2:AW2)</f>
    </nc>
  </rcc>
  <rcc rId="3465" sId="7">
    <oc r="BB2">
      <v>1</v>
    </oc>
    <nc r="BB2"/>
  </rcc>
  <rcc rId="3466" sId="7">
    <oc r="BD2">
      <f>SUM(AY2:BC2)</f>
    </oc>
    <nc r="BD2">
      <f>SUM(AY2:BC2)</f>
    </nc>
  </rcc>
  <rfmt sheetId="7" sqref="BZ2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cc rId="3467" sId="7">
    <oc r="H3">
      <f>SUM(C3:G3)</f>
    </oc>
    <nc r="H3">
      <f>SUM(C3:G3)</f>
    </nc>
  </rcc>
  <rcc rId="3468" sId="7">
    <oc r="N3">
      <f>SUM(I3:M3)</f>
    </oc>
    <nc r="N3">
      <f>SUM(I3:M3)</f>
    </nc>
  </rcc>
  <rcc rId="3469" sId="7">
    <oc r="T3">
      <f>SUM(O3:S3)</f>
    </oc>
    <nc r="T3">
      <f>SUM(O3:S3)</f>
    </nc>
  </rcc>
  <rcc rId="3470" sId="7">
    <oc r="X3">
      <v>4</v>
    </oc>
    <nc r="X3"/>
  </rcc>
  <rcc rId="3471" sId="7">
    <oc r="Z3">
      <f>SUM(U3:Y3)</f>
    </oc>
    <nc r="Z3">
      <f>SUM(U3:Y3)</f>
    </nc>
  </rcc>
  <rcc rId="3472" sId="7">
    <oc r="AF3">
      <f>SUM(AA3:AE3)</f>
    </oc>
    <nc r="AF3">
      <f>SUM(AA3:AE3)</f>
    </nc>
  </rcc>
  <rcc rId="3473" sId="7">
    <oc r="AL3">
      <f>SUM(AG3:AK3)</f>
    </oc>
    <nc r="AL3">
      <f>SUM(AG3:AK3)</f>
    </nc>
  </rcc>
  <rcc rId="3474" sId="7">
    <oc r="AR3">
      <f>SUM(AM3:AQ3)</f>
    </oc>
    <nc r="AR3">
      <f>SUM(AM3:AQ3)</f>
    </nc>
  </rcc>
  <rcc rId="3475" sId="7">
    <oc r="AX3">
      <f>SUM(AS3:AW3)</f>
    </oc>
    <nc r="AX3">
      <f>SUM(AS3:AW3)</f>
    </nc>
  </rcc>
  <rcc rId="3476" sId="7">
    <oc r="BB3">
      <v>3</v>
    </oc>
    <nc r="BB3"/>
  </rcc>
  <rcc rId="3477" sId="7">
    <oc r="BD3">
      <f>SUM(AY3:BC3)</f>
    </oc>
    <nc r="BD3">
      <f>SUM(AY3:BC3)</f>
    </nc>
  </rcc>
  <rfmt sheetId="7" sqref="BZ3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cc rId="3478" sId="7">
    <oc r="H4">
      <f>SUM(C4:G4)</f>
    </oc>
    <nc r="H4">
      <f>SUM(C4:G4)</f>
    </nc>
  </rcc>
  <rcc rId="3479" sId="7">
    <oc r="N4">
      <f>SUM(I4:M4)</f>
    </oc>
    <nc r="N4">
      <f>SUM(I4:M4)</f>
    </nc>
  </rcc>
  <rcc rId="3480" sId="7">
    <oc r="T4">
      <f>SUM(O4:S4)</f>
    </oc>
    <nc r="T4">
      <f>SUM(O4:S4)</f>
    </nc>
  </rcc>
  <rcc rId="3481" sId="7">
    <oc r="Z4">
      <f>SUM(U4:Y4)</f>
    </oc>
    <nc r="Z4">
      <f>SUM(U4:Y4)</f>
    </nc>
  </rcc>
  <rcc rId="3482" sId="7">
    <oc r="AF4">
      <f>SUM(AA4:AE4)</f>
    </oc>
    <nc r="AF4">
      <f>SUM(AA4:AE4)</f>
    </nc>
  </rcc>
  <rcc rId="3483" sId="7">
    <oc r="AL4">
      <f>SUM(AG4:AK4)</f>
    </oc>
    <nc r="AL4">
      <f>SUM(AG4:AK4)</f>
    </nc>
  </rcc>
  <rcc rId="3484" sId="7">
    <oc r="AR4">
      <f>SUM(AM4:AQ4)</f>
    </oc>
    <nc r="AR4">
      <f>SUM(AM4:AQ4)</f>
    </nc>
  </rcc>
  <rcc rId="3485" sId="7">
    <oc r="AX4">
      <f>SUM(AS4:AW4)</f>
    </oc>
    <nc r="AX4">
      <f>SUM(AS4:AW4)</f>
    </nc>
  </rcc>
  <rcc rId="3486" sId="7">
    <oc r="BD4">
      <f>SUM(AY4:BC4)</f>
    </oc>
    <nc r="BD4">
      <f>SUM(AY4:BC4)</f>
    </nc>
  </rcc>
  <rfmt sheetId="7" sqref="BZ4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cc rId="3487" sId="7">
    <oc r="H5">
      <f>SUM(C5:G5)</f>
    </oc>
    <nc r="H5">
      <f>SUM(C5:G5)</f>
    </nc>
  </rcc>
  <rcc rId="3488" sId="7">
    <oc r="N5">
      <f>SUM(I5:M5)</f>
    </oc>
    <nc r="N5">
      <f>SUM(I5:M5)</f>
    </nc>
  </rcc>
  <rcc rId="3489" sId="7">
    <oc r="T5">
      <f>SUM(O5:S5)</f>
    </oc>
    <nc r="T5">
      <f>SUM(O5:S5)</f>
    </nc>
  </rcc>
  <rcc rId="3490" sId="7">
    <oc r="Z5">
      <f>SUM(U5:Y5)</f>
    </oc>
    <nc r="Z5">
      <f>SUM(U5:Y5)</f>
    </nc>
  </rcc>
  <rcc rId="3491" sId="7">
    <oc r="AF5">
      <f>SUM(AA5:AE5)</f>
    </oc>
    <nc r="AF5">
      <f>SUM(AA5:AE5)</f>
    </nc>
  </rcc>
  <rcc rId="3492" sId="7">
    <oc r="AL5">
      <f>SUM(AG5:AK5)</f>
    </oc>
    <nc r="AL5">
      <f>SUM(AG5:AK5)</f>
    </nc>
  </rcc>
  <rcc rId="3493" sId="7">
    <oc r="AR5">
      <f>SUM(AM5:AQ5)</f>
    </oc>
    <nc r="AR5">
      <f>SUM(AM5:AQ5)</f>
    </nc>
  </rcc>
  <rcc rId="3494" sId="7">
    <oc r="AX5">
      <f>SUM(AS5:AW5)</f>
    </oc>
    <nc r="AX5">
      <f>SUM(AS5:AW5)</f>
    </nc>
  </rcc>
  <rcc rId="3495" sId="7">
    <oc r="BD5">
      <f>SUM(AY5:BC5)</f>
    </oc>
    <nc r="BD5">
      <f>SUM(AY5:BC5)</f>
    </nc>
  </rcc>
  <rfmt sheetId="7" sqref="BZ5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cc rId="3496" sId="7">
    <oc r="H6">
      <f>SUM(C6:G6)</f>
    </oc>
    <nc r="H6">
      <f>SUM(C6:G6)</f>
    </nc>
  </rcc>
  <rcc rId="3497" sId="7">
    <oc r="N6">
      <f>SUM(I6:M6)</f>
    </oc>
    <nc r="N6">
      <f>SUM(I6:M6)</f>
    </nc>
  </rcc>
  <rcc rId="3498" sId="7">
    <oc r="T6">
      <f>SUM(O6:S6)</f>
    </oc>
    <nc r="T6">
      <f>SUM(O6:S6)</f>
    </nc>
  </rcc>
  <rcc rId="3499" sId="7">
    <oc r="Z6">
      <f>SUM(U6:Y6)</f>
    </oc>
    <nc r="Z6">
      <f>SUM(U6:Y6)</f>
    </nc>
  </rcc>
  <rcc rId="3500" sId="7">
    <oc r="AF6">
      <f>SUM(AA6:AE6)</f>
    </oc>
    <nc r="AF6">
      <f>SUM(AA6:AE6)</f>
    </nc>
  </rcc>
  <rcc rId="3501" sId="7">
    <oc r="AG6">
      <v>10</v>
    </oc>
    <nc r="AG6"/>
  </rcc>
  <rcc rId="3502" sId="7">
    <oc r="AL6">
      <f>SUM(AG6:AK6)</f>
    </oc>
    <nc r="AL6">
      <f>SUM(AG6:AK6)</f>
    </nc>
  </rcc>
  <rcc rId="3503" sId="7">
    <oc r="AR6">
      <f>SUM(AM6:AQ6)</f>
    </oc>
    <nc r="AR6">
      <f>SUM(AM6:AQ6)</f>
    </nc>
  </rcc>
  <rcc rId="3504" sId="7">
    <oc r="AX6">
      <f>SUM(AS6:AW6)</f>
    </oc>
    <nc r="AX6">
      <f>SUM(AS6:AW6)</f>
    </nc>
  </rcc>
  <rcc rId="3505" sId="7">
    <oc r="BD6">
      <f>SUM(AY6:BC6)</f>
    </oc>
    <nc r="BD6">
      <f>SUM(AY6:BC6)</f>
    </nc>
  </rcc>
  <rfmt sheetId="7" sqref="BZ6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cc rId="3506" sId="7" odxf="1" dxf="1">
    <oc r="C7">
      <v>33</v>
    </oc>
    <nc r="C7"/>
    <odxf>
      <border outline="0">
        <left/>
      </border>
    </odxf>
    <ndxf>
      <border outline="0">
        <left style="thin">
          <color indexed="64"/>
        </left>
      </border>
    </ndxf>
  </rcc>
  <rcc rId="3507" sId="7">
    <oc r="D7">
      <v>9</v>
    </oc>
    <nc r="D7"/>
  </rcc>
  <rcc rId="3508" sId="7">
    <oc r="F7">
      <v>65</v>
    </oc>
    <nc r="F7"/>
  </rcc>
  <rcc rId="3509" sId="7">
    <oc r="G7">
      <v>49</v>
    </oc>
    <nc r="G7"/>
  </rcc>
  <rcc rId="3510" sId="7">
    <oc r="H7">
      <f>SUM(C7:G7)</f>
    </oc>
    <nc r="H7">
      <f>SUM(C7:G7)</f>
    </nc>
  </rcc>
  <rcc rId="3511" sId="7">
    <oc r="I7">
      <v>12</v>
    </oc>
    <nc r="I7"/>
  </rcc>
  <rcc rId="3512" sId="7">
    <oc r="K7">
      <v>2</v>
    </oc>
    <nc r="K7"/>
  </rcc>
  <rcc rId="3513" sId="7">
    <oc r="M7">
      <v>18</v>
    </oc>
    <nc r="M7"/>
  </rcc>
  <rcc rId="3514" sId="7">
    <oc r="N7">
      <f>SUM(I7:M7)</f>
    </oc>
    <nc r="N7">
      <f>SUM(I7:M7)</f>
    </nc>
  </rcc>
  <rcc rId="3515" sId="7">
    <oc r="O7">
      <v>8</v>
    </oc>
    <nc r="O7"/>
  </rcc>
  <rcc rId="3516" sId="7">
    <oc r="Q7">
      <v>8</v>
    </oc>
    <nc r="Q7"/>
  </rcc>
  <rcc rId="3517" sId="7">
    <oc r="T7">
      <f>SUM(O7:S7)</f>
    </oc>
    <nc r="T7">
      <f>SUM(O7:S7)</f>
    </nc>
  </rcc>
  <rcc rId="3518" sId="7">
    <oc r="U7">
      <v>10</v>
    </oc>
    <nc r="U7"/>
  </rcc>
  <rcc rId="3519" sId="7">
    <oc r="V7">
      <v>2</v>
    </oc>
    <nc r="V7"/>
  </rcc>
  <rcc rId="3520" sId="7">
    <oc r="Z7">
      <f>SUM(U7:Y7)</f>
    </oc>
    <nc r="Z7">
      <f>SUM(U7:Y7)</f>
    </nc>
  </rcc>
  <rcc rId="3521" sId="7">
    <oc r="AF7">
      <f>SUM(AA7:AE7)</f>
    </oc>
    <nc r="AF7">
      <f>SUM(AA7:AE7)</f>
    </nc>
  </rcc>
  <rcc rId="3522" sId="7">
    <oc r="AL7">
      <f>SUM(AG7:AK7)</f>
    </oc>
    <nc r="AL7">
      <f>SUM(AG7:AK7)</f>
    </nc>
  </rcc>
  <rcc rId="3523" sId="7">
    <oc r="AR7">
      <f>SUM(AM7:AQ7)</f>
    </oc>
    <nc r="AR7">
      <f>SUM(AM7:AQ7)</f>
    </nc>
  </rcc>
  <rcc rId="3524" sId="7">
    <oc r="AX7">
      <f>SUM(AS7:AW7)</f>
    </oc>
    <nc r="AX7">
      <f>SUM(AS7:AW7)</f>
    </nc>
  </rcc>
  <rcc rId="3525" sId="7">
    <oc r="BD7">
      <f>SUM(AY7:BC7)</f>
    </oc>
    <nc r="BD7">
      <f>SUM(AY7:BC7)</f>
    </nc>
  </rcc>
  <rfmt sheetId="7" sqref="BZ7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C8" start="0" length="0">
    <dxf>
      <border outline="0">
        <left style="thin">
          <color indexed="64"/>
        </left>
      </border>
    </dxf>
  </rfmt>
  <rcc rId="3526" sId="7">
    <oc r="H8">
      <f>SUM(C8:G8)</f>
    </oc>
    <nc r="H8">
      <f>SUM(C8:G8)</f>
    </nc>
  </rcc>
  <rcc rId="3527" sId="7">
    <oc r="N8">
      <f>SUM(I8:M8)</f>
    </oc>
    <nc r="N8">
      <f>SUM(I8:M8)</f>
    </nc>
  </rcc>
  <rcc rId="3528" sId="7">
    <oc r="T8">
      <f>SUM(O8:S8)</f>
    </oc>
    <nc r="T8">
      <f>SUM(O8:S8)</f>
    </nc>
  </rcc>
  <rcc rId="3529" sId="7">
    <oc r="Z8">
      <f>SUM(U8:Y8)</f>
    </oc>
    <nc r="Z8">
      <f>SUM(U8:Y8)</f>
    </nc>
  </rcc>
  <rcc rId="3530" sId="7">
    <oc r="AF8">
      <f>SUM(AA8:AE8)</f>
    </oc>
    <nc r="AF8">
      <f>SUM(AA8:AE8)</f>
    </nc>
  </rcc>
  <rcc rId="3531" sId="7">
    <oc r="AG8">
      <v>10</v>
    </oc>
    <nc r="AG8"/>
  </rcc>
  <rcc rId="3532" sId="7">
    <oc r="AL8">
      <f>SUM(AG8:AK8)</f>
    </oc>
    <nc r="AL8">
      <f>SUM(AG8:AK8)</f>
    </nc>
  </rcc>
  <rcc rId="3533" sId="7">
    <oc r="AR8">
      <f>SUM(AM8:AQ8)</f>
    </oc>
    <nc r="AR8">
      <f>SUM(AM8:AQ8)</f>
    </nc>
  </rcc>
  <rcc rId="3534" sId="7">
    <oc r="AX8">
      <f>SUM(AS8:AW8)</f>
    </oc>
    <nc r="AX8">
      <f>SUM(AS8:AW8)</f>
    </nc>
  </rcc>
  <rcc rId="3535" sId="7">
    <oc r="BD8">
      <f>SUM(AY8:BC8)</f>
    </oc>
    <nc r="BD8">
      <f>SUM(AY8:BC8)</f>
    </nc>
  </rcc>
  <rfmt sheetId="7" sqref="BZ8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C9" start="0" length="0">
    <dxf>
      <border outline="0">
        <left style="thin">
          <color indexed="64"/>
        </left>
      </border>
    </dxf>
  </rfmt>
  <rcc rId="3536" sId="7">
    <oc r="H9">
      <f>SUM(C9:G9)</f>
    </oc>
    <nc r="H9">
      <f>SUM(C9:G9)</f>
    </nc>
  </rcc>
  <rcc rId="3537" sId="7">
    <oc r="N9">
      <f>SUM(I9:M9)</f>
    </oc>
    <nc r="N9">
      <f>SUM(I9:M9)</f>
    </nc>
  </rcc>
  <rcc rId="3538" sId="7">
    <oc r="T9">
      <f>SUM(O9:S9)</f>
    </oc>
    <nc r="T9">
      <f>SUM(O9:S9)</f>
    </nc>
  </rcc>
  <rcc rId="3539" sId="7">
    <oc r="Z9">
      <f>SUM(U9:Y9)</f>
    </oc>
    <nc r="Z9">
      <f>SUM(U9:Y9)</f>
    </nc>
  </rcc>
  <rcc rId="3540" sId="7">
    <oc r="AF9">
      <f>SUM(AA9:AE9)</f>
    </oc>
    <nc r="AF9">
      <f>SUM(AA9:AE9)</f>
    </nc>
  </rcc>
  <rcc rId="3541" sId="7">
    <oc r="AL9">
      <f>SUM(AG9:AK9)</f>
    </oc>
    <nc r="AL9">
      <f>SUM(AG9:AK9)</f>
    </nc>
  </rcc>
  <rcc rId="3542" sId="7">
    <oc r="AR9">
      <f>SUM(AM9:AQ9)</f>
    </oc>
    <nc r="AR9">
      <f>SUM(AM9:AQ9)</f>
    </nc>
  </rcc>
  <rcc rId="3543" sId="7">
    <oc r="AX9">
      <f>SUM(AS9:AW9)</f>
    </oc>
    <nc r="AX9">
      <f>SUM(AS9:AW9)</f>
    </nc>
  </rcc>
  <rcc rId="3544" sId="7">
    <oc r="BD9">
      <f>SUM(AY9:BC9)</f>
    </oc>
    <nc r="BD9">
      <f>SUM(AY9:BC9)</f>
    </nc>
  </rcc>
  <rfmt sheetId="7" sqref="BZ9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C10" start="0" length="0">
    <dxf>
      <border outline="0">
        <left style="thin">
          <color indexed="64"/>
        </left>
      </border>
    </dxf>
  </rfmt>
  <rcc rId="3545" sId="7">
    <oc r="H10">
      <f>SUM(C10:G10)</f>
    </oc>
    <nc r="H10">
      <f>SUM(C10:G10)</f>
    </nc>
  </rcc>
  <rcc rId="3546" sId="7">
    <oc r="N10">
      <f>SUM(I10:M10)</f>
    </oc>
    <nc r="N10">
      <f>SUM(I10:M10)</f>
    </nc>
  </rcc>
  <rcc rId="3547" sId="7">
    <oc r="T10">
      <f>SUM(O10:S10)</f>
    </oc>
    <nc r="T10">
      <f>SUM(O10:S10)</f>
    </nc>
  </rcc>
  <rcc rId="3548" sId="7">
    <oc r="Z10">
      <f>SUM(U10:Y10)</f>
    </oc>
    <nc r="Z10">
      <f>SUM(U10:Y10)</f>
    </nc>
  </rcc>
  <rcc rId="3549" sId="7">
    <oc r="AF10">
      <f>SUM(AA10:AE10)</f>
    </oc>
    <nc r="AF10">
      <f>SUM(AA10:AE10)</f>
    </nc>
  </rcc>
  <rcc rId="3550" sId="7">
    <oc r="AL10">
      <f>SUM(AG10:AK10)</f>
    </oc>
    <nc r="AL10">
      <f>SUM(AG10:AK10)</f>
    </nc>
  </rcc>
  <rcc rId="3551" sId="7">
    <oc r="AR10">
      <f>SUM(AM10:AQ10)</f>
    </oc>
    <nc r="AR10">
      <f>SUM(AM10:AQ10)</f>
    </nc>
  </rcc>
  <rcc rId="3552" sId="7">
    <oc r="AX10">
      <f>SUM(AS10:AW10)</f>
    </oc>
    <nc r="AX10">
      <f>SUM(AS10:AW10)</f>
    </nc>
  </rcc>
  <rcc rId="3553" sId="7">
    <oc r="BD10">
      <f>SUM(AY10:BC10)</f>
    </oc>
    <nc r="BD10">
      <f>SUM(AY10:BC10)</f>
    </nc>
  </rcc>
  <rfmt sheetId="7" sqref="BZ10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cc rId="3554" sId="7" odxf="1" dxf="1">
    <oc r="C11">
      <v>3</v>
    </oc>
    <nc r="C11"/>
    <odxf>
      <border outline="0">
        <left/>
      </border>
    </odxf>
    <ndxf>
      <border outline="0">
        <left style="thin">
          <color indexed="64"/>
        </left>
      </border>
    </ndxf>
  </rcc>
  <rcc rId="3555" sId="7">
    <oc r="D11">
      <v>3</v>
    </oc>
    <nc r="D11"/>
  </rcc>
  <rcc rId="3556" sId="7">
    <oc r="F11">
      <v>4</v>
    </oc>
    <nc r="F11"/>
  </rcc>
  <rcc rId="3557" sId="7">
    <oc r="G11">
      <v>3</v>
    </oc>
    <nc r="G11"/>
  </rcc>
  <rcc rId="3558" sId="7">
    <oc r="H11">
      <f>SUM(C11:G11)</f>
    </oc>
    <nc r="H11">
      <f>SUM(C11:G11)</f>
    </nc>
  </rcc>
  <rcc rId="3559" sId="7">
    <oc r="I11">
      <v>4</v>
    </oc>
    <nc r="I11"/>
  </rcc>
  <rcc rId="3560" sId="7">
    <oc r="J11">
      <v>4</v>
    </oc>
    <nc r="J11"/>
  </rcc>
  <rcc rId="3561" sId="7">
    <oc r="K11">
      <v>3</v>
    </oc>
    <nc r="K11"/>
  </rcc>
  <rcc rId="3562" sId="7">
    <oc r="M11">
      <v>4</v>
    </oc>
    <nc r="M11"/>
  </rcc>
  <rcc rId="3563" sId="7">
    <oc r="N11">
      <f>SUM(I11:M11)</f>
    </oc>
    <nc r="N11">
      <f>SUM(I11:M11)</f>
    </nc>
  </rcc>
  <rcc rId="3564" sId="7">
    <oc r="O11">
      <v>2</v>
    </oc>
    <nc r="O11"/>
  </rcc>
  <rcc rId="3565" sId="7">
    <oc r="P11">
      <v>3</v>
    </oc>
    <nc r="P11"/>
  </rcc>
  <rcc rId="3566" sId="7">
    <oc r="Q11">
      <v>2</v>
    </oc>
    <nc r="Q11"/>
  </rcc>
  <rcc rId="3567" sId="7">
    <oc r="T11">
      <f>SUM(O11:S11)</f>
    </oc>
    <nc r="T11">
      <f>SUM(O11:S11)</f>
    </nc>
  </rcc>
  <rcc rId="3568" sId="7">
    <oc r="U11">
      <v>2</v>
    </oc>
    <nc r="U11"/>
  </rcc>
  <rcc rId="3569" sId="7">
    <oc r="V11">
      <v>4</v>
    </oc>
    <nc r="V11"/>
  </rcc>
  <rcc rId="3570" sId="7">
    <oc r="W11">
      <v>3</v>
    </oc>
    <nc r="W11"/>
  </rcc>
  <rcc rId="3571" sId="7">
    <oc r="Y11">
      <v>4</v>
    </oc>
    <nc r="Y11"/>
  </rcc>
  <rcc rId="3572" sId="7">
    <oc r="Z11">
      <f>SUM(U11:Y11)</f>
    </oc>
    <nc r="Z11">
      <f>SUM(U11:Y11)</f>
    </nc>
  </rcc>
  <rcc rId="3573" sId="7">
    <oc r="AA11">
      <v>4</v>
    </oc>
    <nc r="AA11"/>
  </rcc>
  <rcc rId="3574" sId="7">
    <oc r="AB11">
      <v>3</v>
    </oc>
    <nc r="AB11"/>
  </rcc>
  <rcc rId="3575" sId="7">
    <oc r="AC11">
      <v>3</v>
    </oc>
    <nc r="AC11"/>
  </rcc>
  <rcc rId="3576" sId="7">
    <oc r="AE11">
      <v>2</v>
    </oc>
    <nc r="AE11"/>
  </rcc>
  <rcc rId="3577" sId="7">
    <oc r="AF11">
      <f>SUM(AA11:AE11)</f>
    </oc>
    <nc r="AF11">
      <f>SUM(AA11:AE11)</f>
    </nc>
  </rcc>
  <rcc rId="3578" sId="7">
    <oc r="AH11">
      <v>3</v>
    </oc>
    <nc r="AH11"/>
  </rcc>
  <rcc rId="3579" sId="7">
    <oc r="AL11">
      <f>SUM(AG11:AK11)</f>
    </oc>
    <nc r="AL11">
      <f>SUM(AG11:AK11)</f>
    </nc>
  </rcc>
  <rcc rId="3580" sId="7">
    <oc r="AR11">
      <f>SUM(AM11:AQ11)</f>
    </oc>
    <nc r="AR11">
      <f>SUM(AM11:AQ11)</f>
    </nc>
  </rcc>
  <rcc rId="3581" sId="7">
    <oc r="AX11">
      <f>SUM(AS11:AW11)</f>
    </oc>
    <nc r="AX11">
      <f>SUM(AS11:AW11)</f>
    </nc>
  </rcc>
  <rcc rId="3582" sId="7">
    <oc r="BD11">
      <f>SUM(AY11:BC11)</f>
    </oc>
    <nc r="BD11">
      <f>SUM(AY11:BC11)</f>
    </nc>
  </rcc>
  <rfmt sheetId="7" sqref="BZ11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cc rId="3583" sId="7" odxf="1" dxf="1">
    <oc r="C12">
      <v>51</v>
    </oc>
    <nc r="C12"/>
    <odxf>
      <border outline="0">
        <left/>
      </border>
    </odxf>
    <ndxf>
      <border outline="0">
        <left style="thin">
          <color indexed="64"/>
        </left>
      </border>
    </ndxf>
  </rcc>
  <rcc rId="3584" sId="7">
    <oc r="D12">
      <v>35</v>
    </oc>
    <nc r="D12"/>
  </rcc>
  <rcc rId="3585" sId="7">
    <oc r="F12">
      <v>100</v>
    </oc>
    <nc r="F12"/>
  </rcc>
  <rcc rId="3586" sId="7">
    <oc r="G12">
      <v>63</v>
    </oc>
    <nc r="G12"/>
  </rcc>
  <rcc rId="3587" sId="7">
    <oc r="H12">
      <f>SUM(C12:G12)</f>
    </oc>
    <nc r="H12">
      <f>SUM(C12:G12)</f>
    </nc>
  </rcc>
  <rcc rId="3588" sId="7">
    <oc r="I12">
      <v>100</v>
    </oc>
    <nc r="I12"/>
  </rcc>
  <rcc rId="3589" sId="7">
    <oc r="J12">
      <v>81</v>
    </oc>
    <nc r="J12"/>
  </rcc>
  <rcc rId="3590" sId="7">
    <oc r="K12">
      <v>71</v>
    </oc>
    <nc r="K12"/>
  </rcc>
  <rcc rId="3591" sId="7">
    <oc r="M12">
      <v>63</v>
    </oc>
    <nc r="M12"/>
  </rcc>
  <rcc rId="3592" sId="7">
    <oc r="N12">
      <f>SUM(I12:M12)</f>
    </oc>
    <nc r="N12">
      <f>SUM(I12:M12)</f>
    </nc>
  </rcc>
  <rcc rId="3593" sId="7">
    <oc r="O12">
      <v>78</v>
    </oc>
    <nc r="O12"/>
  </rcc>
  <rcc rId="3594" sId="7">
    <oc r="P12">
      <v>58</v>
    </oc>
    <nc r="P12"/>
  </rcc>
  <rcc rId="3595" sId="7">
    <oc r="Q12">
      <v>46</v>
    </oc>
    <nc r="Q12"/>
  </rcc>
  <rcc rId="3596" sId="7">
    <oc r="T12">
      <f>SUM(O12:S12)</f>
    </oc>
    <nc r="T12">
      <f>SUM(O12:S12)</f>
    </nc>
  </rcc>
  <rcc rId="3597" sId="7">
    <oc r="U12">
      <v>54</v>
    </oc>
    <nc r="U12"/>
  </rcc>
  <rcc rId="3598" sId="7">
    <oc r="V12">
      <v>39</v>
    </oc>
    <nc r="V12"/>
  </rcc>
  <rcc rId="3599" sId="7">
    <oc r="W12">
      <v>53</v>
    </oc>
    <nc r="W12"/>
  </rcc>
  <rcc rId="3600" sId="7">
    <oc r="Y12">
      <v>136</v>
    </oc>
    <nc r="Y12"/>
  </rcc>
  <rcc rId="3601" sId="7">
    <oc r="Z12">
      <f>SUM(U12:Y12)</f>
    </oc>
    <nc r="Z12">
      <f>SUM(U12:Y12)</f>
    </nc>
  </rcc>
  <rcc rId="3602" sId="7">
    <oc r="AA12">
      <v>136</v>
    </oc>
    <nc r="AA12"/>
  </rcc>
  <rcc rId="3603" sId="7">
    <oc r="AB12">
      <v>108</v>
    </oc>
    <nc r="AB12"/>
  </rcc>
  <rcc rId="3604" sId="7">
    <oc r="AC12">
      <v>108</v>
    </oc>
    <nc r="AC12"/>
  </rcc>
  <rcc rId="3605" sId="7">
    <oc r="AE12">
      <v>72</v>
    </oc>
    <nc r="AE12"/>
  </rcc>
  <rcc rId="3606" sId="7">
    <oc r="AF12">
      <f>SUM(AA12:AE12)</f>
    </oc>
    <nc r="AF12">
      <f>SUM(AA12:AE12)</f>
    </nc>
  </rcc>
  <rcc rId="3607" sId="7">
    <oc r="AH12">
      <v>108</v>
    </oc>
    <nc r="AH12"/>
  </rcc>
  <rcc rId="3608" sId="7">
    <oc r="AL12">
      <f>SUM(AG12:AK12)</f>
    </oc>
    <nc r="AL12">
      <f>SUM(AG12:AK12)</f>
    </nc>
  </rcc>
  <rcc rId="3609" sId="7">
    <oc r="AM12">
      <v>40</v>
    </oc>
    <nc r="AM12"/>
  </rcc>
  <rcc rId="3610" sId="7">
    <oc r="AN12">
      <v>60</v>
    </oc>
    <nc r="AN12"/>
  </rcc>
  <rcc rId="3611" sId="7">
    <oc r="AO12">
      <v>63</v>
    </oc>
    <nc r="AO12"/>
  </rcc>
  <rcc rId="3612" sId="7">
    <oc r="AP12">
      <v>54</v>
    </oc>
    <nc r="AP12"/>
  </rcc>
  <rcc rId="3613" sId="7">
    <oc r="AQ12">
      <v>63</v>
    </oc>
    <nc r="AQ12"/>
  </rcc>
  <rcc rId="3614" sId="7">
    <oc r="AR12">
      <f>SUM(AM12:AQ12)</f>
    </oc>
    <nc r="AR12">
      <f>SUM(AM12:AQ12)</f>
    </nc>
  </rcc>
  <rcc rId="3615" sId="7">
    <oc r="AS12">
      <v>65</v>
    </oc>
    <nc r="AS12"/>
  </rcc>
  <rcc rId="3616" sId="7">
    <oc r="AT12">
      <v>60</v>
    </oc>
    <nc r="AT12"/>
  </rcc>
  <rcc rId="3617" sId="7">
    <oc r="AU12">
      <v>50</v>
    </oc>
    <nc r="AU12"/>
  </rcc>
  <rcc rId="3618" sId="7">
    <oc r="AV12">
      <v>45</v>
    </oc>
    <nc r="AV12"/>
  </rcc>
  <rcc rId="3619" sId="7">
    <oc r="AW12">
      <v>40</v>
    </oc>
    <nc r="AW12"/>
  </rcc>
  <rcc rId="3620" sId="7">
    <oc r="AX12">
      <f>SUM(AS12:AW12)</f>
    </oc>
    <nc r="AX12">
      <f>SUM(AS12:AW12)</f>
    </nc>
  </rcc>
  <rcc rId="3621" sId="7">
    <oc r="AZ12">
      <v>21</v>
    </oc>
    <nc r="AZ12"/>
  </rcc>
  <rcc rId="3622" sId="7">
    <oc r="BD12">
      <f>SUM(AY12:BC12)</f>
    </oc>
    <nc r="BD12">
      <f>SUM(AY12:BC12)</f>
    </nc>
  </rcc>
  <rfmt sheetId="7" sqref="BZ12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C13" start="0" length="0">
    <dxf>
      <border outline="0">
        <left style="thin">
          <color indexed="64"/>
        </left>
      </border>
    </dxf>
  </rfmt>
  <rcc rId="3623" sId="7">
    <oc r="H13">
      <f>SUM(C13:G13)</f>
    </oc>
    <nc r="H13">
      <f>SUM(C13:G13)</f>
    </nc>
  </rcc>
  <rcc rId="3624" sId="7">
    <oc r="N13">
      <f>SUM(I13:M13)</f>
    </oc>
    <nc r="N13">
      <f>SUM(I13:M13)</f>
    </nc>
  </rcc>
  <rcc rId="3625" sId="7">
    <oc r="T13">
      <f>SUM(O13:S13)</f>
    </oc>
    <nc r="T13">
      <f>SUM(O13:S13)</f>
    </nc>
  </rcc>
  <rcc rId="3626" sId="7">
    <oc r="X13">
      <v>1</v>
    </oc>
    <nc r="X13"/>
  </rcc>
  <rcc rId="3627" sId="7">
    <oc r="Z13">
      <f>SUM(U13:Y13)</f>
    </oc>
    <nc r="Z13">
      <f>SUM(U13:Y13)</f>
    </nc>
  </rcc>
  <rcc rId="3628" sId="7">
    <oc r="AF13">
      <f>SUM(AA13:AE13)</f>
    </oc>
    <nc r="AF13">
      <f>SUM(AA13:AE13)</f>
    </nc>
  </rcc>
  <rcc rId="3629" sId="7">
    <oc r="AL13">
      <f>SUM(AG13:AK13)</f>
    </oc>
    <nc r="AL13">
      <f>SUM(AG13:AK13)</f>
    </nc>
  </rcc>
  <rcc rId="3630" sId="7">
    <oc r="AR13">
      <f>SUM(AM13:AQ13)</f>
    </oc>
    <nc r="AR13">
      <f>SUM(AM13:AQ13)</f>
    </nc>
  </rcc>
  <rcc rId="3631" sId="7">
    <oc r="AX13">
      <f>SUM(AS13:AW13)</f>
    </oc>
    <nc r="AX13">
      <f>SUM(AS13:AW13)</f>
    </nc>
  </rcc>
  <rcc rId="3632" sId="7">
    <oc r="BB13">
      <v>2</v>
    </oc>
    <nc r="BB13"/>
  </rcc>
  <rcc rId="3633" sId="7">
    <oc r="BD13">
      <f>SUM(AY13:BC13)</f>
    </oc>
    <nc r="BD13">
      <f>SUM(AY13:BC13)</f>
    </nc>
  </rcc>
  <rfmt sheetId="7" sqref="BZ13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C14" start="0" length="0">
    <dxf>
      <border outline="0">
        <left style="thin">
          <color indexed="64"/>
        </left>
      </border>
    </dxf>
  </rfmt>
  <rcc rId="3634" sId="7">
    <oc r="H14">
      <f>SUM(C14:G14)</f>
    </oc>
    <nc r="H14">
      <f>SUM(C14:G14)</f>
    </nc>
  </rcc>
  <rcc rId="3635" sId="7">
    <oc r="N14">
      <f>SUM(I14:M14)</f>
    </oc>
    <nc r="N14">
      <f>SUM(I14:M14)</f>
    </nc>
  </rcc>
  <rcc rId="3636" sId="7">
    <oc r="T14">
      <f>SUM(O14:S14)</f>
    </oc>
    <nc r="T14">
      <f>SUM(O14:S14)</f>
    </nc>
  </rcc>
  <rcc rId="3637" sId="7">
    <oc r="Z14">
      <f>SUM(U14:Y14)</f>
    </oc>
    <nc r="Z14">
      <f>SUM(U14:Y14)</f>
    </nc>
  </rcc>
  <rcc rId="3638" sId="7">
    <oc r="AF14">
      <f>SUM(AA14:AE14)</f>
    </oc>
    <nc r="AF14">
      <f>SUM(AA14:AE14)</f>
    </nc>
  </rcc>
  <rcc rId="3639" sId="7">
    <oc r="AL14">
      <f>SUM(AG14:AK14)</f>
    </oc>
    <nc r="AL14">
      <f>SUM(AG14:AK14)</f>
    </nc>
  </rcc>
  <rcc rId="3640" sId="7">
    <oc r="AR14">
      <f>SUM(AM14:AQ14)</f>
    </oc>
    <nc r="AR14">
      <f>SUM(AM14:AQ14)</f>
    </nc>
  </rcc>
  <rcc rId="3641" sId="7">
    <oc r="AX14">
      <f>SUM(AS14:AW14)</f>
    </oc>
    <nc r="AX14">
      <f>SUM(AS14:AW14)</f>
    </nc>
  </rcc>
  <rcc rId="3642" sId="7">
    <oc r="BD14">
      <f>SUM(AY14:BC14)</f>
    </oc>
    <nc r="BD14">
      <f>SUM(AY14:BC14)</f>
    </nc>
  </rcc>
  <rfmt sheetId="7" sqref="BZ14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C15" start="0" length="0">
    <dxf>
      <border outline="0">
        <left style="thin">
          <color indexed="64"/>
        </left>
      </border>
    </dxf>
  </rfmt>
  <rcc rId="3643" sId="7">
    <oc r="H15">
      <f>SUM(C15:G15)</f>
    </oc>
    <nc r="H15">
      <f>SUM(C15:G15)</f>
    </nc>
  </rcc>
  <rcc rId="3644" sId="7">
    <oc r="N15">
      <f>SUM(I15:M15)</f>
    </oc>
    <nc r="N15">
      <f>SUM(I15:M15)</f>
    </nc>
  </rcc>
  <rcc rId="3645" sId="7">
    <oc r="T15">
      <f>SUM(O15:S15)</f>
    </oc>
    <nc r="T15">
      <f>SUM(O15:S15)</f>
    </nc>
  </rcc>
  <rcc rId="3646" sId="7">
    <oc r="Z15">
      <f>SUM(U15:Y15)</f>
    </oc>
    <nc r="Z15">
      <f>SUM(U15:Y15)</f>
    </nc>
  </rcc>
  <rcc rId="3647" sId="7">
    <oc r="AF15">
      <f>SUM(AA15:AE15)</f>
    </oc>
    <nc r="AF15">
      <f>SUM(AA15:AE15)</f>
    </nc>
  </rcc>
  <rcc rId="3648" sId="7">
    <oc r="AI15">
      <v>51</v>
    </oc>
    <nc r="AI15"/>
  </rcc>
  <rcc rId="3649" sId="7">
    <oc r="AL15">
      <f>SUM(AG15:AK15)</f>
    </oc>
    <nc r="AL15">
      <f>SUM(AG15:AK15)</f>
    </nc>
  </rcc>
  <rcc rId="3650" sId="7">
    <oc r="AM15">
      <v>40</v>
    </oc>
    <nc r="AM15"/>
  </rcc>
  <rcc rId="3651" sId="7">
    <oc r="AN15">
      <v>20</v>
    </oc>
    <nc r="AN15"/>
  </rcc>
  <rcc rId="3652" sId="7">
    <oc r="AP15">
      <v>11</v>
    </oc>
    <nc r="AP15"/>
  </rcc>
  <rcc rId="3653" sId="7">
    <oc r="AR15">
      <f>SUM(AM15:AQ15)</f>
    </oc>
    <nc r="AR15">
      <f>SUM(AM15:AQ15)</f>
    </nc>
  </rcc>
  <rcc rId="3654" sId="7">
    <oc r="AV15">
      <v>15</v>
    </oc>
    <nc r="AV15"/>
  </rcc>
  <rcc rId="3655" sId="7">
    <oc r="AX15">
      <f>SUM(AS15:AW15)</f>
    </oc>
    <nc r="AX15">
      <f>SUM(AS15:AW15)</f>
    </nc>
  </rcc>
  <rcc rId="3656" sId="7">
    <oc r="BC15">
      <v>14</v>
    </oc>
    <nc r="BC15"/>
  </rcc>
  <rcc rId="3657" sId="7">
    <oc r="BD15">
      <f>SUM(AY15:BC15)</f>
    </oc>
    <nc r="BD15">
      <f>SUM(AY15:BC15)</f>
    </nc>
  </rcc>
  <rfmt sheetId="7" sqref="BZ15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C16" start="0" length="0">
    <dxf>
      <border outline="0">
        <left style="thin">
          <color indexed="64"/>
        </left>
        <bottom style="thin">
          <color indexed="64"/>
        </bottom>
      </border>
    </dxf>
  </rfmt>
  <rfmt sheetId="7" sqref="D16" start="0" length="0">
    <dxf>
      <border outline="0">
        <bottom style="thin">
          <color indexed="64"/>
        </bottom>
      </border>
    </dxf>
  </rfmt>
  <rcc rId="3658" sId="7" odxf="1" dxf="1">
    <oc r="E16">
      <v>150</v>
    </oc>
    <nc r="E16"/>
    <odxf>
      <border outline="0">
        <bottom/>
      </border>
    </odxf>
    <ndxf>
      <border outline="0">
        <bottom style="thin">
          <color indexed="64"/>
        </bottom>
      </border>
    </ndxf>
  </rcc>
  <rfmt sheetId="7" sqref="F16" start="0" length="0">
    <dxf>
      <numFmt numFmtId="3" formatCode="#,##0"/>
      <border outline="0">
        <bottom style="thin">
          <color indexed="64"/>
        </bottom>
      </border>
    </dxf>
  </rfmt>
  <rfmt sheetId="7" sqref="G16" start="0" length="0">
    <dxf>
      <numFmt numFmtId="3" formatCode="#,##0"/>
      <border outline="0">
        <bottom style="thin">
          <color indexed="64"/>
        </bottom>
      </border>
    </dxf>
  </rfmt>
  <rcc rId="3659" sId="7">
    <oc r="H16">
      <f>SUM(C16:G16)</f>
    </oc>
    <nc r="H16">
      <f>SUM(C16:G16)</f>
    </nc>
  </rcc>
  <rfmt sheetId="7" sqref="I16" start="0" length="0">
    <dxf>
      <numFmt numFmtId="3" formatCode="#,##0"/>
    </dxf>
  </rfmt>
  <rcc rId="3660" sId="7">
    <oc r="L16">
      <v>170</v>
    </oc>
    <nc r="L16"/>
  </rcc>
  <rcc rId="3661" sId="7">
    <oc r="N16">
      <f>SUM(I16:M16)</f>
    </oc>
    <nc r="N16">
      <f>SUM(I16:M16)</f>
    </nc>
  </rcc>
  <rcc rId="3662" sId="7">
    <oc r="T16">
      <f>SUM(O16:S16)</f>
    </oc>
    <nc r="T16">
      <f>SUM(O16:S16)</f>
    </nc>
  </rcc>
  <rcc rId="3663" sId="7">
    <oc r="Z16">
      <f>SUM(U16:Y16)</f>
    </oc>
    <nc r="Z16">
      <f>SUM(U16:Y16)</f>
    </nc>
  </rcc>
  <rcc rId="3664" sId="7">
    <oc r="AF16">
      <f>SUM(AA16:AE16)</f>
    </oc>
    <nc r="AF16">
      <f>SUM(AA16:AE16)</f>
    </nc>
  </rcc>
  <rcc rId="3665" sId="7">
    <oc r="AL16">
      <f>SUM(AG16:AK16)</f>
    </oc>
    <nc r="AL16">
      <f>SUM(AG16:AK16)</f>
    </nc>
  </rcc>
  <rcc rId="3666" sId="7">
    <oc r="AR16">
      <f>SUM(AM16:AQ16)</f>
    </oc>
    <nc r="AR16">
      <f>SUM(AM16:AQ16)</f>
    </nc>
  </rcc>
  <rcc rId="3667" sId="7">
    <oc r="AX16">
      <f>SUM(AS16:AW16)</f>
    </oc>
    <nc r="AX16">
      <f>SUM(AS16:AW16)</f>
    </nc>
  </rcc>
  <rcc rId="3668" sId="7">
    <oc r="BD16">
      <f>SUM(AY16:BC16)</f>
    </oc>
    <nc r="BD16">
      <f>SUM(AY16:BC16)</f>
    </nc>
  </rcc>
  <rfmt sheetId="7" sqref="BZ16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C17" start="0" length="0">
    <dxf>
      <alignment wrapText="1"/>
    </dxf>
  </rfmt>
  <rfmt sheetId="7" sqref="D17" start="0" length="0">
    <dxf>
      <alignment wrapText="1"/>
    </dxf>
  </rfmt>
  <rfmt sheetId="7" sqref="E17" start="0" length="0">
    <dxf>
      <alignment wrapText="1"/>
    </dxf>
  </rfmt>
  <rfmt sheetId="7" sqref="F17" start="0" length="0">
    <dxf>
      <alignment wrapText="1"/>
    </dxf>
  </rfmt>
  <rfmt sheetId="7" sqref="G17" start="0" length="0">
    <dxf>
      <alignment wrapText="1"/>
    </dxf>
  </rfmt>
  <rfmt sheetId="7" sqref="J17" start="0" length="0">
    <dxf>
      <alignment wrapText="1"/>
    </dxf>
  </rfmt>
  <rcc rId="3669" sId="7" odxf="1" dxf="1">
    <oc r="L17" t="inlineStr">
      <is>
        <t>15 CAIXAS SEPARADAS LBA</t>
      </is>
    </oc>
    <nc r="L17"/>
    <odxf>
      <alignment wrapText="1"/>
    </odxf>
    <ndxf>
      <alignment wrapText="0"/>
    </ndxf>
  </rcc>
  <rfmt sheetId="7" sqref="O17" start="0" length="0">
    <dxf>
      <alignment wrapText="1"/>
    </dxf>
  </rfmt>
  <rfmt sheetId="7" sqref="Q17" start="0" length="0">
    <dxf>
      <alignment wrapText="1"/>
    </dxf>
  </rfmt>
  <rfmt sheetId="7" sqref="R17" start="0" length="0">
    <dxf>
      <alignment wrapText="1"/>
    </dxf>
  </rfmt>
  <rfmt sheetId="7" sqref="U17" start="0" length="0">
    <dxf>
      <alignment wrapText="1"/>
    </dxf>
  </rfmt>
  <rfmt sheetId="7" sqref="V17" start="0" length="0">
    <dxf>
      <alignment wrapText="1"/>
    </dxf>
  </rfmt>
  <rfmt sheetId="7" sqref="W17" start="0" length="0">
    <dxf>
      <alignment wrapText="1"/>
    </dxf>
  </rfmt>
  <rfmt sheetId="7" sqref="AA17" start="0" length="0">
    <dxf>
      <alignment wrapText="1"/>
    </dxf>
  </rfmt>
  <rcc rId="3670" sId="7">
    <oc r="AD17" t="inlineStr">
      <is>
        <t xml:space="preserve">PROCURANDO CAIXAS DA CGEOF/SESAN </t>
      </is>
    </oc>
    <nc r="AD17"/>
  </rcc>
  <rcc rId="3671" sId="7">
    <oc r="AG17" t="inlineStr">
      <is>
        <t>Envio de 70 caixas para DAP/CGPC. Recebimento de 70 caixas para DAP/CGPC</t>
      </is>
    </oc>
    <nc r="AG17"/>
  </rcc>
  <rcc rId="3672" sId="7" odxf="1" dxf="1">
    <oc r="AI17" t="inlineStr">
      <is>
        <t>passando a planilha escrita dos micros-filmes para planilha digital</t>
      </is>
    </oc>
    <nc r="AI17"/>
    <odxf>
      <alignment wrapText="1"/>
    </odxf>
    <ndxf>
      <alignment wrapText="0"/>
    </ndxf>
  </rcc>
  <rcc rId="3673" sId="7" odxf="1" dxf="1">
    <oc r="AJ17" t="inlineStr">
      <is>
        <t>passando a planilha escrita dos micros-filmes para planilha digital</t>
      </is>
    </oc>
    <nc r="AJ17"/>
    <odxf>
      <alignment wrapText="1"/>
    </odxf>
    <ndxf>
      <alignment wrapText="0"/>
    </ndxf>
  </rcc>
  <rcc rId="3674" sId="7">
    <oc r="AK17" t="inlineStr">
      <is>
        <t xml:space="preserve">confatrenização da festa junina </t>
      </is>
    </oc>
    <nc r="AK17"/>
  </rcc>
  <rcc rId="3675" sId="7">
    <oc r="AM17" t="inlineStr">
      <is>
        <t xml:space="preserve">Separando caixas para eliminação </t>
      </is>
    </oc>
    <nc r="AM17"/>
  </rcc>
  <rfmt sheetId="7" sqref="AS17" start="0" length="0">
    <dxf>
      <alignment wrapText="1"/>
    </dxf>
  </rfmt>
  <rcc rId="3676" sId="7">
    <oc r="AT17" t="inlineStr">
      <is>
        <t xml:space="preserve">Separando caixas para eliminação </t>
      </is>
    </oc>
    <nc r="AT17"/>
  </rcc>
  <rcc rId="3677" sId="7">
    <oc r="AV17" t="inlineStr">
      <is>
        <t xml:space="preserve">PROCURANDO CAIXAS PARA ELIMINAÇÃO </t>
      </is>
    </oc>
    <nc r="AV17"/>
  </rcc>
  <rcc rId="3678" sId="7">
    <oc r="AW17" t="inlineStr">
      <is>
        <t>PROCURANDO CAIXAS DE VHS</t>
      </is>
    </oc>
    <nc r="AW17"/>
  </rcc>
  <rcc rId="3679" sId="7" odxf="1" dxf="1">
    <oc r="AY17" t="inlineStr">
      <is>
        <t>PROCURANDO CAIXAS PARA ELIMINAÇÃO PARA SR. CARLOS</t>
      </is>
    </oc>
    <nc r="AY17"/>
    <odxf>
      <alignment wrapText="1"/>
    </odxf>
    <ndxf>
      <alignment wrapText="0"/>
    </ndxf>
  </rcc>
  <rfmt sheetId="7" sqref="AZ17" start="0" length="0">
    <dxf>
      <alignment wrapText="1"/>
    </dxf>
  </rfmt>
  <rcc rId="3680" sId="7" odxf="1" dxf="1">
    <oc r="BA17" t="inlineStr">
      <is>
        <t>Levantamento de espaços de caixa nos Arquivos - DNIT.</t>
      </is>
    </oc>
    <nc r="BA17"/>
    <o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alignment wrapText="0"/>
      <border outline="0">
        <left/>
        <right/>
        <top/>
        <bottom/>
      </border>
    </ndxf>
  </rcc>
  <rfmt sheetId="7" sqref="BZ17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C18" start="0" length="0">
    <dxf>
      <alignment wrapText="1"/>
    </dxf>
  </rfmt>
  <rcc rId="3681" sId="7" odxf="1" dxf="1">
    <oc r="D18" t="inlineStr">
      <is>
        <t xml:space="preserve">LANCHE DA TARDE NA DIPRO </t>
      </is>
    </oc>
    <nc r="D18"/>
    <odxf>
      <alignment wrapText="1"/>
    </odxf>
    <ndxf>
      <alignment wrapText="0"/>
    </ndxf>
  </rcc>
  <rfmt sheetId="7" sqref="J18" start="0" length="0">
    <dxf>
      <alignment wrapText="1"/>
    </dxf>
  </rfmt>
  <rcc rId="3682" sId="7" odxf="1" dxf="1">
    <oc r="K18" t="inlineStr">
      <is>
        <t>REUNIÃO NA SALA DA DIPRO DNIT</t>
      </is>
    </oc>
    <nc r="K18"/>
    <odxf>
      <alignment wrapText="1"/>
    </odxf>
    <ndxf>
      <alignment wrapText="0"/>
    </ndxf>
  </rcc>
  <rcc rId="3683" sId="7">
    <oc r="Q18" t="inlineStr">
      <is>
        <t>ALMOÇO COM A EQUIPE</t>
      </is>
    </oc>
    <nc r="Q18"/>
  </rcc>
  <rcc rId="3684" sId="7" odxf="1" dxf="1">
    <oc r="R18" t="inlineStr">
      <is>
        <t>FERIADO</t>
      </is>
    </oc>
    <nc r="R18"/>
    <odxf>
      <alignment wrapText="1"/>
    </odxf>
    <ndxf>
      <alignment wrapText="0"/>
    </ndxf>
  </rcc>
  <rcc rId="3685" sId="7" odxf="1" dxf="1">
    <oc r="S18" t="inlineStr">
      <is>
        <t>FERIADO</t>
      </is>
    </oc>
    <nc r="S18"/>
    <odxf>
      <alignment wrapText="1"/>
    </odxf>
    <ndxf>
      <alignment wrapText="0"/>
    </ndxf>
  </rcc>
  <rfmt sheetId="7" sqref="U18" start="0" length="0">
    <dxf>
      <alignment wrapText="1"/>
    </dxf>
  </rfmt>
  <rfmt sheetId="7" sqref="W18" start="0" length="0">
    <dxf>
      <alignment wrapText="1"/>
    </dxf>
  </rfmt>
  <rfmt sheetId="7" sqref="X18" start="0" length="0">
    <dxf>
      <alignment wrapText="1"/>
    </dxf>
  </rfmt>
  <rfmt sheetId="7" sqref="Y18" start="0" length="0">
    <dxf>
      <alignment wrapText="1"/>
    </dxf>
  </rfmt>
  <rfmt sheetId="7" sqref="Z18" start="0" length="0">
    <dxf>
      <alignment wrapText="1"/>
    </dxf>
  </rfmt>
  <rfmt sheetId="7" sqref="AA18" start="0" length="0">
    <dxf>
      <alignment wrapText="1"/>
    </dxf>
  </rfmt>
  <rfmt sheetId="7" sqref="AB18" start="0" length="0">
    <dxf>
      <alignment wrapText="1"/>
    </dxf>
  </rfmt>
  <rfmt sheetId="7" sqref="AC18" start="0" length="0">
    <dxf>
      <alignment wrapText="1"/>
    </dxf>
  </rfmt>
  <rcc rId="3686" sId="7">
    <oc r="AD18" t="inlineStr">
      <is>
        <t>2 PROCESSOS COM 34 VOLUMES</t>
      </is>
    </oc>
    <nc r="AD18"/>
  </rcc>
  <rfmt sheetId="7" sqref="AE18" start="0" length="0">
    <dxf>
      <alignment wrapText="1"/>
    </dxf>
  </rfmt>
  <rcc rId="3687" sId="7">
    <oc r="AG18" t="inlineStr">
      <is>
        <t xml:space="preserve">PROCURANDO CAIXAS PARA ELIMINAÇÃO PRA SEU CARLOS </t>
      </is>
    </oc>
    <nc r="AG18"/>
  </rcc>
  <rfmt sheetId="7" sqref="AH18" start="0" length="0">
    <dxf>
      <alignment wrapText="1"/>
    </dxf>
  </rfmt>
  <rfmt sheetId="7" sqref="AI18" start="0" length="0">
    <dxf>
      <alignment wrapText="0"/>
    </dxf>
  </rfmt>
  <rcc rId="3688" sId="7">
    <oc r="AJ18" t="inlineStr">
      <is>
        <t>CAFÉ DA MANHÃ CGLA</t>
      </is>
    </oc>
    <nc r="AJ18"/>
  </rcc>
  <rfmt sheetId="7" sqref="AK18" start="0" length="0">
    <dxf>
      <alignment wrapText="1"/>
    </dxf>
  </rfmt>
  <rcc rId="3689" sId="7" odxf="1" dxf="1">
    <oc r="AM18" t="inlineStr">
      <is>
        <t>passando a planilha escrita dos micros-filmes para planilha digital</t>
      </is>
    </oc>
    <nc r="AM18"/>
    <odxf>
      <alignment wrapText="1"/>
    </odxf>
    <ndxf>
      <alignment wrapText="0"/>
    </ndxf>
  </rcc>
  <rcc rId="3690" sId="7">
    <oc r="AN18" t="inlineStr">
      <is>
        <t>passando a planilha escrita dos micros-filmes para planilha digital</t>
      </is>
    </oc>
    <nc r="AN18"/>
  </rcc>
  <rcc rId="3691" sId="7">
    <oc r="AO18" t="inlineStr">
      <is>
        <t>passando a planilha escrita dos micros-filmes para planilha digital</t>
      </is>
    </oc>
    <nc r="AO18"/>
  </rcc>
  <rcc rId="3692" sId="7">
    <oc r="AP18" t="inlineStr">
      <is>
        <t>passando a planilha escrita dos micros-filmes para planilha digital</t>
      </is>
    </oc>
    <nc r="AP18"/>
  </rcc>
  <rcc rId="3693" sId="7">
    <oc r="AQ18" t="inlineStr">
      <is>
        <t>passando a planilha escrita dos micros-filmes para planilha digital</t>
      </is>
    </oc>
    <nc r="AQ18"/>
  </rcc>
  <rcc rId="3694" sId="7" odxf="1" dxf="1">
    <oc r="AS18" t="inlineStr">
      <is>
        <t>passando a planilha escrita dos micros-filmes para planilha digital</t>
      </is>
    </oc>
    <nc r="AS18"/>
    <odxf>
      <alignment wrapText="1"/>
    </odxf>
    <ndxf>
      <alignment wrapText="0"/>
    </ndxf>
  </rcc>
  <rcc rId="3695" sId="7">
    <oc r="AT18" t="inlineStr">
      <is>
        <t>passando a planilha escrita dos micros-filmes para planilha digital</t>
      </is>
    </oc>
    <nc r="AT18"/>
  </rcc>
  <rcc rId="3696" sId="7">
    <oc r="AU18" t="inlineStr">
      <is>
        <t>passando a planilha escrita dos micros-filmes para planilha digital</t>
      </is>
    </oc>
    <nc r="AU18"/>
  </rcc>
  <rcc rId="3697" sId="7" odxf="1" dxf="1">
    <oc r="AV18" t="inlineStr">
      <is>
        <t>passando a planilha escrita dos micros-filmes para planilha digital</t>
      </is>
    </oc>
    <nc r="AV18"/>
    <odxf>
      <alignment wrapText="1"/>
    </odxf>
    <ndxf>
      <alignment wrapText="0"/>
    </ndxf>
  </rcc>
  <rcc rId="3698" sId="7">
    <oc r="AW18" t="inlineStr">
      <is>
        <t>passando a planilha escrita dos micros-filmes para planilha digital</t>
      </is>
    </oc>
    <nc r="AW18"/>
  </rcc>
  <rfmt sheetId="7" sqref="AY18" start="0" length="0">
    <dxf>
      <alignment wrapText="1"/>
    </dxf>
  </rfmt>
  <rfmt sheetId="7" sqref="AZ18" start="0" length="0">
    <dxf>
      <alignment wrapText="1"/>
    </dxf>
  </rfmt>
  <rfmt sheetId="7" sqref="BA18" start="0" length="0">
    <dxf>
      <alignment wrapText="1"/>
    </dxf>
  </rfmt>
  <rfmt sheetId="7" sqref="BB18" start="0" length="0">
    <dxf>
      <alignment wrapText="1"/>
    </dxf>
  </rfmt>
  <rfmt sheetId="7" sqref="BV18" start="0" length="0">
    <dxf>
      <alignment wrapText="0"/>
    </dxf>
  </rfmt>
  <rfmt sheetId="7" sqref="BZ18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19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20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21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22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23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24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25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26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27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28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29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30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31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32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33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34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35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36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37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38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39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40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41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42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43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44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45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46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47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48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49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50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51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52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53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54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55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56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57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58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59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60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61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62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63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fmt sheetId="7" sqref="BZ1:BZ1048576" start="0" length="0">
    <dxf>
      <border outline="0">
        <left/>
        <right/>
        <top/>
        <bottom/>
      </border>
    </dxf>
  </rfmt>
  <rcc rId="3699" sId="8" numFmtId="21">
    <oc r="C1">
      <v>45810</v>
    </oc>
    <nc r="C1">
      <v>45873</v>
    </nc>
  </rcc>
  <rcc rId="3700" sId="8" odxf="1" dxf="1" numFmtId="21">
    <oc r="D1">
      <v>45811</v>
    </oc>
    <nc r="D1">
      <v>45874</v>
    </nc>
    <odxf>
      <border outline="0">
        <left/>
      </border>
    </odxf>
    <ndxf>
      <border outline="0">
        <left style="thin">
          <color indexed="64"/>
        </left>
      </border>
    </ndxf>
  </rcc>
  <rcc rId="3701" sId="8" odxf="1" dxf="1" numFmtId="21">
    <oc r="E1">
      <v>45812</v>
    </oc>
    <nc r="E1">
      <v>45875</v>
    </nc>
    <odxf>
      <border outline="0">
        <left/>
      </border>
    </odxf>
    <ndxf>
      <border outline="0">
        <left style="thin">
          <color indexed="64"/>
        </left>
      </border>
    </ndxf>
  </rcc>
  <rcc rId="3702" sId="8" odxf="1" dxf="1" numFmtId="21">
    <oc r="F1">
      <v>45813</v>
    </oc>
    <nc r="F1">
      <v>45876</v>
    </nc>
    <odxf>
      <border outline="0">
        <left/>
      </border>
    </odxf>
    <ndxf>
      <border outline="0">
        <left style="thin">
          <color indexed="64"/>
        </left>
      </border>
    </ndxf>
  </rcc>
  <rcc rId="3703" sId="8" odxf="1" dxf="1" numFmtId="21">
    <oc r="G1">
      <v>45814</v>
    </oc>
    <nc r="G1">
      <v>45877</v>
    </nc>
    <odxf>
      <border outline="0">
        <left/>
      </border>
    </odxf>
    <ndxf>
      <border outline="0">
        <left style="thin">
          <color indexed="64"/>
        </left>
      </border>
    </ndxf>
  </rcc>
  <rcc rId="3704" sId="8" numFmtId="21">
    <oc r="I1">
      <v>45817</v>
    </oc>
    <nc r="I1">
      <v>45880</v>
    </nc>
  </rcc>
  <rcc rId="3705" sId="8" numFmtId="21">
    <oc r="J1">
      <v>45818</v>
    </oc>
    <nc r="J1">
      <v>45881</v>
    </nc>
  </rcc>
  <rcc rId="3706" sId="8" numFmtId="21">
    <oc r="K1">
      <v>45819</v>
    </oc>
    <nc r="K1">
      <v>45882</v>
    </nc>
  </rcc>
  <rcc rId="3707" sId="8" numFmtId="21">
    <oc r="L1">
      <v>45820</v>
    </oc>
    <nc r="L1">
      <v>45883</v>
    </nc>
  </rcc>
  <rcc rId="3708" sId="8" numFmtId="21">
    <oc r="M1">
      <v>45821</v>
    </oc>
    <nc r="M1">
      <v>45884</v>
    </nc>
  </rcc>
  <rcc rId="3709" sId="8" numFmtId="21">
    <oc r="O1">
      <v>45824</v>
    </oc>
    <nc r="O1">
      <v>45887</v>
    </nc>
  </rcc>
  <rcc rId="3710" sId="8" numFmtId="21">
    <oc r="P1">
      <v>45825</v>
    </oc>
    <nc r="P1">
      <v>45888</v>
    </nc>
  </rcc>
  <rcc rId="3711" sId="8" numFmtId="21">
    <oc r="Q1">
      <v>45826</v>
    </oc>
    <nc r="Q1">
      <v>45889</v>
    </nc>
  </rcc>
  <rcc rId="3712" sId="8" numFmtId="21">
    <oc r="R1">
      <v>45827</v>
    </oc>
    <nc r="R1">
      <v>45890</v>
    </nc>
  </rcc>
  <rcc rId="3713" sId="8" numFmtId="21">
    <oc r="S1">
      <v>45828</v>
    </oc>
    <nc r="S1">
      <v>45891</v>
    </nc>
  </rcc>
  <rcc rId="3714" sId="8" numFmtId="21">
    <oc r="U1">
      <v>45831</v>
    </oc>
    <nc r="U1">
      <v>45894</v>
    </nc>
  </rcc>
  <rcc rId="3715" sId="8" numFmtId="21">
    <oc r="V1">
      <v>45832</v>
    </oc>
    <nc r="V1">
      <v>45895</v>
    </nc>
  </rcc>
  <rcc rId="3716" sId="8" numFmtId="21">
    <oc r="W1">
      <v>45833</v>
    </oc>
    <nc r="W1">
      <v>45896</v>
    </nc>
  </rcc>
  <rcc rId="3717" sId="8" numFmtId="21">
    <oc r="X1">
      <v>45834</v>
    </oc>
    <nc r="X1">
      <v>45897</v>
    </nc>
  </rcc>
  <rcc rId="3718" sId="8" numFmtId="21">
    <oc r="Y1">
      <v>45835</v>
    </oc>
    <nc r="Y1">
      <v>45898</v>
    </nc>
  </rcc>
  <rcc rId="3719" sId="8" numFmtId="21">
    <oc r="AA1">
      <v>45838</v>
    </oc>
    <nc r="AA1">
      <v>45901</v>
    </nc>
  </rcc>
  <rcc rId="3720" sId="8" numFmtId="21">
    <oc r="AB1">
      <v>45839</v>
    </oc>
    <nc r="AB1">
      <v>45902</v>
    </nc>
  </rcc>
  <rcc rId="3721" sId="8" numFmtId="21">
    <oc r="AC1">
      <v>45840</v>
    </oc>
    <nc r="AC1">
      <v>45903</v>
    </nc>
  </rcc>
  <rcc rId="3722" sId="8" numFmtId="21">
    <oc r="AD1">
      <v>45841</v>
    </oc>
    <nc r="AD1">
      <v>45904</v>
    </nc>
  </rcc>
  <rcc rId="3723" sId="8" numFmtId="21">
    <oc r="AE1">
      <v>45842</v>
    </oc>
    <nc r="AE1">
      <v>45905</v>
    </nc>
  </rcc>
  <rcc rId="3724" sId="8" numFmtId="21">
    <oc r="AG1">
      <v>45845</v>
    </oc>
    <nc r="AG1">
      <v>45908</v>
    </nc>
  </rcc>
  <rcc rId="3725" sId="8" numFmtId="21">
    <oc r="AH1">
      <v>45846</v>
    </oc>
    <nc r="AH1">
      <v>45909</v>
    </nc>
  </rcc>
  <rcc rId="3726" sId="8" numFmtId="21">
    <oc r="AI1">
      <v>45847</v>
    </oc>
    <nc r="AI1">
      <v>45910</v>
    </nc>
  </rcc>
  <rcc rId="3727" sId="8" numFmtId="21">
    <oc r="AJ1">
      <v>45848</v>
    </oc>
    <nc r="AJ1">
      <v>45911</v>
    </nc>
  </rcc>
  <rcc rId="3728" sId="8" numFmtId="21">
    <oc r="AK1">
      <v>45849</v>
    </oc>
    <nc r="AK1">
      <v>45912</v>
    </nc>
  </rcc>
  <rcc rId="3729" sId="8" numFmtId="21">
    <oc r="AM1">
      <v>45852</v>
    </oc>
    <nc r="AM1">
      <v>45915</v>
    </nc>
  </rcc>
  <rcc rId="3730" sId="8" numFmtId="21">
    <oc r="AN1">
      <v>45853</v>
    </oc>
    <nc r="AN1">
      <v>45916</v>
    </nc>
  </rcc>
  <rcc rId="3731" sId="8" numFmtId="21">
    <oc r="AO1">
      <v>45854</v>
    </oc>
    <nc r="AO1">
      <v>45917</v>
    </nc>
  </rcc>
  <rcc rId="3732" sId="8" numFmtId="21">
    <oc r="AP1">
      <v>45855</v>
    </oc>
    <nc r="AP1">
      <v>45918</v>
    </nc>
  </rcc>
  <rcc rId="3733" sId="8" numFmtId="21">
    <oc r="AQ1">
      <v>45856</v>
    </oc>
    <nc r="AQ1">
      <v>45919</v>
    </nc>
  </rcc>
  <rcc rId="3734" sId="8" numFmtId="21">
    <oc r="AS1">
      <v>45859</v>
    </oc>
    <nc r="AS1">
      <v>45922</v>
    </nc>
  </rcc>
  <rcc rId="3735" sId="8" numFmtId="21">
    <oc r="AT1">
      <v>45860</v>
    </oc>
    <nc r="AT1">
      <v>45923</v>
    </nc>
  </rcc>
  <rcc rId="3736" sId="8" numFmtId="21">
    <oc r="AU1">
      <v>45861</v>
    </oc>
    <nc r="AU1">
      <v>45924</v>
    </nc>
  </rcc>
  <rcc rId="3737" sId="8" numFmtId="21">
    <oc r="AV1">
      <v>45862</v>
    </oc>
    <nc r="AV1">
      <v>45925</v>
    </nc>
  </rcc>
  <rcc rId="3738" sId="8" numFmtId="21">
    <oc r="AW1">
      <v>45863</v>
    </oc>
    <nc r="AW1">
      <v>45926</v>
    </nc>
  </rcc>
  <rcc rId="3739" sId="8" numFmtId="21">
    <oc r="AY1">
      <v>45866</v>
    </oc>
    <nc r="AY1">
      <v>45929</v>
    </nc>
  </rcc>
  <rcc rId="3740" sId="8" numFmtId="21">
    <oc r="AZ1">
      <v>45867</v>
    </oc>
    <nc r="AZ1">
      <v>45930</v>
    </nc>
  </rcc>
  <rcc rId="3741" sId="8" numFmtId="21">
    <oc r="BA1">
      <v>45868</v>
    </oc>
    <nc r="BA1">
      <v>45931</v>
    </nc>
  </rcc>
  <rcc rId="3742" sId="8" numFmtId="21">
    <oc r="BB1">
      <v>45869</v>
    </oc>
    <nc r="BB1">
      <v>45932</v>
    </nc>
  </rcc>
  <rcc rId="3743" sId="8" numFmtId="21">
    <oc r="BC1">
      <v>45870</v>
    </oc>
    <nc r="BC1">
      <v>45933</v>
    </nc>
  </rcc>
  <rcc rId="3744" sId="8" odxf="1" dxf="1">
    <oc r="BE1">
      <v>45873</v>
    </oc>
    <nc r="BE1"/>
    <odxf>
      <numFmt numFmtId="21" formatCode="dd/mmm"/>
    </odxf>
    <ndxf>
      <numFmt numFmtId="0" formatCode="General"/>
    </ndxf>
  </rcc>
  <rcc rId="3745" sId="8" odxf="1" dxf="1">
    <oc r="BF1">
      <v>45874</v>
    </oc>
    <nc r="BF1"/>
    <odxf>
      <numFmt numFmtId="21" formatCode="dd/mmm"/>
    </odxf>
    <ndxf>
      <numFmt numFmtId="0" formatCode="General"/>
    </ndxf>
  </rcc>
  <rcc rId="3746" sId="8" odxf="1" dxf="1">
    <oc r="BG1">
      <v>45875</v>
    </oc>
    <nc r="BG1"/>
    <odxf>
      <numFmt numFmtId="21" formatCode="dd/mmm"/>
    </odxf>
    <ndxf>
      <numFmt numFmtId="0" formatCode="General"/>
    </ndxf>
  </rcc>
  <rcc rId="3747" sId="8" odxf="1" dxf="1">
    <oc r="BH1">
      <v>45876</v>
    </oc>
    <nc r="BH1"/>
    <odxf>
      <numFmt numFmtId="21" formatCode="dd/mmm"/>
    </odxf>
    <ndxf>
      <numFmt numFmtId="0" formatCode="General"/>
    </ndxf>
  </rcc>
  <rcc rId="3748" sId="8" odxf="1" dxf="1">
    <oc r="BI1">
      <v>45877</v>
    </oc>
    <nc r="BI1"/>
    <odxf>
      <numFmt numFmtId="21" formatCode="dd/mmm"/>
    </odxf>
    <ndxf>
      <numFmt numFmtId="0" formatCode="General"/>
    </ndxf>
  </rcc>
  <rcc rId="3749" sId="8" odxf="1" dxf="1">
    <oc r="BJ1" t="inlineStr">
      <is>
        <t>TOTAL SEMANA</t>
      </is>
    </oc>
    <nc r="BJ1"/>
    <odxf>
      <fill>
        <patternFill patternType="solid">
          <bgColor theme="0" tint="-0.249977111117893"/>
        </patternFill>
      </fill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ill>
        <patternFill patternType="none">
          <bgColor indexed="65"/>
        </patternFill>
      </fill>
      <border outline="0">
        <right/>
        <top/>
        <bottom/>
      </border>
    </ndxf>
  </rcc>
  <rcc rId="3750" sId="8" odxf="1" dxf="1">
    <oc r="BK1">
      <v>45880</v>
    </oc>
    <nc r="BK1"/>
    <odxf>
      <numFmt numFmtId="21" formatCode="dd/mmm"/>
    </odxf>
    <ndxf>
      <numFmt numFmtId="0" formatCode="General"/>
    </ndxf>
  </rcc>
  <rcc rId="3751" sId="8" odxf="1" dxf="1">
    <oc r="BL1">
      <v>45881</v>
    </oc>
    <nc r="BL1"/>
    <odxf>
      <numFmt numFmtId="21" formatCode="dd/mmm"/>
    </odxf>
    <ndxf>
      <numFmt numFmtId="0" formatCode="General"/>
    </ndxf>
  </rcc>
  <rcc rId="3752" sId="8" odxf="1" dxf="1">
    <oc r="BM1">
      <v>45882</v>
    </oc>
    <nc r="BM1"/>
    <odxf>
      <numFmt numFmtId="21" formatCode="dd/mmm"/>
    </odxf>
    <ndxf>
      <numFmt numFmtId="0" formatCode="General"/>
    </ndxf>
  </rcc>
  <rcc rId="3753" sId="8" odxf="1" dxf="1">
    <oc r="BR1">
      <v>45810</v>
    </oc>
    <nc r="BR1"/>
    <odxf>
      <numFmt numFmtId="21" formatCode="dd/mmm"/>
    </odxf>
    <ndxf>
      <numFmt numFmtId="0" formatCode="General"/>
    </ndxf>
  </rcc>
  <rcc rId="3754" sId="8" odxf="1" dxf="1">
    <oc r="BS1">
      <v>45811</v>
    </oc>
    <nc r="BS1"/>
    <odxf>
      <numFmt numFmtId="21" formatCode="dd/mmm"/>
    </odxf>
    <ndxf>
      <numFmt numFmtId="0" formatCode="General"/>
    </ndxf>
  </rcc>
  <rcc rId="3755" sId="8" odxf="1" dxf="1">
    <oc r="BT1">
      <v>45812</v>
    </oc>
    <nc r="BT1"/>
    <odxf>
      <numFmt numFmtId="21" formatCode="dd/mmm"/>
    </odxf>
    <ndxf>
      <numFmt numFmtId="0" formatCode="General"/>
    </ndxf>
  </rcc>
  <rcc rId="3756" sId="8" odxf="1" dxf="1">
    <oc r="BU1">
      <v>45813</v>
    </oc>
    <nc r="BU1"/>
    <odxf>
      <numFmt numFmtId="21" formatCode="dd/mmm"/>
    </odxf>
    <ndxf>
      <numFmt numFmtId="0" formatCode="General"/>
    </ndxf>
  </rcc>
  <rcc rId="3757" sId="8" odxf="1" dxf="1">
    <oc r="BV1">
      <v>45814</v>
    </oc>
    <nc r="BV1"/>
    <odxf>
      <numFmt numFmtId="21" formatCode="dd/mmm"/>
    </odxf>
    <ndxf>
      <numFmt numFmtId="0" formatCode="General"/>
    </ndxf>
  </rcc>
  <rcc rId="3758" sId="8">
    <oc r="H2">
      <f>SUM(C2:G2)</f>
    </oc>
    <nc r="H2">
      <f>SUM(C2:G2)</f>
    </nc>
  </rcc>
  <rcc rId="3759" sId="8">
    <oc r="N2">
      <f>SUM(I2:M2)</f>
    </oc>
    <nc r="N2">
      <f>SUM(I2:M2)</f>
    </nc>
  </rcc>
  <rcc rId="3760" sId="8">
    <oc r="T2">
      <f>SUM(O2:S2)</f>
    </oc>
    <nc r="T2">
      <f>SUM(O2:S2)</f>
    </nc>
  </rcc>
  <rcc rId="3761" sId="8">
    <oc r="Z2">
      <f>SUM(U2:Y2)</f>
    </oc>
    <nc r="Z2">
      <f>SUM(U2:Y2)</f>
    </nc>
  </rcc>
  <rcc rId="3762" sId="8">
    <oc r="AF2">
      <f>SUM(AA2:AE2)</f>
    </oc>
    <nc r="AF2">
      <f>SUM(AA2:AE2)</f>
    </nc>
  </rcc>
  <rcc rId="3763" sId="8">
    <oc r="AL2">
      <f>SUM(AG2:AK2)</f>
    </oc>
    <nc r="AL2">
      <f>SUM(AG2:AK2)</f>
    </nc>
  </rcc>
  <rcc rId="3764" sId="8">
    <oc r="AR2">
      <f>SUM(AM2:AQ2)</f>
    </oc>
    <nc r="AR2">
      <f>SUM(AM2:AQ2)</f>
    </nc>
  </rcc>
  <rcc rId="3765" sId="8">
    <oc r="AX2">
      <f>SUM(AS2:AW2)</f>
    </oc>
    <nc r="AX2">
      <f>SUM(AS2:AW2)</f>
    </nc>
  </rcc>
  <rcc rId="3766" sId="8">
    <oc r="BD2">
      <f>SUM(AY2:BC2)</f>
    </oc>
    <nc r="BD2">
      <f>SUM(AY2:BC2)</f>
    </nc>
  </rcc>
  <rcc rId="3767" sId="8">
    <oc r="H3">
      <f>SUM(C3:G3)</f>
    </oc>
    <nc r="H3">
      <f>SUM(C3:G3)</f>
    </nc>
  </rcc>
  <rcc rId="3768" sId="8">
    <oc r="N3">
      <f>SUM(I3:M3)</f>
    </oc>
    <nc r="N3">
      <f>SUM(I3:M3)</f>
    </nc>
  </rcc>
  <rcc rId="3769" sId="8">
    <oc r="T3">
      <f>SUM(O3:S3)</f>
    </oc>
    <nc r="T3">
      <f>SUM(O3:S3)</f>
    </nc>
  </rcc>
  <rcc rId="3770" sId="8">
    <oc r="Z3">
      <f>SUM(U3:Y3)</f>
    </oc>
    <nc r="Z3">
      <f>SUM(U3:Y3)</f>
    </nc>
  </rcc>
  <rcc rId="3771" sId="8">
    <oc r="AF3">
      <f>SUM(AA3:AE3)</f>
    </oc>
    <nc r="AF3">
      <f>SUM(AA3:AE3)</f>
    </nc>
  </rcc>
  <rcc rId="3772" sId="8">
    <oc r="AL3">
      <f>SUM(AG3:AK3)</f>
    </oc>
    <nc r="AL3">
      <f>SUM(AG3:AK3)</f>
    </nc>
  </rcc>
  <rcc rId="3773" sId="8">
    <oc r="AR3">
      <f>SUM(AM3:AQ3)</f>
    </oc>
    <nc r="AR3">
      <f>SUM(AM3:AQ3)</f>
    </nc>
  </rcc>
  <rcc rId="3774" sId="8">
    <oc r="AX3">
      <f>SUM(AS3:AW3)</f>
    </oc>
    <nc r="AX3">
      <f>SUM(AS3:AW3)</f>
    </nc>
  </rcc>
  <rcc rId="3775" sId="8">
    <oc r="BD3">
      <f>SUM(AY3:BC3)</f>
    </oc>
    <nc r="BD3">
      <f>SUM(AY3:BC3)</f>
    </nc>
  </rcc>
  <rcc rId="3776" sId="8">
    <oc r="H4">
      <f>SUM(C4:G4)</f>
    </oc>
    <nc r="H4">
      <f>SUM(C4:G4)</f>
    </nc>
  </rcc>
  <rcc rId="3777" sId="8">
    <oc r="N4">
      <f>SUM(I4:M4)</f>
    </oc>
    <nc r="N4">
      <f>SUM(I4:M4)</f>
    </nc>
  </rcc>
  <rcc rId="3778" sId="8">
    <oc r="T4">
      <f>SUM(O4:S4)</f>
    </oc>
    <nc r="T4">
      <f>SUM(O4:S4)</f>
    </nc>
  </rcc>
  <rcc rId="3779" sId="8">
    <oc r="Z4">
      <f>SUM(U4:Y4)</f>
    </oc>
    <nc r="Z4">
      <f>SUM(U4:Y4)</f>
    </nc>
  </rcc>
  <rcc rId="3780" sId="8">
    <oc r="AF4">
      <f>SUM(AA4:AE4)</f>
    </oc>
    <nc r="AF4">
      <f>SUM(AA4:AE4)</f>
    </nc>
  </rcc>
  <rcc rId="3781" sId="8">
    <oc r="AL4">
      <f>SUM(AG4:AK4)</f>
    </oc>
    <nc r="AL4">
      <f>SUM(AG4:AK4)</f>
    </nc>
  </rcc>
  <rcc rId="3782" sId="8">
    <oc r="AR4">
      <f>SUM(AM4:AQ4)</f>
    </oc>
    <nc r="AR4">
      <f>SUM(AM4:AQ4)</f>
    </nc>
  </rcc>
  <rcc rId="3783" sId="8">
    <oc r="AX4">
      <f>SUM(AS4:AW4)</f>
    </oc>
    <nc r="AX4">
      <f>SUM(AS4:AW4)</f>
    </nc>
  </rcc>
  <rcc rId="3784" sId="8">
    <oc r="BD4">
      <f>SUM(AY4:BC4)</f>
    </oc>
    <nc r="BD4">
      <f>SUM(AY4:BC4)</f>
    </nc>
  </rcc>
  <rcc rId="3785" sId="8">
    <oc r="H5">
      <f>SUM(C5:G5)</f>
    </oc>
    <nc r="H5">
      <f>SUM(C5:G5)</f>
    </nc>
  </rcc>
  <rcc rId="3786" sId="8">
    <oc r="N5">
      <f>SUM(I5:M5)</f>
    </oc>
    <nc r="N5">
      <f>SUM(I5:M5)</f>
    </nc>
  </rcc>
  <rcc rId="3787" sId="8">
    <oc r="T5">
      <f>SUM(O5:S5)</f>
    </oc>
    <nc r="T5">
      <f>SUM(O5:S5)</f>
    </nc>
  </rcc>
  <rcc rId="3788" sId="8">
    <oc r="Z5">
      <f>SUM(U5:Y5)</f>
    </oc>
    <nc r="Z5">
      <f>SUM(U5:Y5)</f>
    </nc>
  </rcc>
  <rcc rId="3789" sId="8">
    <oc r="AF5">
      <f>SUM(AA5:AE5)</f>
    </oc>
    <nc r="AF5">
      <f>SUM(AA5:AE5)</f>
    </nc>
  </rcc>
  <rcc rId="3790" sId="8">
    <oc r="AL5">
      <f>SUM(AG5:AK5)</f>
    </oc>
    <nc r="AL5">
      <f>SUM(AG5:AK5)</f>
    </nc>
  </rcc>
  <rcc rId="3791" sId="8">
    <oc r="AR5">
      <f>SUM(AM5:AQ5)</f>
    </oc>
    <nc r="AR5">
      <f>SUM(AM5:AQ5)</f>
    </nc>
  </rcc>
  <rcc rId="3792" sId="8">
    <oc r="AX5">
      <f>SUM(AS5:AW5)</f>
    </oc>
    <nc r="AX5">
      <f>SUM(AS5:AW5)</f>
    </nc>
  </rcc>
  <rcc rId="3793" sId="8">
    <oc r="BD5">
      <f>SUM(AY5:BC5)</f>
    </oc>
    <nc r="BD5">
      <f>SUM(AY5:BC5)</f>
    </nc>
  </rcc>
  <rcc rId="3794" sId="8">
    <oc r="H6">
      <f>SUM(C6:G6)</f>
    </oc>
    <nc r="H6">
      <f>SUM(C6:G6)</f>
    </nc>
  </rcc>
  <rcc rId="3795" sId="8">
    <oc r="N6">
      <f>SUM(I6:M6)</f>
    </oc>
    <nc r="N6">
      <f>SUM(I6:M6)</f>
    </nc>
  </rcc>
  <rcc rId="3796" sId="8">
    <oc r="T6">
      <f>SUM(O6:S6)</f>
    </oc>
    <nc r="T6">
      <f>SUM(O6:S6)</f>
    </nc>
  </rcc>
  <rcc rId="3797" sId="8">
    <oc r="Z6">
      <f>SUM(U6:Y6)</f>
    </oc>
    <nc r="Z6">
      <f>SUM(U6:Y6)</f>
    </nc>
  </rcc>
  <rcc rId="3798" sId="8">
    <oc r="AF6">
      <f>SUM(AA6:AE6)</f>
    </oc>
    <nc r="AF6">
      <f>SUM(AA6:AE6)</f>
    </nc>
  </rcc>
  <rcc rId="3799" sId="8">
    <oc r="AL6">
      <f>SUM(AG6:AK6)</f>
    </oc>
    <nc r="AL6">
      <f>SUM(AG6:AK6)</f>
    </nc>
  </rcc>
  <rcc rId="3800" sId="8">
    <oc r="AR6">
      <f>SUM(AM6:AQ6)</f>
    </oc>
    <nc r="AR6">
      <f>SUM(AM6:AQ6)</f>
    </nc>
  </rcc>
  <rcc rId="3801" sId="8">
    <oc r="AX6">
      <f>SUM(AS6:AW6)</f>
    </oc>
    <nc r="AX6">
      <f>SUM(AS6:AW6)</f>
    </nc>
  </rcc>
  <rcc rId="3802" sId="8">
    <oc r="BD6">
      <f>SUM(AY6:BC6)</f>
    </oc>
    <nc r="BD6">
      <f>SUM(AY6:BC6)</f>
    </nc>
  </rcc>
  <rcc rId="3803" sId="8">
    <oc r="H7">
      <f>SUM(C7:G7)</f>
    </oc>
    <nc r="H7">
      <f>SUM(C7:G7)</f>
    </nc>
  </rcc>
  <rcc rId="3804" sId="8">
    <oc r="N7">
      <f>SUM(I7:M7)</f>
    </oc>
    <nc r="N7">
      <f>SUM(I7:M7)</f>
    </nc>
  </rcc>
  <rcc rId="3805" sId="8">
    <oc r="T7">
      <f>SUM(O7:S7)</f>
    </oc>
    <nc r="T7">
      <f>SUM(O7:S7)</f>
    </nc>
  </rcc>
  <rcc rId="3806" sId="8">
    <oc r="Z7">
      <f>SUM(U7:Y7)</f>
    </oc>
    <nc r="Z7">
      <f>SUM(U7:Y7)</f>
    </nc>
  </rcc>
  <rcc rId="3807" sId="8">
    <oc r="AF7">
      <f>SUM(AA7:AE7)</f>
    </oc>
    <nc r="AF7">
      <f>SUM(AA7:AE7)</f>
    </nc>
  </rcc>
  <rcc rId="3808" sId="8">
    <oc r="AL7">
      <f>SUM(AG7:AK7)</f>
    </oc>
    <nc r="AL7">
      <f>SUM(AG7:AK7)</f>
    </nc>
  </rcc>
  <rcc rId="3809" sId="8">
    <oc r="AR7">
      <f>SUM(AM7:AQ7)</f>
    </oc>
    <nc r="AR7">
      <f>SUM(AM7:AQ7)</f>
    </nc>
  </rcc>
  <rcc rId="3810" sId="8">
    <oc r="AX7">
      <f>SUM(AS7:AW7)</f>
    </oc>
    <nc r="AX7">
      <f>SUM(AS7:AW7)</f>
    </nc>
  </rcc>
  <rcc rId="3811" sId="8">
    <oc r="BD7">
      <f>SUM(AY7:BC7)</f>
    </oc>
    <nc r="BD7">
      <f>SUM(AY7:BC7)</f>
    </nc>
  </rcc>
  <rcc rId="3812" sId="8">
    <oc r="D8">
      <v>10</v>
    </oc>
    <nc r="D8"/>
  </rcc>
  <rcc rId="3813" sId="8">
    <oc r="E8">
      <v>23</v>
    </oc>
    <nc r="E8"/>
  </rcc>
  <rcc rId="3814" sId="8">
    <oc r="H8">
      <f>SUM(C8:G8)</f>
    </oc>
    <nc r="H8">
      <f>SUM(C8:G8)</f>
    </nc>
  </rcc>
  <rcc rId="3815" sId="8">
    <oc r="N8">
      <f>SUM(I8:M8)</f>
    </oc>
    <nc r="N8">
      <f>SUM(I8:M8)</f>
    </nc>
  </rcc>
  <rcc rId="3816" sId="8">
    <oc r="T8">
      <f>SUM(O8:S8)</f>
    </oc>
    <nc r="T8">
      <f>SUM(O8:S8)</f>
    </nc>
  </rcc>
  <rcc rId="3817" sId="8">
    <oc r="Z8">
      <f>SUM(U8:Y8)</f>
    </oc>
    <nc r="Z8">
      <f>SUM(U8:Y8)</f>
    </nc>
  </rcc>
  <rcc rId="3818" sId="8">
    <oc r="AF8">
      <f>SUM(AA8:AE8)</f>
    </oc>
    <nc r="AF8">
      <f>SUM(AA8:AE8)</f>
    </nc>
  </rcc>
  <rcc rId="3819" sId="8">
    <oc r="AL8">
      <f>SUM(AG8:AK8)</f>
    </oc>
    <nc r="AL8">
      <f>SUM(AG8:AK8)</f>
    </nc>
  </rcc>
  <rcc rId="3820" sId="8">
    <oc r="AR8">
      <f>SUM(AM8:AQ8)</f>
    </oc>
    <nc r="AR8">
      <f>SUM(AM8:AQ8)</f>
    </nc>
  </rcc>
  <rcc rId="3821" sId="8">
    <oc r="AX8">
      <f>SUM(AS8:AW8)</f>
    </oc>
    <nc r="AX8">
      <f>SUM(AS8:AW8)</f>
    </nc>
  </rcc>
  <rcc rId="3822" sId="8">
    <oc r="BD8">
      <f>SUM(AY8:BC8)</f>
    </oc>
    <nc r="BD8">
      <f>SUM(AY8:BC8)</f>
    </nc>
  </rcc>
  <rcc rId="3823" sId="8">
    <oc r="D9">
      <v>10</v>
    </oc>
    <nc r="D9"/>
  </rcc>
  <rcc rId="3824" sId="8">
    <oc r="E9">
      <v>23</v>
    </oc>
    <nc r="E9"/>
  </rcc>
  <rcc rId="3825" sId="8">
    <oc r="H9">
      <f>SUM(C9:G9)</f>
    </oc>
    <nc r="H9">
      <f>SUM(C9:G9)</f>
    </nc>
  </rcc>
  <rcc rId="3826" sId="8">
    <oc r="N9">
      <f>SUM(I9:M9)</f>
    </oc>
    <nc r="N9">
      <f>SUM(I9:M9)</f>
    </nc>
  </rcc>
  <rcc rId="3827" sId="8">
    <oc r="T9">
      <f>SUM(O9:S9)</f>
    </oc>
    <nc r="T9">
      <f>SUM(O9:S9)</f>
    </nc>
  </rcc>
  <rcc rId="3828" sId="8">
    <oc r="Z9">
      <f>SUM(U9:Y9)</f>
    </oc>
    <nc r="Z9">
      <f>SUM(U9:Y9)</f>
    </nc>
  </rcc>
  <rcc rId="3829" sId="8">
    <oc r="AB9">
      <v>12</v>
    </oc>
    <nc r="AB9"/>
  </rcc>
  <rcc rId="3830" sId="8">
    <oc r="AF9">
      <f>SUM(AA9:AE9)</f>
    </oc>
    <nc r="AF9">
      <f>SUM(AA9:AE9)</f>
    </nc>
  </rcc>
  <rcc rId="3831" sId="8">
    <oc r="AL9">
      <f>SUM(AG9:AK9)</f>
    </oc>
    <nc r="AL9">
      <f>SUM(AG9:AK9)</f>
    </nc>
  </rcc>
  <rcc rId="3832" sId="8">
    <oc r="AR9">
      <f>SUM(AM9:AQ9)</f>
    </oc>
    <nc r="AR9">
      <f>SUM(AM9:AQ9)</f>
    </nc>
  </rcc>
  <rcc rId="3833" sId="8">
    <oc r="AX9">
      <f>SUM(AS9:AW9)</f>
    </oc>
    <nc r="AX9">
      <f>SUM(AS9:AW9)</f>
    </nc>
  </rcc>
  <rcc rId="3834" sId="8">
    <oc r="BD9">
      <f>SUM(AY9:BC9)</f>
    </oc>
    <nc r="BD9">
      <f>SUM(AY9:BC9)</f>
    </nc>
  </rcc>
  <rcc rId="3835" sId="8">
    <oc r="H10">
      <f>SUM(C10:G10)</f>
    </oc>
    <nc r="H10">
      <f>SUM(C10:G10)</f>
    </nc>
  </rcc>
  <rcc rId="3836" sId="8">
    <oc r="K10">
      <v>19</v>
    </oc>
    <nc r="K10"/>
  </rcc>
  <rcc rId="3837" sId="8">
    <oc r="M10">
      <v>4</v>
    </oc>
    <nc r="M10"/>
  </rcc>
  <rcc rId="3838" sId="8">
    <oc r="N10">
      <f>SUM(I10:M10)</f>
    </oc>
    <nc r="N10">
      <f>SUM(I10:M10)</f>
    </nc>
  </rcc>
  <rcc rId="3839" sId="8">
    <oc r="T10">
      <f>SUM(O10:S10)</f>
    </oc>
    <nc r="T10">
      <f>SUM(O10:S10)</f>
    </nc>
  </rcc>
  <rcc rId="3840" sId="8">
    <oc r="Z10">
      <f>SUM(U10:Y10)</f>
    </oc>
    <nc r="Z10">
      <f>SUM(U10:Y10)</f>
    </nc>
  </rcc>
  <rcc rId="3841" sId="8">
    <oc r="AF10">
      <f>SUM(AA10:AE10)</f>
    </oc>
    <nc r="AF10">
      <f>SUM(AA10:AE10)</f>
    </nc>
  </rcc>
  <rcc rId="3842" sId="8">
    <oc r="AL10">
      <f>SUM(AG10:AK10)</f>
    </oc>
    <nc r="AL10">
      <f>SUM(AG10:AK10)</f>
    </nc>
  </rcc>
  <rcc rId="3843" sId="8">
    <oc r="AR10">
      <f>SUM(AM10:AQ10)</f>
    </oc>
    <nc r="AR10">
      <f>SUM(AM10:AQ10)</f>
    </nc>
  </rcc>
  <rcc rId="3844" sId="8">
    <oc r="AX10">
      <f>SUM(AS10:AW10)</f>
    </oc>
    <nc r="AX10">
      <f>SUM(AS10:AW10)</f>
    </nc>
  </rcc>
  <rcc rId="3845" sId="8">
    <oc r="BD10">
      <f>SUM(AY10:BC10)</f>
    </oc>
    <nc r="BD10">
      <f>SUM(AY10:BC10)</f>
    </nc>
  </rcc>
  <rcc rId="3846" sId="8">
    <oc r="H11">
      <f>SUM(C11:G11)</f>
    </oc>
    <nc r="H11">
      <f>SUM(C11:G11)</f>
    </nc>
  </rcc>
  <rcc rId="3847" sId="8">
    <oc r="K11">
      <v>19</v>
    </oc>
    <nc r="K11"/>
  </rcc>
  <rcc rId="3848" sId="8">
    <oc r="M11">
      <v>4</v>
    </oc>
    <nc r="M11"/>
  </rcc>
  <rcc rId="3849" sId="8">
    <oc r="N11">
      <f>SUM(I11:M11)</f>
    </oc>
    <nc r="N11">
      <f>SUM(I11:M11)</f>
    </nc>
  </rcc>
  <rcc rId="3850" sId="8">
    <oc r="T11">
      <f>SUM(O11:S11)</f>
    </oc>
    <nc r="T11">
      <f>SUM(O11:S11)</f>
    </nc>
  </rcc>
  <rcc rId="3851" sId="8">
    <oc r="W11">
      <v>70</v>
    </oc>
    <nc r="W11"/>
  </rcc>
  <rcc rId="3852" sId="8">
    <oc r="X11">
      <v>140</v>
    </oc>
    <nc r="X11"/>
  </rcc>
  <rcc rId="3853" sId="8">
    <oc r="Y11">
      <v>140</v>
    </oc>
    <nc r="Y11"/>
  </rcc>
  <rcc rId="3854" sId="8">
    <oc r="Z11">
      <f>SUM(U11:Y11)</f>
    </oc>
    <nc r="Z11">
      <f>SUM(U11:Y11)</f>
    </nc>
  </rcc>
  <rcc rId="3855" sId="8">
    <oc r="AA11">
      <v>139</v>
    </oc>
    <nc r="AA11"/>
  </rcc>
  <rcc rId="3856" sId="8">
    <oc r="AB11">
      <v>105</v>
    </oc>
    <nc r="AB11"/>
  </rcc>
  <rcc rId="3857" sId="8">
    <oc r="AC11">
      <v>137</v>
    </oc>
    <nc r="AC11"/>
  </rcc>
  <rcc rId="3858" sId="8">
    <oc r="AF11">
      <f>SUM(AA11:AE11)</f>
    </oc>
    <nc r="AF11">
      <f>SUM(AA11:AE11)</f>
    </nc>
  </rcc>
  <rcc rId="3859" sId="8">
    <oc r="AL11">
      <f>SUM(AG11:AK11)</f>
    </oc>
    <nc r="AL11">
      <f>SUM(AG11:AK11)</f>
    </nc>
  </rcc>
  <rcc rId="3860" sId="8">
    <oc r="AM11">
      <v>4</v>
    </oc>
    <nc r="AM11"/>
  </rcc>
  <rcc rId="3861" sId="8">
    <oc r="AN11">
      <v>4</v>
    </oc>
    <nc r="AN11"/>
  </rcc>
  <rcc rId="3862" sId="8">
    <oc r="AO11">
      <v>3</v>
    </oc>
    <nc r="AO11"/>
  </rcc>
  <rcc rId="3863" sId="8">
    <oc r="AP11">
      <v>3</v>
    </oc>
    <nc r="AP11"/>
  </rcc>
  <rcc rId="3864" sId="8">
    <oc r="AQ11">
      <v>3</v>
    </oc>
    <nc r="AQ11"/>
  </rcc>
  <rcc rId="3865" sId="8">
    <oc r="AR11">
      <f>SUM(AM11:AQ11)</f>
    </oc>
    <nc r="AR11">
      <f>SUM(AM11:AQ11)</f>
    </nc>
  </rcc>
  <rcc rId="3866" sId="8">
    <oc r="AS11">
      <v>2</v>
    </oc>
    <nc r="AS11"/>
  </rcc>
  <rcc rId="3867" sId="8">
    <oc r="AT11">
      <v>1</v>
    </oc>
    <nc r="AT11"/>
  </rcc>
  <rcc rId="3868" sId="8">
    <oc r="AW11">
      <v>1</v>
    </oc>
    <nc r="AW11"/>
  </rcc>
  <rcc rId="3869" sId="8">
    <oc r="AX11">
      <f>SUM(AS11:AW11)</f>
    </oc>
    <nc r="AX11">
      <f>SUM(AS11:AW11)</f>
    </nc>
  </rcc>
  <rcc rId="3870" sId="8">
    <oc r="BD11">
      <f>SUM(AY11:BC11)</f>
    </oc>
    <nc r="BD11">
      <f>SUM(AY11:BC11)</f>
    </nc>
  </rcc>
  <rcc rId="3871" sId="8">
    <oc r="H12">
      <f>SUM(C12:G12)</f>
    </oc>
    <nc r="H12">
      <f>SUM(C12:G12)</f>
    </nc>
  </rcc>
  <rcc rId="3872" sId="8">
    <oc r="N12">
      <f>SUM(I12:M12)</f>
    </oc>
    <nc r="N12">
      <f>SUM(I12:M12)</f>
    </nc>
  </rcc>
  <rcc rId="3873" sId="8">
    <oc r="T12">
      <f>SUM(O12:S12)</f>
    </oc>
    <nc r="T12">
      <f>SUM(O12:S12)</f>
    </nc>
  </rcc>
  <rcc rId="3874" sId="8">
    <oc r="Z12">
      <f>SUM(U12:Y12)</f>
    </oc>
    <nc r="Z12">
      <f>SUM(U12:Y12)</f>
    </nc>
  </rcc>
  <rcc rId="3875" sId="8">
    <oc r="AF12">
      <f>SUM(AA12:AE12)</f>
    </oc>
    <nc r="AF12">
      <f>SUM(AA12:AE12)</f>
    </nc>
  </rcc>
  <rcc rId="3876" sId="8">
    <oc r="AL12">
      <f>SUM(AG12:AK12)</f>
    </oc>
    <nc r="AL12">
      <f>SUM(AG12:AK12)</f>
    </nc>
  </rcc>
  <rcc rId="3877" sId="8">
    <oc r="AM12">
      <v>139</v>
    </oc>
    <nc r="AM12"/>
  </rcc>
  <rcc rId="3878" sId="8">
    <oc r="AN12">
      <v>137</v>
    </oc>
    <nc r="AN12"/>
  </rcc>
  <rcc rId="3879" sId="8">
    <oc r="AO12">
      <v>74</v>
    </oc>
    <nc r="AO12"/>
  </rcc>
  <rcc rId="3880" sId="8">
    <oc r="AP12">
      <v>81</v>
    </oc>
    <nc r="AP12"/>
  </rcc>
  <rcc rId="3881" sId="8">
    <oc r="AQ12">
      <v>68</v>
    </oc>
    <nc r="AQ12"/>
  </rcc>
  <rcc rId="3882" sId="8">
    <oc r="AR12">
      <f>SUM(AM12:AQ12)</f>
    </oc>
    <nc r="AR12">
      <f>SUM(AM12:AQ12)</f>
    </nc>
  </rcc>
  <rcc rId="3883" sId="8">
    <oc r="AS12">
      <v>66</v>
    </oc>
    <nc r="AS12"/>
  </rcc>
  <rcc rId="3884" sId="8">
    <oc r="AT12">
      <v>33</v>
    </oc>
    <nc r="AT12"/>
  </rcc>
  <rcc rId="3885" sId="8">
    <oc r="AW12">
      <v>11</v>
    </oc>
    <nc r="AW12"/>
  </rcc>
  <rcc rId="3886" sId="8">
    <oc r="AX12">
      <f>SUM(AS12:AW12)</f>
    </oc>
    <nc r="AX12">
      <f>SUM(AS12:AW12)</f>
    </nc>
  </rcc>
  <rcc rId="3887" sId="8">
    <oc r="AY12">
      <v>10</v>
    </oc>
    <nc r="AY12"/>
  </rcc>
  <rcc rId="3888" sId="8">
    <oc r="AZ12">
      <v>21</v>
    </oc>
    <nc r="AZ12"/>
  </rcc>
  <rcc rId="3889" sId="8">
    <oc r="BD12">
      <f>SUM(AY12:BC12)</f>
    </oc>
    <nc r="BD12">
      <f>SUM(AY12:BC12)</f>
    </nc>
  </rcc>
  <rcc rId="3890" sId="8">
    <oc r="H13">
      <f>SUM(C13:G13)</f>
    </oc>
    <nc r="H13">
      <f>SUM(C13:G13)</f>
    </nc>
  </rcc>
  <rcc rId="3891" sId="8">
    <oc r="N13">
      <f>SUM(I13:M13)</f>
    </oc>
    <nc r="N13">
      <f>SUM(I13:M13)</f>
    </nc>
  </rcc>
  <rcc rId="3892" sId="8">
    <oc r="T13">
      <f>SUM(O13:S13)</f>
    </oc>
    <nc r="T13">
      <f>SUM(O13:S13)</f>
    </nc>
  </rcc>
  <rcc rId="3893" sId="8">
    <oc r="Z13">
      <f>SUM(U13:Y13)</f>
    </oc>
    <nc r="Z13">
      <f>SUM(U13:Y13)</f>
    </nc>
  </rcc>
  <rcc rId="3894" sId="8">
    <oc r="AD13">
      <v>1</v>
    </oc>
    <nc r="AD13"/>
  </rcc>
  <rcc rId="3895" sId="8">
    <oc r="AF13">
      <f>SUM(AA13:AE13)</f>
    </oc>
    <nc r="AF13">
      <f>SUM(AA13:AE13)</f>
    </nc>
  </rcc>
  <rcc rId="3896" sId="8">
    <oc r="AL13">
      <f>SUM(AG13:AK13)</f>
    </oc>
    <nc r="AL13">
      <f>SUM(AG13:AK13)</f>
    </nc>
  </rcc>
  <rcc rId="3897" sId="8">
    <oc r="AO13">
      <v>1</v>
    </oc>
    <nc r="AO13"/>
  </rcc>
  <rcc rId="3898" sId="8">
    <oc r="AR13">
      <f>SUM(AM13:AQ13)</f>
    </oc>
    <nc r="AR13">
      <f>SUM(AM13:AQ13)</f>
    </nc>
  </rcc>
  <rcc rId="3899" sId="8">
    <oc r="AX13">
      <f>SUM(AS13:AW13)</f>
    </oc>
    <nc r="AX13">
      <f>SUM(AS13:AW13)</f>
    </nc>
  </rcc>
  <rcc rId="3900" sId="8">
    <oc r="BD13">
      <f>SUM(AY13:BC13)</f>
    </oc>
    <nc r="BD13">
      <f>SUM(AY13:BC13)</f>
    </nc>
  </rcc>
  <rcc rId="3901" sId="8">
    <oc r="H14">
      <f>SUM(C14:G14)</f>
    </oc>
    <nc r="H14">
      <f>SUM(C14:G14)</f>
    </nc>
  </rcc>
  <rcc rId="3902" sId="8">
    <oc r="N14">
      <f>SUM(I14:M14)</f>
    </oc>
    <nc r="N14">
      <f>SUM(I14:M14)</f>
    </nc>
  </rcc>
  <rcc rId="3903" sId="8">
    <oc r="T14">
      <f>SUM(O14:S14)</f>
    </oc>
    <nc r="T14">
      <f>SUM(O14:S14)</f>
    </nc>
  </rcc>
  <rcc rId="3904" sId="8">
    <oc r="Z14">
      <f>SUM(U14:Y14)</f>
    </oc>
    <nc r="Z14">
      <f>SUM(U14:Y14)</f>
    </nc>
  </rcc>
  <rcc rId="3905" sId="8">
    <oc r="AF14">
      <f>SUM(AA14:AE14)</f>
    </oc>
    <nc r="AF14">
      <f>SUM(AA14:AE14)</f>
    </nc>
  </rcc>
  <rcc rId="3906" sId="8">
    <oc r="AL14">
      <f>SUM(AG14:AK14)</f>
    </oc>
    <nc r="AL14">
      <f>SUM(AG14:AK14)</f>
    </nc>
  </rcc>
  <rcc rId="3907" sId="8">
    <oc r="AR14">
      <f>SUM(AM14:AQ14)</f>
    </oc>
    <nc r="AR14">
      <f>SUM(AM14:AQ14)</f>
    </nc>
  </rcc>
  <rcc rId="3908" sId="8">
    <oc r="AX14">
      <f>SUM(AS14:AW14)</f>
    </oc>
    <nc r="AX14">
      <f>SUM(AS14:AW14)</f>
    </nc>
  </rcc>
  <rcc rId="3909" sId="8">
    <oc r="BD14">
      <f>SUM(AY14:BC14)</f>
    </oc>
    <nc r="BD14">
      <f>SUM(AY14:BC14)</f>
    </nc>
  </rcc>
  <rcc rId="3910" sId="8">
    <oc r="C15">
      <v>10</v>
    </oc>
    <nc r="C15"/>
  </rcc>
  <rcc rId="3911" sId="8">
    <oc r="D15">
      <v>30</v>
    </oc>
    <nc r="D15"/>
  </rcc>
  <rcc rId="3912" sId="8">
    <oc r="F15">
      <v>55</v>
    </oc>
    <nc r="F15"/>
  </rcc>
  <rcc rId="3913" sId="8">
    <oc r="H15">
      <f>SUM(C15:G15)</f>
    </oc>
    <nc r="H15">
      <f>SUM(C15:G15)</f>
    </nc>
  </rcc>
  <rcc rId="3914" sId="8">
    <oc r="J15">
      <v>140</v>
    </oc>
    <nc r="J15"/>
  </rcc>
  <rcc rId="3915" sId="8">
    <oc r="L15">
      <v>30</v>
    </oc>
    <nc r="L15"/>
  </rcc>
  <rcc rId="3916" sId="8">
    <oc r="M15">
      <v>27</v>
    </oc>
    <nc r="M15"/>
  </rcc>
  <rcc rId="3917" sId="8">
    <oc r="N15">
      <f>SUM(I15:M15)</f>
    </oc>
    <nc r="N15">
      <f>SUM(I15:M15)</f>
    </nc>
  </rcc>
  <rcc rId="3918" sId="8">
    <oc r="T15">
      <f>SUM(O15:S15)</f>
    </oc>
    <nc r="T15">
      <f>SUM(O15:S15)</f>
    </nc>
  </rcc>
  <rcc rId="3919" sId="8">
    <oc r="Z15">
      <f>SUM(U15:Y15)</f>
    </oc>
    <nc r="Z15">
      <f>SUM(U15:Y15)</f>
    </nc>
  </rcc>
  <rcc rId="3920" sId="8">
    <oc r="AF15">
      <f>SUM(AA15:AE15)</f>
    </oc>
    <nc r="AF15">
      <f>SUM(AA15:AE15)</f>
    </nc>
  </rcc>
  <rcc rId="3921" sId="8">
    <oc r="AL15">
      <f>SUM(AG15:AK15)</f>
    </oc>
    <nc r="AL15">
      <f>SUM(AG15:AK15)</f>
    </nc>
  </rcc>
  <rcc rId="3922" sId="8">
    <oc r="AR15">
      <f>SUM(AM15:AQ15)</f>
    </oc>
    <nc r="AR15">
      <f>SUM(AM15:AQ15)</f>
    </nc>
  </rcc>
  <rcc rId="3923" sId="8">
    <oc r="AX15">
      <f>SUM(AS15:AW15)</f>
    </oc>
    <nc r="AX15">
      <f>SUM(AS15:AW15)</f>
    </nc>
  </rcc>
  <rcc rId="3924" sId="8">
    <oc r="BC15">
      <v>14</v>
    </oc>
    <nc r="BC15"/>
  </rcc>
  <rcc rId="3925" sId="8">
    <oc r="BD15">
      <f>SUM(AY15:BC15)</f>
    </oc>
    <nc r="BD15">
      <f>SUM(AY15:BC15)</f>
    </nc>
  </rcc>
  <rcc rId="3926" sId="8">
    <oc r="E16">
      <v>164</v>
    </oc>
    <nc r="E16"/>
  </rcc>
  <rcc rId="3927" sId="8" numFmtId="4">
    <oc r="F16">
      <v>2286</v>
    </oc>
    <nc r="F16"/>
  </rcc>
  <rfmt sheetId="8" sqref="G16" start="0" length="0">
    <dxf>
      <numFmt numFmtId="3" formatCode="#,##0"/>
    </dxf>
  </rfmt>
  <rcc rId="3928" sId="8">
    <oc r="H16">
      <f>SUM(C16:G16)</f>
    </oc>
    <nc r="H16">
      <f>SUM(C16:G16)</f>
    </nc>
  </rcc>
  <rcc rId="3929" sId="8" numFmtId="4">
    <oc r="I16">
      <v>3724</v>
    </oc>
    <nc r="I16"/>
  </rcc>
  <rcc rId="3930" sId="8">
    <oc r="N16">
      <f>SUM(I16:M16)</f>
    </oc>
    <nc r="N16">
      <f>SUM(I16:M16)</f>
    </nc>
  </rcc>
  <rcc rId="3931" sId="8">
    <oc r="T16">
      <f>SUM(O16:S16)</f>
    </oc>
    <nc r="T16">
      <f>SUM(O16:S16)</f>
    </nc>
  </rcc>
  <rcc rId="3932" sId="8">
    <oc r="Z16">
      <f>SUM(U16:Y16)</f>
    </oc>
    <nc r="Z16">
      <f>SUM(U16:Y16)</f>
    </nc>
  </rcc>
  <rcc rId="3933" sId="8">
    <oc r="AF16">
      <f>SUM(AA16:AE16)</f>
    </oc>
    <nc r="AF16">
      <f>SUM(AA16:AE16)</f>
    </nc>
  </rcc>
  <rcc rId="3934" sId="8">
    <oc r="AL16">
      <f>SUM(AG16:AK16)</f>
    </oc>
    <nc r="AL16">
      <f>SUM(AG16:AK16)</f>
    </nc>
  </rcc>
  <rcc rId="3935" sId="8">
    <oc r="AR16">
      <f>SUM(AM16:AQ16)</f>
    </oc>
    <nc r="AR16">
      <f>SUM(AM16:AQ16)</f>
    </nc>
  </rcc>
  <rcc rId="3936" sId="8">
    <oc r="AX16">
      <f>SUM(AS16:AW16)</f>
    </oc>
    <nc r="AX16">
      <f>SUM(AS16:AW16)</f>
    </nc>
  </rcc>
  <rcc rId="3937" sId="8">
    <oc r="BD16">
      <f>SUM(AY16:BC16)</f>
    </oc>
    <nc r="BD16">
      <f>SUM(AY16:BC16)</f>
    </nc>
  </rcc>
  <rcc rId="3938" sId="8">
    <oc r="C17" t="inlineStr">
      <is>
        <t xml:space="preserve">PROCURANDO CAIXAS PARA ELIMINAÇÃO </t>
      </is>
    </oc>
    <nc r="C17"/>
  </rcc>
  <rcc rId="3939" sId="8">
    <oc r="G17" t="inlineStr">
      <is>
        <t>Doação de sangue e acompanhado instalação de tomadas na sala 3.11 DNIT</t>
      </is>
    </oc>
    <nc r="G17"/>
  </rcc>
  <rcc rId="3940" sId="8">
    <oc r="I17" t="inlineStr">
      <is>
        <t xml:space="preserve">PROCURANDO CAIXAS PARA ELIMINAÇÃO </t>
      </is>
    </oc>
    <nc r="I17"/>
  </rcc>
  <rfmt sheetId="8" sqref="J17" start="0" length="0">
    <dxf>
      <alignment wrapText="1"/>
    </dxf>
  </rfmt>
  <rcc rId="3941" sId="8">
    <oc r="O17" t="inlineStr">
      <is>
        <t xml:space="preserve">FAZENDO PALETES 80 CAIXAS PRA CADA </t>
      </is>
    </oc>
    <nc r="O17"/>
  </rcc>
  <rcc rId="3942" sId="8">
    <oc r="Q17" t="inlineStr">
      <is>
        <t>DIGITALIZANDO LIVROS DA LBA</t>
      </is>
    </oc>
    <nc r="Q17"/>
  </rcc>
  <rcc rId="3943" sId="8" odxf="1" dxf="1">
    <oc r="R17" t="inlineStr">
      <is>
        <t>FERIADO</t>
      </is>
    </oc>
    <nc r="R17"/>
    <odxf>
      <alignment wrapText="0"/>
    </odxf>
    <ndxf>
      <alignment wrapText="1"/>
    </ndxf>
  </rcc>
  <rcc rId="3944" sId="8">
    <oc r="S17" t="inlineStr">
      <is>
        <t>PONTO FACULTATIVO</t>
      </is>
    </oc>
    <nc r="S17"/>
  </rcc>
  <rcc rId="3945" sId="8">
    <oc r="U17" t="inlineStr">
      <is>
        <t xml:space="preserve">1. Pela manhã - Nossa mudança do subsolo sala 1S 3.11 para o 2º andar sala 24.32.
2. Digitalização material da LBA, solicitado pela professora Gracyelle - Email de 12/02/2025. </t>
      </is>
    </oc>
    <nc r="U17"/>
  </rcc>
  <rcc rId="3946" sId="8" odxf="1" dxf="1">
    <oc r="V17" t="inlineStr">
      <is>
        <t xml:space="preserve">Digitalização material da LBA, solicitado pela professora Gracyelle - Email de 12/02/2025. </t>
      </is>
    </oc>
    <nc r="V17"/>
    <o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border outline="0">
        <left/>
        <right/>
        <top/>
        <bottom/>
      </border>
    </ndxf>
  </rcc>
  <rcc rId="3947" sId="8" odxf="1" dxf="1">
    <oc r="W17" t="inlineStr">
      <is>
        <t xml:space="preserve">Digitalização material da LBA, solicitado pela professora Gracyelle - Email de 12/02/2025. Inventário microfilmes:
2 Caixas 70 microfilmes. </t>
      </is>
    </oc>
    <nc r="W17"/>
    <o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border outline="0">
        <left/>
        <right/>
        <top/>
        <bottom/>
      </border>
    </ndxf>
  </rcc>
  <rcc rId="3948" sId="8" odxf="1" dxf="1">
    <oc r="X17" t="inlineStr">
      <is>
        <t xml:space="preserve"> Inventário microfilmes:
4 Caixas
140 microfilmes.</t>
      </is>
    </oc>
    <nc r="X17"/>
    <odxf>
      <alignment wrapText="1"/>
    </odxf>
    <ndxf>
      <alignment wrapText="0"/>
    </ndxf>
  </rcc>
  <rcc rId="3949" sId="8" odxf="1" dxf="1">
    <oc r="Y17" t="inlineStr">
      <is>
        <t xml:space="preserve"> Inventário microfilmes:
4 Caixas
140 microfilmes.</t>
      </is>
    </oc>
    <nc r="Y17"/>
    <odxf>
      <alignment wrapText="1"/>
    </odxf>
    <ndxf>
      <alignment wrapText="0"/>
    </ndxf>
  </rcc>
  <rcc rId="3950" sId="8">
    <oc r="AA17" t="inlineStr">
      <is>
        <t xml:space="preserve"> Inventário microfilmes:
4 Caixas
139 microfilmes.</t>
      </is>
    </oc>
    <nc r="AA17"/>
  </rcc>
  <rcc rId="3951" sId="8" odxf="1" dxf="1">
    <oc r="AB17" t="inlineStr">
      <is>
        <t xml:space="preserve"> Procurando caixas para eleiminação p/ Sr. Carlos 12 cxs. Inventário microfilmes:
3 Caixas
105 microfilmes.</t>
      </is>
    </oc>
    <nc r="AB17"/>
    <odxf>
      <alignment wrapText="1"/>
    </odxf>
    <ndxf>
      <alignment wrapText="0"/>
    </ndxf>
  </rcc>
  <rcc rId="3952" sId="8" odxf="1" dxf="1">
    <oc r="AC17" t="inlineStr">
      <is>
        <t xml:space="preserve"> Inventário microfilmes:
4 Caixas
137 microfilmes.</t>
      </is>
    </oc>
    <nc r="AC17"/>
    <odxf>
      <alignment wrapText="1"/>
    </odxf>
    <ndxf>
      <alignment wrapText="0"/>
    </ndxf>
  </rcc>
  <rcc rId="3953" sId="8">
    <oc r="AD17" t="inlineStr">
      <is>
        <t xml:space="preserve">PROCURANDO CAIXAS DA CGEOF/SESAN </t>
      </is>
    </oc>
    <nc r="AD17"/>
  </rcc>
  <rcc rId="3954" sId="8" odxf="1" dxf="1">
    <oc r="AE17" t="inlineStr">
      <is>
        <t xml:space="preserve">3 caixas digitalizadas da folhas para a planilha 103 filmes </t>
      </is>
    </oc>
    <nc r="AE17"/>
    <odxf>
      <alignment wrapText="1"/>
    </odxf>
    <ndxf>
      <alignment wrapText="0"/>
    </ndxf>
  </rcc>
  <rfmt sheetId="8" sqref="AF17" start="0" length="0">
    <dxf>
      <alignment wrapText="0"/>
    </dxf>
  </rfmt>
  <rfmt sheetId="8" sqref="AG17" start="0" length="0">
    <dxf>
      <alignment wrapText="1"/>
    </dxf>
  </rfmt>
  <rfmt sheetId="8" sqref="AK17" start="0" length="0">
    <dxf>
      <alignment wrapText="1"/>
    </dxf>
  </rfmt>
  <rcc rId="3955" sId="8">
    <oc r="AM17" t="inlineStr">
      <is>
        <t xml:space="preserve">4 caixas digitalizadas da folhas para a planilha 139 filmes </t>
      </is>
    </oc>
    <nc r="AM17"/>
  </rcc>
  <rcc rId="3956" sId="8" odxf="1" dxf="1">
    <oc r="AN17" t="inlineStr">
      <is>
        <t xml:space="preserve">4 caixas digitalizadas da folhas para a planilha 137 filmes </t>
      </is>
    </oc>
    <nc r="AN17"/>
    <odxf>
      <alignment wrapText="1"/>
    </odxf>
    <ndxf>
      <alignment wrapText="0"/>
    </ndxf>
  </rcc>
  <rcc rId="3957" sId="8" odxf="1" dxf="1">
    <oc r="AO17" t="inlineStr">
      <is>
        <t xml:space="preserve">3 caixas digitalizadas da folhas para a planilha 73 filmes </t>
      </is>
    </oc>
    <nc r="AO17"/>
    <odxf>
      <alignment wrapText="1"/>
    </odxf>
    <ndxf>
      <alignment wrapText="0"/>
    </ndxf>
  </rcc>
  <rcc rId="3958" sId="8" odxf="1" dxf="1">
    <oc r="AP17" t="inlineStr">
      <is>
        <t xml:space="preserve">3 caixas digitalizadas da folhas para a planilha 81 filmes </t>
      </is>
    </oc>
    <nc r="AP17"/>
    <odxf>
      <alignment wrapText="1"/>
    </odxf>
    <ndxf>
      <alignment wrapText="0"/>
    </ndxf>
  </rcc>
  <rcc rId="3959" sId="8" odxf="1" dxf="1">
    <oc r="AQ17" t="inlineStr">
      <is>
        <t xml:space="preserve">3 caixas digitalizadas da folhas para a planilha 68 filmes </t>
      </is>
    </oc>
    <nc r="AQ17"/>
    <odxf>
      <alignment wrapText="1"/>
    </odxf>
    <ndxf>
      <alignment wrapText="0"/>
    </ndxf>
  </rcc>
  <rcc rId="3960" sId="8">
    <oc r="AS17" t="inlineStr">
      <is>
        <t xml:space="preserve">PROCURANDO CAIXA PARA SEU CARLOS E 2 CAIXAS DIGITALIZADAS DA FOLHA PARA PLANILHA 66 FILMES    </t>
      </is>
    </oc>
    <nc r="AS17"/>
  </rcc>
  <rcc rId="3961" sId="8">
    <oc r="AT17" t="inlineStr">
      <is>
        <t xml:space="preserve">PROCURANDO CAIXA PARA SEU CARLOS E 1 CAIXAS DIGITALIZADAS DA FOLHA PARA PLANILHA 33 FILMES    </t>
      </is>
    </oc>
    <nc r="AT17"/>
  </rcc>
  <rcc rId="3962" sId="8" odxf="1" dxf="1">
    <oc r="AU17" t="inlineStr">
      <is>
        <t>REVISANDO PLANILHA DE MICRO FILMES LBA</t>
      </is>
    </oc>
    <nc r="AU17"/>
    <odxf>
      <alignment wrapText="1"/>
    </odxf>
    <ndxf>
      <alignment wrapText="0"/>
    </ndxf>
  </rcc>
  <rcc rId="3963" sId="8">
    <oc r="AV17" t="inlineStr">
      <is>
        <t>REVISANDO PLANILHA DE MICRO FILMES LBA</t>
      </is>
    </oc>
    <nc r="AV17"/>
  </rcc>
  <rcc rId="3964" sId="8">
    <oc r="AW17" t="inlineStr">
      <is>
        <t xml:space="preserve">Procurando caixas de fitas de VHS e 1 caixas digitalizadas da folhas para a planilha 11 fitas VHS,  </t>
      </is>
    </oc>
    <nc r="AW17"/>
  </rcc>
  <rcc rId="3965" sId="8" odxf="1" dxf="1">
    <oc r="AY17" t="inlineStr">
      <is>
        <t>PROCURANDO CAIXAS PARA ELIMINAÇÃO PARA SR. CARLOS</t>
      </is>
    </oc>
    <nc r="AY17"/>
    <odxf>
      <alignment wrapText="1"/>
    </odxf>
    <ndxf>
      <alignment wrapText="0"/>
    </ndxf>
  </rcc>
  <rcc rId="3966" sId="8">
    <oc r="AZ17" t="inlineStr">
      <is>
        <t>CONTAGEM DE ESPAÇO VAGOS NOS MODULOS E ESTANTES SALA 4.47</t>
      </is>
    </oc>
    <nc r="AZ17"/>
  </rcc>
  <rcc rId="3967" sId="8" odxf="1" dxf="1">
    <oc r="BA17" t="inlineStr">
      <is>
        <t>CONTAGEM DE ESPAÇO VAGOS NOS MODULOS E ESTANTES SALA 3.60</t>
      </is>
    </oc>
    <nc r="BA17"/>
    <odxf>
      <alignment wrapText="1"/>
    </odxf>
    <ndxf>
      <alignment wrapText="0"/>
    </ndxf>
  </rcc>
  <rcc rId="3968" sId="8" odxf="1" dxf="1">
    <oc r="BB17" t="inlineStr">
      <is>
        <t>CONTAGEM DE ESPAÇO VAGOS NOS MODULOS E ESTANTES SALA 3.35 e 3.61</t>
      </is>
    </oc>
    <nc r="BB17"/>
    <odxf>
      <alignment wrapText="1"/>
    </odxf>
    <ndxf>
      <alignment wrapText="0"/>
    </ndxf>
  </rcc>
  <rcc rId="3969" sId="8" odxf="1" dxf="1">
    <oc r="BC17" t="inlineStr">
      <is>
        <t>ALIMENTANDO A PLANILHA DE ESPAÇOS NOS ARQUIVO TOTAL DE 1.604 ESPAÇOS</t>
      </is>
    </oc>
    <nc r="BC17"/>
    <odxf>
      <alignment wrapText="1"/>
    </odxf>
    <ndxf>
      <alignment wrapText="0"/>
    </ndxf>
  </rcc>
  <rcc rId="3970" sId="8" odxf="1" dxf="1">
    <oc r="BE17" t="inlineStr">
      <is>
        <t xml:space="preserve"> Procura de caixas para 
eliminação.</t>
      </is>
    </oc>
    <nc r="BE17"/>
    <odxf>
      <alignment wrapText="1"/>
    </odxf>
    <ndxf>
      <alignment wrapText="0"/>
    </ndxf>
  </rcc>
  <rcc rId="3971" sId="8" odxf="1" dxf="1">
    <oc r="BF17" t="inlineStr">
      <is>
        <t xml:space="preserve"> Procura de caixas para 
eliminação.</t>
      </is>
    </oc>
    <nc r="BF17"/>
    <odxf>
      <alignment wrapText="1"/>
    </odxf>
    <ndxf>
      <alignment wrapText="0"/>
    </ndxf>
  </rcc>
  <rcc rId="3972" sId="8" odxf="1" dxf="1">
    <oc r="BG17" t="inlineStr">
      <is>
        <t xml:space="preserve"> Procura de caixas para 
eliminação.</t>
      </is>
    </oc>
    <nc r="BG17"/>
    <odxf>
      <alignment wrapText="1"/>
    </odxf>
    <ndxf>
      <alignment wrapText="0"/>
    </ndxf>
  </rcc>
  <rcc rId="3973" sId="8" odxf="1" dxf="1">
    <oc r="BH17" t="inlineStr">
      <is>
        <t>Palestra no Arquivo Nacional
Fomos liberados do Ponto Eletrônico.</t>
      </is>
    </oc>
    <nc r="BH17"/>
    <odxf>
      <fill>
        <patternFill patternType="solid">
          <bgColor theme="6" tint="0.79998168889431442"/>
        </patternFill>
      </fill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ill>
        <patternFill patternType="none">
          <bgColor indexed="65"/>
        </patternFill>
      </fill>
      <alignment wrapText="0"/>
      <border outline="0">
        <left/>
        <right/>
        <top/>
        <bottom/>
      </border>
    </ndxf>
  </rcc>
  <rcc rId="3974" sId="8" odxf="1" dxf="1">
    <oc r="BI17" t="inlineStr">
      <is>
        <t xml:space="preserve"> Procura de caixas para 
eliminação.</t>
      </is>
    </oc>
    <nc r="BI17"/>
    <odxf>
      <alignment wrapText="1"/>
    </odxf>
    <ndxf>
      <alignment wrapText="0"/>
    </ndxf>
  </rcc>
  <rcc rId="3975" sId="8" odxf="1" dxf="1">
    <oc r="BK17" t="inlineStr">
      <is>
        <t xml:space="preserve"> Procura de caixas para 
eliminação.</t>
      </is>
    </oc>
    <nc r="BK17"/>
    <odxf>
      <alignment wrapText="1"/>
    </odxf>
    <ndxf>
      <alignment wrapText="0"/>
    </ndxf>
  </rcc>
  <rcc rId="3976" sId="8" odxf="1" dxf="1">
    <oc r="BL17" t="inlineStr">
      <is>
        <t xml:space="preserve"> Procura de caixas para 
eliminação.</t>
      </is>
    </oc>
    <nc r="BL17"/>
    <odxf>
      <alignment wrapText="1"/>
    </odxf>
    <ndxf>
      <alignment wrapText="0"/>
    </ndxf>
  </rcc>
  <rcc rId="3977" sId="8" odxf="1" dxf="1">
    <oc r="BM17" t="inlineStr">
      <is>
        <t>Procurando processos no bloco A</t>
      </is>
    </oc>
    <nc r="BM17"/>
    <odxf>
      <alignment wrapText="1"/>
    </odxf>
    <ndxf>
      <alignment wrapText="0"/>
    </ndxf>
  </rcc>
  <rcc rId="3978" sId="8">
    <oc r="J18" t="inlineStr">
      <is>
        <t>FAZENDO PALETES</t>
      </is>
    </oc>
    <nc r="J18"/>
  </rcc>
  <rfmt sheetId="8" sqref="O18" start="0" length="0">
    <dxf>
      <alignment wrapText="0"/>
    </dxf>
  </rfmt>
  <rcc rId="3979" sId="8">
    <oc r="Q18" t="inlineStr">
      <is>
        <t xml:space="preserve">ALMOÇO PELA PARTE DA TARDE </t>
      </is>
    </oc>
    <nc r="Q18"/>
  </rcc>
  <rfmt sheetId="8" sqref="U18" start="0" length="0">
    <dxf>
      <alignment wrapText="1"/>
    </dxf>
  </rfmt>
  <rfmt sheetId="8" sqref="W18" start="0" length="0">
    <dxf>
      <alignment wrapText="1"/>
    </dxf>
  </rfmt>
  <rfmt sheetId="8" sqref="X18" start="0" length="0">
    <dxf>
      <alignment wrapText="1"/>
    </dxf>
  </rfmt>
  <rfmt sheetId="8" sqref="Y18" start="0" length="0">
    <dxf>
      <alignment wrapText="1"/>
    </dxf>
  </rfmt>
  <rfmt sheetId="8" sqref="Z18" start="0" length="0">
    <dxf>
      <alignment wrapText="1"/>
    </dxf>
  </rfmt>
  <rfmt sheetId="8" sqref="AA18" start="0" length="0">
    <dxf>
      <alignment wrapText="1"/>
    </dxf>
  </rfmt>
  <rfmt sheetId="8" sqref="AB18" start="0" length="0">
    <dxf>
      <alignment wrapText="1"/>
    </dxf>
  </rfmt>
  <rfmt sheetId="8" sqref="AC18" start="0" length="0">
    <dxf>
      <alignment wrapText="1"/>
    </dxf>
  </rfmt>
  <rcc rId="3980" sId="8">
    <oc r="AD18" t="inlineStr">
      <is>
        <t>2 PROCESSOS COM 34 VOLUMES</t>
      </is>
    </oc>
    <nc r="AD18"/>
  </rcc>
  <rfmt sheetId="8" sqref="AE18" start="0" length="0">
    <dxf>
      <alignment wrapText="1"/>
    </dxf>
  </rfmt>
  <rfmt sheetId="8" sqref="AF18" start="0" length="0">
    <dxf>
      <alignment textRotation="0"/>
    </dxf>
  </rfmt>
  <rcc rId="3981" sId="8">
    <oc r="AG18" t="inlineStr">
      <is>
        <t>ATESTADO MÉDICO</t>
      </is>
    </oc>
    <nc r="AG18"/>
  </rcc>
  <rcc rId="3982" sId="8">
    <oc r="AH18" t="inlineStr">
      <is>
        <t>ATESTADO MÉDICO</t>
      </is>
    </oc>
    <nc r="AH18"/>
  </rcc>
  <rcc rId="3983" sId="8" odxf="1" dxf="1">
    <oc r="AI18" t="inlineStr">
      <is>
        <t>ATESTADO MÉDICO</t>
      </is>
    </oc>
    <nc r="AI18"/>
    <odxf>
      <alignment wrapText="1"/>
    </odxf>
    <ndxf>
      <alignment wrapText="0"/>
    </ndxf>
  </rcc>
  <rcc rId="3984" sId="8">
    <oc r="AJ18" t="inlineStr">
      <is>
        <t>ATESTADO MÉDICO</t>
      </is>
    </oc>
    <nc r="AJ18"/>
  </rcc>
  <rcc rId="3985" sId="8">
    <oc r="AK18" t="inlineStr">
      <is>
        <t>ATESTADO MÉDICO</t>
      </is>
    </oc>
    <nc r="AK18"/>
  </rcc>
  <rcc rId="3986" sId="8" odxf="1" dxf="1">
    <oc r="AM18" t="inlineStr">
      <is>
        <t xml:space="preserve">4 caixas digitalizadas da folhas para a planilha 139 filmes </t>
      </is>
    </oc>
    <nc r="AM18"/>
    <odxf>
      <alignment wrapText="1"/>
    </odxf>
    <ndxf>
      <alignment wrapText="0"/>
    </ndxf>
  </rcc>
  <rfmt sheetId="8" sqref="AN18" start="0" length="0">
    <dxf>
      <alignment wrapText="1"/>
    </dxf>
  </rfmt>
  <rfmt sheetId="8" sqref="AO18" start="0" length="0">
    <dxf>
      <alignment wrapText="1"/>
    </dxf>
  </rfmt>
  <rfmt sheetId="8" sqref="AP18" start="0" length="0">
    <dxf>
      <alignment wrapText="1"/>
    </dxf>
  </rfmt>
  <rfmt sheetId="8" sqref="AQ18" start="0" length="0">
    <dxf>
      <alignment wrapText="1"/>
    </dxf>
  </rfmt>
  <rfmt sheetId="8" sqref="AT18" start="0" length="0">
    <dxf>
      <alignment wrapText="1"/>
    </dxf>
  </rfmt>
  <rfmt sheetId="8" sqref="AU18" start="0" length="0">
    <dxf>
      <alignment wrapText="1"/>
    </dxf>
  </rfmt>
  <rfmt sheetId="8" sqref="AW18" start="0" length="0">
    <dxf>
      <alignment wrapText="1"/>
    </dxf>
  </rfmt>
  <rfmt sheetId="8" sqref="AY18" start="0" length="0">
    <dxf>
      <alignment wrapText="1"/>
    </dxf>
  </rfmt>
  <rfmt sheetId="8" sqref="AZ18" start="0" length="0">
    <dxf>
      <alignment wrapText="1"/>
    </dxf>
  </rfmt>
  <rfmt sheetId="8" sqref="BA18" start="0" length="0">
    <dxf>
      <alignment wrapText="1"/>
    </dxf>
  </rfmt>
  <rfmt sheetId="8" sqref="BB18" start="0" length="0">
    <dxf>
      <alignment wrapText="1"/>
    </dxf>
  </rfmt>
  <rfmt sheetId="9" sqref="B1" start="0" length="0">
    <dxf>
      <border outline="0">
        <right/>
      </border>
    </dxf>
  </rfmt>
  <rcc rId="3987" sId="9" odxf="1" dxf="1" numFmtId="21">
    <oc r="C1">
      <v>45810</v>
    </oc>
    <nc r="C1">
      <v>45873</v>
    </nc>
    <odxf>
      <border outline="0">
        <right style="thin">
          <color auto="1"/>
        </right>
      </border>
    </odxf>
    <ndxf>
      <border outline="0">
        <right/>
      </border>
    </ndxf>
  </rcc>
  <rcc rId="3988" sId="9" odxf="1" dxf="1" numFmtId="21">
    <oc r="D1">
      <v>45811</v>
    </oc>
    <nc r="D1">
      <v>45874</v>
    </nc>
    <odxf>
      <border outline="0">
        <right style="thin">
          <color auto="1"/>
        </right>
      </border>
    </odxf>
    <ndxf>
      <border outline="0">
        <right/>
      </border>
    </ndxf>
  </rcc>
  <rcc rId="3989" sId="9" odxf="1" dxf="1" numFmtId="21">
    <oc r="E1">
      <v>45812</v>
    </oc>
    <nc r="E1">
      <v>45875</v>
    </nc>
    <odxf>
      <border outline="0">
        <right style="thin">
          <color auto="1"/>
        </right>
      </border>
    </odxf>
    <ndxf>
      <border outline="0">
        <right/>
      </border>
    </ndxf>
  </rcc>
  <rcc rId="3990" sId="9" odxf="1" dxf="1" numFmtId="21">
    <oc r="F1">
      <v>45813</v>
    </oc>
    <nc r="F1">
      <v>45876</v>
    </nc>
    <odxf>
      <border outline="0">
        <right style="thin">
          <color auto="1"/>
        </right>
      </border>
    </odxf>
    <ndxf>
      <border outline="0">
        <right/>
      </border>
    </ndxf>
  </rcc>
  <rcc rId="3991" sId="9" odxf="1" dxf="1" numFmtId="21">
    <oc r="G1">
      <v>45814</v>
    </oc>
    <nc r="G1">
      <v>45877</v>
    </nc>
    <odxf>
      <border outline="0">
        <right style="thin">
          <color auto="1"/>
        </right>
      </border>
    </odxf>
    <ndxf>
      <border outline="0">
        <right/>
      </border>
    </ndxf>
  </rcc>
  <rfmt sheetId="9" sqref="H1" start="0" length="0">
    <dxf>
      <border outline="0">
        <left/>
        <right/>
      </border>
    </dxf>
  </rfmt>
  <rcc rId="3992" sId="9" odxf="1" dxf="1" numFmtId="21">
    <oc r="I1">
      <v>45817</v>
    </oc>
    <nc r="I1">
      <v>45880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3993" sId="9" odxf="1" dxf="1" numFmtId="21">
    <oc r="J1">
      <v>45818</v>
    </oc>
    <nc r="J1">
      <v>45881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3994" sId="9" odxf="1" dxf="1" numFmtId="21">
    <oc r="K1">
      <v>45819</v>
    </oc>
    <nc r="K1">
      <v>45882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3995" sId="9" odxf="1" dxf="1" numFmtId="21">
    <oc r="L1">
      <v>45820</v>
    </oc>
    <nc r="L1">
      <v>45883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3996" sId="9" odxf="1" dxf="1" numFmtId="21">
    <oc r="M1">
      <v>45821</v>
    </oc>
    <nc r="M1">
      <v>45884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fmt sheetId="9" sqref="N1" start="0" length="0">
    <dxf>
      <border outline="0">
        <left/>
        <right/>
      </border>
    </dxf>
  </rfmt>
  <rcc rId="3997" sId="9" odxf="1" dxf="1" numFmtId="21">
    <oc r="O1">
      <v>45824</v>
    </oc>
    <nc r="O1">
      <v>45887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3998" sId="9" odxf="1" dxf="1" numFmtId="21">
    <oc r="P1">
      <v>45825</v>
    </oc>
    <nc r="P1">
      <v>45888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3999" sId="9" odxf="1" dxf="1" numFmtId="21">
    <oc r="Q1">
      <v>45826</v>
    </oc>
    <nc r="Q1">
      <v>45889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000" sId="9" odxf="1" dxf="1" numFmtId="21">
    <oc r="R1">
      <v>45827</v>
    </oc>
    <nc r="R1">
      <v>45890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001" sId="9" odxf="1" dxf="1" numFmtId="21">
    <oc r="S1">
      <v>45828</v>
    </oc>
    <nc r="S1">
      <v>45891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fmt sheetId="9" sqref="T1" start="0" length="0">
    <dxf>
      <border outline="0">
        <left/>
        <right/>
      </border>
    </dxf>
  </rfmt>
  <rcc rId="4002" sId="9" odxf="1" dxf="1" numFmtId="21">
    <oc r="U1">
      <v>45831</v>
    </oc>
    <nc r="U1">
      <v>45894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003" sId="9" odxf="1" dxf="1" numFmtId="21">
    <oc r="V1">
      <v>45832</v>
    </oc>
    <nc r="V1">
      <v>45895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004" sId="9" odxf="1" dxf="1" numFmtId="21">
    <oc r="W1">
      <v>45833</v>
    </oc>
    <nc r="W1">
      <v>45896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005" sId="9" odxf="1" dxf="1" numFmtId="21">
    <oc r="X1">
      <v>45834</v>
    </oc>
    <nc r="X1">
      <v>45897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006" sId="9" odxf="1" dxf="1" numFmtId="21">
    <oc r="Y1">
      <v>45835</v>
    </oc>
    <nc r="Y1">
      <v>45898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fmt sheetId="9" sqref="Z1" start="0" length="0">
    <dxf>
      <border outline="0">
        <left/>
        <right/>
      </border>
    </dxf>
  </rfmt>
  <rcc rId="4007" sId="9" odxf="1" dxf="1" numFmtId="21">
    <oc r="AA1">
      <v>45838</v>
    </oc>
    <nc r="AA1">
      <v>45901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008" sId="9" odxf="1" dxf="1" numFmtId="21">
    <oc r="AB1">
      <v>45839</v>
    </oc>
    <nc r="AB1">
      <v>45902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009" sId="9" odxf="1" dxf="1" numFmtId="21">
    <oc r="AC1">
      <v>45840</v>
    </oc>
    <nc r="AC1">
      <v>45903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010" sId="9" odxf="1" dxf="1" numFmtId="21">
    <oc r="AD1">
      <v>45841</v>
    </oc>
    <nc r="AD1">
      <v>45904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011" sId="9" odxf="1" dxf="1" numFmtId="21">
    <oc r="AE1">
      <v>45842</v>
    </oc>
    <nc r="AE1">
      <v>45905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fmt sheetId="9" sqref="AF1" start="0" length="0">
    <dxf>
      <border outline="0">
        <left/>
        <right/>
      </border>
    </dxf>
  </rfmt>
  <rcc rId="4012" sId="9" odxf="1" dxf="1" numFmtId="21">
    <oc r="AG1">
      <v>45845</v>
    </oc>
    <nc r="AG1">
      <v>45908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013" sId="9" odxf="1" dxf="1" numFmtId="21">
    <oc r="AH1">
      <v>45846</v>
    </oc>
    <nc r="AH1">
      <v>45909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014" sId="9" odxf="1" dxf="1" numFmtId="21">
    <oc r="AI1">
      <v>45847</v>
    </oc>
    <nc r="AI1">
      <v>45910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015" sId="9" odxf="1" dxf="1" numFmtId="21">
    <oc r="AJ1">
      <v>45848</v>
    </oc>
    <nc r="AJ1">
      <v>45911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016" sId="9" odxf="1" dxf="1" numFmtId="21">
    <oc r="AK1">
      <v>45849</v>
    </oc>
    <nc r="AK1">
      <v>45912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fmt sheetId="9" sqref="AL1" start="0" length="0">
    <dxf>
      <border outline="0">
        <left/>
        <right/>
      </border>
    </dxf>
  </rfmt>
  <rcc rId="4017" sId="9" odxf="1" dxf="1" numFmtId="21">
    <oc r="AM1">
      <v>45852</v>
    </oc>
    <nc r="AM1">
      <v>45915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018" sId="9" odxf="1" dxf="1" numFmtId="21">
    <oc r="AN1">
      <v>45853</v>
    </oc>
    <nc r="AN1">
      <v>45916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019" sId="9" odxf="1" dxf="1" numFmtId="21">
    <oc r="AO1">
      <v>45854</v>
    </oc>
    <nc r="AO1">
      <v>45917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020" sId="9" odxf="1" dxf="1" numFmtId="21">
    <oc r="AP1">
      <v>45855</v>
    </oc>
    <nc r="AP1">
      <v>45918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021" sId="9" odxf="1" dxf="1" numFmtId="21">
    <oc r="AQ1">
      <v>45856</v>
    </oc>
    <nc r="AQ1">
      <v>45919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fmt sheetId="9" sqref="AR1" start="0" length="0">
    <dxf>
      <border outline="0">
        <left/>
        <right/>
      </border>
    </dxf>
  </rfmt>
  <rcc rId="4022" sId="9" odxf="1" dxf="1" numFmtId="21">
    <oc r="AS1">
      <v>45859</v>
    </oc>
    <nc r="AS1">
      <v>45922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023" sId="9" odxf="1" dxf="1" numFmtId="21">
    <oc r="AT1">
      <v>45860</v>
    </oc>
    <nc r="AT1">
      <v>45923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024" sId="9" odxf="1" dxf="1" numFmtId="21">
    <oc r="AU1">
      <v>45861</v>
    </oc>
    <nc r="AU1">
      <v>45924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025" sId="9" odxf="1" dxf="1" numFmtId="21">
    <oc r="AV1">
      <v>45862</v>
    </oc>
    <nc r="AV1">
      <v>45925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026" sId="9" odxf="1" dxf="1" numFmtId="21">
    <oc r="AW1">
      <v>45863</v>
    </oc>
    <nc r="AW1">
      <v>45926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fmt sheetId="9" sqref="AX1" start="0" length="0">
    <dxf>
      <border outline="0">
        <left/>
        <right/>
      </border>
    </dxf>
  </rfmt>
  <rcc rId="4027" sId="9" odxf="1" dxf="1" numFmtId="21">
    <oc r="AY1">
      <v>45866</v>
    </oc>
    <nc r="AY1">
      <v>45929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028" sId="9" odxf="1" dxf="1" numFmtId="21">
    <oc r="AZ1">
      <v>45867</v>
    </oc>
    <nc r="AZ1">
      <v>45930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029" sId="9" odxf="1" dxf="1" numFmtId="21">
    <oc r="BA1">
      <v>45868</v>
    </oc>
    <nc r="BA1">
      <v>45931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030" sId="9" odxf="1" dxf="1" numFmtId="21">
    <oc r="BB1">
      <v>45869</v>
    </oc>
    <nc r="BB1">
      <v>45932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031" sId="9" odxf="1" dxf="1" numFmtId="21">
    <oc r="BC1">
      <v>45870</v>
    </oc>
    <nc r="BC1">
      <v>45933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fmt sheetId="9" sqref="BD1" start="0" length="0">
    <dxf>
      <border outline="0">
        <left/>
      </border>
    </dxf>
  </rfmt>
  <rcc rId="4032" sId="9">
    <oc r="H2">
      <f>SUM(C2:G2)</f>
    </oc>
    <nc r="H2">
      <f>SUM(C2:G2)</f>
    </nc>
  </rcc>
  <rcc rId="4033" sId="9">
    <oc r="N2">
      <f>SUM(I2:M2)</f>
    </oc>
    <nc r="N2">
      <f>SUM(I2:M2)</f>
    </nc>
  </rcc>
  <rcc rId="4034" sId="9">
    <oc r="T2">
      <f>SUM(O2:S2)</f>
    </oc>
    <nc r="T2">
      <f>SUM(O2:S2)</f>
    </nc>
  </rcc>
  <rcc rId="4035" sId="9">
    <oc r="Z2">
      <f>SUM(U2:Y2)</f>
    </oc>
    <nc r="Z2">
      <f>SUM(U2:Y2)</f>
    </nc>
  </rcc>
  <rcc rId="4036" sId="9" odxf="1" dxf="1">
    <oc r="AF2">
      <f>SUM(AA2:AE2)</f>
    </oc>
    <nc r="AF2">
      <f>SUM(AA2:AE2)</f>
    </nc>
    <odxf>
      <border outline="0">
        <right style="thin">
          <color indexed="64"/>
        </right>
      </border>
    </odxf>
    <ndxf>
      <border outline="0">
        <right/>
      </border>
    </ndxf>
  </rcc>
  <rcc rId="4037" sId="9">
    <oc r="AL2">
      <f>SUM(AG2:AK2)</f>
    </oc>
    <nc r="AL2">
      <f>SUM(AG2:AK2)</f>
    </nc>
  </rcc>
  <rcc rId="4038" sId="9">
    <oc r="AR2">
      <f>SUM(AM2:AQ2)</f>
    </oc>
    <nc r="AR2">
      <f>SUM(AM2:AQ2)</f>
    </nc>
  </rcc>
  <rcc rId="4039" sId="9">
    <oc r="AX2">
      <f>SUM(AS2:AW2)</f>
    </oc>
    <nc r="AX2">
      <f>SUM(AS2:AW2)</f>
    </nc>
  </rcc>
  <rcc rId="4040" sId="9">
    <oc r="BD2">
      <f>SUM(AY2:BC2)</f>
    </oc>
    <nc r="BD2">
      <f>SUM(AY2:BC2)</f>
    </nc>
  </rcc>
  <rcc rId="4041" sId="9">
    <oc r="H3">
      <f>SUM(C3:G3)</f>
    </oc>
    <nc r="H3">
      <f>SUM(C3:G3)</f>
    </nc>
  </rcc>
  <rcc rId="4042" sId="9">
    <oc r="N3">
      <f>SUM(I3:M3)</f>
    </oc>
    <nc r="N3">
      <f>SUM(I3:M3)</f>
    </nc>
  </rcc>
  <rcc rId="4043" sId="9">
    <oc r="T3">
      <f>SUM(O3:S3)</f>
    </oc>
    <nc r="T3">
      <f>SUM(O3:S3)</f>
    </nc>
  </rcc>
  <rcc rId="4044" sId="9">
    <oc r="Z3">
      <f>SUM(U3:Y3)</f>
    </oc>
    <nc r="Z3">
      <f>SUM(U3:Y3)</f>
    </nc>
  </rcc>
  <rcc rId="4045" sId="9" odxf="1" dxf="1">
    <oc r="AF3">
      <f>SUM(AA3:AE3)</f>
    </oc>
    <nc r="AF3">
      <f>SUM(AA3:AE3)</f>
    </nc>
    <odxf>
      <border outline="0">
        <right style="thin">
          <color indexed="64"/>
        </right>
      </border>
    </odxf>
    <ndxf>
      <border outline="0">
        <right/>
      </border>
    </ndxf>
  </rcc>
  <rcc rId="4046" sId="9">
    <oc r="AL3">
      <f>SUM(AG3:AK3)</f>
    </oc>
    <nc r="AL3">
      <f>SUM(AG3:AK3)</f>
    </nc>
  </rcc>
  <rcc rId="4047" sId="9">
    <oc r="AR3">
      <f>SUM(AM3:AQ3)</f>
    </oc>
    <nc r="AR3">
      <f>SUM(AM3:AQ3)</f>
    </nc>
  </rcc>
  <rcc rId="4048" sId="9">
    <oc r="AX3">
      <f>SUM(AS3:AW3)</f>
    </oc>
    <nc r="AX3">
      <f>SUM(AS3:AW3)</f>
    </nc>
  </rcc>
  <rcc rId="4049" sId="9">
    <oc r="BD3">
      <f>SUM(AY3:BC3)</f>
    </oc>
    <nc r="BD3">
      <f>SUM(AY3:BC3)</f>
    </nc>
  </rcc>
  <rcc rId="4050" sId="9">
    <oc r="H4">
      <f>SUM(C4:G4)</f>
    </oc>
    <nc r="H4">
      <f>SUM(C4:G4)</f>
    </nc>
  </rcc>
  <rcc rId="4051" sId="9">
    <oc r="N4">
      <f>SUM(I4:M4)</f>
    </oc>
    <nc r="N4">
      <f>SUM(I4:M4)</f>
    </nc>
  </rcc>
  <rcc rId="4052" sId="9">
    <oc r="T4">
      <f>SUM(O4:S4)</f>
    </oc>
    <nc r="T4">
      <f>SUM(O4:S4)</f>
    </nc>
  </rcc>
  <rcc rId="4053" sId="9">
    <oc r="Z4">
      <f>SUM(U4:Y4)</f>
    </oc>
    <nc r="Z4">
      <f>SUM(U4:Y4)</f>
    </nc>
  </rcc>
  <rcc rId="4054" sId="9" odxf="1" dxf="1">
    <oc r="AF4">
      <f>SUM(AA4:AE4)</f>
    </oc>
    <nc r="AF4">
      <f>SUM(AA4:AE4)</f>
    </nc>
    <odxf>
      <border outline="0">
        <right style="thin">
          <color indexed="64"/>
        </right>
      </border>
    </odxf>
    <ndxf>
      <border outline="0">
        <right/>
      </border>
    </ndxf>
  </rcc>
  <rcc rId="4055" sId="9">
    <oc r="AL4">
      <f>SUM(AG4:AK4)</f>
    </oc>
    <nc r="AL4">
      <f>SUM(AG4:AK4)</f>
    </nc>
  </rcc>
  <rcc rId="4056" sId="9">
    <oc r="AR4">
      <f>SUM(AM4:AQ4)</f>
    </oc>
    <nc r="AR4">
      <f>SUM(AM4:AQ4)</f>
    </nc>
  </rcc>
  <rcc rId="4057" sId="9">
    <oc r="AX4">
      <f>SUM(AS4:AW4)</f>
    </oc>
    <nc r="AX4">
      <f>SUM(AS4:AW4)</f>
    </nc>
  </rcc>
  <rcc rId="4058" sId="9">
    <oc r="BD4">
      <f>SUM(AY4:BC4)</f>
    </oc>
    <nc r="BD4">
      <f>SUM(AY4:BC4)</f>
    </nc>
  </rcc>
  <rcc rId="4059" sId="9">
    <oc r="H5">
      <f>SUM(C5:G5)</f>
    </oc>
    <nc r="H5">
      <f>SUM(C5:G5)</f>
    </nc>
  </rcc>
  <rcc rId="4060" sId="9">
    <oc r="N5">
      <f>SUM(I5:M5)</f>
    </oc>
    <nc r="N5">
      <f>SUM(I5:M5)</f>
    </nc>
  </rcc>
  <rcc rId="4061" sId="9">
    <oc r="T5">
      <f>SUM(O5:S5)</f>
    </oc>
    <nc r="T5">
      <f>SUM(O5:S5)</f>
    </nc>
  </rcc>
  <rcc rId="4062" sId="9">
    <oc r="Z5">
      <f>SUM(U5:Y5)</f>
    </oc>
    <nc r="Z5">
      <f>SUM(U5:Y5)</f>
    </nc>
  </rcc>
  <rcc rId="4063" sId="9" odxf="1" dxf="1">
    <oc r="AF5">
      <f>SUM(AA5:AE5)</f>
    </oc>
    <nc r="AF5">
      <f>SUM(AA5:AE5)</f>
    </nc>
    <odxf>
      <border outline="0">
        <right style="thin">
          <color indexed="64"/>
        </right>
      </border>
    </odxf>
    <ndxf>
      <border outline="0">
        <right/>
      </border>
    </ndxf>
  </rcc>
  <rcc rId="4064" sId="9">
    <oc r="AL5">
      <f>SUM(AG5:AK5)</f>
    </oc>
    <nc r="AL5">
      <f>SUM(AG5:AK5)</f>
    </nc>
  </rcc>
  <rcc rId="4065" sId="9">
    <oc r="AR5">
      <f>SUM(AM5:AQ5)</f>
    </oc>
    <nc r="AR5">
      <f>SUM(AM5:AQ5)</f>
    </nc>
  </rcc>
  <rcc rId="4066" sId="9">
    <oc r="AX5">
      <f>SUM(AS5:AW5)</f>
    </oc>
    <nc r="AX5">
      <f>SUM(AS5:AW5)</f>
    </nc>
  </rcc>
  <rcc rId="4067" sId="9">
    <oc r="BD5">
      <f>SUM(AY5:BC5)</f>
    </oc>
    <nc r="BD5">
      <f>SUM(AY5:BC5)</f>
    </nc>
  </rcc>
  <rcc rId="4068" sId="9">
    <oc r="H6">
      <f>SUM(C6:G6)</f>
    </oc>
    <nc r="H6">
      <f>SUM(C6:G6)</f>
    </nc>
  </rcc>
  <rcc rId="4069" sId="9">
    <oc r="N6">
      <f>SUM(I6:M6)</f>
    </oc>
    <nc r="N6">
      <f>SUM(I6:M6)</f>
    </nc>
  </rcc>
  <rcc rId="4070" sId="9">
    <oc r="T6">
      <f>SUM(O6:S6)</f>
    </oc>
    <nc r="T6">
      <f>SUM(O6:S6)</f>
    </nc>
  </rcc>
  <rcc rId="4071" sId="9">
    <oc r="Z6">
      <f>SUM(U6:Y6)</f>
    </oc>
    <nc r="Z6">
      <f>SUM(U6:Y6)</f>
    </nc>
  </rcc>
  <rcc rId="4072" sId="9" odxf="1" dxf="1">
    <oc r="AF6">
      <f>SUM(AA6:AE6)</f>
    </oc>
    <nc r="AF6">
      <f>SUM(AA6:AE6)</f>
    </nc>
    <odxf>
      <border outline="0">
        <right style="thin">
          <color indexed="64"/>
        </right>
      </border>
    </odxf>
    <ndxf>
      <border outline="0">
        <right/>
      </border>
    </ndxf>
  </rcc>
  <rcc rId="4073" sId="9">
    <oc r="AL6">
      <f>SUM(AG6:AK6)</f>
    </oc>
    <nc r="AL6">
      <f>SUM(AG6:AK6)</f>
    </nc>
  </rcc>
  <rcc rId="4074" sId="9">
    <oc r="AR6">
      <f>SUM(AM6:AQ6)</f>
    </oc>
    <nc r="AR6">
      <f>SUM(AM6:AQ6)</f>
    </nc>
  </rcc>
  <rcc rId="4075" sId="9">
    <oc r="AX6">
      <f>SUM(AS6:AW6)</f>
    </oc>
    <nc r="AX6">
      <f>SUM(AS6:AW6)</f>
    </nc>
  </rcc>
  <rcc rId="4076" sId="9">
    <oc r="BD6">
      <f>SUM(AY6:BC6)</f>
    </oc>
    <nc r="BD6">
      <f>SUM(AY6:BC6)</f>
    </nc>
  </rcc>
  <rcc rId="4077" sId="9">
    <oc r="H7">
      <f>SUM(C7:G7)</f>
    </oc>
    <nc r="H7">
      <f>SUM(C7:G7)</f>
    </nc>
  </rcc>
  <rcc rId="4078" sId="9">
    <oc r="N7">
      <f>SUM(I7:M7)</f>
    </oc>
    <nc r="N7">
      <f>SUM(I7:M7)</f>
    </nc>
  </rcc>
  <rcc rId="4079" sId="9">
    <oc r="T7">
      <f>SUM(O7:S7)</f>
    </oc>
    <nc r="T7">
      <f>SUM(O7:S7)</f>
    </nc>
  </rcc>
  <rcc rId="4080" sId="9">
    <oc r="Z7">
      <f>SUM(U7:Y7)</f>
    </oc>
    <nc r="Z7">
      <f>SUM(U7:Y7)</f>
    </nc>
  </rcc>
  <rcc rId="4081" sId="9" odxf="1" dxf="1">
    <oc r="AF7">
      <f>SUM(AA7:AE7)</f>
    </oc>
    <nc r="AF7">
      <f>SUM(AA7:AE7)</f>
    </nc>
    <odxf>
      <border outline="0">
        <right style="thin">
          <color indexed="64"/>
        </right>
      </border>
    </odxf>
    <ndxf>
      <border outline="0">
        <right/>
      </border>
    </ndxf>
  </rcc>
  <rcc rId="4082" sId="9">
    <oc r="AL7">
      <f>SUM(AG7:AK7)</f>
    </oc>
    <nc r="AL7">
      <f>SUM(AG7:AK7)</f>
    </nc>
  </rcc>
  <rcc rId="4083" sId="9">
    <oc r="AR7">
      <f>SUM(AM7:AQ7)</f>
    </oc>
    <nc r="AR7">
      <f>SUM(AM7:AQ7)</f>
    </nc>
  </rcc>
  <rcc rId="4084" sId="9">
    <oc r="AX7">
      <f>SUM(AS7:AW7)</f>
    </oc>
    <nc r="AX7">
      <f>SUM(AS7:AW7)</f>
    </nc>
  </rcc>
  <rcc rId="4085" sId="9">
    <oc r="BD7">
      <f>SUM(AY7:BC7)</f>
    </oc>
    <nc r="BD7">
      <f>SUM(AY7:BC7)</f>
    </nc>
  </rcc>
  <rcc rId="4086" sId="9">
    <oc r="H8">
      <f>SUM(C8:G8)</f>
    </oc>
    <nc r="H8">
      <f>SUM(C8:G8)</f>
    </nc>
  </rcc>
  <rcc rId="4087" sId="9">
    <oc r="N8">
      <f>SUM(I8:M8)</f>
    </oc>
    <nc r="N8">
      <f>SUM(I8:M8)</f>
    </nc>
  </rcc>
  <rcc rId="4088" sId="9">
    <oc r="T8">
      <f>SUM(O8:S8)</f>
    </oc>
    <nc r="T8">
      <f>SUM(O8:S8)</f>
    </nc>
  </rcc>
  <rcc rId="4089" sId="9">
    <oc r="Z8">
      <f>SUM(U8:Y8)</f>
    </oc>
    <nc r="Z8">
      <f>SUM(U8:Y8)</f>
    </nc>
  </rcc>
  <rcc rId="4090" sId="9" odxf="1" dxf="1">
    <oc r="AF8">
      <f>SUM(AA8:AE8)</f>
    </oc>
    <nc r="AF8">
      <f>SUM(AA8:AE8)</f>
    </nc>
    <odxf>
      <border outline="0">
        <right style="thin">
          <color indexed="64"/>
        </right>
      </border>
    </odxf>
    <ndxf>
      <border outline="0">
        <right/>
      </border>
    </ndxf>
  </rcc>
  <rcc rId="4091" sId="9">
    <oc r="AL8">
      <f>SUM(AG8:AK8)</f>
    </oc>
    <nc r="AL8">
      <f>SUM(AG8:AK8)</f>
    </nc>
  </rcc>
  <rcc rId="4092" sId="9">
    <oc r="AR8">
      <f>SUM(AM8:AQ8)</f>
    </oc>
    <nc r="AR8">
      <f>SUM(AM8:AQ8)</f>
    </nc>
  </rcc>
  <rcc rId="4093" sId="9">
    <oc r="AX8">
      <f>SUM(AS8:AW8)</f>
    </oc>
    <nc r="AX8">
      <f>SUM(AS8:AW8)</f>
    </nc>
  </rcc>
  <rcc rId="4094" sId="9">
    <oc r="BD8">
      <f>SUM(AY8:BC8)</f>
    </oc>
    <nc r="BD8">
      <f>SUM(AY8:BC8)</f>
    </nc>
  </rcc>
  <rcc rId="4095" sId="9">
    <oc r="H9">
      <f>SUM(C9:G9)</f>
    </oc>
    <nc r="H9">
      <f>SUM(C9:G9)</f>
    </nc>
  </rcc>
  <rcc rId="4096" sId="9">
    <oc r="K9">
      <v>11</v>
    </oc>
    <nc r="K9"/>
  </rcc>
  <rcc rId="4097" sId="9">
    <oc r="L9">
      <v>10</v>
    </oc>
    <nc r="L9"/>
  </rcc>
  <rcc rId="4098" sId="9">
    <oc r="N9">
      <f>SUM(I9:M9)</f>
    </oc>
    <nc r="N9">
      <f>SUM(I9:M9)</f>
    </nc>
  </rcc>
  <rcc rId="4099" sId="9">
    <oc r="T9">
      <f>SUM(O9:S9)</f>
    </oc>
    <nc r="T9">
      <f>SUM(O9:S9)</f>
    </nc>
  </rcc>
  <rcc rId="4100" sId="9">
    <oc r="W9">
      <v>4</v>
    </oc>
    <nc r="W9"/>
  </rcc>
  <rcc rId="4101" sId="9">
    <oc r="Z9">
      <f>SUM(U9:Y9)</f>
    </oc>
    <nc r="Z9">
      <f>SUM(U9:Y9)</f>
    </nc>
  </rcc>
  <rcc rId="4102" sId="9">
    <oc r="AB9">
      <v>12</v>
    </oc>
    <nc r="AB9"/>
  </rcc>
  <rcc rId="4103" sId="9" odxf="1" dxf="1">
    <oc r="AF9">
      <f>SUM(AA9:AE9)</f>
    </oc>
    <nc r="AF9">
      <f>SUM(AA9:AE9)</f>
    </nc>
    <odxf>
      <border outline="0">
        <right style="thin">
          <color indexed="64"/>
        </right>
      </border>
    </odxf>
    <ndxf>
      <border outline="0">
        <right/>
      </border>
    </ndxf>
  </rcc>
  <rcc rId="4104" sId="9">
    <oc r="AH9">
      <v>13</v>
    </oc>
    <nc r="AH9"/>
  </rcc>
  <rcc rId="4105" sId="9">
    <oc r="AL9">
      <f>SUM(AG9:AK9)</f>
    </oc>
    <nc r="AL9">
      <f>SUM(AG9:AK9)</f>
    </nc>
  </rcc>
  <rcc rId="4106" sId="9">
    <oc r="AN9">
      <v>13</v>
    </oc>
    <nc r="AN9"/>
  </rcc>
  <rcc rId="4107" sId="9">
    <oc r="AQ9">
      <v>9</v>
    </oc>
    <nc r="AQ9"/>
  </rcc>
  <rcc rId="4108" sId="9">
    <oc r="AR9">
      <f>SUM(AM9:AQ9)</f>
    </oc>
    <nc r="AR9">
      <f>SUM(AM9:AQ9)</f>
    </nc>
  </rcc>
  <rcc rId="4109" sId="9">
    <oc r="AT9">
      <v>5</v>
    </oc>
    <nc r="AT9"/>
  </rcc>
  <rcc rId="4110" sId="9">
    <oc r="AV9">
      <v>5</v>
    </oc>
    <nc r="AV9"/>
  </rcc>
  <rcc rId="4111" sId="9">
    <oc r="AW9">
      <v>5</v>
    </oc>
    <nc r="AW9"/>
  </rcc>
  <rcc rId="4112" sId="9">
    <oc r="AX9">
      <f>SUM(AS9:AW9)</f>
    </oc>
    <nc r="AX9">
      <f>SUM(AS9:AW9)</f>
    </nc>
  </rcc>
  <rcc rId="4113" sId="9">
    <oc r="BD9">
      <f>SUM(AY9:BC9)</f>
    </oc>
    <nc r="BD9">
      <f>SUM(AY9:BC9)</f>
    </nc>
  </rcc>
  <rcc rId="4114" sId="9">
    <oc r="H10">
      <f>SUM(C10:G10)</f>
    </oc>
    <nc r="H10">
      <f>SUM(C10:G10)</f>
    </nc>
  </rcc>
  <rcc rId="4115" sId="9">
    <oc r="N10">
      <f>SUM(I10:M10)</f>
    </oc>
    <nc r="N10">
      <f>SUM(I10:M10)</f>
    </nc>
  </rcc>
  <rcc rId="4116" sId="9">
    <oc r="T10">
      <f>SUM(O10:S10)</f>
    </oc>
    <nc r="T10">
      <f>SUM(O10:S10)</f>
    </nc>
  </rcc>
  <rcc rId="4117" sId="9">
    <oc r="W10">
      <v>6</v>
    </oc>
    <nc r="W10"/>
  </rcc>
  <rcc rId="4118" sId="9">
    <oc r="Z10">
      <f>SUM(U10:Y10)</f>
    </oc>
    <nc r="Z10">
      <f>SUM(U10:Y10)</f>
    </nc>
  </rcc>
  <rcc rId="4119" sId="9">
    <oc r="AB10">
      <v>12</v>
    </oc>
    <nc r="AB10"/>
  </rcc>
  <rcc rId="4120" sId="9" odxf="1" dxf="1">
    <oc r="AF10">
      <f>SUM(AA10:AE10)</f>
    </oc>
    <nc r="AF10">
      <f>SUM(AA10:AE10)</f>
    </nc>
    <odxf>
      <border outline="0">
        <right style="thin">
          <color indexed="64"/>
        </right>
      </border>
    </odxf>
    <ndxf>
      <border outline="0">
        <right/>
      </border>
    </ndxf>
  </rcc>
  <rcc rId="4121" sId="9">
    <oc r="AH10">
      <v>13</v>
    </oc>
    <nc r="AH10"/>
  </rcc>
  <rcc rId="4122" sId="9">
    <oc r="AL10">
      <f>SUM(AG10:AK10)</f>
    </oc>
    <nc r="AL10">
      <f>SUM(AG10:AK10)</f>
    </nc>
  </rcc>
  <rcc rId="4123" sId="9">
    <oc r="AN10">
      <v>13</v>
    </oc>
    <nc r="AN10"/>
  </rcc>
  <rcc rId="4124" sId="9">
    <oc r="AQ10">
      <v>9</v>
    </oc>
    <nc r="AQ10"/>
  </rcc>
  <rcc rId="4125" sId="9">
    <oc r="AR10">
      <f>SUM(AM10:AQ10)</f>
    </oc>
    <nc r="AR10">
      <f>SUM(AM10:AQ10)</f>
    </nc>
  </rcc>
  <rcc rId="4126" sId="9">
    <oc r="AT10">
      <v>5</v>
    </oc>
    <nc r="AT10"/>
  </rcc>
  <rcc rId="4127" sId="9">
    <oc r="AV10">
      <v>5</v>
    </oc>
    <nc r="AV10"/>
  </rcc>
  <rcc rId="4128" sId="9">
    <oc r="AW10">
      <v>5</v>
    </oc>
    <nc r="AW10"/>
  </rcc>
  <rcc rId="4129" sId="9">
    <oc r="AX10">
      <f>SUM(AS10:AW10)</f>
    </oc>
    <nc r="AX10">
      <f>SUM(AS10:AW10)</f>
    </nc>
  </rcc>
  <rcc rId="4130" sId="9">
    <oc r="BD10">
      <f>SUM(AY10:BC10)</f>
    </oc>
    <nc r="BD10">
      <f>SUM(AY10:BC10)</f>
    </nc>
  </rcc>
  <rcc rId="4131" sId="9">
    <oc r="H11">
      <f>SUM(C11:G11)</f>
    </oc>
    <nc r="H11">
      <f>SUM(C11:G11)</f>
    </nc>
  </rcc>
  <rcc rId="4132" sId="9">
    <oc r="N11">
      <f>SUM(I11:M11)</f>
    </oc>
    <nc r="N11">
      <f>SUM(I11:M11)</f>
    </nc>
  </rcc>
  <rcc rId="4133" sId="9">
    <oc r="T11">
      <f>SUM(O11:S11)</f>
    </oc>
    <nc r="T11">
      <f>SUM(O11:S11)</f>
    </nc>
  </rcc>
  <rcc rId="4134" sId="9">
    <oc r="Z11">
      <f>SUM(U11:Y11)</f>
    </oc>
    <nc r="Z11">
      <f>SUM(U11:Y11)</f>
    </nc>
  </rcc>
  <rcc rId="4135" sId="9" odxf="1" dxf="1">
    <oc r="AF11">
      <f>SUM(AA11:AE11)</f>
    </oc>
    <nc r="AF11">
      <f>SUM(AA11:AE11)</f>
    </nc>
    <odxf>
      <border outline="0">
        <right style="thin">
          <color indexed="64"/>
        </right>
      </border>
    </odxf>
    <ndxf>
      <border outline="0">
        <right/>
      </border>
    </ndxf>
  </rcc>
  <rcc rId="4136" sId="9">
    <oc r="AL11">
      <f>SUM(AG11:AK11)</f>
    </oc>
    <nc r="AL11">
      <f>SUM(AG11:AK11)</f>
    </nc>
  </rcc>
  <rcc rId="4137" sId="9">
    <oc r="AR11">
      <f>SUM(AM11:AQ11)</f>
    </oc>
    <nc r="AR11">
      <f>SUM(AM11:AQ11)</f>
    </nc>
  </rcc>
  <rcc rId="4138" sId="9">
    <oc r="AX11">
      <f>SUM(AS11:AW11)</f>
    </oc>
    <nc r="AX11">
      <f>SUM(AS11:AW11)</f>
    </nc>
  </rcc>
  <rcc rId="4139" sId="9">
    <oc r="BD11">
      <f>SUM(AY11:BC11)</f>
    </oc>
    <nc r="BD11">
      <f>SUM(AY11:BC11)</f>
    </nc>
  </rcc>
  <rcc rId="4140" sId="9">
    <oc r="H12">
      <f>SUM(C12:G12)</f>
    </oc>
    <nc r="H12">
      <f>SUM(C12:G12)</f>
    </nc>
  </rcc>
  <rcc rId="4141" sId="9">
    <oc r="N12">
      <f>SUM(I12:M12)</f>
    </oc>
    <nc r="N12">
      <f>SUM(I12:M12)</f>
    </nc>
  </rcc>
  <rcc rId="4142" sId="9">
    <oc r="T12">
      <f>SUM(O12:S12)</f>
    </oc>
    <nc r="T12">
      <f>SUM(O12:S12)</f>
    </nc>
  </rcc>
  <rcc rId="4143" sId="9">
    <oc r="Z12">
      <f>SUM(U12:Y12)</f>
    </oc>
    <nc r="Z12">
      <f>SUM(U12:Y12)</f>
    </nc>
  </rcc>
  <rcc rId="4144" sId="9" odxf="1" dxf="1">
    <oc r="AF12">
      <f>SUM(AA12:AE12)</f>
    </oc>
    <nc r="AF12">
      <f>SUM(AA12:AE12)</f>
    </nc>
    <odxf>
      <border outline="0">
        <right style="thin">
          <color indexed="64"/>
        </right>
      </border>
    </odxf>
    <ndxf>
      <border outline="0">
        <right/>
      </border>
    </ndxf>
  </rcc>
  <rcc rId="4145" sId="9">
    <oc r="AL12">
      <f>SUM(AG12:AK12)</f>
    </oc>
    <nc r="AL12">
      <f>SUM(AG12:AK12)</f>
    </nc>
  </rcc>
  <rcc rId="4146" sId="9">
    <oc r="AR12">
      <f>SUM(AM12:AQ12)</f>
    </oc>
    <nc r="AR12">
      <f>SUM(AM12:AQ12)</f>
    </nc>
  </rcc>
  <rcc rId="4147" sId="9">
    <oc r="AX12">
      <f>SUM(AS12:AW12)</f>
    </oc>
    <nc r="AX12">
      <f>SUM(AS12:AW12)</f>
    </nc>
  </rcc>
  <rcc rId="4148" sId="9">
    <oc r="BD12">
      <f>SUM(AY12:BC12)</f>
    </oc>
    <nc r="BD12">
      <f>SUM(AY12:BC12)</f>
    </nc>
  </rcc>
  <rcc rId="4149" sId="9">
    <oc r="H13">
      <f>SUM(C13:G13)</f>
    </oc>
    <nc r="H13">
      <f>SUM(C13:G13)</f>
    </nc>
  </rcc>
  <rcc rId="4150" sId="9">
    <oc r="N13">
      <f>SUM(I13:M13)</f>
    </oc>
    <nc r="N13">
      <f>SUM(I13:M13)</f>
    </nc>
  </rcc>
  <rcc rId="4151" sId="9">
    <oc r="T13">
      <f>SUM(O13:S13)</f>
    </oc>
    <nc r="T13">
      <f>SUM(O13:S13)</f>
    </nc>
  </rcc>
  <rcc rId="4152" sId="9">
    <oc r="Z13">
      <f>SUM(U13:Y13)</f>
    </oc>
    <nc r="Z13">
      <f>SUM(U13:Y13)</f>
    </nc>
  </rcc>
  <rcc rId="4153" sId="9" odxf="1" dxf="1">
    <oc r="AF13">
      <f>SUM(AA13:AE13)</f>
    </oc>
    <nc r="AF13">
      <f>SUM(AA13:AE13)</f>
    </nc>
    <odxf>
      <border outline="0">
        <right style="thin">
          <color indexed="64"/>
        </right>
      </border>
    </odxf>
    <ndxf>
      <border outline="0">
        <right/>
      </border>
    </ndxf>
  </rcc>
  <rcc rId="4154" sId="9">
    <oc r="AL13">
      <f>SUM(AG13:AK13)</f>
    </oc>
    <nc r="AL13">
      <f>SUM(AG13:AK13)</f>
    </nc>
  </rcc>
  <rcc rId="4155" sId="9">
    <oc r="AR13">
      <f>SUM(AM13:AQ13)</f>
    </oc>
    <nc r="AR13">
      <f>SUM(AM13:AQ13)</f>
    </nc>
  </rcc>
  <rcc rId="4156" sId="9">
    <oc r="AX13">
      <f>SUM(AS13:AW13)</f>
    </oc>
    <nc r="AX13">
      <f>SUM(AS13:AW13)</f>
    </nc>
  </rcc>
  <rcc rId="4157" sId="9">
    <oc r="BD13">
      <f>SUM(AY13:BC13)</f>
    </oc>
    <nc r="BD13">
      <f>SUM(AY13:BC13)</f>
    </nc>
  </rcc>
  <rcc rId="4158" sId="9">
    <oc r="H14">
      <f>SUM(C14:G14)</f>
    </oc>
    <nc r="H14">
      <f>SUM(C14:G14)</f>
    </nc>
  </rcc>
  <rcc rId="4159" sId="9">
    <oc r="N14">
      <f>SUM(I14:M14)</f>
    </oc>
    <nc r="N14">
      <f>SUM(I14:M14)</f>
    </nc>
  </rcc>
  <rcc rId="4160" sId="9">
    <oc r="T14">
      <f>SUM(O14:S14)</f>
    </oc>
    <nc r="T14">
      <f>SUM(O14:S14)</f>
    </nc>
  </rcc>
  <rcc rId="4161" sId="9">
    <oc r="Z14">
      <f>SUM(U14:Y14)</f>
    </oc>
    <nc r="Z14">
      <f>SUM(U14:Y14)</f>
    </nc>
  </rcc>
  <rcc rId="4162" sId="9" odxf="1" dxf="1">
    <oc r="AF14">
      <f>SUM(AA14:AE14)</f>
    </oc>
    <nc r="AF14">
      <f>SUM(AA14:AE14)</f>
    </nc>
    <odxf>
      <border outline="0">
        <right style="thin">
          <color indexed="64"/>
        </right>
      </border>
    </odxf>
    <ndxf>
      <border outline="0">
        <right/>
      </border>
    </ndxf>
  </rcc>
  <rcc rId="4163" sId="9">
    <oc r="AL14">
      <f>SUM(AG14:AK14)</f>
    </oc>
    <nc r="AL14">
      <f>SUM(AG14:AK14)</f>
    </nc>
  </rcc>
  <rcc rId="4164" sId="9">
    <oc r="AR14">
      <f>SUM(AM14:AQ14)</f>
    </oc>
    <nc r="AR14">
      <f>SUM(AM14:AQ14)</f>
    </nc>
  </rcc>
  <rcc rId="4165" sId="9">
    <oc r="AX14">
      <f>SUM(AS14:AW14)</f>
    </oc>
    <nc r="AX14">
      <f>SUM(AS14:AW14)</f>
    </nc>
  </rcc>
  <rcc rId="4166" sId="9">
    <oc r="BD14">
      <f>SUM(AY14:BC14)</f>
    </oc>
    <nc r="BD14">
      <f>SUM(AY14:BC14)</f>
    </nc>
  </rcc>
  <rcc rId="4167" sId="9">
    <oc r="H15">
      <f>SUM(C15:G15)</f>
    </oc>
    <nc r="H15">
      <f>SUM(C15:G15)</f>
    </nc>
  </rcc>
  <rcc rId="4168" sId="9">
    <oc r="N15">
      <f>SUM(I15:M15)</f>
    </oc>
    <nc r="N15">
      <f>SUM(I15:M15)</f>
    </nc>
  </rcc>
  <rcc rId="4169" sId="9">
    <oc r="T15">
      <f>SUM(O15:S15)</f>
    </oc>
    <nc r="T15">
      <f>SUM(O15:S15)</f>
    </nc>
  </rcc>
  <rcc rId="4170" sId="9">
    <oc r="Z15">
      <f>SUM(U15:Y15)</f>
    </oc>
    <nc r="Z15">
      <f>SUM(U15:Y15)</f>
    </nc>
  </rcc>
  <rcc rId="4171" sId="9" odxf="1" dxf="1">
    <oc r="AF15">
      <f>SUM(AA15:AE15)</f>
    </oc>
    <nc r="AF15">
      <f>SUM(AA15:AE15)</f>
    </nc>
    <odxf>
      <border outline="0">
        <right style="thin">
          <color indexed="64"/>
        </right>
      </border>
    </odxf>
    <ndxf>
      <border outline="0">
        <right/>
      </border>
    </ndxf>
  </rcc>
  <rcc rId="4172" sId="9">
    <oc r="AL15">
      <f>SUM(AG15:AK15)</f>
    </oc>
    <nc r="AL15">
      <f>SUM(AG15:AK15)</f>
    </nc>
  </rcc>
  <rcc rId="4173" sId="9">
    <oc r="AR15">
      <f>SUM(AM15:AQ15)</f>
    </oc>
    <nc r="AR15">
      <f>SUM(AM15:AQ15)</f>
    </nc>
  </rcc>
  <rcc rId="4174" sId="9">
    <oc r="AX15">
      <f>SUM(AS15:AW15)</f>
    </oc>
    <nc r="AX15">
      <f>SUM(AS15:AW15)</f>
    </nc>
  </rcc>
  <rcc rId="4175" sId="9">
    <oc r="BD15">
      <f>SUM(AY15:BC15)</f>
    </oc>
    <nc r="BD15">
      <f>SUM(AY15:BC15)</f>
    </nc>
  </rcc>
  <rfmt sheetId="9" sqref="F16" start="0" length="0">
    <dxf>
      <numFmt numFmtId="3" formatCode="#,##0"/>
    </dxf>
  </rfmt>
  <rfmt sheetId="9" sqref="G16" start="0" length="0">
    <dxf>
      <numFmt numFmtId="3" formatCode="#,##0"/>
    </dxf>
  </rfmt>
  <rcc rId="4176" sId="9">
    <oc r="H16">
      <f>SUM(C16:G16)</f>
    </oc>
    <nc r="H16">
      <f>SUM(C16:G16)</f>
    </nc>
  </rcc>
  <rfmt sheetId="9" sqref="I16" start="0" length="0">
    <dxf>
      <numFmt numFmtId="3" formatCode="#,##0"/>
    </dxf>
  </rfmt>
  <rcc rId="4177" sId="9">
    <oc r="N16">
      <f>SUM(I16:M16)</f>
    </oc>
    <nc r="N16">
      <f>SUM(I16:M16)</f>
    </nc>
  </rcc>
  <rcc rId="4178" sId="9">
    <oc r="T16">
      <f>SUM(O16:S16)</f>
    </oc>
    <nc r="T16">
      <f>SUM(O16:S16)</f>
    </nc>
  </rcc>
  <rcc rId="4179" sId="9">
    <oc r="Z16">
      <f>SUM(U16:Y16)</f>
    </oc>
    <nc r="Z16">
      <f>SUM(U16:Y16)</f>
    </nc>
  </rcc>
  <rcc rId="4180" sId="9" odxf="1" dxf="1">
    <oc r="AF16">
      <f>SUM(AA16:AE16)</f>
    </oc>
    <nc r="AF16">
      <f>SUM(AA16:AE16)</f>
    </nc>
    <odxf>
      <border outline="0">
        <right style="thin">
          <color indexed="64"/>
        </right>
      </border>
    </odxf>
    <ndxf>
      <border outline="0">
        <right/>
      </border>
    </ndxf>
  </rcc>
  <rcc rId="4181" sId="9" odxf="1" dxf="1">
    <oc r="AL16">
      <f>SUM(AG16:AK16)</f>
    </oc>
    <nc r="AL16">
      <f>SUM(AG16:AK16)</f>
    </nc>
    <odxf>
      <border outline="0">
        <bottom/>
      </border>
    </odxf>
    <ndxf>
      <border outline="0">
        <bottom style="thin">
          <color indexed="64"/>
        </bottom>
      </border>
    </ndxf>
  </rcc>
  <rcc rId="4182" sId="9" odxf="1" dxf="1">
    <oc r="AR16">
      <f>SUM(AM16:AQ16)</f>
    </oc>
    <nc r="AR16">
      <f>SUM(AM16:AQ16)</f>
    </nc>
    <odxf>
      <border outline="0">
        <bottom/>
      </border>
    </odxf>
    <ndxf>
      <border outline="0">
        <bottom style="thin">
          <color indexed="64"/>
        </bottom>
      </border>
    </ndxf>
  </rcc>
  <rcc rId="4183" sId="9" odxf="1" dxf="1">
    <oc r="AX16">
      <f>SUM(AS16:AW16)</f>
    </oc>
    <nc r="AX16">
      <f>SUM(AS16:AW16)</f>
    </nc>
    <odxf>
      <border outline="0">
        <bottom/>
      </border>
    </odxf>
    <ndxf>
      <border outline="0">
        <bottom style="thin">
          <color indexed="64"/>
        </bottom>
      </border>
    </ndxf>
  </rcc>
  <rcc rId="4184" sId="9" odxf="1" dxf="1">
    <oc r="BD16">
      <f>SUM(AY16:BC16)</f>
    </oc>
    <nc r="BD16">
      <f>SUM(AY16:BC16)</f>
    </nc>
    <odxf>
      <border outline="0">
        <bottom/>
      </border>
    </odxf>
    <ndxf>
      <border outline="0">
        <bottom style="thin">
          <color indexed="64"/>
        </bottom>
      </border>
    </ndxf>
  </rcc>
  <rfmt sheetId="9" sqref="I17" start="0" length="0">
    <dxf>
      <alignment wrapText="1"/>
    </dxf>
  </rfmt>
  <rfmt sheetId="9" sqref="J17" start="0" length="0">
    <dxf>
      <alignment wrapText="1"/>
    </dxf>
  </rfmt>
  <rfmt sheetId="9" sqref="O17" start="0" length="0">
    <dxf>
      <alignment wrapText="1"/>
    </dxf>
  </rfmt>
  <rfmt sheetId="9" sqref="Q17" start="0" length="0">
    <dxf>
      <alignment wrapText="1"/>
    </dxf>
  </rfmt>
  <rfmt sheetId="9" sqref="R17" start="0" length="0">
    <dxf>
      <alignment wrapText="1"/>
    </dxf>
  </rfmt>
  <rfmt sheetId="9" sqref="U17" start="0" length="0">
    <dxf>
      <alignment wrapText="1"/>
    </dxf>
  </rfmt>
  <rfmt sheetId="9" sqref="V17" start="0" length="0">
    <dxf>
      <alignment wrapText="1"/>
    </dxf>
  </rfmt>
  <rfmt sheetId="9" sqref="W17" start="0" length="0">
    <dxf>
      <alignment wrapText="1"/>
    </dxf>
  </rfmt>
  <rfmt sheetId="9" sqref="AA17" start="0" length="0">
    <dxf>
      <alignment wrapText="1"/>
    </dxf>
  </rfmt>
  <rfmt sheetId="9" sqref="AD17" start="0" length="0">
    <dxf>
      <alignment wrapText="1"/>
    </dxf>
  </rfmt>
  <rfmt sheetId="9" sqref="AG17" start="0" length="0">
    <dxf>
      <alignment wrapText="1"/>
    </dxf>
  </rfmt>
  <rfmt sheetId="9" sqref="AK17" start="0" length="0">
    <dxf>
      <alignment wrapText="1"/>
    </dxf>
  </rfmt>
  <rfmt sheetId="9" sqref="AM17" start="0" length="0">
    <dxf>
      <alignment wrapText="1"/>
    </dxf>
  </rfmt>
  <rfmt sheetId="9" sqref="AS17" start="0" length="0">
    <dxf>
      <alignment wrapText="1"/>
    </dxf>
  </rfmt>
  <rfmt sheetId="9" sqref="AT17" start="0" length="0">
    <dxf>
      <alignment wrapText="1"/>
    </dxf>
  </rfmt>
  <rfmt sheetId="9" sqref="AV17" start="0" length="0">
    <dxf>
      <alignment wrapText="1"/>
    </dxf>
  </rfmt>
  <rfmt sheetId="9" sqref="AW17" start="0" length="0">
    <dxf>
      <alignment wrapText="1"/>
    </dxf>
  </rfmt>
  <rfmt sheetId="9" sqref="AZ17" start="0" length="0">
    <dxf>
      <alignment wrapText="1"/>
    </dxf>
  </rfmt>
  <rfmt sheetId="9" sqref="J18" start="0" length="0">
    <dxf>
      <alignment wrapText="1"/>
    </dxf>
  </rfmt>
  <rfmt sheetId="9" sqref="Q18" start="0" length="0">
    <dxf>
      <alignment wrapText="1"/>
    </dxf>
  </rfmt>
  <rfmt sheetId="9" sqref="U18" start="0" length="0">
    <dxf>
      <alignment wrapText="1"/>
    </dxf>
  </rfmt>
  <rfmt sheetId="9" sqref="W18" start="0" length="0">
    <dxf>
      <alignment wrapText="1"/>
    </dxf>
  </rfmt>
  <rfmt sheetId="9" sqref="X18" start="0" length="0">
    <dxf>
      <alignment wrapText="1"/>
    </dxf>
  </rfmt>
  <rfmt sheetId="9" sqref="Y18" start="0" length="0">
    <dxf>
      <alignment wrapText="1"/>
    </dxf>
  </rfmt>
  <rfmt sheetId="9" sqref="Z18" start="0" length="0">
    <dxf>
      <alignment wrapText="1"/>
    </dxf>
  </rfmt>
  <rfmt sheetId="9" sqref="AA18" start="0" length="0">
    <dxf>
      <alignment wrapText="1"/>
    </dxf>
  </rfmt>
  <rfmt sheetId="9" sqref="AB18" start="0" length="0">
    <dxf>
      <alignment wrapText="1"/>
    </dxf>
  </rfmt>
  <rfmt sheetId="9" sqref="AC18" start="0" length="0">
    <dxf>
      <alignment wrapText="1"/>
    </dxf>
  </rfmt>
  <rfmt sheetId="9" sqref="AD18" start="0" length="0">
    <dxf>
      <alignment wrapText="1"/>
    </dxf>
  </rfmt>
  <rfmt sheetId="9" sqref="AE18" start="0" length="0">
    <dxf>
      <alignment wrapText="1"/>
    </dxf>
  </rfmt>
  <rfmt sheetId="9" sqref="AG18" start="0" length="0">
    <dxf>
      <alignment wrapText="1"/>
    </dxf>
  </rfmt>
  <rfmt sheetId="9" sqref="AH18" start="0" length="0">
    <dxf>
      <alignment wrapText="1"/>
    </dxf>
  </rfmt>
  <rfmt sheetId="9" sqref="AJ18" start="0" length="0">
    <dxf>
      <alignment wrapText="1"/>
    </dxf>
  </rfmt>
  <rfmt sheetId="9" sqref="AK18" start="0" length="0">
    <dxf>
      <alignment wrapText="1"/>
    </dxf>
  </rfmt>
  <rfmt sheetId="9" sqref="AN18" start="0" length="0">
    <dxf>
      <alignment wrapText="1"/>
    </dxf>
  </rfmt>
  <rfmt sheetId="9" sqref="AO18" start="0" length="0">
    <dxf>
      <alignment wrapText="1"/>
    </dxf>
  </rfmt>
  <rfmt sheetId="9" sqref="AP18" start="0" length="0">
    <dxf>
      <alignment wrapText="1"/>
    </dxf>
  </rfmt>
  <rfmt sheetId="9" sqref="AQ18" start="0" length="0">
    <dxf>
      <alignment wrapText="1"/>
    </dxf>
  </rfmt>
  <rfmt sheetId="9" sqref="AT18" start="0" length="0">
    <dxf>
      <alignment wrapText="1"/>
    </dxf>
  </rfmt>
  <rfmt sheetId="9" sqref="AU18" start="0" length="0">
    <dxf>
      <alignment wrapText="1"/>
    </dxf>
  </rfmt>
  <rfmt sheetId="9" sqref="AW18" start="0" length="0">
    <dxf>
      <alignment wrapText="1"/>
    </dxf>
  </rfmt>
  <rfmt sheetId="9" sqref="AY18" start="0" length="0">
    <dxf>
      <alignment wrapText="1"/>
    </dxf>
  </rfmt>
  <rfmt sheetId="9" sqref="AZ18" start="0" length="0">
    <dxf>
      <alignment wrapText="1"/>
    </dxf>
  </rfmt>
  <rfmt sheetId="9" sqref="BA18" start="0" length="0">
    <dxf>
      <alignment wrapText="1"/>
    </dxf>
  </rfmt>
  <rfmt sheetId="9" sqref="BB18" start="0" length="0">
    <dxf>
      <alignment wrapText="1"/>
    </dxf>
  </rfmt>
  <rfmt sheetId="10" sqref="B1" start="0" length="0">
    <dxf>
      <border outline="0">
        <right/>
      </border>
    </dxf>
  </rfmt>
  <rcc rId="4185" sId="10" odxf="1" dxf="1" numFmtId="21">
    <oc r="C1">
      <v>45810</v>
    </oc>
    <nc r="C1">
      <v>45873</v>
    </nc>
    <odxf>
      <border outline="0">
        <right style="thin">
          <color auto="1"/>
        </right>
      </border>
    </odxf>
    <ndxf>
      <border outline="0">
        <right/>
      </border>
    </ndxf>
  </rcc>
  <rcc rId="4186" sId="10" odxf="1" dxf="1" numFmtId="21">
    <oc r="D1">
      <v>45811</v>
    </oc>
    <nc r="D1">
      <v>45874</v>
    </nc>
    <odxf>
      <border outline="0">
        <right style="thin">
          <color auto="1"/>
        </right>
      </border>
    </odxf>
    <ndxf>
      <border outline="0">
        <right/>
      </border>
    </ndxf>
  </rcc>
  <rcc rId="4187" sId="10" odxf="1" dxf="1" numFmtId="21">
    <oc r="E1">
      <v>45812</v>
    </oc>
    <nc r="E1">
      <v>45875</v>
    </nc>
    <odxf>
      <border outline="0">
        <right style="thin">
          <color auto="1"/>
        </right>
      </border>
    </odxf>
    <ndxf>
      <border outline="0">
        <right/>
      </border>
    </ndxf>
  </rcc>
  <rcc rId="4188" sId="10" odxf="1" dxf="1" numFmtId="21">
    <oc r="F1">
      <v>45813</v>
    </oc>
    <nc r="F1">
      <v>45876</v>
    </nc>
    <odxf>
      <border outline="0">
        <right style="thin">
          <color auto="1"/>
        </right>
      </border>
    </odxf>
    <ndxf>
      <border outline="0">
        <right/>
      </border>
    </ndxf>
  </rcc>
  <rcc rId="4189" sId="10" odxf="1" dxf="1" numFmtId="21">
    <oc r="G1">
      <v>45814</v>
    </oc>
    <nc r="G1">
      <v>45877</v>
    </nc>
    <odxf>
      <border outline="0">
        <right style="thin">
          <color auto="1"/>
        </right>
      </border>
    </odxf>
    <ndxf>
      <border outline="0">
        <right/>
      </border>
    </ndxf>
  </rcc>
  <rfmt sheetId="10" sqref="H1" start="0" length="0">
    <dxf>
      <border outline="0">
        <left/>
        <right/>
      </border>
    </dxf>
  </rfmt>
  <rcc rId="4190" sId="10" odxf="1" dxf="1" numFmtId="21">
    <oc r="I1">
      <v>45817</v>
    </oc>
    <nc r="I1">
      <v>45880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191" sId="10" odxf="1" dxf="1" numFmtId="21">
    <oc r="J1">
      <v>45818</v>
    </oc>
    <nc r="J1">
      <v>45881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192" sId="10" odxf="1" dxf="1" numFmtId="21">
    <oc r="K1">
      <v>45819</v>
    </oc>
    <nc r="K1">
      <v>45882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193" sId="10" odxf="1" dxf="1" numFmtId="21">
    <oc r="L1">
      <v>45820</v>
    </oc>
    <nc r="L1">
      <v>45883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194" sId="10" odxf="1" dxf="1" numFmtId="21">
    <oc r="M1">
      <v>45821</v>
    </oc>
    <nc r="M1">
      <v>45884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fmt sheetId="10" sqref="N1" start="0" length="0">
    <dxf>
      <border outline="0">
        <left/>
        <right/>
      </border>
    </dxf>
  </rfmt>
  <rcc rId="4195" sId="10" odxf="1" dxf="1" numFmtId="21">
    <oc r="O1">
      <v>45824</v>
    </oc>
    <nc r="O1">
      <v>45887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196" sId="10" odxf="1" dxf="1" numFmtId="21">
    <oc r="P1">
      <v>45825</v>
    </oc>
    <nc r="P1">
      <v>45888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197" sId="10" odxf="1" dxf="1" numFmtId="21">
    <oc r="Q1">
      <v>45826</v>
    </oc>
    <nc r="Q1">
      <v>45889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198" sId="10" odxf="1" dxf="1" numFmtId="21">
    <oc r="R1">
      <v>45827</v>
    </oc>
    <nc r="R1">
      <v>45890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199" sId="10" odxf="1" dxf="1" numFmtId="21">
    <oc r="S1">
      <v>45828</v>
    </oc>
    <nc r="S1">
      <v>45891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fmt sheetId="10" sqref="T1" start="0" length="0">
    <dxf>
      <border outline="0">
        <left/>
        <right/>
      </border>
    </dxf>
  </rfmt>
  <rcc rId="4200" sId="10" odxf="1" dxf="1" numFmtId="21">
    <oc r="U1">
      <v>45831</v>
    </oc>
    <nc r="U1">
      <v>45894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201" sId="10" odxf="1" dxf="1" numFmtId="21">
    <oc r="V1">
      <v>45832</v>
    </oc>
    <nc r="V1">
      <v>45895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202" sId="10" odxf="1" dxf="1" numFmtId="21">
    <oc r="W1">
      <v>45833</v>
    </oc>
    <nc r="W1">
      <v>45896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203" sId="10" odxf="1" dxf="1" numFmtId="21">
    <oc r="X1">
      <v>45834</v>
    </oc>
    <nc r="X1">
      <v>45897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204" sId="10" odxf="1" dxf="1" numFmtId="21">
    <oc r="Y1">
      <v>45835</v>
    </oc>
    <nc r="Y1">
      <v>45898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fmt sheetId="10" sqref="Z1" start="0" length="0">
    <dxf>
      <border outline="0">
        <left/>
        <right/>
      </border>
    </dxf>
  </rfmt>
  <rcc rId="4205" sId="10" odxf="1" dxf="1" numFmtId="21">
    <oc r="AA1">
      <v>45838</v>
    </oc>
    <nc r="AA1">
      <v>45901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206" sId="10" odxf="1" dxf="1" numFmtId="21">
    <oc r="AB1">
      <v>45839</v>
    </oc>
    <nc r="AB1">
      <v>45902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207" sId="10" odxf="1" dxf="1" numFmtId="21">
    <oc r="AC1">
      <v>45840</v>
    </oc>
    <nc r="AC1">
      <v>45903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208" sId="10" odxf="1" dxf="1" numFmtId="21">
    <oc r="AD1">
      <v>45841</v>
    </oc>
    <nc r="AD1">
      <v>45904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209" sId="10" odxf="1" dxf="1" numFmtId="21">
    <oc r="AE1">
      <v>45842</v>
    </oc>
    <nc r="AE1">
      <v>45905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fmt sheetId="10" sqref="AF1" start="0" length="0">
    <dxf>
      <border outline="0">
        <left/>
        <right/>
      </border>
    </dxf>
  </rfmt>
  <rcc rId="4210" sId="10" odxf="1" dxf="1" numFmtId="21">
    <oc r="AG1">
      <v>45845</v>
    </oc>
    <nc r="AG1">
      <v>45908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211" sId="10" odxf="1" dxf="1" numFmtId="21">
    <oc r="AH1">
      <v>45846</v>
    </oc>
    <nc r="AH1">
      <v>45909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212" sId="10" odxf="1" dxf="1" numFmtId="21">
    <oc r="AI1">
      <v>45847</v>
    </oc>
    <nc r="AI1">
      <v>45910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213" sId="10" odxf="1" dxf="1" numFmtId="21">
    <oc r="AJ1">
      <v>45848</v>
    </oc>
    <nc r="AJ1">
      <v>45911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214" sId="10" odxf="1" dxf="1" numFmtId="21">
    <oc r="AK1">
      <v>45849</v>
    </oc>
    <nc r="AK1">
      <v>45912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fmt sheetId="10" sqref="AL1" start="0" length="0">
    <dxf>
      <border outline="0">
        <left/>
        <right/>
      </border>
    </dxf>
  </rfmt>
  <rcc rId="4215" sId="10" odxf="1" dxf="1" numFmtId="21">
    <oc r="AM1">
      <v>45852</v>
    </oc>
    <nc r="AM1">
      <v>45915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216" sId="10" odxf="1" dxf="1" numFmtId="21">
    <oc r="AN1">
      <v>45853</v>
    </oc>
    <nc r="AN1">
      <v>45916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217" sId="10" odxf="1" dxf="1" numFmtId="21">
    <oc r="AO1">
      <v>45854</v>
    </oc>
    <nc r="AO1">
      <v>45917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218" sId="10" odxf="1" dxf="1" numFmtId="21">
    <oc r="AP1">
      <v>45855</v>
    </oc>
    <nc r="AP1">
      <v>45918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219" sId="10" odxf="1" dxf="1" numFmtId="21">
    <oc r="AQ1">
      <v>45856</v>
    </oc>
    <nc r="AQ1">
      <v>45919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fmt sheetId="10" sqref="AR1" start="0" length="0">
    <dxf>
      <border outline="0">
        <left/>
        <right/>
      </border>
    </dxf>
  </rfmt>
  <rcc rId="4220" sId="10" odxf="1" dxf="1" numFmtId="21">
    <oc r="AS1">
      <v>45859</v>
    </oc>
    <nc r="AS1">
      <v>45922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221" sId="10" odxf="1" dxf="1" numFmtId="21">
    <oc r="AT1">
      <v>45860</v>
    </oc>
    <nc r="AT1">
      <v>45923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222" sId="10" odxf="1" dxf="1" numFmtId="21">
    <oc r="AU1">
      <v>45861</v>
    </oc>
    <nc r="AU1">
      <v>45924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223" sId="10" odxf="1" dxf="1" numFmtId="21">
    <oc r="AV1">
      <v>45862</v>
    </oc>
    <nc r="AV1">
      <v>45925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224" sId="10" odxf="1" dxf="1" numFmtId="21">
    <oc r="AW1">
      <v>45863</v>
    </oc>
    <nc r="AW1">
      <v>45926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fmt sheetId="10" sqref="AX1" start="0" length="0">
    <dxf>
      <border outline="0">
        <left/>
        <right/>
      </border>
    </dxf>
  </rfmt>
  <rcc rId="4225" sId="10" odxf="1" dxf="1" numFmtId="21">
    <oc r="AY1">
      <v>45866</v>
    </oc>
    <nc r="AY1">
      <v>45929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226" sId="10" odxf="1" dxf="1" numFmtId="21">
    <oc r="AZ1">
      <v>45867</v>
    </oc>
    <nc r="AZ1">
      <v>45930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227" sId="10" odxf="1" dxf="1" numFmtId="21">
    <oc r="BA1">
      <v>45868</v>
    </oc>
    <nc r="BA1">
      <v>45931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228" sId="10" odxf="1" dxf="1" numFmtId="21">
    <oc r="BB1">
      <v>45869</v>
    </oc>
    <nc r="BB1">
      <v>45932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4229" sId="10" odxf="1" dxf="1" numFmtId="21">
    <oc r="BC1">
      <v>45870</v>
    </oc>
    <nc r="BC1">
      <v>45933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fmt sheetId="10" sqref="BD1" start="0" length="0">
    <dxf>
      <border outline="0">
        <left/>
      </border>
    </dxf>
  </rfmt>
  <rcc rId="4230" sId="10">
    <oc r="H2">
      <f>SUM(C2:G2)</f>
    </oc>
    <nc r="H2">
      <f>SUM(C2:G2)</f>
    </nc>
  </rcc>
  <rcc rId="4231" sId="10">
    <oc r="N2">
      <f>SUM(I2:M2)</f>
    </oc>
    <nc r="N2">
      <f>SUM(I2:M2)</f>
    </nc>
  </rcc>
  <rcc rId="4232" sId="10" odxf="1" dxf="1">
    <oc r="R2" t="inlineStr">
      <is>
        <t>FERIADO</t>
      </is>
    </oc>
    <nc r="R2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233" sId="10" odxf="1" dxf="1">
    <oc r="S2" t="inlineStr">
      <is>
        <t>RECESSO</t>
      </is>
    </oc>
    <nc r="S2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234" sId="10">
    <oc r="T2">
      <f>SUM(O2:S2)</f>
    </oc>
    <nc r="T2">
      <f>SUM(O2:S2)</f>
    </nc>
  </rcc>
  <rcc rId="4235" sId="10">
    <oc r="Z2">
      <f>SUM(U2:Y2)</f>
    </oc>
    <nc r="Z2">
      <f>SUM(U2:Y2)</f>
    </nc>
  </rcc>
  <rcc rId="4236" sId="10" odxf="1" dxf="1">
    <oc r="AF2">
      <f>SUM(AA2:AE2)</f>
    </oc>
    <nc r="AF2">
      <f>SUM(AA2:AE2)</f>
    </nc>
    <odxf>
      <border outline="0">
        <right style="thin">
          <color indexed="64"/>
        </right>
      </border>
    </odxf>
    <ndxf>
      <border outline="0">
        <right/>
      </border>
    </ndxf>
  </rcc>
  <rcc rId="4237" sId="10">
    <oc r="AL2">
      <f>SUM(AG2:AK2)</f>
    </oc>
    <nc r="AL2">
      <f>SUM(AG2:AK2)</f>
    </nc>
  </rcc>
  <rcc rId="4238" sId="10">
    <oc r="AR2">
      <f>SUM(AM2:AQ2)</f>
    </oc>
    <nc r="AR2">
      <f>SUM(AM2:AQ2)</f>
    </nc>
  </rcc>
  <rcc rId="4239" sId="10">
    <oc r="AX2">
      <f>SUM(AS2:AW2)</f>
    </oc>
    <nc r="AX2">
      <f>SUM(AS2:AW2)</f>
    </nc>
  </rcc>
  <rcc rId="4240" sId="10">
    <oc r="BD2">
      <f>SUM(AY2:BC2)</f>
    </oc>
    <nc r="BD2">
      <f>SUM(AY2:BC2)</f>
    </nc>
  </rcc>
  <rcc rId="4241" sId="10">
    <oc r="H3">
      <f>SUM(C3:G3)</f>
    </oc>
    <nc r="H3">
      <f>SUM(C3:G3)</f>
    </nc>
  </rcc>
  <rcc rId="4242" sId="10">
    <oc r="N3">
      <f>SUM(I3:M3)</f>
    </oc>
    <nc r="N3">
      <f>SUM(I3:M3)</f>
    </nc>
  </rcc>
  <rcc rId="4243" sId="10" odxf="1" dxf="1">
    <oc r="R3" t="inlineStr">
      <is>
        <t>FERIADO</t>
      </is>
    </oc>
    <nc r="R3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244" sId="10" odxf="1" dxf="1">
    <oc r="S3" t="inlineStr">
      <is>
        <t>RECESSO</t>
      </is>
    </oc>
    <nc r="S3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245" sId="10">
    <oc r="T3">
      <f>SUM(O3:S3)</f>
    </oc>
    <nc r="T3">
      <f>SUM(O3:S3)</f>
    </nc>
  </rcc>
  <rcc rId="4246" sId="10">
    <oc r="Z3">
      <f>SUM(U3:Y3)</f>
    </oc>
    <nc r="Z3">
      <f>SUM(U3:Y3)</f>
    </nc>
  </rcc>
  <rcc rId="4247" sId="10" odxf="1" dxf="1">
    <oc r="AF3">
      <f>SUM(AA3:AE3)</f>
    </oc>
    <nc r="AF3">
      <f>SUM(AA3:AE3)</f>
    </nc>
    <odxf>
      <border outline="0">
        <right style="thin">
          <color indexed="64"/>
        </right>
      </border>
    </odxf>
    <ndxf>
      <border outline="0">
        <right/>
      </border>
    </ndxf>
  </rcc>
  <rcc rId="4248" sId="10">
    <oc r="AL3">
      <f>SUM(AG3:AK3)</f>
    </oc>
    <nc r="AL3">
      <f>SUM(AG3:AK3)</f>
    </nc>
  </rcc>
  <rcc rId="4249" sId="10">
    <oc r="AR3">
      <f>SUM(AM3:AQ3)</f>
    </oc>
    <nc r="AR3">
      <f>SUM(AM3:AQ3)</f>
    </nc>
  </rcc>
  <rcc rId="4250" sId="10">
    <oc r="AX3">
      <f>SUM(AS3:AW3)</f>
    </oc>
    <nc r="AX3">
      <f>SUM(AS3:AW3)</f>
    </nc>
  </rcc>
  <rcc rId="4251" sId="10">
    <oc r="BD3">
      <f>SUM(AY3:BC3)</f>
    </oc>
    <nc r="BD3">
      <f>SUM(AY3:BC3)</f>
    </nc>
  </rcc>
  <rcc rId="4252" sId="10">
    <oc r="H4">
      <f>SUM(C4:G4)</f>
    </oc>
    <nc r="H4">
      <f>SUM(C4:G4)</f>
    </nc>
  </rcc>
  <rcc rId="4253" sId="10">
    <oc r="N4">
      <f>SUM(I4:M4)</f>
    </oc>
    <nc r="N4">
      <f>SUM(I4:M4)</f>
    </nc>
  </rcc>
  <rcc rId="4254" sId="10" odxf="1" dxf="1">
    <oc r="R4" t="inlineStr">
      <is>
        <t>FERIADO</t>
      </is>
    </oc>
    <nc r="R4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255" sId="10" odxf="1" dxf="1">
    <oc r="S4" t="inlineStr">
      <is>
        <t>RECESSO</t>
      </is>
    </oc>
    <nc r="S4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256" sId="10">
    <oc r="T4">
      <f>SUM(O4:S4)</f>
    </oc>
    <nc r="T4">
      <f>SUM(O4:S4)</f>
    </nc>
  </rcc>
  <rcc rId="4257" sId="10">
    <oc r="Z4">
      <f>SUM(U4:Y4)</f>
    </oc>
    <nc r="Z4">
      <f>SUM(U4:Y4)</f>
    </nc>
  </rcc>
  <rcc rId="4258" sId="10" odxf="1" dxf="1">
    <oc r="AF4">
      <f>SUM(AA4:AE4)</f>
    </oc>
    <nc r="AF4">
      <f>SUM(AA4:AE4)</f>
    </nc>
    <odxf>
      <border outline="0">
        <right style="thin">
          <color indexed="64"/>
        </right>
      </border>
    </odxf>
    <ndxf>
      <border outline="0">
        <right/>
      </border>
    </ndxf>
  </rcc>
  <rcc rId="4259" sId="10">
    <oc r="AL4">
      <f>SUM(AG4:AK4)</f>
    </oc>
    <nc r="AL4">
      <f>SUM(AG4:AK4)</f>
    </nc>
  </rcc>
  <rcc rId="4260" sId="10">
    <oc r="AR4">
      <f>SUM(AM4:AQ4)</f>
    </oc>
    <nc r="AR4">
      <f>SUM(AM4:AQ4)</f>
    </nc>
  </rcc>
  <rcc rId="4261" sId="10">
    <oc r="AX4">
      <f>SUM(AS4:AW4)</f>
    </oc>
    <nc r="AX4">
      <f>SUM(AS4:AW4)</f>
    </nc>
  </rcc>
  <rcc rId="4262" sId="10">
    <oc r="BD4">
      <f>SUM(AY4:BC4)</f>
    </oc>
    <nc r="BD4">
      <f>SUM(AY4:BC4)</f>
    </nc>
  </rcc>
  <rcc rId="4263" sId="10">
    <oc r="H5">
      <f>SUM(C5:G5)</f>
    </oc>
    <nc r="H5">
      <f>SUM(C5:G5)</f>
    </nc>
  </rcc>
  <rcc rId="4264" sId="10">
    <oc r="N5">
      <f>SUM(I5:M5)</f>
    </oc>
    <nc r="N5">
      <f>SUM(I5:M5)</f>
    </nc>
  </rcc>
  <rcc rId="4265" sId="10" odxf="1" dxf="1">
    <oc r="R5" t="inlineStr">
      <is>
        <t>FERIADO</t>
      </is>
    </oc>
    <nc r="R5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266" sId="10" odxf="1" dxf="1">
    <oc r="S5" t="inlineStr">
      <is>
        <t>RECESSO</t>
      </is>
    </oc>
    <nc r="S5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267" sId="10">
    <oc r="T5">
      <f>SUM(O5:S5)</f>
    </oc>
    <nc r="T5">
      <f>SUM(O5:S5)</f>
    </nc>
  </rcc>
  <rcc rId="4268" sId="10">
    <oc r="Z5">
      <f>SUM(U5:Y5)</f>
    </oc>
    <nc r="Z5">
      <f>SUM(U5:Y5)</f>
    </nc>
  </rcc>
  <rcc rId="4269" sId="10" odxf="1" dxf="1">
    <oc r="AF5">
      <f>SUM(AA5:AE5)</f>
    </oc>
    <nc r="AF5">
      <f>SUM(AA5:AE5)</f>
    </nc>
    <odxf>
      <border outline="0">
        <right style="thin">
          <color indexed="64"/>
        </right>
      </border>
    </odxf>
    <ndxf>
      <border outline="0">
        <right/>
      </border>
    </ndxf>
  </rcc>
  <rcc rId="4270" sId="10">
    <oc r="AL5">
      <f>SUM(AG5:AK5)</f>
    </oc>
    <nc r="AL5">
      <f>SUM(AG5:AK5)</f>
    </nc>
  </rcc>
  <rcc rId="4271" sId="10">
    <oc r="AR5">
      <f>SUM(AM5:AQ5)</f>
    </oc>
    <nc r="AR5">
      <f>SUM(AM5:AQ5)</f>
    </nc>
  </rcc>
  <rcc rId="4272" sId="10">
    <oc r="AX5">
      <f>SUM(AS5:AW5)</f>
    </oc>
    <nc r="AX5">
      <f>SUM(AS5:AW5)</f>
    </nc>
  </rcc>
  <rcc rId="4273" sId="10">
    <oc r="BD5">
      <f>SUM(AY5:BC5)</f>
    </oc>
    <nc r="BD5">
      <f>SUM(AY5:BC5)</f>
    </nc>
  </rcc>
  <rcc rId="4274" sId="10">
    <oc r="C6">
      <v>3</v>
    </oc>
    <nc r="C6"/>
  </rcc>
  <rcc rId="4275" sId="10">
    <oc r="D6">
      <v>1</v>
    </oc>
    <nc r="D6"/>
  </rcc>
  <rcc rId="4276" sId="10">
    <oc r="E6">
      <v>2</v>
    </oc>
    <nc r="E6"/>
  </rcc>
  <rcc rId="4277" sId="10">
    <oc r="F6">
      <v>2</v>
    </oc>
    <nc r="F6"/>
  </rcc>
  <rcc rId="4278" sId="10">
    <oc r="G6">
      <v>2</v>
    </oc>
    <nc r="G6"/>
  </rcc>
  <rcc rId="4279" sId="10">
    <oc r="H6">
      <f>SUM(C6:G6)</f>
    </oc>
    <nc r="H6">
      <f>SUM(C6:G6)</f>
    </nc>
  </rcc>
  <rcc rId="4280" sId="10">
    <oc r="I6">
      <v>2</v>
    </oc>
    <nc r="I6"/>
  </rcc>
  <rcc rId="4281" sId="10">
    <oc r="J6">
      <v>2</v>
    </oc>
    <nc r="J6"/>
  </rcc>
  <rcc rId="4282" sId="10">
    <oc r="K6">
      <v>1</v>
    </oc>
    <nc r="K6"/>
  </rcc>
  <rcc rId="4283" sId="10">
    <oc r="L6">
      <v>1</v>
    </oc>
    <nc r="L6"/>
  </rcc>
  <rcc rId="4284" sId="10">
    <oc r="M6">
      <v>2</v>
    </oc>
    <nc r="M6"/>
  </rcc>
  <rcc rId="4285" sId="10">
    <oc r="N6">
      <f>SUM(I6:M6)</f>
    </oc>
    <nc r="N6">
      <f>SUM(I6:M6)</f>
    </nc>
  </rcc>
  <rcc rId="4286" sId="10">
    <oc r="O6">
      <v>1</v>
    </oc>
    <nc r="O6"/>
  </rcc>
  <rcc rId="4287" sId="10">
    <oc r="Q6">
      <v>1</v>
    </oc>
    <nc r="Q6"/>
  </rcc>
  <rcc rId="4288" sId="10" odxf="1" dxf="1">
    <oc r="R6" t="inlineStr">
      <is>
        <t>FERIADO</t>
      </is>
    </oc>
    <nc r="R6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289" sId="10" odxf="1" dxf="1">
    <oc r="S6" t="inlineStr">
      <is>
        <t>RECESSO</t>
      </is>
    </oc>
    <nc r="S6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290" sId="10">
    <oc r="T6">
      <f>SUM(O6:S6)</f>
    </oc>
    <nc r="T6">
      <f>SUM(O6:S6)</f>
    </nc>
  </rcc>
  <rcc rId="4291" sId="10">
    <oc r="U6">
      <v>1</v>
    </oc>
    <nc r="U6"/>
  </rcc>
  <rcc rId="4292" sId="10">
    <oc r="W6">
      <v>1</v>
    </oc>
    <nc r="W6"/>
  </rcc>
  <rcc rId="4293" sId="10">
    <oc r="Z6">
      <f>SUM(U6:Y6)</f>
    </oc>
    <nc r="Z6">
      <f>SUM(U6:Y6)</f>
    </nc>
  </rcc>
  <rcc rId="4294" sId="10" odxf="1" dxf="1">
    <oc r="AF6">
      <f>SUM(AA6:AE6)</f>
    </oc>
    <nc r="AF6">
      <f>SUM(AA6:AE6)</f>
    </nc>
    <odxf>
      <border outline="0">
        <right style="thin">
          <color indexed="64"/>
        </right>
      </border>
    </odxf>
    <ndxf>
      <border outline="0">
        <right/>
      </border>
    </ndxf>
  </rcc>
  <rcc rId="4295" sId="10">
    <oc r="AL6">
      <f>SUM(AG6:AK6)</f>
    </oc>
    <nc r="AL6">
      <f>SUM(AG6:AK6)</f>
    </nc>
  </rcc>
  <rcc rId="4296" sId="10">
    <oc r="AR6">
      <f>SUM(AM6:AQ6)</f>
    </oc>
    <nc r="AR6">
      <f>SUM(AM6:AQ6)</f>
    </nc>
  </rcc>
  <rcc rId="4297" sId="10">
    <oc r="AX6">
      <f>SUM(AS6:AW6)</f>
    </oc>
    <nc r="AX6">
      <f>SUM(AS6:AW6)</f>
    </nc>
  </rcc>
  <rcc rId="4298" sId="10">
    <oc r="BD6">
      <f>SUM(AY6:BC6)</f>
    </oc>
    <nc r="BD6">
      <f>SUM(AY6:BC6)</f>
    </nc>
  </rcc>
  <rcc rId="4299" sId="10">
    <oc r="C7">
      <v>25</v>
    </oc>
    <nc r="C7"/>
  </rcc>
  <rcc rId="4300" sId="10">
    <oc r="D7">
      <v>5</v>
    </oc>
    <nc r="D7"/>
  </rcc>
  <rcc rId="4301" sId="10">
    <oc r="E7">
      <v>15</v>
    </oc>
    <nc r="E7"/>
  </rcc>
  <rcc rId="4302" sId="10">
    <oc r="F7">
      <v>34</v>
    </oc>
    <nc r="F7"/>
  </rcc>
  <rcc rId="4303" sId="10">
    <oc r="G7">
      <v>21</v>
    </oc>
    <nc r="G7"/>
  </rcc>
  <rcc rId="4304" sId="10">
    <oc r="H7">
      <f>SUM(C7:G7)</f>
    </oc>
    <nc r="H7">
      <f>SUM(C7:G7)</f>
    </nc>
  </rcc>
  <rcc rId="4305" sId="10">
    <oc r="I7">
      <v>18</v>
    </oc>
    <nc r="I7"/>
  </rcc>
  <rcc rId="4306" sId="10">
    <oc r="J7">
      <v>19</v>
    </oc>
    <nc r="J7"/>
  </rcc>
  <rcc rId="4307" sId="10">
    <oc r="K7">
      <v>22</v>
    </oc>
    <nc r="K7"/>
  </rcc>
  <rcc rId="4308" sId="10">
    <oc r="L7">
      <v>3</v>
    </oc>
    <nc r="L7"/>
  </rcc>
  <rcc rId="4309" sId="10">
    <oc r="M7">
      <v>24</v>
    </oc>
    <nc r="M7"/>
  </rcc>
  <rcc rId="4310" sId="10">
    <oc r="N7">
      <f>SUM(I7:M7)</f>
    </oc>
    <nc r="N7">
      <f>SUM(I7:M7)</f>
    </nc>
  </rcc>
  <rcc rId="4311" sId="10">
    <oc r="O7">
      <v>13</v>
    </oc>
    <nc r="O7"/>
  </rcc>
  <rcc rId="4312" sId="10">
    <oc r="Q7">
      <v>1</v>
    </oc>
    <nc r="Q7"/>
  </rcc>
  <rcc rId="4313" sId="10" odxf="1" dxf="1">
    <oc r="R7" t="inlineStr">
      <is>
        <t>FERIADO</t>
      </is>
    </oc>
    <nc r="R7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314" sId="10" odxf="1" dxf="1">
    <oc r="S7" t="inlineStr">
      <is>
        <t>RECESSO</t>
      </is>
    </oc>
    <nc r="S7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315" sId="10">
    <oc r="T7">
      <f>SUM(O7:S7)</f>
    </oc>
    <nc r="T7">
      <f>SUM(O7:S7)</f>
    </nc>
  </rcc>
  <rcc rId="4316" sId="10">
    <oc r="U7">
      <v>21</v>
    </oc>
    <nc r="U7"/>
  </rcc>
  <rcc rId="4317" sId="10">
    <oc r="W7">
      <v>1</v>
    </oc>
    <nc r="W7"/>
  </rcc>
  <rcc rId="4318" sId="10">
    <oc r="Z7">
      <f>SUM(U7:Y7)</f>
    </oc>
    <nc r="Z7">
      <f>SUM(U7:Y7)</f>
    </nc>
  </rcc>
  <rcc rId="4319" sId="10" odxf="1" dxf="1">
    <oc r="AF7">
      <f>SUM(AA7:AE7)</f>
    </oc>
    <nc r="AF7">
      <f>SUM(AA7:AE7)</f>
    </nc>
    <odxf>
      <border outline="0">
        <right style="thin">
          <color indexed="64"/>
        </right>
      </border>
    </odxf>
    <ndxf>
      <border outline="0">
        <right/>
      </border>
    </ndxf>
  </rcc>
  <rcc rId="4320" sId="10">
    <oc r="AL7">
      <f>SUM(AG7:AK7)</f>
    </oc>
    <nc r="AL7">
      <f>SUM(AG7:AK7)</f>
    </nc>
  </rcc>
  <rcc rId="4321" sId="10">
    <oc r="AR7">
      <f>SUM(AM7:AQ7)</f>
    </oc>
    <nc r="AR7">
      <f>SUM(AM7:AQ7)</f>
    </nc>
  </rcc>
  <rcc rId="4322" sId="10">
    <oc r="AX7">
      <f>SUM(AS7:AW7)</f>
    </oc>
    <nc r="AX7">
      <f>SUM(AS7:AW7)</f>
    </nc>
  </rcc>
  <rcc rId="4323" sId="10">
    <oc r="BD7">
      <f>SUM(AY7:BC7)</f>
    </oc>
    <nc r="BD7">
      <f>SUM(AY7:BC7)</f>
    </nc>
  </rcc>
  <rcc rId="4324" sId="10">
    <oc r="H8">
      <f>SUM(C8:G8)</f>
    </oc>
    <nc r="H8">
      <f>SUM(C8:G8)</f>
    </nc>
  </rcc>
  <rcc rId="4325" sId="10">
    <oc r="N8">
      <f>SUM(I8:M8)</f>
    </oc>
    <nc r="N8">
      <f>SUM(I8:M8)</f>
    </nc>
  </rcc>
  <rcc rId="4326" sId="10" odxf="1" dxf="1">
    <oc r="R8" t="inlineStr">
      <is>
        <t>FERIADO</t>
      </is>
    </oc>
    <nc r="R8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327" sId="10" odxf="1" dxf="1">
    <oc r="S8" t="inlineStr">
      <is>
        <t>RECESSO</t>
      </is>
    </oc>
    <nc r="S8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328" sId="10">
    <oc r="T8">
      <f>SUM(O8:S8)</f>
    </oc>
    <nc r="T8">
      <f>SUM(O8:S8)</f>
    </nc>
  </rcc>
  <rcc rId="4329" sId="10">
    <oc r="Z8">
      <f>SUM(U8:Y8)</f>
    </oc>
    <nc r="Z8">
      <f>SUM(U8:Y8)</f>
    </nc>
  </rcc>
  <rcc rId="4330" sId="10" odxf="1" dxf="1">
    <oc r="AF8">
      <f>SUM(AA8:AE8)</f>
    </oc>
    <nc r="AF8">
      <f>SUM(AA8:AE8)</f>
    </nc>
    <odxf>
      <border outline="0">
        <right style="thin">
          <color indexed="64"/>
        </right>
      </border>
    </odxf>
    <ndxf>
      <border outline="0">
        <right/>
      </border>
    </ndxf>
  </rcc>
  <rcc rId="4331" sId="10">
    <oc r="AL8">
      <f>SUM(AG8:AK8)</f>
    </oc>
    <nc r="AL8">
      <f>SUM(AG8:AK8)</f>
    </nc>
  </rcc>
  <rcc rId="4332" sId="10">
    <oc r="AR8">
      <f>SUM(AM8:AQ8)</f>
    </oc>
    <nc r="AR8">
      <f>SUM(AM8:AQ8)</f>
    </nc>
  </rcc>
  <rcc rId="4333" sId="10">
    <oc r="AX8">
      <f>SUM(AS8:AW8)</f>
    </oc>
    <nc r="AX8">
      <f>SUM(AS8:AW8)</f>
    </nc>
  </rcc>
  <rcc rId="4334" sId="10">
    <oc r="BD8">
      <f>SUM(AY8:BC8)</f>
    </oc>
    <nc r="BD8">
      <f>SUM(AY8:BC8)</f>
    </nc>
  </rcc>
  <rcc rId="4335" sId="10">
    <oc r="H9">
      <f>SUM(C9:G9)</f>
    </oc>
    <nc r="H9">
      <f>SUM(C9:G9)</f>
    </nc>
  </rcc>
  <rcc rId="4336" sId="10">
    <oc r="N9">
      <f>SUM(I9:M9)</f>
    </oc>
    <nc r="N9">
      <f>SUM(I9:M9)</f>
    </nc>
  </rcc>
  <rcc rId="4337" sId="10" odxf="1" dxf="1">
    <oc r="R9" t="inlineStr">
      <is>
        <t>FERIADO</t>
      </is>
    </oc>
    <nc r="R9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338" sId="10" odxf="1" dxf="1">
    <oc r="S9" t="inlineStr">
      <is>
        <t>RECESSO</t>
      </is>
    </oc>
    <nc r="S9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339" sId="10">
    <oc r="T9">
      <f>SUM(O9:S9)</f>
    </oc>
    <nc r="T9">
      <f>SUM(O9:S9)</f>
    </nc>
  </rcc>
  <rcc rId="4340" sId="10">
    <oc r="Z9">
      <f>SUM(U9:Y9)</f>
    </oc>
    <nc r="Z9">
      <f>SUM(U9:Y9)</f>
    </nc>
  </rcc>
  <rcc rId="4341" sId="10" odxf="1" dxf="1">
    <oc r="AF9">
      <f>SUM(AA9:AE9)</f>
    </oc>
    <nc r="AF9">
      <f>SUM(AA9:AE9)</f>
    </nc>
    <odxf>
      <border outline="0">
        <right style="thin">
          <color indexed="64"/>
        </right>
      </border>
    </odxf>
    <ndxf>
      <border outline="0">
        <right/>
      </border>
    </ndxf>
  </rcc>
  <rcc rId="4342" sId="10">
    <oc r="AL9">
      <f>SUM(AG9:AK9)</f>
    </oc>
    <nc r="AL9">
      <f>SUM(AG9:AK9)</f>
    </nc>
  </rcc>
  <rcc rId="4343" sId="10">
    <oc r="AR9">
      <f>SUM(AM9:AQ9)</f>
    </oc>
    <nc r="AR9">
      <f>SUM(AM9:AQ9)</f>
    </nc>
  </rcc>
  <rcc rId="4344" sId="10">
    <oc r="AX9">
      <f>SUM(AS9:AW9)</f>
    </oc>
    <nc r="AX9">
      <f>SUM(AS9:AW9)</f>
    </nc>
  </rcc>
  <rcc rId="4345" sId="10">
    <oc r="BD9">
      <f>SUM(AY9:BC9)</f>
    </oc>
    <nc r="BD9">
      <f>SUM(AY9:BC9)</f>
    </nc>
  </rcc>
  <rcc rId="4346" sId="10">
    <oc r="H10">
      <f>SUM(C10:G10)</f>
    </oc>
    <nc r="H10">
      <f>SUM(C10:G10)</f>
    </nc>
  </rcc>
  <rcc rId="4347" sId="10">
    <oc r="N10">
      <f>SUM(I10:M10)</f>
    </oc>
    <nc r="N10">
      <f>SUM(I10:M10)</f>
    </nc>
  </rcc>
  <rcc rId="4348" sId="10" odxf="1" dxf="1">
    <oc r="R10" t="inlineStr">
      <is>
        <t>FERIADO</t>
      </is>
    </oc>
    <nc r="R10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349" sId="10" odxf="1" dxf="1">
    <oc r="S10" t="inlineStr">
      <is>
        <t>RECESSO</t>
      </is>
    </oc>
    <nc r="S10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350" sId="10">
    <oc r="T10">
      <f>SUM(O10:S10)</f>
    </oc>
    <nc r="T10">
      <f>SUM(O10:S10)</f>
    </nc>
  </rcc>
  <rcc rId="4351" sId="10">
    <oc r="Z10">
      <f>SUM(U10:Y10)</f>
    </oc>
    <nc r="Z10">
      <f>SUM(U10:Y10)</f>
    </nc>
  </rcc>
  <rcc rId="4352" sId="10" odxf="1" dxf="1">
    <oc r="AF10">
      <f>SUM(AA10:AE10)</f>
    </oc>
    <nc r="AF10">
      <f>SUM(AA10:AE10)</f>
    </nc>
    <odxf>
      <border outline="0">
        <right style="thin">
          <color indexed="64"/>
        </right>
      </border>
    </odxf>
    <ndxf>
      <border outline="0">
        <right/>
      </border>
    </ndxf>
  </rcc>
  <rcc rId="4353" sId="10">
    <oc r="AL10">
      <f>SUM(AG10:AK10)</f>
    </oc>
    <nc r="AL10">
      <f>SUM(AG10:AK10)</f>
    </nc>
  </rcc>
  <rcc rId="4354" sId="10">
    <oc r="AR10">
      <f>SUM(AM10:AQ10)</f>
    </oc>
    <nc r="AR10">
      <f>SUM(AM10:AQ10)</f>
    </nc>
  </rcc>
  <rcc rId="4355" sId="10">
    <oc r="AX10">
      <f>SUM(AS10:AW10)</f>
    </oc>
    <nc r="AX10">
      <f>SUM(AS10:AW10)</f>
    </nc>
  </rcc>
  <rcc rId="4356" sId="10">
    <oc r="BD10">
      <f>SUM(AY10:BC10)</f>
    </oc>
    <nc r="BD10">
      <f>SUM(AY10:BC10)</f>
    </nc>
  </rcc>
  <rcc rId="4357" sId="10">
    <oc r="C11">
      <v>4</v>
    </oc>
    <nc r="C11"/>
  </rcc>
  <rcc rId="4358" sId="10">
    <oc r="D11">
      <v>2</v>
    </oc>
    <nc r="D11"/>
  </rcc>
  <rcc rId="4359" sId="10">
    <oc r="E11">
      <v>4</v>
    </oc>
    <nc r="E11"/>
  </rcc>
  <rcc rId="4360" sId="10">
    <oc r="F11">
      <v>2</v>
    </oc>
    <nc r="F11"/>
  </rcc>
  <rcc rId="4361" sId="10">
    <oc r="G11">
      <v>3</v>
    </oc>
    <nc r="G11"/>
  </rcc>
  <rcc rId="4362" sId="10">
    <oc r="H11">
      <f>SUM(C11:G11)</f>
    </oc>
    <nc r="H11">
      <f>SUM(C11:G11)</f>
    </nc>
  </rcc>
  <rcc rId="4363" sId="10">
    <oc r="I11">
      <v>4</v>
    </oc>
    <nc r="I11"/>
  </rcc>
  <rcc rId="4364" sId="10">
    <oc r="J11">
      <v>5</v>
    </oc>
    <nc r="J11"/>
  </rcc>
  <rcc rId="4365" sId="10">
    <oc r="K11">
      <v>3</v>
    </oc>
    <nc r="K11"/>
  </rcc>
  <rcc rId="4366" sId="10">
    <oc r="L11">
      <v>2</v>
    </oc>
    <nc r="L11"/>
  </rcc>
  <rcc rId="4367" sId="10">
    <oc r="M11">
      <v>4</v>
    </oc>
    <nc r="M11"/>
  </rcc>
  <rcc rId="4368" sId="10">
    <oc r="N11">
      <f>SUM(I11:M11)</f>
    </oc>
    <nc r="N11">
      <f>SUM(I11:M11)</f>
    </nc>
  </rcc>
  <rcc rId="4369" sId="10">
    <oc r="O11">
      <v>4</v>
    </oc>
    <nc r="O11"/>
  </rcc>
  <rcc rId="4370" sId="10">
    <oc r="P11">
      <v>1</v>
    </oc>
    <nc r="P11"/>
  </rcc>
  <rcc rId="4371" sId="10">
    <oc r="Q11">
      <v>1</v>
    </oc>
    <nc r="Q11"/>
  </rcc>
  <rcc rId="4372" sId="10" odxf="1" dxf="1">
    <oc r="R11" t="inlineStr">
      <is>
        <t>FERIADO</t>
      </is>
    </oc>
    <nc r="R11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373" sId="10" odxf="1" dxf="1">
    <oc r="S11" t="inlineStr">
      <is>
        <t>RECESSO</t>
      </is>
    </oc>
    <nc r="S11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374" sId="10">
    <oc r="T11">
      <f>SUM(O11:S11)</f>
    </oc>
    <nc r="T11">
      <f>SUM(O11:S11)</f>
    </nc>
  </rcc>
  <rcc rId="4375" sId="10">
    <oc r="U11">
      <v>1</v>
    </oc>
    <nc r="U11"/>
  </rcc>
  <rcc rId="4376" sId="10">
    <oc r="V11">
      <v>4</v>
    </oc>
    <nc r="V11"/>
  </rcc>
  <rcc rId="4377" sId="10">
    <oc r="W11">
      <v>3</v>
    </oc>
    <nc r="W11"/>
  </rcc>
  <rcc rId="4378" sId="10">
    <oc r="X11">
      <v>3</v>
    </oc>
    <nc r="X11"/>
  </rcc>
  <rcc rId="4379" sId="10">
    <oc r="Y11">
      <v>3</v>
    </oc>
    <nc r="Y11"/>
  </rcc>
  <rcc rId="4380" sId="10">
    <oc r="Z11">
      <f>SUM(U11:Y11)</f>
    </oc>
    <nc r="Z11">
      <f>SUM(U11:Y11)</f>
    </nc>
  </rcc>
  <rcc rId="4381" sId="10">
    <oc r="AA11">
      <v>3</v>
    </oc>
    <nc r="AA11"/>
  </rcc>
  <rcc rId="4382" sId="10">
    <oc r="AB11">
      <v>2</v>
    </oc>
    <nc r="AB11"/>
  </rcc>
  <rcc rId="4383" sId="10">
    <oc r="AC11">
      <v>3</v>
    </oc>
    <nc r="AC11"/>
  </rcc>
  <rcc rId="4384" sId="10">
    <oc r="AD11">
      <v>1</v>
    </oc>
    <nc r="AD11"/>
  </rcc>
  <rcc rId="4385" sId="10">
    <oc r="AE11">
      <v>2</v>
    </oc>
    <nc r="AE11"/>
  </rcc>
  <rcc rId="4386" sId="10" odxf="1" dxf="1">
    <oc r="AF11">
      <f>SUM(AA11:AE11)</f>
    </oc>
    <nc r="AF11">
      <f>SUM(AA11:AE11)</f>
    </nc>
    <odxf>
      <border outline="0">
        <right style="thin">
          <color indexed="64"/>
        </right>
      </border>
    </odxf>
    <ndxf>
      <border outline="0">
        <right/>
      </border>
    </ndxf>
  </rcc>
  <rcc rId="4387" sId="10">
    <oc r="AL11">
      <f>SUM(AG11:AK11)</f>
    </oc>
    <nc r="AL11">
      <f>SUM(AG11:AK11)</f>
    </nc>
  </rcc>
  <rcc rId="4388" sId="10">
    <oc r="AM11">
      <v>3</v>
    </oc>
    <nc r="AM11"/>
  </rcc>
  <rcc rId="4389" sId="10">
    <oc r="AN11">
      <v>3</v>
    </oc>
    <nc r="AN11"/>
  </rcc>
  <rcc rId="4390" sId="10">
    <oc r="AO11">
      <v>3</v>
    </oc>
    <nc r="AO11"/>
  </rcc>
  <rcc rId="4391" sId="10">
    <oc r="AP11">
      <v>3</v>
    </oc>
    <nc r="AP11"/>
  </rcc>
  <rcc rId="4392" sId="10">
    <oc r="AR11">
      <f>SUM(AM11:AQ11)</f>
    </oc>
    <nc r="AR11">
      <f>SUM(AM11:AQ11)</f>
    </nc>
  </rcc>
  <rcc rId="4393" sId="10">
    <oc r="AS11">
      <v>4</v>
    </oc>
    <nc r="AS11"/>
  </rcc>
  <rcc rId="4394" sId="10">
    <oc r="AT11">
      <v>2</v>
    </oc>
    <nc r="AT11"/>
  </rcc>
  <rcc rId="4395" sId="10">
    <oc r="AU11">
      <v>3</v>
    </oc>
    <nc r="AU11"/>
  </rcc>
  <rcc rId="4396" sId="10">
    <oc r="AV11">
      <v>2</v>
    </oc>
    <nc r="AV11"/>
  </rcc>
  <rcc rId="4397" sId="10">
    <oc r="AX11">
      <f>SUM(AS11:AW11)</f>
    </oc>
    <nc r="AX11">
      <f>SUM(AS11:AW11)</f>
    </nc>
  </rcc>
  <rcc rId="4398" sId="10">
    <oc r="BD11">
      <f>SUM(AY11:BC11)</f>
    </oc>
    <nc r="BD11">
      <f>SUM(AY11:BC11)</f>
    </nc>
  </rcc>
  <rcc rId="4399" sId="10">
    <oc r="C12">
      <v>64</v>
    </oc>
    <nc r="C12"/>
  </rcc>
  <rcc rId="4400" sId="10">
    <oc r="D12">
      <v>41</v>
    </oc>
    <nc r="D12"/>
  </rcc>
  <rcc rId="4401" sId="10">
    <oc r="E12">
      <v>68</v>
    </oc>
    <nc r="E12"/>
  </rcc>
  <rcc rId="4402" sId="10">
    <oc r="F12">
      <v>50</v>
    </oc>
    <nc r="F12"/>
  </rcc>
  <rcc rId="4403" sId="10">
    <oc r="G12">
      <v>71</v>
    </oc>
    <nc r="G12"/>
  </rcc>
  <rcc rId="4404" sId="10">
    <oc r="H12">
      <f>SUM(C12:G12)</f>
    </oc>
    <nc r="H12">
      <f>SUM(C12:G12)</f>
    </nc>
  </rcc>
  <rcc rId="4405" sId="10">
    <oc r="I12">
      <v>68</v>
    </oc>
    <nc r="I12"/>
  </rcc>
  <rcc rId="4406" sId="10">
    <oc r="J12">
      <v>115</v>
    </oc>
    <nc r="J12"/>
  </rcc>
  <rcc rId="4407" sId="10">
    <oc r="K12">
      <v>82</v>
    </oc>
    <nc r="K12"/>
  </rcc>
  <rcc rId="4408" sId="10">
    <oc r="L12">
      <v>38</v>
    </oc>
    <nc r="L12"/>
  </rcc>
  <rcc rId="4409" sId="10">
    <oc r="M12">
      <v>67</v>
    </oc>
    <nc r="M12"/>
  </rcc>
  <rcc rId="4410" sId="10">
    <oc r="N12">
      <f>SUM(I12:M12)</f>
    </oc>
    <nc r="N12">
      <f>SUM(I12:M12)</f>
    </nc>
  </rcc>
  <rcc rId="4411" sId="10">
    <oc r="O12">
      <v>60</v>
    </oc>
    <nc r="O12"/>
  </rcc>
  <rcc rId="4412" sId="10">
    <oc r="P12">
      <v>54</v>
    </oc>
    <nc r="P12"/>
  </rcc>
  <rcc rId="4413" sId="10">
    <oc r="Q12">
      <v>18</v>
    </oc>
    <nc r="Q12"/>
  </rcc>
  <rcc rId="4414" sId="10" odxf="1" dxf="1">
    <oc r="R12" t="inlineStr">
      <is>
        <t>FERIADO</t>
      </is>
    </oc>
    <nc r="R12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415" sId="10" odxf="1" dxf="1">
    <oc r="S12" t="inlineStr">
      <is>
        <t>RECESSO</t>
      </is>
    </oc>
    <nc r="S12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416" sId="10">
    <oc r="T12">
      <f>SUM(O12:S12)</f>
    </oc>
    <nc r="T12">
      <f>SUM(O12:S12)</f>
    </nc>
  </rcc>
  <rcc rId="4417" sId="10">
    <oc r="U12">
      <v>25</v>
    </oc>
    <nc r="U12"/>
  </rcc>
  <rcc rId="4418" sId="10">
    <oc r="V12">
      <v>61</v>
    </oc>
    <nc r="V12"/>
  </rcc>
  <rcc rId="4419" sId="10">
    <oc r="W12">
      <v>36</v>
    </oc>
    <nc r="W12"/>
  </rcc>
  <rcc rId="4420" sId="10">
    <oc r="X12">
      <v>92</v>
    </oc>
    <nc r="X12"/>
  </rcc>
  <rcc rId="4421" sId="10">
    <oc r="Y12">
      <v>66</v>
    </oc>
    <nc r="Y12"/>
  </rcc>
  <rcc rId="4422" sId="10">
    <oc r="Z12">
      <f>SUM(U12:Y12)</f>
    </oc>
    <nc r="Z12">
      <f>SUM(U12:Y12)</f>
    </nc>
  </rcc>
  <rcc rId="4423" sId="10">
    <oc r="AA12">
      <v>66</v>
    </oc>
    <nc r="AA12"/>
  </rcc>
  <rcc rId="4424" sId="10">
    <oc r="AB12">
      <v>68</v>
    </oc>
    <nc r="AB12"/>
  </rcc>
  <rcc rId="4425" sId="10">
    <oc r="AC12">
      <v>77</v>
    </oc>
    <nc r="AC12"/>
  </rcc>
  <rcc rId="4426" sId="10">
    <oc r="AD12">
      <v>34</v>
    </oc>
    <nc r="AD12"/>
  </rcc>
  <rcc rId="4427" sId="10">
    <oc r="AE12">
      <v>71</v>
    </oc>
    <nc r="AE12"/>
  </rcc>
  <rcc rId="4428" sId="10" odxf="1" dxf="1">
    <oc r="AF12">
      <f>SUM(AA12:AE12)</f>
    </oc>
    <nc r="AF12">
      <f>SUM(AA12:AE12)</f>
    </nc>
    <odxf>
      <border outline="0">
        <right style="thin">
          <color indexed="64"/>
        </right>
      </border>
    </odxf>
    <ndxf>
      <border outline="0">
        <right/>
      </border>
    </ndxf>
  </rcc>
  <rcc rId="4429" sId="10">
    <oc r="AL12">
      <f>SUM(AG12:AK12)</f>
    </oc>
    <nc r="AL12">
      <f>SUM(AG12:AK12)</f>
    </nc>
  </rcc>
  <rcc rId="4430" sId="10">
    <oc r="AM12">
      <v>78</v>
    </oc>
    <nc r="AM12"/>
  </rcc>
  <rcc rId="4431" sId="10">
    <oc r="AN12">
      <v>43</v>
    </oc>
    <nc r="AN12"/>
  </rcc>
  <rcc rId="4432" sId="10">
    <oc r="AO12">
      <v>31</v>
    </oc>
    <nc r="AO12"/>
  </rcc>
  <rcc rId="4433" sId="10">
    <oc r="AP12">
      <v>40</v>
    </oc>
    <nc r="AP12"/>
  </rcc>
  <rcc rId="4434" sId="10">
    <oc r="AR12">
      <f>SUM(AM12:AQ12)</f>
    </oc>
    <nc r="AR12">
      <f>SUM(AM12:AQ12)</f>
    </nc>
  </rcc>
  <rcc rId="4435" sId="10">
    <oc r="AS12">
      <v>42</v>
    </oc>
    <nc r="AS12"/>
  </rcc>
  <rcc rId="4436" sId="10">
    <oc r="AT12">
      <v>68</v>
    </oc>
    <nc r="AT12"/>
  </rcc>
  <rcc rId="4437" sId="10">
    <oc r="AU12">
      <v>105</v>
    </oc>
    <nc r="AU12"/>
  </rcc>
  <rcc rId="4438" sId="10">
    <oc r="AV12">
      <v>68</v>
    </oc>
    <nc r="AV12"/>
  </rcc>
  <rcc rId="4439" sId="10">
    <oc r="AX12">
      <f>SUM(AS12:AW12)</f>
    </oc>
    <nc r="AX12">
      <f>SUM(AS12:AW12)</f>
    </nc>
  </rcc>
  <rcc rId="4440" sId="10">
    <oc r="BD12">
      <f>SUM(AY12:BC12)</f>
    </oc>
    <nc r="BD12">
      <f>SUM(AY12:BC12)</f>
    </nc>
  </rcc>
  <rcc rId="4441" sId="10">
    <oc r="H13">
      <f>SUM(C13:G13)</f>
    </oc>
    <nc r="H13">
      <f>SUM(C13:G13)</f>
    </nc>
  </rcc>
  <rcc rId="4442" sId="10">
    <oc r="N13">
      <f>SUM(I13:M13)</f>
    </oc>
    <nc r="N13">
      <f>SUM(I13:M13)</f>
    </nc>
  </rcc>
  <rcc rId="4443" sId="10" odxf="1" dxf="1">
    <oc r="R13" t="inlineStr">
      <is>
        <t>FERIADO</t>
      </is>
    </oc>
    <nc r="R13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444" sId="10" odxf="1" dxf="1">
    <oc r="S13" t="inlineStr">
      <is>
        <t>RECESSO</t>
      </is>
    </oc>
    <nc r="S13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445" sId="10">
    <oc r="T13">
      <f>SUM(O13:S13)</f>
    </oc>
    <nc r="T13">
      <f>SUM(O13:S13)</f>
    </nc>
  </rcc>
  <rcc rId="4446" sId="10">
    <oc r="Z13">
      <f>SUM(U13:Y13)</f>
    </oc>
    <nc r="Z13">
      <f>SUM(U13:Y13)</f>
    </nc>
  </rcc>
  <rcc rId="4447" sId="10" odxf="1" dxf="1">
    <oc r="AF13">
      <f>SUM(AA13:AE13)</f>
    </oc>
    <nc r="AF13">
      <f>SUM(AA13:AE13)</f>
    </nc>
    <odxf>
      <border outline="0">
        <right style="thin">
          <color indexed="64"/>
        </right>
      </border>
    </odxf>
    <ndxf>
      <border outline="0">
        <right/>
      </border>
    </ndxf>
  </rcc>
  <rcc rId="4448" sId="10">
    <oc r="AG13">
      <v>1</v>
    </oc>
    <nc r="AG13"/>
  </rcc>
  <rcc rId="4449" sId="10">
    <oc r="AJ13">
      <v>1</v>
    </oc>
    <nc r="AJ13"/>
  </rcc>
  <rcc rId="4450" sId="10">
    <oc r="AL13">
      <f>SUM(AG13:AK13)</f>
    </oc>
    <nc r="AL13">
      <f>SUM(AG13:AK13)</f>
    </nc>
  </rcc>
  <rcc rId="4451" sId="10">
    <oc r="AR13">
      <f>SUM(AM13:AQ13)</f>
    </oc>
    <nc r="AR13">
      <f>SUM(AM13:AQ13)</f>
    </nc>
  </rcc>
  <rcc rId="4452" sId="10">
    <oc r="AX13">
      <f>SUM(AS13:AW13)</f>
    </oc>
    <nc r="AX13">
      <f>SUM(AS13:AW13)</f>
    </nc>
  </rcc>
  <rcc rId="4453" sId="10">
    <oc r="BD13">
      <f>SUM(AY13:BC13)</f>
    </oc>
    <nc r="BD13">
      <f>SUM(AY13:BC13)</f>
    </nc>
  </rcc>
  <rcc rId="4454" sId="10">
    <oc r="H14">
      <f>SUM(C14:G14)</f>
    </oc>
    <nc r="H14">
      <f>SUM(C14:G14)</f>
    </nc>
  </rcc>
  <rcc rId="4455" sId="10">
    <oc r="N14">
      <f>SUM(I14:M14)</f>
    </oc>
    <nc r="N14">
      <f>SUM(I14:M14)</f>
    </nc>
  </rcc>
  <rcc rId="4456" sId="10" odxf="1" dxf="1">
    <oc r="R14" t="inlineStr">
      <is>
        <t>FERIADO</t>
      </is>
    </oc>
    <nc r="R14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457" sId="10" odxf="1" dxf="1">
    <oc r="S14" t="inlineStr">
      <is>
        <t>RECESSO</t>
      </is>
    </oc>
    <nc r="S14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458" sId="10">
    <oc r="T14">
      <f>SUM(O14:S14)</f>
    </oc>
    <nc r="T14">
      <f>SUM(O14:S14)</f>
    </nc>
  </rcc>
  <rcc rId="4459" sId="10">
    <oc r="Z14">
      <f>SUM(U14:Y14)</f>
    </oc>
    <nc r="Z14">
      <f>SUM(U14:Y14)</f>
    </nc>
  </rcc>
  <rcc rId="4460" sId="10" odxf="1" dxf="1">
    <oc r="AF14">
      <f>SUM(AA14:AE14)</f>
    </oc>
    <nc r="AF14">
      <f>SUM(AA14:AE14)</f>
    </nc>
    <odxf>
      <border outline="0">
        <right style="thin">
          <color indexed="64"/>
        </right>
      </border>
    </odxf>
    <ndxf>
      <border outline="0">
        <right/>
      </border>
    </ndxf>
  </rcc>
  <rcc rId="4461" sId="10">
    <oc r="AL14">
      <f>SUM(AG14:AK14)</f>
    </oc>
    <nc r="AL14">
      <f>SUM(AG14:AK14)</f>
    </nc>
  </rcc>
  <rcc rId="4462" sId="10">
    <oc r="AR14">
      <f>SUM(AM14:AQ14)</f>
    </oc>
    <nc r="AR14">
      <f>SUM(AM14:AQ14)</f>
    </nc>
  </rcc>
  <rcc rId="4463" sId="10">
    <oc r="AX14">
      <f>SUM(AS14:AW14)</f>
    </oc>
    <nc r="AX14">
      <f>SUM(AS14:AW14)</f>
    </nc>
  </rcc>
  <rcc rId="4464" sId="10">
    <oc r="BD14">
      <f>SUM(AY14:BC14)</f>
    </oc>
    <nc r="BD14">
      <f>SUM(AY14:BC14)</f>
    </nc>
  </rcc>
  <rcc rId="4465" sId="10">
    <oc r="H15">
      <f>SUM(C15:G15)</f>
    </oc>
    <nc r="H15">
      <f>SUM(C15:G15)</f>
    </nc>
  </rcc>
  <rcc rId="4466" sId="10">
    <oc r="N15">
      <f>SUM(I15:M15)</f>
    </oc>
    <nc r="N15">
      <f>SUM(I15:M15)</f>
    </nc>
  </rcc>
  <rcc rId="4467" sId="10" odxf="1" dxf="1">
    <oc r="R15" t="inlineStr">
      <is>
        <t>FERIADO</t>
      </is>
    </oc>
    <nc r="R15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468" sId="10" odxf="1" dxf="1">
    <oc r="S15" t="inlineStr">
      <is>
        <t>RECESSO</t>
      </is>
    </oc>
    <nc r="S15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469" sId="10">
    <oc r="T15">
      <f>SUM(O15:S15)</f>
    </oc>
    <nc r="T15">
      <f>SUM(O15:S15)</f>
    </nc>
  </rcc>
  <rcc rId="4470" sId="10">
    <oc r="U15">
      <v>1</v>
    </oc>
    <nc r="U15"/>
  </rcc>
  <rcc rId="4471" sId="10">
    <oc r="V15">
      <v>4</v>
    </oc>
    <nc r="V15"/>
  </rcc>
  <rcc rId="4472" sId="10">
    <oc r="W15">
      <v>3</v>
    </oc>
    <nc r="W15"/>
  </rcc>
  <rcc rId="4473" sId="10">
    <oc r="X15">
      <v>3</v>
    </oc>
    <nc r="X15"/>
  </rcc>
  <rcc rId="4474" sId="10">
    <oc r="Y15">
      <v>3</v>
    </oc>
    <nc r="Y15"/>
  </rcc>
  <rcc rId="4475" sId="10">
    <oc r="Z15">
      <f>SUM(U15:Y15)</f>
    </oc>
    <nc r="Z15">
      <f>SUM(U15:Y15)</f>
    </nc>
  </rcc>
  <rcc rId="4476" sId="10">
    <oc r="AA15">
      <v>3</v>
    </oc>
    <nc r="AA15"/>
  </rcc>
  <rcc rId="4477" sId="10">
    <oc r="AB15">
      <v>2</v>
    </oc>
    <nc r="AB15"/>
  </rcc>
  <rcc rId="4478" sId="10">
    <oc r="AC15">
      <v>3</v>
    </oc>
    <nc r="AC15"/>
  </rcc>
  <rcc rId="4479" sId="10">
    <oc r="AD15">
      <v>1</v>
    </oc>
    <nc r="AD15"/>
  </rcc>
  <rcc rId="4480" sId="10">
    <oc r="AE15">
      <v>2</v>
    </oc>
    <nc r="AE15"/>
  </rcc>
  <rcc rId="4481" sId="10" odxf="1" dxf="1">
    <oc r="AF15">
      <f>SUM(AA15:AE15)</f>
    </oc>
    <nc r="AF15">
      <f>SUM(AA15:AE15)</f>
    </nc>
    <odxf>
      <border outline="0">
        <right style="thin">
          <color indexed="64"/>
        </right>
      </border>
    </odxf>
    <ndxf>
      <border outline="0">
        <right/>
      </border>
    </ndxf>
  </rcc>
  <rcc rId="4482" sId="10">
    <oc r="AL15">
      <f>SUM(AG15:AK15)</f>
    </oc>
    <nc r="AL15">
      <f>SUM(AG15:AK15)</f>
    </nc>
  </rcc>
  <rcc rId="4483" sId="10">
    <oc r="AR15">
      <f>SUM(AM15:AQ15)</f>
    </oc>
    <nc r="AR15">
      <f>SUM(AM15:AQ15)</f>
    </nc>
  </rcc>
  <rcc rId="4484" sId="10">
    <oc r="AV15">
      <v>7</v>
    </oc>
    <nc r="AV15"/>
  </rcc>
  <rcc rId="4485" sId="10">
    <oc r="AX15">
      <f>SUM(AS15:AW15)</f>
    </oc>
    <nc r="AX15">
      <f>SUM(AS15:AW15)</f>
    </nc>
  </rcc>
  <rcc rId="4486" sId="10">
    <oc r="BD15">
      <f>SUM(AY15:BC15)</f>
    </oc>
    <nc r="BD15">
      <f>SUM(AY15:BC15)</f>
    </nc>
  </rcc>
  <rfmt sheetId="10" sqref="F16" start="0" length="0">
    <dxf>
      <numFmt numFmtId="3" formatCode="#,##0"/>
    </dxf>
  </rfmt>
  <rfmt sheetId="10" sqref="G16" start="0" length="0">
    <dxf>
      <numFmt numFmtId="3" formatCode="#,##0"/>
    </dxf>
  </rfmt>
  <rcc rId="4487" sId="10">
    <oc r="H16">
      <f>SUM(C16:G16)</f>
    </oc>
    <nc r="H16">
      <f>SUM(C16:G16)</f>
    </nc>
  </rcc>
  <rfmt sheetId="10" sqref="I16" start="0" length="0">
    <dxf>
      <numFmt numFmtId="3" formatCode="#,##0"/>
    </dxf>
  </rfmt>
  <rcc rId="4488" sId="10">
    <oc r="N16">
      <f>SUM(I16:M16)</f>
    </oc>
    <nc r="N16">
      <f>SUM(I16:M16)</f>
    </nc>
  </rcc>
  <rcc rId="4489" sId="10" odxf="1" dxf="1">
    <oc r="R16" t="inlineStr">
      <is>
        <t>FERIADO</t>
      </is>
    </oc>
    <nc r="R16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490" sId="10" odxf="1" dxf="1">
    <oc r="S16" t="inlineStr">
      <is>
        <t>RECESSO</t>
      </is>
    </oc>
    <nc r="S16"/>
    <odxf>
      <font>
        <b/>
        <sz val="10"/>
      </font>
    </odxf>
    <ndxf>
      <font>
        <b val="0"/>
        <sz val="11"/>
        <color theme="1"/>
        <name val="Aptos Narrow"/>
        <family val="2"/>
        <scheme val="minor"/>
      </font>
    </ndxf>
  </rcc>
  <rcc rId="4491" sId="10">
    <oc r="T16">
      <f>SUM(O16:S16)</f>
    </oc>
    <nc r="T16">
      <f>SUM(O16:S16)</f>
    </nc>
  </rcc>
  <rcc rId="4492" sId="10">
    <oc r="Z16">
      <f>SUM(U16:Y16)</f>
    </oc>
    <nc r="Z16">
      <f>SUM(U16:Y16)</f>
    </nc>
  </rcc>
  <rcc rId="4493" sId="10" odxf="1" dxf="1">
    <oc r="AF16">
      <f>SUM(AA16:AE16)</f>
    </oc>
    <nc r="AF16">
      <f>SUM(AA16:AE16)</f>
    </nc>
    <odxf>
      <border outline="0">
        <right style="thin">
          <color indexed="64"/>
        </right>
      </border>
    </odxf>
    <ndxf>
      <border outline="0">
        <right/>
      </border>
    </ndxf>
  </rcc>
  <rcc rId="4494" sId="10" odxf="1" dxf="1">
    <oc r="AL16">
      <f>SUM(AG16:AK16)</f>
    </oc>
    <nc r="AL16">
      <f>SUM(AG16:AK16)</f>
    </nc>
    <odxf>
      <border outline="0">
        <bottom/>
      </border>
    </odxf>
    <ndxf>
      <border outline="0">
        <bottom style="thin">
          <color indexed="64"/>
        </bottom>
      </border>
    </ndxf>
  </rcc>
  <rcc rId="4495" sId="10">
    <oc r="AO16">
      <v>227</v>
    </oc>
    <nc r="AO16"/>
  </rcc>
  <rcc rId="4496" sId="10">
    <oc r="AP16">
      <v>264</v>
    </oc>
    <nc r="AP16"/>
  </rcc>
  <rcc rId="4497" sId="10">
    <oc r="AQ16">
      <v>1235</v>
    </oc>
    <nc r="AQ16"/>
  </rcc>
  <rcc rId="4498" sId="10" odxf="1" dxf="1">
    <oc r="AR16">
      <f>SUM(AM16:AQ16)</f>
    </oc>
    <nc r="AR16">
      <f>SUM(AM16:AQ16)</f>
    </nc>
    <odxf>
      <border outline="0">
        <bottom/>
      </border>
    </odxf>
    <ndxf>
      <border outline="0">
        <bottom style="thin">
          <color indexed="64"/>
        </bottom>
      </border>
    </ndxf>
  </rcc>
  <rcc rId="4499" sId="10">
    <oc r="AW16">
      <v>6</v>
    </oc>
    <nc r="AW16"/>
  </rcc>
  <rcc rId="4500" sId="10" odxf="1" dxf="1">
    <oc r="AX16">
      <f>SUM(AS16:AW16)</f>
    </oc>
    <nc r="AX16">
      <f>SUM(AS16:AW16)</f>
    </nc>
    <odxf>
      <border outline="0">
        <bottom/>
      </border>
    </odxf>
    <ndxf>
      <border outline="0">
        <bottom style="thin">
          <color indexed="64"/>
        </bottom>
      </border>
    </ndxf>
  </rcc>
  <rcc rId="4501" sId="10" odxf="1" dxf="1">
    <oc r="BD16">
      <f>SUM(AY16:BC16)</f>
    </oc>
    <nc r="BD16">
      <f>SUM(AY16:BC16)</f>
    </nc>
    <odxf>
      <border outline="0">
        <bottom/>
      </border>
    </odxf>
    <ndxf>
      <border outline="0">
        <bottom style="thin">
          <color indexed="64"/>
        </bottom>
      </border>
    </ndxf>
  </rcc>
  <rfmt sheetId="10" sqref="I17" start="0" length="0">
    <dxf>
      <alignment wrapText="1"/>
    </dxf>
  </rfmt>
  <rfmt sheetId="10" sqref="J17" start="0" length="0">
    <dxf>
      <alignment wrapText="1"/>
    </dxf>
  </rfmt>
  <rfmt sheetId="10" sqref="O17" start="0" length="0">
    <dxf>
      <alignment wrapText="1"/>
    </dxf>
  </rfmt>
  <rfmt sheetId="10" sqref="Q17" start="0" length="0">
    <dxf>
      <alignment wrapText="1"/>
    </dxf>
  </rfmt>
  <rfmt sheetId="10" sqref="R17" start="0" length="0">
    <dxf>
      <alignment wrapText="1"/>
    </dxf>
  </rfmt>
  <rfmt sheetId="10" sqref="U17" start="0" length="0">
    <dxf>
      <alignment wrapText="1"/>
    </dxf>
  </rfmt>
  <rfmt sheetId="10" sqref="V17" start="0" length="0">
    <dxf>
      <alignment wrapText="1"/>
    </dxf>
  </rfmt>
  <rfmt sheetId="10" sqref="W17" start="0" length="0">
    <dxf>
      <alignment wrapText="1"/>
    </dxf>
  </rfmt>
  <rfmt sheetId="10" sqref="AA17" start="0" length="0">
    <dxf>
      <alignment wrapText="1"/>
    </dxf>
  </rfmt>
  <rcc rId="4502" sId="10">
    <oc r="AD17" t="inlineStr">
      <is>
        <t xml:space="preserve">PROCURANDO CAIXAS DA CGEOF/SESAN </t>
      </is>
    </oc>
    <nc r="AD17"/>
  </rcc>
  <rcc rId="4503" sId="10">
    <oc r="AG17" t="inlineStr">
      <is>
        <t>Consolidação da Planilha do ARCEM
(Em andamento)</t>
      </is>
    </oc>
    <nc r="AG17"/>
  </rcc>
  <rcc rId="4504" sId="10" odxf="1" dxf="1">
    <oc r="AH17" t="inlineStr">
      <is>
        <t>Consolidação da Planilha do ARCEM
(Em andamento)</t>
      </is>
    </oc>
    <nc r="AH17"/>
    <odxf>
      <alignment wrapText="1"/>
    </odxf>
    <ndxf>
      <alignment wrapText="0"/>
    </ndxf>
  </rcc>
  <rcc rId="4505" sId="10" odxf="1" dxf="1">
    <oc r="AI17" t="inlineStr">
      <is>
        <t>Consolidação da Planilha do ARCEM
(Em andamento)</t>
      </is>
    </oc>
    <nc r="AI17"/>
    <odxf>
      <alignment wrapText="1"/>
    </odxf>
    <ndxf>
      <alignment wrapText="0"/>
    </ndxf>
  </rcc>
  <rcc rId="4506" sId="10" odxf="1" dxf="1">
    <oc r="AJ17" t="inlineStr">
      <is>
        <t>Consolidação da Planilha do ARCEM
(Em andamento)</t>
      </is>
    </oc>
    <nc r="AJ17"/>
    <odxf>
      <alignment wrapText="1"/>
    </odxf>
    <ndxf>
      <alignment wrapText="0"/>
    </ndxf>
  </rcc>
  <rcc rId="4507" sId="10">
    <oc r="AK17" t="inlineStr">
      <is>
        <t>EVENTO
FESTA 
JULINA</t>
      </is>
    </oc>
    <nc r="AK17"/>
  </rcc>
  <rcc rId="4508" sId="10">
    <oc r="AM17" t="inlineStr">
      <is>
        <t>Preenchimento de planilha com inventário de microfilmes/audiovisual</t>
      </is>
    </oc>
    <nc r="AM17"/>
  </rcc>
  <rcc rId="4509" sId="10" odxf="1" dxf="1">
    <oc r="AN17" t="inlineStr">
      <is>
        <t>Preenchimento de planilha com inventário de microfilmes/audiovisual</t>
      </is>
    </oc>
    <nc r="AN17"/>
    <odxf>
      <alignment wrapText="1"/>
    </odxf>
    <ndxf>
      <alignment wrapText="0"/>
    </ndxf>
  </rcc>
  <rcc rId="4510" sId="10" odxf="1" dxf="1">
    <oc r="AO17" t="inlineStr">
      <is>
        <t>caixa remanejadas pra identificação se faz parte Microfilmagens/LBA
E
Preenchimento de planilha com inventário de microfilmes/audiovisual</t>
      </is>
    </oc>
    <nc r="AO17"/>
    <odxf>
      <alignment wrapText="1"/>
    </odxf>
    <ndxf>
      <alignment wrapText="0"/>
    </ndxf>
  </rcc>
  <rcc rId="4511" sId="10" odxf="1" dxf="1">
    <oc r="AP17" t="inlineStr">
      <is>
        <t>caixa remanejadas pra identificação se faz parte Microfilmagens/LBA
E
Preenchimento de planilha com inventário de microfilmes/audiovisual</t>
      </is>
    </oc>
    <nc r="AP17"/>
    <odxf>
      <alignment wrapText="1"/>
    </odxf>
    <ndxf>
      <alignment wrapText="0"/>
    </ndxf>
  </rcc>
  <rcc rId="4512" sId="10" odxf="1" dxf="1">
    <oc r="AQ17" t="inlineStr">
      <is>
        <t>caixa remanejadas pra identificação se faz parte Microfilmagens/LBA
E
Preenchimento de planilha com inventário de microfilmes/audiovisual</t>
      </is>
    </oc>
    <nc r="AQ17"/>
    <odxf>
      <alignment wrapText="1"/>
    </odxf>
    <ndxf>
      <alignment wrapText="0"/>
    </ndxf>
  </rcc>
  <rcc rId="4513" sId="10">
    <oc r="AS17" t="inlineStr">
      <is>
        <t>Preenchimento de planilha com inventário de microfilmes/audiovisual</t>
      </is>
    </oc>
    <nc r="AS17"/>
  </rcc>
  <rcc rId="4514" sId="10">
    <oc r="AT17" t="inlineStr">
      <is>
        <t>Preenchimento de planilha com inventário de microfilmes/audiovisual</t>
      </is>
    </oc>
    <nc r="AT17"/>
  </rcc>
  <rcc rId="4515" sId="10" odxf="1" dxf="1">
    <oc r="AU17" t="inlineStr">
      <is>
        <t>Preenchimento de planilha com inventário de microfilmes/audiovisual</t>
      </is>
    </oc>
    <nc r="AU17"/>
    <odxf>
      <alignment wrapText="1"/>
    </odxf>
    <ndxf>
      <alignment wrapText="0"/>
    </ndxf>
  </rcc>
  <rcc rId="4516" sId="10">
    <oc r="AV17" t="inlineStr">
      <is>
        <t>Preenchimento de planilha com inventário de microfilmes/audiovisual</t>
      </is>
    </oc>
    <nc r="AV17"/>
  </rcc>
  <rcc rId="4517" sId="10" odxf="1" dxf="1">
    <oc r="AW17" t="inlineStr">
      <is>
        <t xml:space="preserve">  Pesquisa e busca por processo 
referente ao  214/95 (SIAFI nº 138116)
FUNDESPORTE.
23132.000438/95-22.
Total: 13 caixas.
</t>
      </is>
    </oc>
    <nc r="AW17"/>
    <o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border outline="0">
        <left/>
        <right/>
        <top/>
        <bottom/>
      </border>
    </ndxf>
  </rcc>
  <rcc rId="4518" sId="10" odxf="1" dxf="1">
    <oc r="AY17" t="inlineStr">
      <is>
        <r>
          <t xml:space="preserve">Revisão planilha do Inventário do </t>
        </r>
        <r>
          <rPr>
            <b/>
            <sz val="11"/>
            <color theme="1"/>
            <rFont val="Aptos Narrow"/>
            <family val="2"/>
          </rPr>
          <t>ARCEN</t>
        </r>
      </is>
    </oc>
    <nc r="AY17"/>
    <odxf>
      <alignment wrapText="1"/>
    </odxf>
    <ndxf>
      <alignment wrapText="0"/>
    </ndxf>
  </rcc>
  <rcc rId="4519" sId="10">
    <oc r="AZ17" t="inlineStr">
      <is>
        <r>
          <t>Continuação Revisão planilha do Inventário do</t>
        </r>
        <r>
          <rPr>
            <b/>
            <sz val="11"/>
            <color theme="1"/>
            <rFont val="Aptos Narrow"/>
            <family val="2"/>
          </rPr>
          <t xml:space="preserve"> ARCEN</t>
        </r>
        <r>
          <rPr>
            <sz val="11"/>
            <color theme="1"/>
            <rFont val="Aptos Narrow"/>
            <family val="2"/>
          </rPr>
          <t xml:space="preserve">
e Consolidação auxílio do Marcelo</t>
        </r>
      </is>
    </oc>
    <nc r="AZ17"/>
  </rcc>
  <rcc rId="4520" sId="10" odxf="1" dxf="1">
    <oc r="BA17" t="inlineStr">
      <is>
        <r>
          <t>Continuação Revisão planilha do Inventário do</t>
        </r>
        <r>
          <rPr>
            <b/>
            <sz val="11"/>
            <color theme="1"/>
            <rFont val="Aptos Narrow"/>
            <family val="2"/>
          </rPr>
          <t xml:space="preserve"> ARCEN</t>
        </r>
        <r>
          <rPr>
            <sz val="11"/>
            <color theme="1"/>
            <rFont val="Aptos Narrow"/>
            <family val="2"/>
          </rPr>
          <t xml:space="preserve">
e Consolidação auxílio do Marcelo</t>
        </r>
      </is>
    </oc>
    <nc r="BA17"/>
    <odxf>
      <alignment wrapText="1"/>
    </odxf>
    <ndxf>
      <alignment wrapText="0"/>
    </ndxf>
  </rcc>
  <rcc rId="4521" sId="10" odxf="1" dxf="1">
    <oc r="BB17" t="inlineStr">
      <is>
        <r>
          <t>Continuação Revisão planilha do Inventário do</t>
        </r>
        <r>
          <rPr>
            <b/>
            <sz val="11"/>
            <color theme="1"/>
            <rFont val="Aptos Narrow"/>
            <family val="2"/>
          </rPr>
          <t xml:space="preserve"> ARCEN</t>
        </r>
        <r>
          <rPr>
            <sz val="11"/>
            <color theme="1"/>
            <rFont val="Aptos Narrow"/>
            <family val="2"/>
          </rPr>
          <t xml:space="preserve">
e Consolidação auxílio do Marcelo</t>
        </r>
      </is>
    </oc>
    <nc r="BB17"/>
    <odxf>
      <alignment wrapText="1"/>
    </odxf>
    <ndxf>
      <alignment wrapText="0"/>
    </ndxf>
  </rcc>
  <rfmt sheetId="10" sqref="A18" start="0" length="0">
    <dxf>
      <alignment vertical="center" textRotation="0"/>
    </dxf>
  </rfmt>
  <rcc rId="4522" sId="10" odxf="1" dxf="1">
    <oc r="D18" t="inlineStr">
      <is>
        <t>Lanche apresentação sala DIPRO</t>
      </is>
    </oc>
    <nc r="D18"/>
    <odxf>
      <alignment wrapText="1"/>
    </odxf>
    <ndxf>
      <alignment wrapText="0"/>
    </ndxf>
  </rcc>
  <rcc rId="4523" sId="10" odxf="1" dxf="1">
    <oc r="F18" t="inlineStr">
      <is>
        <t>Ajuda na procura processo no Acervo do MESP</t>
      </is>
    </oc>
    <nc r="F18"/>
    <odxf>
      <alignment wrapText="1"/>
    </odxf>
    <ndxf>
      <alignment wrapText="0"/>
    </ndxf>
  </rcc>
  <rfmt sheetId="10" sqref="G18" start="0" length="0">
    <dxf>
      <alignment wrapText="0"/>
    </dxf>
  </rfmt>
  <rfmt sheetId="10" sqref="J18" start="0" length="0">
    <dxf>
      <alignment wrapText="1"/>
    </dxf>
  </rfmt>
  <rcc rId="4524" sId="10">
    <oc r="Q18" t="inlineStr">
      <is>
        <t>Almoço com a Equipe</t>
      </is>
    </oc>
    <nc r="Q18"/>
  </rcc>
  <rfmt sheetId="10" sqref="U18" start="0" length="0">
    <dxf>
      <alignment wrapText="1"/>
    </dxf>
  </rfmt>
  <rfmt sheetId="10" sqref="W18" start="0" length="0">
    <dxf>
      <alignment wrapText="1"/>
    </dxf>
  </rfmt>
  <rfmt sheetId="10" sqref="X18" start="0" length="0">
    <dxf>
      <alignment wrapText="1"/>
    </dxf>
  </rfmt>
  <rfmt sheetId="10" sqref="Y18" start="0" length="0">
    <dxf>
      <alignment wrapText="1"/>
    </dxf>
  </rfmt>
  <rfmt sheetId="10" sqref="Z18" start="0" length="0">
    <dxf>
      <alignment wrapText="1"/>
    </dxf>
  </rfmt>
  <rfmt sheetId="10" sqref="AA18" start="0" length="0">
    <dxf>
      <alignment wrapText="1"/>
    </dxf>
  </rfmt>
  <rfmt sheetId="10" sqref="AB18" start="0" length="0">
    <dxf>
      <alignment wrapText="1"/>
    </dxf>
  </rfmt>
  <rfmt sheetId="10" sqref="AC18" start="0" length="0">
    <dxf>
      <alignment wrapText="1"/>
    </dxf>
  </rfmt>
  <rfmt sheetId="10" sqref="AD18" start="0" length="0">
    <dxf>
      <alignment wrapText="1"/>
    </dxf>
  </rfmt>
  <rfmt sheetId="10" sqref="AE18" start="0" length="0">
    <dxf>
      <alignment wrapText="1"/>
    </dxf>
  </rfmt>
  <rfmt sheetId="10" sqref="AG18" start="0" length="0">
    <dxf>
      <alignment wrapText="1"/>
    </dxf>
  </rfmt>
  <rfmt sheetId="10" sqref="AH18" start="0" length="0">
    <dxf>
      <alignment wrapText="1"/>
    </dxf>
  </rfmt>
  <rfmt sheetId="10" sqref="AJ18" start="0" length="0">
    <dxf>
      <alignment wrapText="1"/>
    </dxf>
  </rfmt>
  <rfmt sheetId="10" sqref="AK18" start="0" length="0">
    <dxf>
      <alignment wrapText="1"/>
    </dxf>
  </rfmt>
  <rfmt sheetId="10" sqref="AN18" start="0" length="0">
    <dxf>
      <alignment wrapText="1"/>
    </dxf>
  </rfmt>
  <rfmt sheetId="10" sqref="AO18" start="0" length="0">
    <dxf>
      <alignment wrapText="1"/>
    </dxf>
  </rfmt>
  <rfmt sheetId="10" sqref="AP18" start="0" length="0">
    <dxf>
      <alignment wrapText="1"/>
    </dxf>
  </rfmt>
  <rfmt sheetId="10" sqref="AQ18" start="0" length="0">
    <dxf>
      <alignment wrapText="1"/>
    </dxf>
  </rfmt>
  <rfmt sheetId="10" sqref="AT18" start="0" length="0">
    <dxf>
      <alignment wrapText="1"/>
    </dxf>
  </rfmt>
  <rfmt sheetId="10" sqref="AU18" start="0" length="0">
    <dxf>
      <alignment wrapText="1"/>
    </dxf>
  </rfmt>
  <rfmt sheetId="10" sqref="AW18" start="0" length="0">
    <dxf>
      <alignment wrapText="1"/>
    </dxf>
  </rfmt>
  <rfmt sheetId="10" sqref="AY18" start="0" length="0">
    <dxf>
      <alignment wrapText="1"/>
    </dxf>
  </rfmt>
  <rfmt sheetId="10" sqref="AZ18" start="0" length="0">
    <dxf>
      <alignment wrapText="1"/>
    </dxf>
  </rfmt>
  <rfmt sheetId="10" sqref="BA18" start="0" length="0">
    <dxf>
      <alignment wrapText="1"/>
    </dxf>
  </rfmt>
  <rfmt sheetId="10" sqref="BB18" start="0" length="0">
    <dxf>
      <alignment wrapText="1"/>
    </dxf>
  </rfmt>
  <rcc rId="4525" sId="3">
    <oc r="C1" t="inlineStr">
      <is>
        <t xml:space="preserve">02/06 a 06/06/2025 </t>
      </is>
    </oc>
    <nc r="C1"/>
  </rcc>
  <rcc rId="4526" sId="3">
    <oc r="D1" t="inlineStr">
      <is>
        <t xml:space="preserve">09/06 a 13/06/2025 </t>
      </is>
    </oc>
    <nc r="D1"/>
  </rcc>
  <rcc rId="4527" sId="3">
    <oc r="E1" t="inlineStr">
      <is>
        <t xml:space="preserve">16/06 a 20/06/2025 </t>
      </is>
    </oc>
    <nc r="E1"/>
  </rcc>
  <rcc rId="4528" sId="3">
    <oc r="F1" t="inlineStr">
      <is>
        <t xml:space="preserve">23/06 a 27/06/2025 </t>
      </is>
    </oc>
    <nc r="F1"/>
  </rcc>
  <rcc rId="4529" sId="3">
    <oc r="G1" t="inlineStr">
      <is>
        <t xml:space="preserve">30/06 a 04/07/2025 </t>
      </is>
    </oc>
    <nc r="G1"/>
  </rcc>
  <rcc rId="4530" sId="3">
    <oc r="H1" t="inlineStr">
      <is>
        <t xml:space="preserve">07/07 a 11/07/2025 </t>
      </is>
    </oc>
    <nc r="H1"/>
  </rcc>
  <rcc rId="4531" sId="3">
    <oc r="I1" t="inlineStr">
      <is>
        <t xml:space="preserve">14/07 a 18/07/2025 </t>
      </is>
    </oc>
    <nc r="I1"/>
  </rcc>
  <rcc rId="4532" sId="3">
    <oc r="J1" t="inlineStr">
      <is>
        <t xml:space="preserve">21/07 a 25/07/2025 </t>
      </is>
    </oc>
    <nc r="J1"/>
  </rcc>
  <rcc rId="4533" sId="3">
    <oc r="K1" t="inlineStr">
      <is>
        <t xml:space="preserve">28/07 a 1/08/2025 </t>
      </is>
    </oc>
    <nc r="K1"/>
  </rcc>
</revisions>
</file>

<file path=xl/revisions/revisionLog1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34" sId="4" xfDxf="1" dxf="1">
    <nc r="C17" t="inlineStr">
      <is>
        <t xml:space="preserve"> Procura de caixas para 
eliminação.</t>
      </is>
    </nc>
    <ndxf>
      <alignment horizontal="center" vertical="center" wrapText="1"/>
    </ndxf>
  </rcc>
  <rcc rId="4535" sId="4" xfDxf="1" dxf="1">
    <nc r="D17" t="inlineStr">
      <is>
        <t xml:space="preserve"> Procura de caixas para 
eliminação.</t>
      </is>
    </nc>
    <ndxf>
      <alignment horizontal="center" vertical="center" wrapText="1"/>
    </ndxf>
  </rcc>
  <rcc rId="4536" sId="4" xfDxf="1" dxf="1">
    <nc r="E17" t="inlineStr">
      <is>
        <t xml:space="preserve"> Procura de caixas para 
eliminação.</t>
      </is>
    </nc>
    <ndxf>
      <alignment horizontal="center" vertical="center" wrapText="1"/>
    </ndxf>
  </rcc>
  <rcc rId="4537" sId="4" xfDxf="1" dxf="1">
    <nc r="F17" t="inlineStr">
      <is>
        <t xml:space="preserve"> Procura de caixas para 
eliminação.</t>
      </is>
    </nc>
    <ndxf>
      <alignment horizontal="center" vertical="center" wrapText="1"/>
    </ndxf>
  </rcc>
  <rcc rId="4538" sId="4" xfDxf="1" dxf="1">
    <nc r="G17" t="inlineStr">
      <is>
        <t xml:space="preserve"> Procura de caixas para 
eliminação.</t>
      </is>
    </nc>
    <ndxf>
      <alignment horizontal="center" vertical="center" wrapText="1"/>
    </ndxf>
  </rcc>
  <rcc rId="4539" sId="4" xfDxf="1" dxf="1">
    <nc r="I17" t="inlineStr">
      <is>
        <t xml:space="preserve"> Procura de caixas para 
eliminação.</t>
      </is>
    </nc>
    <ndxf>
      <alignment horizontal="center" vertical="center" wrapText="1"/>
    </ndxf>
  </rcc>
  <rcc rId="4540" sId="4" xfDxf="1" dxf="1">
    <nc r="J17" t="inlineStr">
      <is>
        <t xml:space="preserve"> Procura de caixas para 
eliminação.</t>
      </is>
    </nc>
    <ndxf>
      <alignment horizontal="center" vertical="center" wrapText="1"/>
    </ndxf>
  </rcc>
  <rcc rId="4541" sId="4" xfDxf="1" dxf="1">
    <nc r="K17" t="inlineStr">
      <is>
        <t xml:space="preserve"> Procura de caixas para 
eliminação.</t>
      </is>
    </nc>
    <ndxf>
      <alignment horizontal="center" vertical="center" wrapText="1"/>
    </ndxf>
  </rcc>
  <rfmt sheetId="4" sqref="L17" start="0" length="0">
    <dxf>
      <alignment wrapText="1"/>
    </dxf>
  </rfmt>
  <rfmt sheetId="4" xfDxf="1" sqref="L17" start="0" length="0">
    <dxf>
      <alignment horizontal="center" vertical="center" wrapText="1"/>
    </dxf>
  </rfmt>
  <rcc rId="4542" sId="4">
    <nc r="L18" t="inlineStr">
      <is>
        <t xml:space="preserve">procurando processo solicitado </t>
      </is>
    </nc>
  </rcc>
  <rfmt sheetId="4" sqref="L18">
    <dxf>
      <alignment wrapText="1"/>
    </dxf>
  </rfmt>
  <rcc rId="4543" sId="4" odxf="1" dxf="1">
    <nc r="K18" t="inlineStr">
      <is>
        <t xml:space="preserve">procurando processo solicitado </t>
      </is>
    </nc>
    <odxf>
      <alignment wrapText="0"/>
    </odxf>
    <ndxf>
      <alignment wrapText="1"/>
    </ndxf>
  </rcc>
  <rcc rId="4544" sId="4">
    <nc r="J18" t="inlineStr">
      <is>
        <t xml:space="preserve">procurando processo solicitado </t>
      </is>
    </nc>
  </rcc>
  <rcc rId="4545" sId="4">
    <nc r="L17" t="inlineStr">
      <is>
        <t xml:space="preserve"> Inventário de fotos  LBA</t>
      </is>
    </nc>
  </rcc>
  <rcc rId="4546" sId="4">
    <nc r="M17" t="inlineStr">
      <is>
        <t xml:space="preserve"> Inventário de fotos  LBA</t>
      </is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1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C2" start="0" length="0">
    <dxf>
      <border outline="0">
        <left/>
      </border>
    </dxf>
  </rfmt>
  <rfmt sheetId="5" sqref="F2" start="0" length="0">
    <dxf>
      <fill>
        <patternFill patternType="solid">
          <bgColor theme="6" tint="0.79998168889431442"/>
        </patternFill>
      </fill>
    </dxf>
  </rfmt>
  <rfmt sheetId="5" sqref="C3" start="0" length="0">
    <dxf>
      <border outline="0">
        <left/>
      </border>
    </dxf>
  </rfmt>
  <rfmt sheetId="5" sqref="F3" start="0" length="0">
    <dxf>
      <fill>
        <patternFill patternType="solid">
          <bgColor theme="6" tint="0.79998168889431442"/>
        </patternFill>
      </fill>
    </dxf>
  </rfmt>
  <rfmt sheetId="5" sqref="C4" start="0" length="0">
    <dxf>
      <border outline="0">
        <left/>
      </border>
    </dxf>
  </rfmt>
  <rfmt sheetId="5" sqref="F4" start="0" length="0">
    <dxf>
      <fill>
        <patternFill patternType="solid">
          <bgColor theme="6" tint="0.79998168889431442"/>
        </patternFill>
      </fill>
    </dxf>
  </rfmt>
  <rfmt sheetId="5" sqref="C5" start="0" length="0">
    <dxf>
      <border outline="0">
        <left/>
      </border>
    </dxf>
  </rfmt>
  <rfmt sheetId="5" sqref="F5" start="0" length="0">
    <dxf>
      <fill>
        <patternFill patternType="solid">
          <bgColor theme="6" tint="0.79998168889431442"/>
        </patternFill>
      </fill>
    </dxf>
  </rfmt>
  <rfmt sheetId="5" sqref="C6" start="0" length="0">
    <dxf>
      <border outline="0">
        <left/>
      </border>
    </dxf>
  </rfmt>
  <rfmt sheetId="5" sqref="F6" start="0" length="0">
    <dxf>
      <fill>
        <patternFill patternType="solid">
          <bgColor theme="6" tint="0.79998168889431442"/>
        </patternFill>
      </fill>
    </dxf>
  </rfmt>
  <rfmt sheetId="5" sqref="C7" start="0" length="0">
    <dxf>
      <border outline="0">
        <left/>
      </border>
    </dxf>
  </rfmt>
  <rfmt sheetId="5" sqref="F7" start="0" length="0">
    <dxf>
      <fill>
        <patternFill patternType="solid">
          <bgColor theme="6" tint="0.79998168889431442"/>
        </patternFill>
      </fill>
    </dxf>
  </rfmt>
  <rfmt sheetId="5" sqref="C8" start="0" length="0">
    <dxf>
      <border outline="0">
        <left/>
      </border>
    </dxf>
  </rfmt>
  <rfmt sheetId="5" sqref="F8" start="0" length="0">
    <dxf>
      <fill>
        <patternFill patternType="solid">
          <bgColor theme="6" tint="0.79998168889431442"/>
        </patternFill>
      </fill>
    </dxf>
  </rfmt>
  <rfmt sheetId="5" sqref="C9" start="0" length="0">
    <dxf>
      <border outline="0">
        <left/>
      </border>
    </dxf>
  </rfmt>
  <rfmt sheetId="5" sqref="F9" start="0" length="0">
    <dxf>
      <fill>
        <patternFill patternType="solid">
          <bgColor theme="6" tint="0.79998168889431442"/>
        </patternFill>
      </fill>
    </dxf>
  </rfmt>
  <rfmt sheetId="5" sqref="C10" start="0" length="0">
    <dxf>
      <border outline="0">
        <left/>
      </border>
    </dxf>
  </rfmt>
  <rfmt sheetId="5" sqref="F10" start="0" length="0">
    <dxf>
      <fill>
        <patternFill patternType="solid">
          <bgColor theme="6" tint="0.79998168889431442"/>
        </patternFill>
      </fill>
    </dxf>
  </rfmt>
  <rfmt sheetId="5" sqref="C11" start="0" length="0">
    <dxf>
      <border outline="0">
        <left/>
      </border>
    </dxf>
  </rfmt>
  <rfmt sheetId="5" sqref="F11" start="0" length="0">
    <dxf>
      <fill>
        <patternFill patternType="solid">
          <bgColor theme="6" tint="0.79998168889431442"/>
        </patternFill>
      </fill>
    </dxf>
  </rfmt>
  <rfmt sheetId="5" sqref="C12" start="0" length="0">
    <dxf>
      <border outline="0">
        <left/>
      </border>
    </dxf>
  </rfmt>
  <rfmt sheetId="5" sqref="F12" start="0" length="0">
    <dxf>
      <fill>
        <patternFill patternType="solid">
          <bgColor theme="6" tint="0.79998168889431442"/>
        </patternFill>
      </fill>
    </dxf>
  </rfmt>
  <rfmt sheetId="5" sqref="C13" start="0" length="0">
    <dxf>
      <border outline="0">
        <left/>
      </border>
    </dxf>
  </rfmt>
  <rfmt sheetId="5" sqref="F13" start="0" length="0">
    <dxf>
      <fill>
        <patternFill patternType="solid">
          <bgColor theme="6" tint="0.79998168889431442"/>
        </patternFill>
      </fill>
    </dxf>
  </rfmt>
  <rfmt sheetId="5" sqref="C14" start="0" length="0">
    <dxf>
      <border outline="0">
        <left/>
      </border>
    </dxf>
  </rfmt>
  <rfmt sheetId="5" sqref="F14" start="0" length="0">
    <dxf>
      <fill>
        <patternFill patternType="solid">
          <bgColor theme="6" tint="0.79998168889431442"/>
        </patternFill>
      </fill>
    </dxf>
  </rfmt>
  <rfmt sheetId="5" sqref="C15" start="0" length="0">
    <dxf>
      <border outline="0">
        <left/>
      </border>
    </dxf>
  </rfmt>
  <rfmt sheetId="5" sqref="F15" start="0" length="0">
    <dxf>
      <fill>
        <patternFill patternType="solid">
          <bgColor theme="6" tint="0.79998168889431442"/>
        </patternFill>
      </fill>
    </dxf>
  </rfmt>
  <rfmt sheetId="5" sqref="C16" start="0" length="0">
    <dxf>
      <border outline="0">
        <left/>
        <bottom/>
      </border>
    </dxf>
  </rfmt>
  <rfmt sheetId="5" sqref="D16" start="0" length="0">
    <dxf>
      <border outline="0">
        <bottom/>
      </border>
    </dxf>
  </rfmt>
  <rfmt sheetId="5" sqref="E16" start="0" length="0">
    <dxf>
      <border outline="0">
        <bottom/>
      </border>
    </dxf>
  </rfmt>
  <rfmt sheetId="5" sqref="F16" start="0" length="0">
    <dxf>
      <numFmt numFmtId="0" formatCode="General"/>
      <fill>
        <patternFill patternType="solid">
          <bgColor theme="6" tint="0.79998168889431442"/>
        </patternFill>
      </fill>
      <border outline="0">
        <bottom/>
      </border>
    </dxf>
  </rfmt>
  <rfmt sheetId="5" sqref="G16" start="0" length="0">
    <dxf>
      <numFmt numFmtId="0" formatCode="General"/>
      <border outline="0">
        <bottom/>
      </border>
    </dxf>
  </rfmt>
  <rcc rId="4557" sId="5">
    <nc r="C17" t="inlineStr">
      <is>
        <t>1. Procura de caixas para eliminação.
2. Acompanhamento da conferência dos parimônios no Bloco A, sala G-15</t>
      </is>
    </nc>
  </rcc>
  <rcc rId="4558" sId="5">
    <nc r="D17" t="inlineStr">
      <is>
        <t xml:space="preserve"> Procura de caixas para 
eliminação.</t>
      </is>
    </nc>
  </rcc>
  <rcc rId="4559" sId="5">
    <nc r="E17" t="inlineStr">
      <is>
        <t>1. Procura de caixas para eliminação.
2. Acompanhamento da conferência dos parimônios no Bloco A, sala G-15</t>
      </is>
    </nc>
  </rcc>
  <rcc rId="4560" sId="5" odxf="1" dxf="1">
    <nc r="F17" t="inlineStr">
      <is>
        <t>Palestra no Arquivo Nacional
Fomos liberados do Ponto Eletrônico.</t>
      </is>
    </nc>
    <odxf>
      <fill>
        <patternFill patternType="none">
          <bgColor indexed="65"/>
        </patternFill>
      </fill>
      <border outline="0">
        <left/>
        <right/>
        <top/>
        <bottom/>
      </border>
    </odxf>
    <ndxf>
      <fill>
        <patternFill patternType="solid">
          <bgColor theme="6" tint="0.79998168889431442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4561" sId="5">
    <nc r="G17" t="inlineStr">
      <is>
        <t xml:space="preserve"> Pesquisa e busca pelo processo
71000.004542/2005-12 (SESAN)</t>
      </is>
    </nc>
  </rcc>
  <rfmt sheetId="5" sqref="I16" start="0" length="0">
    <dxf>
      <numFmt numFmtId="0" formatCode="General"/>
      <border outline="0">
        <bottom/>
      </border>
    </dxf>
  </rfmt>
  <rfmt sheetId="5" sqref="J16" start="0" length="0">
    <dxf>
      <border outline="0">
        <bottom/>
      </border>
    </dxf>
  </rfmt>
  <rfmt sheetId="5" sqref="K16" start="0" length="0">
    <dxf>
      <border outline="0">
        <bottom/>
      </border>
    </dxf>
  </rfmt>
  <rfmt sheetId="5" sqref="L16" start="0" length="0">
    <dxf>
      <border outline="0">
        <bottom/>
      </border>
    </dxf>
  </rfmt>
  <rfmt sheetId="5" sqref="M16" start="0" length="0">
    <dxf>
      <border outline="0">
        <bottom/>
      </border>
    </dxf>
  </rfmt>
  <rcc rId="4562" sId="5" odxf="1" dxf="1">
    <nc r="I17" t="inlineStr">
      <is>
        <r>
          <t xml:space="preserve"> Pesquisa e busca pelo processo
71000.004542/2005-12 (SESAN)
</t>
        </r>
        <r>
          <rPr>
            <sz val="11"/>
            <color rgb="FFFF0000"/>
            <rFont val="Aptos Narrow"/>
            <family val="2"/>
          </rPr>
          <t>Não encontrado registro de entrada neste arquivo.</t>
        </r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fmt sheetId="5" sqref="J17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K17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L17" start="0" length="0">
    <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M17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cc rId="4563" sId="5">
    <nc r="L11">
      <v>1</v>
    </nc>
  </rcc>
  <rcc rId="4564" sId="5">
    <nc r="M11">
      <v>2</v>
    </nc>
  </rcc>
  <rcc rId="4565" sId="5">
    <nc r="J14">
      <v>1</v>
    </nc>
  </rcc>
  <rcc rId="4566" sId="5">
    <nc r="J17" t="inlineStr">
      <is>
        <t xml:space="preserve">1. E-mail de orientação de desarquivamento para o Wederson da CGPC.
2. Pesquisa e busca pelo processo  44000.006180/1997-51 </t>
      </is>
    </nc>
  </rcc>
  <rcc rId="4567" sId="5">
    <nc r="K17" t="inlineStr">
      <is>
        <t>1. Pesquisa e busca pelo processo  44000.006180/1997-51.
2. Pesquisa e busca pela pasta funcional - DYLENY TEIXEIRA ALVES DA SILVA</t>
      </is>
    </nc>
  </rcc>
  <rcc rId="4568" sId="5">
    <nc r="L17" t="inlineStr">
      <is>
        <t xml:space="preserve"> 1. Pesquisa e busca pelo processo  44000.006180/1997-51.
2. Inventário de fotos LBA.</t>
      </is>
    </nc>
  </rcc>
  <rcc rId="4569" sId="5">
    <nc r="M17" t="inlineStr">
      <is>
        <t>Inventário de Fotos LBA.</t>
      </is>
    </nc>
  </rcc>
  <rfmt sheetId="5" sqref="J18" start="0" length="0">
    <dxf>
      <alignment wrapText="0"/>
    </dxf>
  </rfmt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80" sId="7">
    <nc r="D17" t="inlineStr">
      <is>
        <t xml:space="preserve"> Procura de caixas para 
eliminação.</t>
      </is>
    </nc>
  </rcc>
  <rcc rId="4581" sId="7" odxf="1" dxf="1">
    <nc r="F17" t="inlineStr">
      <is>
        <t>Palestra no Arquivo Nacional
Fomos liberados do Ponto Eletrônico.</t>
      </is>
    </nc>
    <odxf>
      <fill>
        <patternFill patternType="none">
          <bgColor indexed="65"/>
        </patternFill>
      </fill>
      <border outline="0">
        <left/>
        <right/>
        <top/>
        <bottom/>
      </border>
    </odxf>
    <ndxf>
      <fill>
        <patternFill patternType="solid">
          <bgColor theme="6" tint="0.79998168889431442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4582" sId="7">
    <nc r="G17" t="inlineStr">
      <is>
        <t xml:space="preserve"> Pesquisa e busca pelo processo
71000.004542/2005-12 (SESAN)</t>
      </is>
    </nc>
  </rcc>
  <rcc rId="4583" sId="7">
    <nc r="C17" t="inlineStr">
      <is>
        <t xml:space="preserve">Procura de caixas para eliminação.
</t>
      </is>
    </nc>
  </rcc>
  <rcc rId="4584" sId="7">
    <nc r="E17" t="inlineStr">
      <is>
        <t xml:space="preserve"> Procura de caixas para eliminação.
</t>
      </is>
    </nc>
  </rcc>
  <rcc rId="4585" sId="7" odxf="1" dxf="1">
    <nc r="I17" t="inlineStr">
      <is>
        <r>
          <t xml:space="preserve"> Pesquisa e busca pelo processo
71000.004542/2005-12 (SESAN)
</t>
        </r>
        <r>
          <rPr>
            <sz val="11"/>
            <color rgb="FFFF0000"/>
            <rFont val="Aptos Narrow"/>
            <family val="2"/>
          </rPr>
          <t>Não encontrado registro de entrada neste arquivo.</t>
        </r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fmt sheetId="7" sqref="J17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cc rId="4586" sId="7" odxf="1" dxf="1">
    <nc r="K17" t="inlineStr">
      <is>
        <t>1. Pesquisa e busca pelo processo  44000.006180/1997-51.
2. Pesquisa e busca pela pasta funcional - DYLENY TEIXEIRA ALVES DA SILVA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fmt sheetId="7" sqref="L17" start="0" length="0">
    <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7" sqref="M17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cc rId="4587" sId="7">
    <nc r="J17" t="inlineStr">
      <is>
        <t xml:space="preserve"> Pesquisa e busca pelo processo  44000.006180/1997-51 </t>
      </is>
    </nc>
  </rcc>
  <rcc rId="4588" sId="7">
    <nc r="L17" t="inlineStr">
      <is>
        <t xml:space="preserve">  Inventário de fotos LBA.</t>
      </is>
    </nc>
  </rcc>
  <rcc rId="4589" sId="7">
    <nc r="M17" t="inlineStr">
      <is>
        <t xml:space="preserve">Pesquisa e busca dos cadernos de protocoloda SESAN-Apoio no bloco A </t>
      </is>
    </nc>
  </rcc>
  <rcc rId="4590" sId="7">
    <nc r="O3">
      <v>5</v>
    </nc>
  </rcc>
  <rcc rId="4591" sId="7">
    <nc r="O13">
      <v>1</v>
    </nc>
  </rcc>
  <rcc rId="4592" sId="7">
    <nc r="O17" t="inlineStr">
      <is>
        <t>Inventário de fotos LBA.</t>
      </is>
    </nc>
  </rcc>
  <rcc rId="4593" sId="7">
    <nc r="P17" t="inlineStr">
      <is>
        <t>Inventário de Fotos LBA</t>
      </is>
    </nc>
  </rcc>
  <rfmt sheetId="7" sqref="P17">
    <dxf>
      <alignment wrapText="1"/>
    </dxf>
  </rfmt>
  <rcv guid="{B3CDE377-BA5D-4E06-91D9-3A48E1959BA5}" action="delete"/>
  <rdn rId="0" localSheetId="1" customView="1" name="Z_B3CDE377_BA5D_4E06_91D9_3A48E1959BA5_.wvu.FilterData" hidden="1" oldHidden="1">
    <formula>Patrícia!$A$1:$A$18</formula>
    <oldFormula>Patrícia!$A$1:$A$18</oldFormula>
  </rdn>
  <rdn rId="0" localSheetId="2" customView="1" name="Z_B3CDE377_BA5D_4E06_91D9_3A48E1959BA5_.wvu.FilterData" hidden="1" oldHidden="1">
    <formula>Marcelo!$A$1:$A$18</formula>
    <oldFormula>Marcelo!$A$1:$A$18</oldFormula>
  </rdn>
  <rdn rId="0" localSheetId="3" customView="1" name="Z_B3CDE377_BA5D_4E06_91D9_3A48E1959BA5_.wvu.FilterData" hidden="1" oldHidden="1">
    <formula>TOTAL!$A$1:$A$18</formula>
    <oldFormula>TOTAL!$A$1:$A$18</oldFormula>
  </rdn>
  <rdn rId="0" localSheetId="4" customView="1" name="Z_B3CDE377_BA5D_4E06_91D9_3A48E1959BA5_.wvu.FilterData" hidden="1" oldHidden="1">
    <formula>Diego!$A$1:$A$18</formula>
    <oldFormula>Diego!$A$1:$A$18</oldFormula>
  </rdn>
  <rdn rId="0" localSheetId="5" customView="1" name="Z_B3CDE377_BA5D_4E06_91D9_3A48E1959BA5_.wvu.FilterData" hidden="1" oldHidden="1">
    <formula>Aelton!$A$1:$A$18</formula>
    <oldFormula>Aelton!$A$1:$A$18</oldFormula>
  </rdn>
  <rdn rId="0" localSheetId="6" customView="1" name="Z_B3CDE377_BA5D_4E06_91D9_3A48E1959BA5_.wvu.FilterData" hidden="1" oldHidden="1">
    <formula>Leonam!$A$1:$BD$18</formula>
    <oldFormula>Leonam!$A$1:$BD$18</oldFormula>
  </rdn>
  <rdn rId="0" localSheetId="7" customView="1" name="Z_B3CDE377_BA5D_4E06_91D9_3A48E1959BA5_.wvu.FilterData" hidden="1" oldHidden="1">
    <formula>Danilo!$A$1:$A$31</formula>
    <oldFormula>Danilo!$A$1:$A$31</oldFormula>
  </rdn>
  <rdn rId="0" localSheetId="8" customView="1" name="Z_B3CDE377_BA5D_4E06_91D9_3A48E1959BA5_.wvu.FilterData" hidden="1" oldHidden="1">
    <formula>Marcos!$A$1:$A$18</formula>
    <oldFormula>Marcos!$A$1:$A$18</oldFormula>
  </rdn>
  <rdn rId="0" localSheetId="9" customView="1" name="Z_B3CDE377_BA5D_4E06_91D9_3A48E1959BA5_.wvu.FilterData" hidden="1" oldHidden="1">
    <formula>Carlos!$A$1:$A$18</formula>
    <oldFormula>Carlos!$A$1:$A$18</oldFormula>
  </rdn>
  <rdn rId="0" localSheetId="10" customView="1" name="Z_B3CDE377_BA5D_4E06_91D9_3A48E1959BA5_.wvu.FilterData" hidden="1" oldHidden="1">
    <formula>Alessandro!$A$1:$A$18</formula>
    <oldFormula>Alessandro!$A$1:$A$18</oldFormula>
  </rdn>
  <rcv guid="{B3CDE377-BA5D-4E06-91D9-3A48E1959BA5}" action="add"/>
</revisions>
</file>

<file path=xl/revisions/revisionLog1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L17" start="0" length="0">
    <dxf>
      <alignment wrapText="1"/>
    </dxf>
  </rfmt>
  <rcc rId="4604" sId="10">
    <nc r="M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4605" sId="10">
    <nc r="O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4606" sId="10">
    <nc r="L17" t="inlineStr">
      <is>
        <r>
          <t xml:space="preserve">Correções e Formatação de campos da planilha do </t>
        </r>
        <r>
          <rPr>
            <b/>
            <sz val="11"/>
            <color theme="1"/>
            <rFont val="Aptos Narrow"/>
            <family val="2"/>
          </rPr>
          <t>ARCEN</t>
        </r>
        <r>
          <rPr>
            <sz val="11"/>
            <color theme="1"/>
            <rFont val="Aptos Narrow"/>
            <family val="2"/>
          </rPr>
          <t xml:space="preserve">
(Otimização e padronização)</t>
        </r>
      </is>
    </nc>
  </rcc>
  <rcc rId="4607" sId="10">
    <nc r="I17" t="inlineStr">
      <is>
        <r>
          <t xml:space="preserve">Correções e Formatação de campos da planilha do </t>
        </r>
        <r>
          <rPr>
            <b/>
            <sz val="11"/>
            <color theme="1"/>
            <rFont val="Aptos Narrow"/>
            <family val="2"/>
          </rPr>
          <t>ARCEN</t>
        </r>
        <r>
          <rPr>
            <sz val="11"/>
            <color theme="1"/>
            <rFont val="Aptos Narrow"/>
            <family val="2"/>
          </rPr>
          <t xml:space="preserve">
(Otimização e padronização)</t>
        </r>
      </is>
    </nc>
  </rcc>
  <rcc rId="4608" sId="10">
    <nc r="J17" t="inlineStr">
      <is>
        <r>
          <t xml:space="preserve">Correções e Formatação de campos da planilha do </t>
        </r>
        <r>
          <rPr>
            <b/>
            <sz val="11"/>
            <color theme="1"/>
            <rFont val="Aptos Narrow"/>
            <family val="2"/>
          </rPr>
          <t>ARCEN</t>
        </r>
        <r>
          <rPr>
            <sz val="11"/>
            <color theme="1"/>
            <rFont val="Aptos Narrow"/>
            <family val="2"/>
          </rPr>
          <t xml:space="preserve">
(Otimização e padronização)</t>
        </r>
      </is>
    </nc>
  </rcc>
  <rcc rId="4609" sId="10">
    <nc r="K17" t="inlineStr">
      <is>
        <r>
          <t xml:space="preserve">Correções e Formatação de campos da planilha do </t>
        </r>
        <r>
          <rPr>
            <b/>
            <sz val="11"/>
            <color theme="1"/>
            <rFont val="Aptos Narrow"/>
            <family val="2"/>
          </rPr>
          <t>ARCEN</t>
        </r>
        <r>
          <rPr>
            <sz val="11"/>
            <color theme="1"/>
            <rFont val="Aptos Narrow"/>
            <family val="2"/>
          </rPr>
          <t xml:space="preserve">
(Otimização e padronização)</t>
        </r>
      </is>
    </nc>
  </rcc>
  <rcc rId="4610" sId="10">
    <nc r="C17" t="inlineStr">
      <is>
        <r>
          <t xml:space="preserve">Correções e Formatação de campos da planilha do </t>
        </r>
        <r>
          <rPr>
            <b/>
            <sz val="11"/>
            <color theme="1"/>
            <rFont val="Aptos Narrow"/>
            <family val="2"/>
          </rPr>
          <t>ARCEN</t>
        </r>
        <r>
          <rPr>
            <sz val="11"/>
            <color theme="1"/>
            <rFont val="Aptos Narrow"/>
            <family val="2"/>
          </rPr>
          <t xml:space="preserve">
(Otimização e padronização)</t>
        </r>
      </is>
    </nc>
  </rcc>
  <rcc rId="4611" sId="10">
    <nc r="D17" t="inlineStr">
      <is>
        <r>
          <t xml:space="preserve">Correções e Formatação de campos da planilha do </t>
        </r>
        <r>
          <rPr>
            <b/>
            <sz val="11"/>
            <color theme="1"/>
            <rFont val="Aptos Narrow"/>
            <family val="2"/>
          </rPr>
          <t>ARCEN</t>
        </r>
        <r>
          <rPr>
            <sz val="11"/>
            <color theme="1"/>
            <rFont val="Aptos Narrow"/>
            <family val="2"/>
          </rPr>
          <t xml:space="preserve">
(Otimização e padronização)</t>
        </r>
      </is>
    </nc>
  </rcc>
  <rcc rId="4612" sId="10">
    <nc r="E17" t="inlineStr">
      <is>
        <r>
          <t xml:space="preserve">Correções e Formatação de campos da planilha do </t>
        </r>
        <r>
          <rPr>
            <b/>
            <sz val="11"/>
            <color theme="1"/>
            <rFont val="Aptos Narrow"/>
            <family val="2"/>
          </rPr>
          <t>ARCEN</t>
        </r>
        <r>
          <rPr>
            <sz val="11"/>
            <color theme="1"/>
            <rFont val="Aptos Narrow"/>
            <family val="2"/>
          </rPr>
          <t xml:space="preserve">
(Otimização e padronização)</t>
        </r>
      </is>
    </nc>
  </rcc>
  <rcc rId="4613" sId="10">
    <nc r="F17" t="inlineStr">
      <is>
        <r>
          <t xml:space="preserve">Correções e Formatação de campos da planilha do </t>
        </r>
        <r>
          <rPr>
            <b/>
            <sz val="11"/>
            <color theme="1"/>
            <rFont val="Aptos Narrow"/>
            <family val="2"/>
          </rPr>
          <t>ARCEN</t>
        </r>
        <r>
          <rPr>
            <sz val="11"/>
            <color theme="1"/>
            <rFont val="Aptos Narrow"/>
            <family val="2"/>
          </rPr>
          <t xml:space="preserve">
(Otimização e padronização)</t>
        </r>
      </is>
    </nc>
  </rcc>
  <rcc rId="4614" sId="10">
    <nc r="G17" t="inlineStr">
      <is>
        <r>
          <t xml:space="preserve">Correções e Formatação de campos da planilha do </t>
        </r>
        <r>
          <rPr>
            <b/>
            <sz val="11"/>
            <color theme="1"/>
            <rFont val="Aptos Narrow"/>
            <family val="2"/>
          </rPr>
          <t>ARCEN</t>
        </r>
        <r>
          <rPr>
            <sz val="11"/>
            <color theme="1"/>
            <rFont val="Aptos Narrow"/>
            <family val="2"/>
          </rPr>
          <t xml:space="preserve">
(Otimização e padronização)</t>
        </r>
      </is>
    </nc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Danilo!$A$1:$A$31</formula>
    <oldFormula>Danilo!$A$1:$A$31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9" customView="1" name="Z_3D987F8E_A6EA_454D_9537_6BFC5053CB00_.wvu.FilterData" hidden="1" oldHidden="1">
    <formula>Carlos!$A$1:$A$18</formula>
    <oldFormula>Carlos!$A$1:$A$18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cv guid="{3D987F8E-A6EA-454D-9537-6BFC5053CB00}" action="add"/>
</revisions>
</file>

<file path=xl/revisions/revisionLog1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25" sId="10">
    <nc r="O11">
      <v>2</v>
    </nc>
  </rcc>
  <rcc rId="4626" sId="10">
    <nc r="M11">
      <v>1</v>
    </nc>
  </rcc>
</revisions>
</file>

<file path=xl/revisions/revisionLog1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27" sId="10" odxf="1" dxf="1">
    <nc r="P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  <odxf>
      <alignment wrapText="0"/>
    </odxf>
    <ndxf>
      <alignment wrapText="1"/>
    </ndxf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1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P1:P17">
    <dxf>
      <fill>
        <patternFill patternType="solid">
          <bgColor theme="9" tint="0.79998168889431442"/>
        </patternFill>
      </fill>
    </dxf>
  </rfmt>
  <rfmt sheetId="5" sqref="P1:P17">
    <dxf>
      <fill>
        <patternFill>
          <bgColor theme="9" tint="0.59999389629810485"/>
        </patternFill>
      </fill>
    </dxf>
  </rfmt>
  <rcc rId="4638" sId="5" odxf="1" dxf="1">
    <nc r="P17" t="inlineStr">
      <is>
        <t>Atestado 
Médico</t>
      </is>
    </nc>
    <odxf>
      <alignment wrapText="0"/>
    </odxf>
    <ndxf>
      <alignment wrapText="1"/>
    </ndxf>
  </rcc>
  <rfmt sheetId="5" sqref="P1" start="0" length="0">
    <dxf>
      <fill>
        <patternFill patternType="none">
          <bgColor indexed="65"/>
        </patternFill>
      </fill>
    </dxf>
  </rfmt>
  <rfmt sheetId="5" sqref="T1" start="0" length="0">
    <dxf>
      <numFmt numFmtId="21" formatCode="dd/mmm"/>
      <fill>
        <patternFill patternType="none">
          <bgColor indexed="65"/>
        </patternFill>
      </fill>
    </dxf>
  </rfmt>
  <rfmt sheetId="5" sqref="Z1" start="0" length="0">
    <dxf>
      <numFmt numFmtId="21" formatCode="dd/mmm"/>
      <fill>
        <patternFill patternType="none">
          <bgColor indexed="65"/>
        </patternFill>
      </fill>
    </dxf>
  </rfmt>
  <rfmt sheetId="5" sqref="AF1" start="0" length="0">
    <dxf>
      <numFmt numFmtId="21" formatCode="dd/mmm"/>
      <fill>
        <patternFill patternType="none">
          <bgColor indexed="65"/>
        </patternFill>
      </fill>
    </dxf>
  </rfmt>
  <rfmt sheetId="5" sqref="AL1" start="0" length="0">
    <dxf>
      <numFmt numFmtId="21" formatCode="dd/mmm"/>
      <fill>
        <patternFill patternType="none">
          <bgColor indexed="65"/>
        </patternFill>
      </fill>
    </dxf>
  </rfmt>
  <rfmt sheetId="5" sqref="AR1" start="0" length="0">
    <dxf>
      <numFmt numFmtId="21" formatCode="dd/mmm"/>
      <fill>
        <patternFill patternType="none">
          <bgColor indexed="65"/>
        </patternFill>
      </fill>
    </dxf>
  </rfmt>
  <rfmt sheetId="5" sqref="AX1" start="0" length="0">
    <dxf>
      <numFmt numFmtId="21" formatCode="dd/mmm"/>
      <fill>
        <patternFill patternType="none">
          <bgColor indexed="65"/>
        </patternFill>
      </fill>
    </dxf>
  </rfmt>
  <rfmt sheetId="5" sqref="BD1" start="0" length="0">
    <dxf>
      <numFmt numFmtId="21" formatCode="dd/mmm"/>
      <fill>
        <patternFill patternType="none">
          <bgColor indexed="65"/>
        </patternFill>
      </fill>
      <border outline="0">
        <right/>
      </border>
    </dxf>
  </rfmt>
  <rcc rId="4639" sId="5">
    <nc r="O17" t="inlineStr">
      <is>
        <t>1. Pesquisa e buca
processo 71010.117059/2008-13.
2. Pesquisa e busca processo 
23132.000438/95-22.</t>
      </is>
    </nc>
  </rcc>
  <rcc rId="4640" sId="5" odxf="1" dxf="1">
    <nc r="Q17" t="inlineStr">
      <is>
        <t xml:space="preserve"> Pesquisa e busca processo 
23132.000438/95-22
FUNDESPORTE.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</revisions>
</file>

<file path=xl/revisions/revisionLog1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41" sId="10">
    <nc r="Q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4642" sId="10">
    <nc r="R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1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53" sId="10">
    <oc r="R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oc>
    <nc r="R17"/>
  </rcc>
  <rcc rId="4654" sId="10">
    <oc r="Q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oc>
    <nc r="Q17"/>
  </rcc>
</revisions>
</file>

<file path=xl/revisions/revisionLog1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55" sId="8" xfDxf="1" dxf="1">
    <nc r="C17" t="inlineStr">
      <is>
        <t xml:space="preserve"> Procura de caixas para 
eliminação.</t>
      </is>
    </nc>
    <ndxf>
      <alignment horizontal="center" vertical="center" wrapText="1"/>
    </ndxf>
  </rcc>
  <rcc rId="4656" sId="8" xfDxf="1" dxf="1">
    <nc r="D17" t="inlineStr">
      <is>
        <t xml:space="preserve"> Procura de caixas para 
eliminação.</t>
      </is>
    </nc>
    <ndxf>
      <alignment horizontal="center" vertical="center" wrapText="1"/>
    </ndxf>
  </rcc>
  <rcc rId="4657" sId="8" xfDxf="1" dxf="1">
    <nc r="E17" t="inlineStr">
      <is>
        <t xml:space="preserve"> Procura de caixas para 
eliminação.</t>
      </is>
    </nc>
    <ndxf>
      <alignment horizontal="center" vertical="center" wrapText="1"/>
    </ndxf>
  </rcc>
  <rcc rId="4658" sId="8" xfDxf="1" dxf="1">
    <nc r="F17" t="inlineStr">
      <is>
        <t>Palestra no Arquivo Nacional
Fomos liberados do Ponto Eletrônico.</t>
      </is>
    </nc>
    <ndxf>
      <alignment horizontal="center" vertical="center" wrapText="1"/>
    </ndxf>
  </rcc>
  <rcc rId="4659" sId="8" xfDxf="1" dxf="1">
    <nc r="G17" t="inlineStr">
      <is>
        <t xml:space="preserve"> Procura de caixas para 
eliminação.</t>
      </is>
    </nc>
    <ndxf>
      <alignment horizontal="center" vertical="center" wrapText="1"/>
    </ndxf>
  </rcc>
  <rfmt sheetId="8" sqref="C17">
    <dxf>
      <alignment wrapText="0"/>
    </dxf>
  </rfmt>
  <rfmt sheetId="8" sqref="C17">
    <dxf>
      <alignment wrapText="1"/>
    </dxf>
  </rfmt>
  <rcc rId="4660" sId="8">
    <nc r="I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4661" sId="8">
    <nc r="J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4662" sId="8">
    <nc r="K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4663" sId="8" odxf="1" dxf="1">
    <nc r="L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  <odxf>
      <alignment wrapText="0"/>
    </odxf>
    <ndxf>
      <alignment wrapText="1"/>
    </ndxf>
  </rcc>
  <rcc rId="4664" sId="8">
    <nc r="M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4665" sId="8">
    <nc r="O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4666" sId="8" odxf="1" dxf="1">
    <nc r="P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  <odxf>
      <alignment wrapText="0"/>
    </odxf>
    <ndxf>
      <alignment wrapText="1"/>
    </ndxf>
  </rcc>
  <rcc rId="4667" sId="8">
    <nc r="Q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4668" sId="8">
    <nc r="R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1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R16" start="0" length="0">
    <dxf>
      <border outline="0">
        <bottom/>
      </border>
    </dxf>
  </rfmt>
  <rfmt sheetId="5" sqref="S16" start="0" length="0">
    <dxf>
      <border outline="0">
        <bottom/>
      </border>
    </dxf>
  </rfmt>
  <rcc rId="4679" sId="5">
    <nc r="R17" t="inlineStr">
      <is>
        <t>1.  Pesquisa e busca processo 
23132.000438/95-22
FUNDESPORTE.
2. Inventário de Fotos LBA.
1 caixa</t>
      </is>
    </nc>
  </rcc>
  <rfmt sheetId="5" sqref="S17" start="0" length="0">
    <dxf>
      <alignment wrapText="0"/>
    </dxf>
  </rfmt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Danilo!$A$1:$A$31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1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10" sId="8">
    <nc r="S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Danilo!$A$1:$A$31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1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21" sId="4">
    <nc r="O17" t="inlineStr">
      <is>
        <t>Inventário de Fotos LBA</t>
      </is>
    </nc>
  </rcc>
  <rcc rId="4722" sId="4" odxf="1" dxf="1">
    <nc r="P17" t="inlineStr">
      <is>
        <t>Inventário de Fotos LBA</t>
      </is>
    </nc>
    <odxf>
      <alignment wrapText="0"/>
    </odxf>
    <ndxf>
      <alignment wrapText="1"/>
    </ndxf>
  </rcc>
  <rcc rId="4723" sId="4">
    <nc r="Q17" t="inlineStr">
      <is>
        <t>Inventário de Fotos LBA</t>
      </is>
    </nc>
  </rcc>
  <rcc rId="4724" sId="4">
    <nc r="R17" t="inlineStr">
      <is>
        <t>Inventário de Fotos LBA</t>
      </is>
    </nc>
  </rcc>
  <rcc rId="4725" sId="4">
    <nc r="S17" t="inlineStr">
      <is>
        <t>Inventário de Fotos LBA</t>
      </is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Danilo!$A$1:$A$31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1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36" sId="4" odxf="1" dxf="1">
    <oc r="F17" t="inlineStr">
      <is>
        <t xml:space="preserve"> Procura de caixas para 
eliminação.</t>
      </is>
    </oc>
    <nc r="F17" t="inlineStr">
      <is>
        <t>Palestra no Arquivo Nacional
Fomos liberados do Ponto Eletrônico.</t>
      </is>
    </nc>
    <odxf>
      <fill>
        <patternFill patternType="none">
          <bgColor indexed="65"/>
        </patternFill>
      </fill>
      <border outline="0">
        <left/>
        <right/>
        <top/>
        <bottom/>
      </border>
    </odxf>
    <ndxf>
      <fill>
        <patternFill patternType="solid">
          <bgColor theme="6" tint="0.79998168889431442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</revisions>
</file>

<file path=xl/revisions/revisionLog2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37" sId="6">
    <nc r="AS17" t="inlineStr">
      <is>
        <t xml:space="preserve">Procura de caixas para eliminação.
</t>
      </is>
    </nc>
  </rcc>
  <rcc rId="4738" sId="6">
    <nc r="AT17" t="inlineStr">
      <is>
        <t xml:space="preserve"> Procura de caixas para 
eliminação.</t>
      </is>
    </nc>
  </rcc>
  <rcc rId="4739" sId="6" odxf="1" dxf="1">
    <nc r="AU17" t="inlineStr">
      <is>
        <t xml:space="preserve"> Procura de caixas para eliminação.
</t>
      </is>
    </nc>
    <odxf>
      <alignment wrapText="0"/>
    </odxf>
    <ndxf>
      <alignment wrapText="1"/>
    </ndxf>
  </rcc>
  <rcc rId="4740" sId="6" odxf="1" dxf="1">
    <nc r="AV17" t="inlineStr">
      <is>
        <t>Palestra no Arquivo Nacional
Fomos liberados do Ponto Eletrônico.</t>
      </is>
    </nc>
    <odxf>
      <fill>
        <patternFill patternType="none">
          <bgColor indexed="65"/>
        </patternFill>
      </fill>
      <border outline="0">
        <left/>
        <right/>
        <top/>
        <bottom/>
      </border>
    </odxf>
    <ndxf>
      <fill>
        <patternFill patternType="solid">
          <bgColor theme="6" tint="0.79998168889431442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4741" sId="6">
    <nc r="AW17" t="inlineStr">
      <is>
        <t xml:space="preserve"> Procura de caixas para 
eliminação.</t>
      </is>
    </nc>
  </rcc>
  <rm rId="4742" sheetId="6" source="AS17:AW17" destination="C17:G17" sourceSheetId="6">
    <rfmt sheetId="6" sqref="C17" start="0" length="0">
      <dxf>
        <alignment horizontal="center" vertical="center" wrapText="1"/>
      </dxf>
    </rfmt>
    <rfmt sheetId="6" sqref="D17" start="0" length="0">
      <dxf>
        <alignment horizontal="center" vertical="center" wrapText="1"/>
      </dxf>
    </rfmt>
    <rfmt sheetId="6" sqref="E17" start="0" length="0">
      <dxf>
        <alignment horizontal="center" vertical="center" wrapText="1"/>
      </dxf>
    </rfmt>
    <rfmt sheetId="6" sqref="F17" start="0" length="0">
      <dxf>
        <alignment horizontal="center" vertical="center" wrapText="1"/>
      </dxf>
    </rfmt>
    <rfmt sheetId="6" sqref="G17" start="0" length="0">
      <dxf>
        <alignment horizontal="center" vertical="center" wrapText="1"/>
      </dxf>
    </rfmt>
  </rm>
  <rcc rId="4743" sId="6" odxf="1" dxf="1">
    <nc r="M17" t="inlineStr">
      <is>
        <t xml:space="preserve">Pesquisa e busca dos cadernos de protocoloda SESAN-Apoio no bloco A 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4744" sId="6">
    <nc r="M2">
      <v>1</v>
    </nc>
  </rcc>
  <rcc rId="4745" sId="6">
    <nc r="M13">
      <v>1</v>
    </nc>
  </rcc>
  <rcc rId="4746" sId="6">
    <nc r="R17" t="inlineStr">
      <is>
        <t>atestado</t>
      </is>
    </nc>
  </rcc>
  <rcc rId="4747" sId="6">
    <nc r="S17" t="inlineStr">
      <is>
        <t>atestado</t>
      </is>
    </nc>
  </rcc>
  <rcc rId="4748" sId="6">
    <nc r="Q17" t="inlineStr">
      <is>
        <t>video conferencia - referente ao GODOCS</t>
      </is>
    </nc>
  </rcc>
  <rcc rId="4749" sId="6">
    <nc r="O17" t="inlineStr">
      <is>
        <t>Inventário de fotos LBA.</t>
      </is>
    </nc>
  </rcc>
  <rcc rId="4750" sId="6" odxf="1" dxf="1">
    <nc r="P17" t="inlineStr">
      <is>
        <t>Inventário de fotos LBA.</t>
      </is>
    </nc>
    <odxf>
      <alignment wrapText="0"/>
    </odxf>
    <ndxf>
      <alignment wrapText="1"/>
    </ndxf>
  </rcc>
</revisions>
</file>

<file path=xl/revisions/revisionLog2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51" sId="6" odxf="1" dxf="1">
    <nc r="L17" t="inlineStr">
      <is>
        <t>Inventário de fotos LBA.</t>
      </is>
    </nc>
    <odxf>
      <alignment wrapText="0"/>
    </odxf>
    <ndxf>
      <alignment wrapText="1"/>
    </ndxf>
  </rcc>
  <rcc rId="4752" sId="6">
    <nc r="K17" t="inlineStr">
      <is>
        <t>Inventário de fotos LBA.</t>
      </is>
    </nc>
  </rcc>
  <rcc rId="4753" sId="6">
    <nc r="J17" t="inlineStr">
      <is>
        <t>Inventário de fotos LBA.</t>
      </is>
    </nc>
  </rcc>
  <rcc rId="4754" sId="6">
    <nc r="I17" t="inlineStr">
      <is>
        <t>Inventário de fotos LBA.</t>
      </is>
    </nc>
  </rcc>
  <rcc rId="4755" sId="6">
    <nc r="O18" t="inlineStr">
      <is>
        <t>Mexendo com o sistema GOLDOCS</t>
      </is>
    </nc>
  </rcc>
  <rcc rId="4756" sId="6">
    <nc r="P18" t="inlineStr">
      <is>
        <t>Mexendo com o sistema GOLDOCS</t>
      </is>
    </nc>
  </rcc>
  <rfmt sheetId="6" sqref="P18">
    <dxf>
      <alignment wrapText="1"/>
    </dxf>
  </rfmt>
  <rfmt sheetId="6" sqref="O18">
    <dxf>
      <alignment wrapText="1"/>
    </dxf>
  </rfmt>
</revisions>
</file>

<file path=xl/revisions/revisionLog2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57" sId="6">
    <nc r="U4">
      <v>1</v>
    </nc>
  </rcc>
</revisions>
</file>

<file path=xl/revisions/revisionLog2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58" sId="6" xfDxf="1" dxf="1">
    <oc r="K17" t="inlineStr">
      <is>
        <t>Inventário de fotos LBA.</t>
      </is>
    </oc>
    <nc r="K17" t="inlineStr">
      <is>
        <t>Pesquisa e busca pelo processo  44000.006180/1997-51.</t>
      </is>
    </nc>
    <ndxf>
      <alignment horizontal="center" vertical="center" wrapText="1"/>
    </ndxf>
  </rcc>
</revisions>
</file>

<file path=xl/revisions/revisionLog2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59" sId="8">
    <nc r="V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4760" sId="8">
    <nc r="U17" t="inlineStr">
      <is>
        <t>realizando o invetário do patrimonio  bloco A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Danilo!$A$1:$A$18</formula>
    <oldFormula>Danilo!$A$1:$A$31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2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71" sId="6">
    <nc r="V5">
      <v>1</v>
    </nc>
  </rcc>
  <rfmt sheetId="6" sqref="Q18" start="0" length="0">
    <dxf>
      <alignment wrapText="0"/>
    </dxf>
  </rfmt>
  <rfmt sheetId="6" sqref="Q32" start="0" length="0">
    <dxf>
      <border outline="0">
        <bottom style="thin">
          <color indexed="64"/>
        </bottom>
      </border>
    </dxf>
  </rfmt>
  <rfmt sheetId="6" sqref="Q33" start="0" length="0">
    <dxf>
      <alignment wrapText="1"/>
    </dxf>
  </rfmt>
  <rcc rId="4772" sId="6" odxf="1" dxf="1">
    <nc r="Q18" t="inlineStr">
      <is>
        <t xml:space="preserve"> Pesquisa e busca processo 
23132.000438/95-22
FUNDESPORTE.</t>
      </is>
    </nc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fmt sheetId="6" sqref="W17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cc rId="4773" sId="6">
    <nc r="W17" t="inlineStr">
      <is>
        <t xml:space="preserve"> Pesquisa e busca de 30 processos do esporte </t>
      </is>
    </nc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Danilo!$A$1:$A$18</formula>
    <oldFormula>Danilo!$A$1:$A$31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2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84" sId="5" odxf="1" dxf="1">
    <nc r="S17" t="inlineStr">
      <is>
        <t>Inventário de Fotos LBA.
2 caixas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4785" sId="5">
    <nc r="S11">
      <v>2</v>
    </nc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Danilo!$A$1:$A$18</formula>
    <oldFormula>Danilo!$A$1:$A$31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2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Danilo!$A$1:$A$18</formula>
    <oldFormula>Danilo!$A$1:$A$18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2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06" sId="5" odxf="1" dxf="1">
    <nc r="U17" t="inlineStr">
      <is>
        <t>Contagem dos patrimônios da sala G-15 - Bloco A.
Resultado: Positivo, nada faltando.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4807" sId="5" odxf="1" dxf="1">
    <nc r="V17" t="inlineStr">
      <is>
        <t>Inventário de Fotos LBA.
2 caixas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4808" sId="5">
    <nc r="V11">
      <v>2</v>
    </nc>
  </rcc>
</revisions>
</file>

<file path=xl/revisions/revisionLog2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09" sId="5">
    <nc r="W17" t="inlineStr">
      <is>
        <t>1. Busca por caixas de fotos LBA.
Total: 14 caixas.
2. Pesquisa e busca por 30 processosdo MESP.
Solicitação e-mail de 26/08/2025, por Carlos Henrique Ribeiro de Sousa.</t>
      </is>
    </nc>
  </rcc>
  <rcc rId="4810" sId="5" odxf="1" dxf="1">
    <nc r="X17" t="inlineStr">
      <is>
        <t>Pesquisa e busca por 30 processosdo MESP.
Solicitação e-mail de 26/08/2025, por Carlos Henrique Ribeiro de Sousa.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4811" sId="5">
    <nc r="W16">
      <v>4</v>
    </nc>
  </rcc>
</revisions>
</file>

<file path=xl/revisions/revisionLog2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Danilo!$A$1:$A$18</formula>
    <oldFormula>Danilo!$A$1:$A$18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2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22" sId="5" odxf="1" dxf="1">
    <nc r="Y17" t="inlineStr">
      <is>
        <t>Pesquisa e busca por 30 processosdo MESP.
Solicitação e-mail de 26/08/2025, por Carlos Henrique Ribeiro de Sousa.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4823" sId="5">
    <nc r="Y16">
      <v>7</v>
    </nc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Danilo!$A$1:$A$18</formula>
    <oldFormula>Danilo!$A$1:$A$18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2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Danilo!$A$1:$A$18</formula>
    <oldFormula>Danilo!$A$1:$A$18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2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44" sId="7">
    <nc r="Q17" t="inlineStr">
      <is>
        <t>Inventário de Fotos LBA</t>
      </is>
    </nc>
  </rcc>
  <rcc rId="4845" sId="7">
    <nc r="R17" t="inlineStr">
      <is>
        <t>Inventário de Fotos LBA</t>
      </is>
    </nc>
  </rcc>
  <rcc rId="4846" sId="7">
    <nc r="S17" t="inlineStr">
      <is>
        <t>Inventário de Fotos LBA</t>
      </is>
    </nc>
  </rcc>
  <rfmt sheetId="7" sqref="T17" start="0" length="0">
    <dxf>
      <alignment wrapText="1"/>
    </dxf>
  </rfmt>
  <rcc rId="4847" sId="7">
    <nc r="U17" t="inlineStr">
      <is>
        <t>Inventário de fotos LBA.</t>
      </is>
    </nc>
  </rcc>
  <rcc rId="4848" sId="7">
    <nc r="V17" t="inlineStr">
      <is>
        <t>Inventário de Fotos LBA</t>
      </is>
    </nc>
  </rcc>
  <rcc rId="4849" sId="7">
    <nc r="W17" t="inlineStr">
      <is>
        <t>Inventário de Fotos LBA</t>
      </is>
    </nc>
  </rcc>
  <rcc rId="4850" sId="7" odxf="1" dxf="1">
    <nc r="X17" t="inlineStr">
      <is>
        <t>Inventário de Fotos LBA</t>
      </is>
    </nc>
    <odxf>
      <alignment wrapText="0"/>
    </odxf>
    <ndxf>
      <alignment wrapText="1"/>
    </ndxf>
  </rcc>
  <rcc rId="4851" sId="7" odxf="1" dxf="1">
    <nc r="Y17" t="inlineStr">
      <is>
        <t>Inventário de Fotos LBA</t>
      </is>
    </nc>
    <odxf>
      <alignment wrapText="0"/>
    </odxf>
    <ndxf>
      <alignment wrapText="1"/>
    </ndxf>
  </rcc>
  <rcc rId="4852" sId="7">
    <nc r="AA17" t="inlineStr">
      <is>
        <t>Inventário de fotos LBA.</t>
      </is>
    </nc>
  </rcc>
  <rfmt sheetId="7" sqref="AB17" start="0" length="0">
    <dxf>
      <alignment wrapText="1"/>
    </dxf>
  </rfmt>
  <rfmt sheetId="7" sqref="AC17" start="0" length="0">
    <dxf>
      <alignment wrapText="1"/>
    </dxf>
  </rfmt>
  <rfmt sheetId="7" sqref="AE17" start="0" length="0">
    <dxf>
      <alignment wrapText="1"/>
    </dxf>
  </rfmt>
  <rcv guid="{B3CDE377-BA5D-4E06-91D9-3A48E1959BA5}" action="delete"/>
  <rdn rId="0" localSheetId="1" customView="1" name="Z_B3CDE377_BA5D_4E06_91D9_3A48E1959BA5_.wvu.FilterData" hidden="1" oldHidden="1">
    <formula>Patrícia!$A$1:$A$18</formula>
    <oldFormula>Patrícia!$A$1:$A$18</oldFormula>
  </rdn>
  <rdn rId="0" localSheetId="2" customView="1" name="Z_B3CDE377_BA5D_4E06_91D9_3A48E1959BA5_.wvu.FilterData" hidden="1" oldHidden="1">
    <formula>Marcelo!$A$1:$A$18</formula>
    <oldFormula>Marcelo!$A$1:$A$18</oldFormula>
  </rdn>
  <rdn rId="0" localSheetId="3" customView="1" name="Z_B3CDE377_BA5D_4E06_91D9_3A48E1959BA5_.wvu.FilterData" hidden="1" oldHidden="1">
    <formula>TOTAL!$A$1:$A$18</formula>
    <oldFormula>TOTAL!$A$1:$A$18</oldFormula>
  </rdn>
  <rdn rId="0" localSheetId="4" customView="1" name="Z_B3CDE377_BA5D_4E06_91D9_3A48E1959BA5_.wvu.FilterData" hidden="1" oldHidden="1">
    <formula>Diego!$A$1:$A$18</formula>
    <oldFormula>Diego!$A$1:$A$18</oldFormula>
  </rdn>
  <rdn rId="0" localSheetId="5" customView="1" name="Z_B3CDE377_BA5D_4E06_91D9_3A48E1959BA5_.wvu.FilterData" hidden="1" oldHidden="1">
    <formula>Aelton!$A$1:$A$18</formula>
    <oldFormula>Aelton!$A$1:$A$18</oldFormula>
  </rdn>
  <rdn rId="0" localSheetId="6" customView="1" name="Z_B3CDE377_BA5D_4E06_91D9_3A48E1959BA5_.wvu.FilterData" hidden="1" oldHidden="1">
    <formula>Leonam!$A$1:$BD$18</formula>
    <oldFormula>Leonam!$A$1:$BD$18</oldFormula>
  </rdn>
  <rdn rId="0" localSheetId="7" customView="1" name="Z_B3CDE377_BA5D_4E06_91D9_3A48E1959BA5_.wvu.FilterData" hidden="1" oldHidden="1">
    <formula>Danilo!$A$1:$A$18</formula>
    <oldFormula>Danilo!$A$1:$A$31</oldFormula>
  </rdn>
  <rdn rId="0" localSheetId="8" customView="1" name="Z_B3CDE377_BA5D_4E06_91D9_3A48E1959BA5_.wvu.FilterData" hidden="1" oldHidden="1">
    <formula>Marcos!$A$1:$A$18</formula>
    <oldFormula>Marcos!$A$1:$A$18</oldFormula>
  </rdn>
  <rdn rId="0" localSheetId="9" customView="1" name="Z_B3CDE377_BA5D_4E06_91D9_3A48E1959BA5_.wvu.FilterData" hidden="1" oldHidden="1">
    <formula>Carlos!$A$1:$A$18</formula>
    <oldFormula>Carlos!$A$1:$A$18</oldFormula>
  </rdn>
  <rdn rId="0" localSheetId="10" customView="1" name="Z_B3CDE377_BA5D_4E06_91D9_3A48E1959BA5_.wvu.FilterData" hidden="1" oldHidden="1">
    <formula>Alessandro!$A$1:$A$18</formula>
    <oldFormula>Alessandro!$A$1:$A$18</oldFormula>
  </rdn>
  <rcv guid="{B3CDE377-BA5D-4E06-91D9-3A48E1959BA5}" action="add"/>
</revisions>
</file>

<file path=xl/revisions/revisionLog2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H17" start="0" length="0">
    <dxf>
      <alignment wrapText="1"/>
    </dxf>
  </rfmt>
  <rfmt sheetId="7" sqref="AI17" start="0" length="0">
    <dxf>
      <alignment wrapText="1"/>
    </dxf>
  </rfmt>
  <rfmt sheetId="7" sqref="AJ17" start="0" length="0">
    <dxf>
      <alignment wrapText="1"/>
    </dxf>
  </rfmt>
</revisions>
</file>

<file path=xl/revisions/revisionLog2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63" sId="6" odxf="1" dxf="1">
    <nc r="X17" t="inlineStr">
      <is>
        <t xml:space="preserve"> Pesquisa e busca de 30 processos do esporte 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4864" sId="6" odxf="1" dxf="1">
    <nc r="Y17" t="inlineStr">
      <is>
        <t xml:space="preserve"> Pesquisa e busca de 30 processos do esporte 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fmt sheetId="6" xfDxf="1" sqref="W18" start="0" length="0">
    <dxf>
      <alignment horizontal="center" vertical="center" wrapText="1"/>
    </dxf>
  </rfmt>
  <rfmt sheetId="6" xfDxf="1" sqref="W19" start="0" length="0">
    <dxf>
      <alignment horizontal="center" vertical="center"/>
    </dxf>
  </rfmt>
  <rcc rId="4865" sId="6">
    <nc r="W18" t="inlineStr">
      <is>
        <t xml:space="preserve"> Busca por caixas de fotos LBA. - Total: 14 caixas</t>
      </is>
    </nc>
  </rcc>
  <rcc rId="4866" sId="6">
    <nc r="Y2">
      <v>8</v>
    </nc>
  </rcc>
  <rcc rId="4867" sId="6">
    <nc r="Y16">
      <v>15</v>
    </nc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Danilo!$A$1:$A$18</formula>
    <oldFormula>Danilo!$A$1:$A$18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2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78" sId="4" odxf="1" dxf="1">
    <nc r="Y17" t="inlineStr">
      <is>
        <t>Pesquisa e busca por 30 processosdo MESP.
Solicitação e-mail de 26/08/2025, por Carlos Henrique Ribeiro de Sousa.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4879" sId="4">
    <nc r="U17" t="inlineStr">
      <is>
        <t>Inventário de Fotos LBA</t>
      </is>
    </nc>
  </rcc>
  <rcc rId="4880" sId="4">
    <nc r="V17" t="inlineStr">
      <is>
        <t>Inventário de Fotos LBA</t>
      </is>
    </nc>
  </rcc>
  <rcc rId="4881" sId="4">
    <nc r="W17" t="inlineStr">
      <is>
        <t>Inventário de Fotos LBA</t>
      </is>
    </nc>
  </rcc>
  <rcc rId="4882" sId="4" odxf="1" dxf="1">
    <nc r="X17" t="inlineStr">
      <is>
        <t>Inventário de Fotos LBA</t>
      </is>
    </nc>
    <odxf>
      <alignment wrapText="0"/>
    </odxf>
    <ndxf>
      <alignment wrapText="1"/>
    </ndxf>
  </rcc>
  <rcc rId="4883" sId="4">
    <nc r="X18" t="inlineStr">
      <is>
        <t>PROCURANDO CAIXAS DA LBA</t>
      </is>
    </nc>
  </rcc>
  <rcc rId="4884" sId="4">
    <nc r="W18" t="inlineStr">
      <is>
        <t>PROCURANDO CAIXAS DA LBA</t>
      </is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Danilo!$A$1:$A$18</formula>
    <oldFormula>Danilo!$A$1:$A$31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9" customView="1" name="Z_20CB6D8F_C24D_4D4B_A424_AF380F620455_.wvu.FilterData" hidden="1" oldHidden="1">
    <formula>Carlos!$A$1:$A$18</formula>
    <oldFormula>Carlos!$A$1:$A$18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cv guid="{20CB6D8F-C24D-4D4B-A424-AF380F620455}" action="add"/>
</revisions>
</file>

<file path=xl/revisions/revisionLog2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95" sId="4">
    <nc r="AA17" t="inlineStr">
      <is>
        <t>Inventário de Fotos LBA</t>
      </is>
    </nc>
  </rcc>
  <rcc rId="4896" sId="4">
    <nc r="AA18" t="inlineStr">
      <is>
        <t>PROCURANDO CAIXAS DA LBA</t>
      </is>
    </nc>
  </rcc>
</revisions>
</file>

<file path=xl/revisions/revisionLog2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97" sId="6">
    <nc r="AA17" t="inlineStr">
      <is>
        <t>fazendo um - Resumo - Pesquisa na planilha Retorno SOS</t>
      </is>
    </nc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Danilo!$A$1:$A$18</formula>
    <oldFormula>Danilo!$A$1:$A$18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2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08" sId="6">
    <nc r="AC17" t="inlineStr">
      <is>
        <t>recebimento das fotos da LBA do bloco A</t>
      </is>
    </nc>
  </rcc>
  <rfmt sheetId="6" sqref="AC17">
    <dxf>
      <alignment wrapText="1"/>
    </dxf>
  </rfmt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Danilo!$A$1:$A$18</formula>
    <oldFormula>Danilo!$A$1:$A$18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2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19" sId="5">
    <nc r="AA11">
      <v>3</v>
    </nc>
  </rcc>
  <rfmt sheetId="5" sqref="AA16" start="0" length="0">
    <dxf>
      <border outline="0">
        <bottom/>
      </border>
    </dxf>
  </rfmt>
  <rfmt sheetId="5" sqref="AB16" start="0" length="0">
    <dxf>
      <border outline="0">
        <bottom/>
      </border>
    </dxf>
  </rfmt>
  <rfmt sheetId="5" sqref="AC16" start="0" length="0">
    <dxf>
      <border outline="0">
        <bottom/>
      </border>
    </dxf>
  </rfmt>
  <rfmt sheetId="5" sqref="AD16" start="0" length="0">
    <dxf>
      <border outline="0">
        <bottom/>
      </border>
    </dxf>
  </rfmt>
  <rfmt sheetId="5" sqref="AE16" start="0" length="0">
    <dxf>
      <border outline="0">
        <bottom/>
      </border>
    </dxf>
  </rfmt>
  <rcc rId="4920" sId="5" odxf="1" dxf="1">
    <nc r="AA17" t="inlineStr">
      <is>
        <t>Inventário de Fotos LBA.
3 caixas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fmt sheetId="5" sqref="AB17" start="0" length="0">
    <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AC17" start="0" length="0">
    <dxf>
      <alignment wrapText="1"/>
    </dxf>
  </rfmt>
  <rfmt sheetId="5" sqref="AD17" start="0" length="0">
    <dxf>
      <alignment wrapText="0"/>
    </dxf>
  </rfmt>
  <rcc rId="4921" sId="5">
    <nc r="AC15">
      <v>14</v>
    </nc>
  </rcc>
  <rcc rId="4922" sId="5">
    <nc r="AB16">
      <v>23</v>
    </nc>
  </rcc>
  <rcc rId="4923" sId="5">
    <nc r="AC16">
      <v>12</v>
    </nc>
  </rcc>
  <rcc rId="4924" sId="5">
    <nc r="AB17" t="inlineStr">
      <is>
        <t>Pesquisa e busca por caixas de fotos LBA no Bloco A - G-15</t>
      </is>
    </nc>
  </rcc>
  <rcc rId="4925" sId="5" odxf="1" dxf="1">
    <nc r="AC17" t="inlineStr">
      <is>
        <t>1. Pesquisa e busca por caixas de fotos LBA no 
Bloco A - G-15.
2. Acompanhamento movimentação caixas fotos LBA, do Bloco A para o DNIT.</t>
      </is>
    </nc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fmt sheetId="5" sqref="AD17" start="0" length="0">
    <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AE17" start="0" length="0">
    <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Danilo!$A$1:$A$18</formula>
    <oldFormula>Danilo!$A$1:$A$18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2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36" sId="8">
    <nc r="W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4937" sId="8" odxf="1" dxf="1">
    <nc r="X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  <odxf>
      <alignment wrapText="0"/>
    </odxf>
    <ndxf>
      <alignment wrapText="1"/>
    </ndxf>
  </rcc>
  <rcc rId="4938" sId="8" odxf="1" dxf="1">
    <nc r="Y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  <odxf>
      <alignment wrapText="0"/>
    </odxf>
    <ndxf>
      <alignment wrapText="1"/>
    </ndxf>
  </rcc>
  <rcc rId="4939" sId="8">
    <nc r="AA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4940" sId="8" odxf="1" dxf="1">
    <nc r="AB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  <odxf>
      <alignment wrapText="0"/>
    </odxf>
    <ndxf>
      <alignment wrapText="1"/>
    </ndxf>
  </rcc>
  <rfmt sheetId="8" sqref="AC17" start="0" length="0">
    <dxf>
      <alignment wrapText="1"/>
    </dxf>
  </rfmt>
  <rcc rId="4941" sId="8">
    <nc r="AD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4942" sId="8">
    <nc r="AC17" t="inlineStr">
      <is>
        <t>Selecionando fostos LBA bloco A para envio DNIT</t>
      </is>
    </nc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Danilo!$A$1:$A$18</formula>
    <oldFormula>Danilo!$A$1:$A$18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9" customView="1" name="Z_E3841903_5B68_44FD_8F09_58E03D1025C5_.wvu.FilterData" hidden="1" oldHidden="1">
    <formula>Carlos!$A$1:$A$18</formula>
    <oldFormula>Carlos!$A$1:$A$18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cv guid="{E3841903-5B68-44FD-8F09-58E03D1025C5}" action="add"/>
</revisions>
</file>

<file path=xl/revisions/revisionLog2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53" sId="5">
    <nc r="AD11">
      <v>2</v>
    </nc>
  </rcc>
  <rfmt sheetId="5" sqref="AC17" start="0" length="0">
    <dxf>
      <border outline="0">
        <left/>
        <right/>
        <top/>
        <bottom/>
      </border>
    </dxf>
  </rfmt>
  <rcc rId="4954" sId="5">
    <nc r="AD17" t="inlineStr">
      <is>
        <t>Inventário de Fotos LBA.
2 caixas</t>
      </is>
    </nc>
  </rcc>
  <rfmt sheetId="5" sqref="AE17" start="0" length="0">
    <dxf>
      <alignment wrapText="0"/>
      <border outline="0">
        <left/>
        <right/>
        <top/>
        <bottom/>
      </border>
    </dxf>
  </rfmt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Danilo!$A$1:$A$18</formula>
    <oldFormula>Danilo!$A$1:$A$18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2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65" sId="6">
    <nc r="AD17" t="inlineStr">
      <is>
        <t xml:space="preserve">revisando  as alterações feitas no relatoria </t>
      </is>
    </nc>
  </rcc>
  <rcc rId="4966" sId="6" odxf="1" dxf="1">
    <nc r="AE17" t="inlineStr">
      <is>
        <t xml:space="preserve">revisando  as alterações feitas no relatoria </t>
      </is>
    </nc>
    <odxf>
      <alignment wrapText="0"/>
    </odxf>
    <ndxf>
      <alignment wrapText="1"/>
    </ndxf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Danilo!$A$1:$A$18</formula>
    <oldFormula>Danilo!$A$1:$A$18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9" customView="1" name="Z_9B623083_AA7B_440B_95EA_C33E1AB3D963_.wvu.FilterData" hidden="1" oldHidden="1">
    <formula>Carlos!$A$1:$A$18</formula>
    <oldFormula>Carlos!$A$1:$A$18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cv guid="{9B623083-AA7B-440B-95EA-C33E1AB3D963}" action="add"/>
</revisions>
</file>

<file path=xl/revisions/revisionLog2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77" sId="5">
    <nc r="AE11">
      <v>1</v>
    </nc>
  </rcc>
  <rcc rId="4978" sId="5" odxf="1" dxf="1">
    <nc r="AE17" t="inlineStr">
      <is>
        <t>1. Analisando a Pasta de Rede, o Arquivo LBA 
para otimização das planilhas.
2. Inventário de Fotos LBA.
1 caixa.</t>
      </is>
    </nc>
    <odxf>
      <alignment wrapText="0"/>
    </odxf>
    <ndxf>
      <alignment wrapText="1"/>
    </ndxf>
  </rcc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Danilo!$A$1:$A$18</formula>
    <oldFormula>Danilo!$A$1:$A$18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9" customView="1" name="Z_86039CF8_B158_4D70_9A6F_A10C29CBD68A_.wvu.FilterData" hidden="1" oldHidden="1">
    <formula>Carlos!$A$1:$A$18</formula>
    <oldFormula>Carlos!$A$1:$A$18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cv guid="{86039CF8-B158-4D70-9A6F-A10C29CBD68A}" action="add"/>
</revisions>
</file>

<file path=xl/revisions/revisionLog2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18A482E0-C8B6-4AA1-9E04-15FA7C9CD5E3}" action="delete"/>
  <rdn rId="0" localSheetId="1" customView="1" name="Z_18A482E0_C8B6_4AA1_9E04_15FA7C9CD5E3_.wvu.FilterData" hidden="1" oldHidden="1">
    <formula>Patrícia!$A$1:$A$18</formula>
    <oldFormula>Patrícia!$A$1:$A$18</oldFormula>
  </rdn>
  <rdn rId="0" localSheetId="2" customView="1" name="Z_18A482E0_C8B6_4AA1_9E04_15FA7C9CD5E3_.wvu.FilterData" hidden="1" oldHidden="1">
    <formula>Marcelo!$A$1:$A$18</formula>
    <oldFormula>Marcelo!$A$1:$A$18</oldFormula>
  </rdn>
  <rdn rId="0" localSheetId="3" customView="1" name="Z_18A482E0_C8B6_4AA1_9E04_15FA7C9CD5E3_.wvu.FilterData" hidden="1" oldHidden="1">
    <formula>TOTAL!$A$1:$A$18</formula>
    <oldFormula>TOTAL!$A$1:$A$18</oldFormula>
  </rdn>
  <rdn rId="0" localSheetId="4" customView="1" name="Z_18A482E0_C8B6_4AA1_9E04_15FA7C9CD5E3_.wvu.FilterData" hidden="1" oldHidden="1">
    <formula>Diego!$A$1:$A$18</formula>
    <oldFormula>Diego!$A$1:$A$18</oldFormula>
  </rdn>
  <rdn rId="0" localSheetId="5" customView="1" name="Z_18A482E0_C8B6_4AA1_9E04_15FA7C9CD5E3_.wvu.FilterData" hidden="1" oldHidden="1">
    <formula>Aelton!$A$1:$A$18</formula>
    <oldFormula>Aelton!$A$1:$A$18</oldFormula>
  </rdn>
  <rdn rId="0" localSheetId="6" customView="1" name="Z_18A482E0_C8B6_4AA1_9E04_15FA7C9CD5E3_.wvu.FilterData" hidden="1" oldHidden="1">
    <formula>Leonam!$A$1:$BD$18</formula>
    <oldFormula>Leonam!$A$1:$BD$18</oldFormula>
  </rdn>
  <rdn rId="0" localSheetId="7" customView="1" name="Z_18A482E0_C8B6_4AA1_9E04_15FA7C9CD5E3_.wvu.FilterData" hidden="1" oldHidden="1">
    <formula>Danilo!$A$1:$A$18</formula>
    <oldFormula>Danilo!$A$1:$A$31</oldFormula>
  </rdn>
  <rdn rId="0" localSheetId="8" customView="1" name="Z_18A482E0_C8B6_4AA1_9E04_15FA7C9CD5E3_.wvu.FilterData" hidden="1" oldHidden="1">
    <formula>Marcos!$A$1:$A$18</formula>
    <oldFormula>Marcos!$A$1:$A$18</oldFormula>
  </rdn>
  <rdn rId="0" localSheetId="10" customView="1" name="Z_18A482E0_C8B6_4AA1_9E04_15FA7C9CD5E3_.wvu.FilterData" hidden="1" oldHidden="1">
    <formula>Alessandro!$A$1:$A$18</formula>
    <oldFormula>Alessandro!$A$1:$A$18</oldFormula>
  </rdn>
  <rdn rId="0" localSheetId="9" customView="1" name="Z_18A482E0_C8B6_4AA1_9E04_15FA7C9CD5E3_.wvu.FilterData" hidden="1" oldHidden="1">
    <formula>Carlos!$A$1:$A$18</formula>
    <oldFormula>Carlos!$A$1:$A$18</oldFormula>
  </rdn>
  <rcv guid="{18A482E0-C8B6-4AA1-9E04-15FA7C9CD5E3}" action="add"/>
</revisions>
</file>

<file path=xl/revisions/revisionLog2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99" sId="10">
    <nc r="Q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5000" sId="10">
    <nc r="R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5001" sId="10">
    <nc r="S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5002" sId="10">
    <nc r="U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5003" sId="10">
    <nc r="V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5004" sId="10">
    <nc r="W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5005" sId="10" odxf="1" dxf="1">
    <nc r="X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  <odxf>
      <alignment wrapText="0"/>
    </odxf>
    <ndxf>
      <alignment wrapText="1"/>
    </ndxf>
  </rcc>
  <rfmt sheetId="10" sqref="Y17" start="0" length="0">
    <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cc rId="5006" sId="10">
    <nc r="Y17" t="inlineStr">
      <is>
        <r>
          <t xml:space="preserve"> Pesquisa e busca de </t>
        </r>
        <r>
          <rPr>
            <b/>
            <sz val="11"/>
            <color theme="1"/>
            <rFont val="Aptos Narrow"/>
            <family val="2"/>
          </rPr>
          <t>30 processos</t>
        </r>
        <r>
          <rPr>
            <sz val="11"/>
            <color theme="1"/>
            <rFont val="Aptos Narrow"/>
            <family val="2"/>
          </rPr>
          <t xml:space="preserve"> do esporte </t>
        </r>
      </is>
    </nc>
  </rcc>
  <rcc rId="5007" sId="10">
    <nc r="AA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5008" sId="10" odxf="1" dxf="1">
    <nc r="AB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  <odxf>
      <alignment wrapText="0"/>
    </odxf>
    <ndxf>
      <alignment wrapText="1"/>
    </ndxf>
  </rcc>
  <rcc rId="5009" sId="10" odxf="1" dxf="1">
    <nc r="AC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  <odxf>
      <alignment wrapText="0"/>
    </odxf>
    <ndxf>
      <alignment wrapText="1"/>
    </ndxf>
  </rcc>
  <rcc rId="5010" sId="10">
    <nc r="AD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5011" sId="10" odxf="1" dxf="1">
    <nc r="AE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  <odxf>
      <alignment wrapText="0"/>
    </odxf>
    <ndxf>
      <alignment wrapText="1"/>
    </ndxf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Danilo!$A$1:$A$18</formula>
    <oldFormula>Danilo!$A$1:$A$31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dn rId="0" localSheetId="9" customView="1" name="Z_3D987F8E_A6EA_454D_9537_6BFC5053CB00_.wvu.FilterData" hidden="1" oldHidden="1">
    <formula>Carlos!$A$1:$A$18</formula>
    <oldFormula>Carlos!$A$1:$A$18</oldFormula>
  </rdn>
  <rcv guid="{3D987F8E-A6EA-454D-9537-6BFC5053CB00}" action="add"/>
</revisions>
</file>

<file path=xl/revisions/revisionLog2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22" sId="10" odxf="1" dxf="1">
    <oc r="F17" t="inlineStr">
      <is>
        <r>
          <t xml:space="preserve">Correções e Formatação de campos da planilha do </t>
        </r>
        <r>
          <rPr>
            <b/>
            <sz val="11"/>
            <color theme="1"/>
            <rFont val="Aptos Narrow"/>
            <family val="2"/>
          </rPr>
          <t>ARCEN</t>
        </r>
        <r>
          <rPr>
            <sz val="11"/>
            <color theme="1"/>
            <rFont val="Aptos Narrow"/>
            <family val="2"/>
          </rPr>
          <t xml:space="preserve">
(Otimização e padronização)</t>
        </r>
      </is>
    </oc>
    <nc r="F17" t="inlineStr">
      <is>
        <t>Palestra no Arquivo Nacional
Fomos liberados do Ponto Eletrônico.</t>
      </is>
    </nc>
    <odxf>
      <fill>
        <patternFill patternType="none">
          <bgColor indexed="65"/>
        </patternFill>
      </fill>
      <border outline="0">
        <left/>
        <right/>
        <top/>
        <bottom/>
      </border>
    </odxf>
    <ndxf>
      <fill>
        <patternFill patternType="solid">
          <bgColor theme="6" tint="0.79998168889431442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fmt sheetId="10" sqref="F17">
    <dxf>
      <fill>
        <patternFill>
          <bgColor theme="0"/>
        </patternFill>
      </fill>
    </dxf>
  </rfmt>
  <rfmt sheetId="10" sqref="F17" start="0" length="2147483647">
    <dxf>
      <font>
        <b/>
      </font>
    </dxf>
  </rfmt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Danilo!$A$1:$A$18</formula>
    <oldFormula>Danilo!$A$1:$A$18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dn rId="0" localSheetId="9" customView="1" name="Z_3D987F8E_A6EA_454D_9537_6BFC5053CB00_.wvu.FilterData" hidden="1" oldHidden="1">
    <formula>Carlos!$A$1:$A$18</formula>
    <oldFormula>Carlos!$A$1:$A$18</oldFormula>
  </rdn>
  <rcv guid="{3D987F8E-A6EA-454D-9537-6BFC5053CB00}" action="add"/>
</revisions>
</file>

<file path=xl/revisions/revisionLog2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33" sId="10">
    <nc r="P11">
      <v>2</v>
    </nc>
  </rcc>
  <rcc rId="5034" sId="10">
    <nc r="Q11">
      <v>2</v>
    </nc>
  </rcc>
  <rcc rId="5035" sId="10">
    <nc r="R11">
      <v>2</v>
    </nc>
  </rcc>
  <rcc rId="5036" sId="10">
    <nc r="S11">
      <v>2</v>
    </nc>
  </rcc>
  <rcc rId="5037" sId="10">
    <nc r="U11">
      <v>2</v>
    </nc>
  </rcc>
  <rcc rId="5038" sId="10">
    <nc r="V11">
      <v>2</v>
    </nc>
  </rcc>
  <rcc rId="5039" sId="10">
    <nc r="W11">
      <v>2</v>
    </nc>
  </rcc>
  <rcc rId="5040" sId="10">
    <nc r="X11">
      <v>2</v>
    </nc>
  </rcc>
  <rcc rId="5041" sId="10">
    <nc r="AA11">
      <v>2</v>
    </nc>
  </rcc>
  <rcc rId="5042" sId="10">
    <nc r="AB11">
      <v>2</v>
    </nc>
  </rcc>
  <rcc rId="5043" sId="10">
    <nc r="AC11">
      <v>2</v>
    </nc>
  </rcc>
  <rcc rId="5044" sId="10">
    <nc r="AD11">
      <v>2</v>
    </nc>
  </rcc>
  <rcc rId="5045" sId="10">
    <nc r="AE11">
      <v>1</v>
    </nc>
  </rcc>
</revisions>
</file>

<file path=xl/revisions/revisionLog2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46" sId="10">
    <nc r="AG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Danilo!$A$1:$A$18</formula>
    <oldFormula>Danilo!$A$1:$A$18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dn rId="0" localSheetId="9" customView="1" name="Z_3D987F8E_A6EA_454D_9537_6BFC5053CB00_.wvu.FilterData" hidden="1" oldHidden="1">
    <formula>Carlos!$A$1:$A$18</formula>
    <oldFormula>Carlos!$A$1:$A$18</oldFormula>
  </rdn>
  <rcv guid="{3D987F8E-A6EA-454D-9537-6BFC5053CB00}" action="add"/>
</revisions>
</file>

<file path=xl/revisions/revisionLog2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57" sId="4" odxf="1" dxf="1">
    <nc r="AB17" t="inlineStr">
      <is>
        <t>Inventário de Fotos LBA</t>
      </is>
    </nc>
    <odxf>
      <alignment wrapText="0"/>
    </odxf>
    <ndxf>
      <alignment wrapText="1"/>
    </ndxf>
  </rcc>
  <rcc rId="5058" sId="4">
    <nc r="AD17" t="inlineStr">
      <is>
        <t>Inventário de Fotos LBA</t>
      </is>
    </nc>
  </rcc>
  <rcc rId="5059" sId="4" odxf="1" dxf="1">
    <nc r="AC17" t="inlineStr">
      <is>
        <t>Inventário de Fotos LBA</t>
      </is>
    </nc>
    <odxf>
      <alignment wrapText="0"/>
    </odxf>
    <ndxf>
      <alignment wrapText="1"/>
    </ndxf>
  </rcc>
  <rcc rId="5060" sId="4" odxf="1" dxf="1">
    <nc r="AE17" t="inlineStr">
      <is>
        <t>Inventário de Fotos LBA</t>
      </is>
    </nc>
    <odxf>
      <alignment wrapText="0"/>
    </odxf>
    <ndxf>
      <alignment wrapText="1"/>
    </ndxf>
  </rcc>
  <rcc rId="5061" sId="4">
    <nc r="AG17" t="inlineStr">
      <is>
        <t>Inventário de Fotos LBA</t>
      </is>
    </nc>
  </rcc>
  <rcc rId="5062" sId="4" odxf="1" dxf="1">
    <nc r="AH17" t="inlineStr">
      <is>
        <t>Inventário de Fotos LBA</t>
      </is>
    </nc>
    <odxf>
      <alignment wrapText="0"/>
    </odxf>
    <ndxf>
      <alignment wrapText="1"/>
    </ndxf>
  </rcc>
  <rcc rId="5063" sId="4">
    <nc r="AK17" t="inlineStr">
      <is>
        <t>Inventário de Fotos LBA</t>
      </is>
    </nc>
  </rcc>
  <rcc rId="5064" sId="4" odxf="1" dxf="1">
    <nc r="AJ17" t="inlineStr">
      <is>
        <t>Inventário de Fotos LBA</t>
      </is>
    </nc>
    <odxf>
      <alignment wrapText="0"/>
    </odxf>
    <ndxf>
      <alignment wrapText="1"/>
    </ndxf>
  </rcc>
  <rcc rId="5065" sId="4" odxf="1" dxf="1">
    <nc r="AI17" t="inlineStr">
      <is>
        <t>Inventário de Fotos LBA</t>
      </is>
    </nc>
    <odxf>
      <alignment wrapText="0"/>
    </odxf>
    <ndxf>
      <alignment wrapText="1"/>
    </ndxf>
  </rcc>
  <rcc rId="5066" sId="4">
    <nc r="AH18" t="inlineStr">
      <is>
        <t xml:space="preserve">PROCURANDO  O PROCESSO DA LBA </t>
      </is>
    </nc>
  </rcc>
  <rcc rId="5067" sId="4">
    <nc r="AG18" t="inlineStr">
      <is>
        <t xml:space="preserve">PROCURANDO  O PROCESSO DA LBA </t>
      </is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Danilo!$A$1:$A$18</formula>
    <oldFormula>Danilo!$A$1:$A$18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dn rId="0" localSheetId="9" customView="1" name="Z_20CB6D8F_C24D_4D4B_A424_AF380F620455_.wvu.FilterData" hidden="1" oldHidden="1">
    <formula>Carlos!$A$1:$A$18</formula>
    <oldFormula>Carlos!$A$1:$A$18</oldFormula>
  </rdn>
  <rcv guid="{20CB6D8F-C24D-4D4B-A424-AF380F620455}" action="add"/>
</revisions>
</file>

<file path=xl/revisions/revisionLog2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78" sId="7">
    <nc r="AB17" t="inlineStr">
      <is>
        <t>AFASTAMENTO POR MOTIVO DE SAÚDE</t>
      </is>
    </nc>
  </rcc>
  <rcc rId="5079" sId="7">
    <nc r="AC17" t="inlineStr">
      <is>
        <t>NÃO HOUVE ATIVIDADES COM INVENTÁRIO DE FOTOS: MOTIVOS DE SAÚDE</t>
      </is>
    </nc>
  </rcc>
  <rcc rId="5080" sId="7">
    <nc r="AD17" t="inlineStr">
      <is>
        <t>NÃO HOUVE ATIVIDADES COM INVENTÁRIO DE FOTOS: MOTIVOS DE SAÚDE</t>
      </is>
    </nc>
  </rcc>
  <rcc rId="5081" sId="7">
    <nc r="AE17" t="inlineStr">
      <is>
        <t>Inventário de fotos LBA.</t>
      </is>
    </nc>
  </rcc>
</revisions>
</file>

<file path=xl/revisions/revisionLog2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82" sId="7">
    <nc r="AG17" t="inlineStr">
      <is>
        <t>Inventário de fotos LBA.</t>
      </is>
    </nc>
  </rcc>
  <rcc rId="5083" sId="7">
    <oc r="AE17" t="inlineStr">
      <is>
        <t>Inventário de fotos LBA.</t>
      </is>
    </oc>
    <nc r="AE17" t="inlineStr">
      <is>
        <t>Inventário de fotos em planilha.</t>
      </is>
    </nc>
  </rcc>
</revisions>
</file>

<file path=xl/revisions/revisionLog2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84" sId="7">
    <nc r="AH17" t="inlineStr">
      <is>
        <t>Inventário de fotos LBA.</t>
      </is>
    </nc>
  </rcc>
  <rcc rId="5085" sId="7">
    <nc r="AI17" t="inlineStr">
      <is>
        <t>Inventário de fotos LBA.</t>
      </is>
    </nc>
  </rcc>
  <rcc rId="5086" sId="7">
    <nc r="AJ17" t="inlineStr">
      <is>
        <t>Inventário de fotos LBA.</t>
      </is>
    </nc>
  </rcc>
  <rcc rId="5087" sId="7">
    <nc r="AK17" t="inlineStr">
      <is>
        <t>Inventário de fotos LBA.</t>
      </is>
    </nc>
  </rcc>
  <rcc rId="5088" sId="7">
    <nc r="AH18" t="inlineStr">
      <is>
        <t xml:space="preserve">PROCURANDO  O PROCESSO DA LBA </t>
      </is>
    </nc>
  </rcc>
  <rcc rId="5089" sId="7" odxf="1" dxf="1">
    <nc r="AI18" t="inlineStr">
      <is>
        <t xml:space="preserve">PROCURANDO  O PROCESSO DA LBA </t>
      </is>
    </nc>
    <odxf>
      <alignment wrapText="0"/>
    </odxf>
    <ndxf>
      <alignment wrapText="1"/>
    </ndxf>
  </rcc>
</revisions>
</file>

<file path=xl/revisions/revisionLog2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90" sId="5">
    <nc r="AG11">
      <v>1</v>
    </nc>
  </rcc>
  <rcc rId="5091" sId="5">
    <nc r="AG12">
      <v>2</v>
    </nc>
  </rcc>
  <rfmt sheetId="5" sqref="AG16" start="0" length="0">
    <dxf>
      <border outline="0">
        <bottom/>
      </border>
    </dxf>
  </rfmt>
  <rfmt sheetId="5" sqref="AH16" start="0" length="0">
    <dxf>
      <border outline="0">
        <bottom/>
      </border>
    </dxf>
  </rfmt>
  <rfmt sheetId="5" sqref="AI16" start="0" length="0">
    <dxf>
      <border outline="0">
        <bottom/>
      </border>
    </dxf>
  </rfmt>
  <rfmt sheetId="5" sqref="AJ16" start="0" length="0">
    <dxf>
      <border outline="0">
        <bottom/>
      </border>
    </dxf>
  </rfmt>
  <rfmt sheetId="5" sqref="AK16" start="0" length="0">
    <dxf>
      <border outline="0">
        <bottom/>
      </border>
    </dxf>
  </rfmt>
  <rcc rId="5092" sId="5">
    <nc r="AG17" t="inlineStr">
      <is>
        <r>
          <rPr>
            <sz val="11"/>
            <color rgb="FFFF0000"/>
            <rFont val="Aptos Narrow"/>
            <family val="2"/>
          </rPr>
          <t>1. Curso Redação Oficial On-line - 8h30 às 12h.</t>
        </r>
        <r>
          <rPr>
            <sz val="11"/>
            <color theme="1"/>
            <rFont val="Aptos Narrow"/>
            <family val="2"/>
          </rPr>
          <t xml:space="preserve">
2.   Inventário de Fotos LBA.
1 caixa e 2 álbuns.</t>
        </r>
      </is>
    </nc>
  </rcc>
  <rfmt sheetId="5" sqref="AH17" start="0" length="0">
    <dxf>
      <alignment wrapText="1"/>
    </dxf>
  </rfmt>
  <rfmt sheetId="5" sqref="AI17" start="0" length="0">
    <dxf>
      <font>
        <sz val="11"/>
        <color rgb="FFFF0000"/>
        <name val="Aptos Narrow"/>
        <family val="2"/>
        <scheme val="minor"/>
      </font>
      <alignment wrapText="1"/>
    </dxf>
  </rfmt>
  <rfmt sheetId="5" sqref="AJ17" start="0" length="0">
    <dxf>
      <font>
        <sz val="11"/>
        <color rgb="FFFF0000"/>
        <name val="Aptos Narrow"/>
        <family val="2"/>
        <scheme val="minor"/>
      </font>
      <alignment wrapText="1"/>
    </dxf>
  </rfmt>
  <rfmt sheetId="5" sqref="AK17" start="0" length="0">
    <dxf>
      <font>
        <sz val="11"/>
        <color rgb="FFFF0000"/>
        <name val="Aptos Narrow"/>
        <family val="2"/>
        <scheme val="minor"/>
      </font>
    </dxf>
  </rfmt>
  <rcc rId="5093" sId="5">
    <nc r="AI12">
      <v>7</v>
    </nc>
  </rcc>
  <rcc rId="5094" sId="5">
    <nc r="AJ12">
      <v>4</v>
    </nc>
  </rcc>
  <rcc rId="5095" sId="5">
    <nc r="AK13">
      <v>1</v>
    </nc>
  </rcc>
  <rcc rId="5096" sId="5">
    <nc r="AH17" t="inlineStr">
      <is>
        <r>
          <rPr>
            <sz val="11"/>
            <color rgb="FFFF0000"/>
            <rFont val="Aptos Narrow"/>
            <family val="2"/>
          </rPr>
          <t xml:space="preserve"> 1. Curso Redação Oficial On-line -
 8h30 às 12h.</t>
        </r>
        <r>
          <rPr>
            <sz val="11"/>
            <color theme="1"/>
            <rFont val="Aptos Narrow"/>
            <family val="2"/>
          </rPr>
          <t xml:space="preserve">
2. Pesquisa e busca por processo da LBA,
 imóvel Rio de Janeiro.
Solicitação por e-mail da SNAS, 
Gustavo encaminhou em 8/9/2025.
Encontrados 2 processos.</t>
        </r>
      </is>
    </nc>
  </rcc>
  <rcc rId="5097" sId="5" odxf="1" dxf="1">
    <nc r="AI17" t="inlineStr">
      <is>
        <r>
          <t xml:space="preserve"> 1. Curso Redação Oficial On-line -
 8h30 às 12h.
</t>
        </r>
        <r>
          <rPr>
            <sz val="11"/>
            <color theme="1"/>
            <rFont val="Aptos Narrow"/>
            <family val="2"/>
          </rPr>
          <t>2.   Inventário de Fotos LBA.
7 álbuns.</t>
        </r>
      </is>
    </nc>
    <ndxf>
      <font>
        <sz val="11"/>
        <color theme="1"/>
        <name val="Aptos Narrow"/>
        <family val="2"/>
        <scheme val="minor"/>
      </font>
    </ndxf>
  </rcc>
  <rcc rId="5098" sId="5" odxf="1" dxf="1">
    <nc r="AJ17" t="inlineStr">
      <is>
        <r>
          <t xml:space="preserve"> 1. Curso Redação Oficial On-line -
 8h30 às 12h.
</t>
        </r>
        <r>
          <rPr>
            <sz val="11"/>
            <color theme="1"/>
            <rFont val="Aptos Narrow"/>
            <family val="2"/>
          </rPr>
          <t>2.</t>
        </r>
        <r>
          <rPr>
            <sz val="11"/>
            <rFont val="Aptos Narrow"/>
            <family val="2"/>
          </rPr>
          <t xml:space="preserve"> Inventário de Fotos LBA.
4 álbuns.</t>
        </r>
      </is>
    </nc>
    <ndxf>
      <font>
        <sz val="11"/>
        <color theme="1"/>
        <name val="Aptos Narrow"/>
        <family val="2"/>
        <scheme val="minor"/>
      </font>
    </ndxf>
  </rcc>
  <rcc rId="5099" sId="5" odxf="1" dxf="1">
    <nc r="AK17" t="inlineStr">
      <is>
        <r>
          <t xml:space="preserve"> 1. Curso Redação Oficial On-line -
 8h30 às 12h.
</t>
        </r>
        <r>
          <rPr>
            <sz val="11"/>
            <color theme="1"/>
            <rFont val="Aptos Narrow"/>
            <family val="2"/>
          </rPr>
          <t>2. Documento produzido:
E-mail para fins de registro DIARQ.</t>
        </r>
      </is>
    </nc>
    <ndxf>
      <font>
        <sz val="11"/>
        <color theme="1"/>
        <name val="Aptos Narrow"/>
        <family val="2"/>
        <scheme val="minor"/>
      </font>
    </ndxf>
  </rcc>
  <rfmt sheetId="5" sqref="AI18" start="0" length="0">
    <dxf>
      <alignment wrapText="1"/>
    </dxf>
  </rfmt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Danilo!$A$1:$A$18</formula>
    <oldFormula>Danilo!$A$1:$A$18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dn rId="0" localSheetId="9" customView="1" name="Z_86039CF8_B158_4D70_9A6F_A10C29CBD68A_.wvu.FilterData" hidden="1" oldHidden="1">
    <formula>Carlos!$A$1:$A$18</formula>
    <oldFormula>Carlos!$A$1:$A$18</oldFormula>
  </rdn>
  <rcv guid="{86039CF8-B158-4D70-9A6F-A10C29CBD68A}" action="add"/>
</revisions>
</file>

<file path=xl/revisions/revisionLog2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10" sId="5">
    <oc r="AI17" t="inlineStr">
      <is>
        <r>
          <t xml:space="preserve"> 1. Curso Redação Oficial On-line -
 8h30 às 12h.
</t>
        </r>
        <r>
          <rPr>
            <sz val="11"/>
            <color theme="1"/>
            <rFont val="Aptos Narrow"/>
            <family val="2"/>
          </rPr>
          <t>2.   Inventário de Fotos LBA.
7 álbuns.</t>
        </r>
      </is>
    </oc>
    <nc r="AI17" t="inlineStr">
      <is>
        <r>
          <t xml:space="preserve"> </t>
        </r>
        <r>
          <rPr>
            <sz val="11"/>
            <color rgb="FFFF0000"/>
            <rFont val="Aptos Narrow"/>
            <family val="2"/>
          </rPr>
          <t>1. Curso Redação Oficial On-line -
 8h30 às 12h</t>
        </r>
        <r>
          <rPr>
            <sz val="11"/>
            <color theme="1"/>
            <rFont val="Aptos Narrow"/>
            <family val="2"/>
          </rPr>
          <t>.
2.   Inventário de Fotos LBA.
7 álbuns.</t>
        </r>
      </is>
    </nc>
  </rcc>
  <rcc rId="5111" sId="5">
    <oc r="AJ17" t="inlineStr">
      <is>
        <r>
          <t xml:space="preserve"> 1. Curso Redação Oficial On-line -
 8h30 às 12h.
</t>
        </r>
        <r>
          <rPr>
            <sz val="11"/>
            <color theme="1"/>
            <rFont val="Aptos Narrow"/>
            <family val="2"/>
          </rPr>
          <t>2.</t>
        </r>
        <r>
          <rPr>
            <sz val="11"/>
            <rFont val="Aptos Narrow"/>
            <family val="2"/>
          </rPr>
          <t xml:space="preserve"> Inventário de Fotos LBA.
4 álbuns.</t>
        </r>
      </is>
    </oc>
    <nc r="AJ17" t="inlineStr">
      <is>
        <r>
          <t xml:space="preserve"> </t>
        </r>
        <r>
          <rPr>
            <sz val="11"/>
            <color rgb="FFFF0000"/>
            <rFont val="Aptos Narrow"/>
            <family val="2"/>
          </rPr>
          <t>1. Curso Redação Oficial On-line -
 8h30 às 12h.</t>
        </r>
        <r>
          <rPr>
            <sz val="11"/>
            <color theme="1"/>
            <rFont val="Aptos Narrow"/>
            <family val="2"/>
          </rPr>
          <t xml:space="preserve">
2.</t>
        </r>
        <r>
          <rPr>
            <sz val="11"/>
            <rFont val="Aptos Narrow"/>
            <family val="2"/>
          </rPr>
          <t xml:space="preserve"> Inventário de Fotos LBA.
4 álbuns.</t>
        </r>
      </is>
    </nc>
  </rcc>
  <rcc rId="5112" sId="5">
    <oc r="AK17" t="inlineStr">
      <is>
        <r>
          <t xml:space="preserve"> 1. Curso Redação Oficial On-line -
 8h30 às 12h.
</t>
        </r>
        <r>
          <rPr>
            <sz val="11"/>
            <color theme="1"/>
            <rFont val="Aptos Narrow"/>
            <family val="2"/>
          </rPr>
          <t>2. Documento produzido:
E-mail para fins de registro DIARQ.</t>
        </r>
      </is>
    </oc>
    <nc r="AK17" t="inlineStr">
      <is>
        <r>
          <t xml:space="preserve"> </t>
        </r>
        <r>
          <rPr>
            <sz val="11"/>
            <color rgb="FFFF0000"/>
            <rFont val="Aptos Narrow"/>
            <family val="2"/>
          </rPr>
          <t>1. Curso Redação Oficial On-line -
 8h30 às 12h.</t>
        </r>
        <r>
          <rPr>
            <sz val="11"/>
            <color theme="1"/>
            <rFont val="Aptos Narrow"/>
            <family val="2"/>
          </rPr>
          <t xml:space="preserve">
2. Documento produzido:
E-mail para fins de registro DIARQ.</t>
        </r>
      </is>
    </nc>
  </rcc>
</revisions>
</file>

<file path=xl/revisions/revisionLog2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H17" start="0" length="0">
    <dxf>
      <alignment wrapText="1"/>
    </dxf>
  </rfmt>
  <rfmt sheetId="10" sqref="AI17" start="0" length="0">
    <dxf>
      <alignment wrapText="1"/>
    </dxf>
  </rfmt>
  <rfmt sheetId="10" sqref="AJ17" start="0" length="0">
    <dxf>
      <alignment wrapText="1"/>
    </dxf>
  </rfmt>
  <rcc rId="5113" sId="10">
    <oc r="AG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oc>
    <nc r="AG17" t="inlineStr">
      <is>
        <r>
          <t xml:space="preserve"> </t>
        </r>
        <r>
          <rPr>
            <b/>
            <sz val="11"/>
            <color theme="1"/>
            <rFont val="Aptos Narrow"/>
            <family val="2"/>
          </rPr>
          <t>1. Curso Redação Oficial On-line -
 8h30 às 12h</t>
        </r>
        <r>
          <rPr>
            <sz val="11"/>
            <color theme="1"/>
            <rFont val="Aptos Narrow"/>
            <family val="2"/>
          </rPr>
          <t xml:space="preserve">.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5114" sId="10">
    <nc r="AH17" t="inlineStr">
      <is>
        <r>
          <t xml:space="preserve"> </t>
        </r>
        <r>
          <rPr>
            <b/>
            <sz val="11"/>
            <color theme="1"/>
            <rFont val="Aptos Narrow"/>
            <family val="2"/>
          </rPr>
          <t>1. Curso Redação Oficial On-line -
 8h30 às 12h</t>
        </r>
        <r>
          <rPr>
            <sz val="11"/>
            <color theme="1"/>
            <rFont val="Aptos Narrow"/>
            <family val="2"/>
          </rPr>
          <t xml:space="preserve">.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5115" sId="10">
    <nc r="AI17" t="inlineStr">
      <is>
        <r>
          <t xml:space="preserve"> </t>
        </r>
        <r>
          <rPr>
            <b/>
            <sz val="11"/>
            <color theme="1"/>
            <rFont val="Aptos Narrow"/>
            <family val="2"/>
          </rPr>
          <t>1. Curso Redação Oficial On-line -
 8h30 às 12h</t>
        </r>
        <r>
          <rPr>
            <sz val="11"/>
            <color theme="1"/>
            <rFont val="Aptos Narrow"/>
            <family val="2"/>
          </rPr>
          <t xml:space="preserve">.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5116" sId="10">
    <nc r="AJ17" t="inlineStr">
      <is>
        <r>
          <t xml:space="preserve"> </t>
        </r>
        <r>
          <rPr>
            <b/>
            <sz val="11"/>
            <color theme="1"/>
            <rFont val="Aptos Narrow"/>
            <family val="2"/>
          </rPr>
          <t>1. Curso Redação Oficial On-line -
 8h30 às 12h</t>
        </r>
        <r>
          <rPr>
            <sz val="11"/>
            <color theme="1"/>
            <rFont val="Aptos Narrow"/>
            <family val="2"/>
          </rPr>
          <t xml:space="preserve">.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5117" sId="10">
    <nc r="AK17" t="inlineStr">
      <is>
        <r>
          <t xml:space="preserve"> </t>
        </r>
        <r>
          <rPr>
            <b/>
            <sz val="11"/>
            <color theme="1"/>
            <rFont val="Aptos Narrow"/>
            <family val="2"/>
          </rPr>
          <t>1. Curso Redação Oficial On-line -
 8h30 às 12h</t>
        </r>
        <r>
          <rPr>
            <sz val="11"/>
            <color theme="1"/>
            <rFont val="Aptos Narrow"/>
            <family val="2"/>
          </rPr>
          <t xml:space="preserve">.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Danilo!$A$1:$A$18</formula>
    <oldFormula>Danilo!$A$1:$A$18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dn rId="0" localSheetId="9" customView="1" name="Z_3D987F8E_A6EA_454D_9537_6BFC5053CB00_.wvu.FilterData" hidden="1" oldHidden="1">
    <formula>Carlos!$A$1:$A$18</formula>
    <oldFormula>Carlos!$A$1:$A$18</oldFormula>
  </rdn>
  <rcv guid="{3D987F8E-A6EA-454D-9537-6BFC5053CB00}" action="add"/>
</revisions>
</file>

<file path=xl/revisions/revisionLog2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28" sId="6">
    <nc r="AG17" t="inlineStr">
      <is>
        <t xml:space="preserve">fazendo curso de Redação Oficial e Linguagem Simples </t>
      </is>
    </nc>
  </rcc>
  <rcc rId="5129" sId="6" odxf="1" dxf="1">
    <nc r="AH17" t="inlineStr">
      <is>
        <t xml:space="preserve">fazendo curso de Redação Oficial e Linguagem Simples </t>
      </is>
    </nc>
    <odxf>
      <alignment wrapText="0"/>
    </odxf>
    <ndxf>
      <alignment wrapText="1"/>
    </ndxf>
  </rcc>
  <rcc rId="5130" sId="6" odxf="1" dxf="1">
    <nc r="AI17" t="inlineStr">
      <is>
        <t xml:space="preserve">fazendo curso de Redação Oficial e Linguagem Simples </t>
      </is>
    </nc>
    <odxf>
      <alignment wrapText="0"/>
    </odxf>
    <ndxf>
      <alignment wrapText="1"/>
    </ndxf>
  </rcc>
  <rcc rId="5131" sId="6" odxf="1" dxf="1">
    <nc r="AJ17" t="inlineStr">
      <is>
        <t xml:space="preserve">fazendo curso de Redação Oficial e Linguagem Simples </t>
      </is>
    </nc>
    <odxf>
      <alignment wrapText="0"/>
    </odxf>
    <ndxf>
      <alignment wrapText="1"/>
    </ndxf>
  </rcc>
  <rcc rId="5132" sId="6">
    <nc r="AK17" t="inlineStr">
      <is>
        <t xml:space="preserve">fazendo curso de Redação Oficial e Linguagem Simples </t>
      </is>
    </nc>
  </rcc>
  <rcv guid="{9B623083-AA7B-440B-95EA-C33E1AB3D963}" action="delete"/>
  <rdn rId="0" localSheetId="1" customView="1" name="Z_9B623083_AA7B_440B_95EA_C33E1AB3D963_.wvu.FilterData" hidden="1" oldHidden="1">
    <formula>Patrícia!$A$1:$A$18</formula>
    <oldFormula>Patrícia!$A$1:$A$18</oldFormula>
  </rdn>
  <rdn rId="0" localSheetId="2" customView="1" name="Z_9B623083_AA7B_440B_95EA_C33E1AB3D963_.wvu.FilterData" hidden="1" oldHidden="1">
    <formula>Marcelo!$A$1:$A$18</formula>
    <oldFormula>Marcelo!$A$1:$A$18</oldFormula>
  </rdn>
  <rdn rId="0" localSheetId="3" customView="1" name="Z_9B623083_AA7B_440B_95EA_C33E1AB3D963_.wvu.FilterData" hidden="1" oldHidden="1">
    <formula>TOTAL!$A$1:$A$18</formula>
    <oldFormula>TOTAL!$A$1:$A$18</oldFormula>
  </rdn>
  <rdn rId="0" localSheetId="4" customView="1" name="Z_9B623083_AA7B_440B_95EA_C33E1AB3D963_.wvu.FilterData" hidden="1" oldHidden="1">
    <formula>Diego!$A$1:$A$18</formula>
    <oldFormula>Diego!$A$1:$A$18</oldFormula>
  </rdn>
  <rdn rId="0" localSheetId="5" customView="1" name="Z_9B623083_AA7B_440B_95EA_C33E1AB3D963_.wvu.FilterData" hidden="1" oldHidden="1">
    <formula>Aelton!$A$1:$A$18</formula>
    <oldFormula>Aelton!$A$1:$A$18</oldFormula>
  </rdn>
  <rdn rId="0" localSheetId="6" customView="1" name="Z_9B623083_AA7B_440B_95EA_C33E1AB3D963_.wvu.FilterData" hidden="1" oldHidden="1">
    <formula>Leonam!$A$1:$BD$18</formula>
    <oldFormula>Leonam!$A$1:$BD$18</oldFormula>
  </rdn>
  <rdn rId="0" localSheetId="7" customView="1" name="Z_9B623083_AA7B_440B_95EA_C33E1AB3D963_.wvu.FilterData" hidden="1" oldHidden="1">
    <formula>Danilo!$A$1:$A$18</formula>
    <oldFormula>Danilo!$A$1:$A$18</oldFormula>
  </rdn>
  <rdn rId="0" localSheetId="8" customView="1" name="Z_9B623083_AA7B_440B_95EA_C33E1AB3D963_.wvu.FilterData" hidden="1" oldHidden="1">
    <formula>Marcos!$A$1:$A$18</formula>
    <oldFormula>Marcos!$A$1:$A$18</oldFormula>
  </rdn>
  <rdn rId="0" localSheetId="10" customView="1" name="Z_9B623083_AA7B_440B_95EA_C33E1AB3D963_.wvu.FilterData" hidden="1" oldHidden="1">
    <formula>Alessandro!$A$1:$A$18</formula>
    <oldFormula>Alessandro!$A$1:$A$18</oldFormula>
  </rdn>
  <rdn rId="0" localSheetId="9" customView="1" name="Z_9B623083_AA7B_440B_95EA_C33E1AB3D963_.wvu.FilterData" hidden="1" oldHidden="1">
    <formula>Carlos!$A$1:$A$18</formula>
    <oldFormula>Carlos!$A$1:$A$18</oldFormula>
  </rdn>
  <rcv guid="{9B623083-AA7B-440B-95EA-C33E1AB3D963}" action="add"/>
</revisions>
</file>

<file path=xl/revisions/revisionLog2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43" sId="3">
    <nc r="C1" t="inlineStr">
      <is>
        <t xml:space="preserve">04/08 a 08/08/2025 </t>
      </is>
    </nc>
  </rcc>
  <rcc rId="5144" sId="3">
    <nc r="D1" t="inlineStr">
      <is>
        <t xml:space="preserve">11/08 a 15/08/2025 </t>
      </is>
    </nc>
  </rcc>
  <rcc rId="5145" sId="3">
    <oc r="B6" t="inlineStr">
      <is>
        <t>CONTAGEM INDIVIDUAL (das caixas  "puxadas" nas estantes como uma pré-seleção para classificação)</t>
      </is>
    </oc>
    <nc r="B6" t="inlineStr">
      <is>
        <t>CONTAGEM INDIVIDUAL (das caixas "puxadas" nas estantes como uma pré-seleção para classificação)</t>
      </is>
    </nc>
  </rcc>
  <rcc rId="5146" sId="3">
    <oc r="C2">
      <f>Diego!H2+Aelton!H2+Leonam!H2+Danilo!H2+Marcos!H2+Carlos!H2+Alessandro!H2</f>
    </oc>
    <nc r="C2">
      <f>Diego!H2+Aelton!AF2+Leonam!H2+Danilo!H2+Marcos!H2+Alessandro!H2+Carlos!H2</f>
    </nc>
  </rcc>
  <rfmt sheetId="3" sqref="C3" start="0" length="0">
    <dxf>
      <fill>
        <patternFill>
          <bgColor rgb="FFFFFF00"/>
        </patternFill>
      </fill>
    </dxf>
  </rfmt>
  <rcc rId="5147" sId="3">
    <oc r="C4">
      <f>Diego!H4+Aelton!H4+Leonam!H4+Danilo!H4+Marcos!H4+Carlos!H4+Alessandro!H4</f>
    </oc>
    <nc r="C4">
      <f>Diego!H4+Aelton!AF4+Leonam!H4+Danilo!H4+Marcos!H4+Alessandro!H4+Carlos!H4</f>
    </nc>
  </rcc>
  <rfmt sheetId="3" sqref="C5" start="0" length="0">
    <dxf>
      <fill>
        <patternFill>
          <bgColor rgb="FFFFFF00"/>
        </patternFill>
      </fill>
    </dxf>
  </rfmt>
  <rcc rId="5148" sId="3">
    <oc r="C6">
      <f>Diego!H6+Aelton!H6+Leonam!H6+Danilo!H6+Marcos!H6+Carlos!H6+Alessandro!H6</f>
    </oc>
    <nc r="C6">
      <f>Diego!H6+Aelton!AF6+Leonam!H6+Danilo!H6+Marcos!H6+Alessandro!H6+Carlos!H6</f>
    </nc>
  </rcc>
  <rfmt sheetId="3" sqref="C7" start="0" length="0">
    <dxf>
      <fill>
        <patternFill>
          <bgColor rgb="FFFFFF00"/>
        </patternFill>
      </fill>
    </dxf>
  </rfmt>
  <rcc rId="5149" sId="3">
    <oc r="C8">
      <f>Diego!H8+Aelton!H8+Leonam!H8+Danilo!H8+Marcos!H8+Carlos!H8+Alessandro!H8</f>
    </oc>
    <nc r="C8">
      <f>Diego!H8+Aelton!AF8+Leonam!H8+Danilo!H8+Marcos!H8+Alessandro!H8+Carlos!H8</f>
    </nc>
  </rcc>
  <rfmt sheetId="3" sqref="C9" start="0" length="0">
    <dxf>
      <fill>
        <patternFill>
          <bgColor rgb="FFFFFF00"/>
        </patternFill>
      </fill>
    </dxf>
  </rfmt>
  <rcc rId="5150" sId="3">
    <oc r="C10">
      <f>Diego!H10+Aelton!H10+Leonam!H10+Danilo!H10+Marcos!H10+Carlos!H10+Alessandro!H10</f>
    </oc>
    <nc r="C10">
      <f>Diego!H10+Aelton!AF10+Leonam!H10+Danilo!H10+Marcos!H10+Alessandro!H10+Carlos!H10</f>
    </nc>
  </rcc>
  <rfmt sheetId="3" sqref="C11" start="0" length="0">
    <dxf>
      <fill>
        <patternFill>
          <bgColor rgb="FFFFFF00"/>
        </patternFill>
      </fill>
    </dxf>
  </rfmt>
  <rcc rId="5151" sId="3">
    <oc r="C12">
      <f>Diego!H12+Aelton!H12+Leonam!H12+Danilo!H12+Marcos!H12+Carlos!H12+Alessandro!H12</f>
    </oc>
    <nc r="C12">
      <f>Diego!H12+Aelton!AF12+Leonam!H12+Danilo!H12+Marcos!H12+Alessandro!H12+Carlos!H12</f>
    </nc>
  </rcc>
  <rfmt sheetId="3" sqref="C13" start="0" length="0">
    <dxf>
      <fill>
        <patternFill>
          <bgColor rgb="FFFFFF00"/>
        </patternFill>
      </fill>
    </dxf>
  </rfmt>
  <rcc rId="5152" sId="3">
    <oc r="C14">
      <f>Diego!H14+Aelton!H14+Leonam!H14+Danilo!H14+Marcos!H14+Carlos!H14+Alessandro!H14</f>
    </oc>
    <nc r="C14">
      <f>Diego!H14+Aelton!AF14+Leonam!H14+Danilo!H14+Marcos!H14+Alessandro!H14+Carlos!H14</f>
    </nc>
  </rcc>
  <rfmt sheetId="3" sqref="C15" start="0" length="0">
    <dxf>
      <fill>
        <patternFill>
          <bgColor rgb="FFFFFF00"/>
        </patternFill>
      </fill>
    </dxf>
  </rfmt>
  <rcc rId="5153" sId="3">
    <oc r="C16">
      <f>Diego!H16+Aelton!H16+Leonam!H16+Danilo!H16+Marcos!H16+Carlos!H16+Alessandro!H16</f>
    </oc>
    <nc r="C16">
      <f>Diego!H16+Aelton!AF16+Leonam!H16+Danilo!H16+Marcos!H16+Alessandro!H16+Carlos!H16</f>
    </nc>
  </rcc>
  <rcc rId="5154" sId="3" odxf="1" dxf="1">
    <oc r="C3">
      <f>Diego!H3+Aelton!H3+Leonam!H3+Danilo!H3+Marcos!H3+Carlos!H3+Alessandro!H3</f>
    </oc>
    <nc r="C3">
      <f>Diego!H3+Aelton!AF3+Leonam!H3+Danilo!H3+Marcos!H3+Alessandro!H3+Carlos!H3</f>
    </nc>
    <ndxf>
      <fill>
        <patternFill>
          <bgColor theme="0"/>
        </patternFill>
      </fill>
    </ndxf>
  </rcc>
  <rcc rId="5155" sId="3" odxf="1" dxf="1">
    <oc r="C5">
      <f>Diego!H5+Aelton!H5+Leonam!H5+Danilo!H5+Marcos!H5+Carlos!H5+Alessandro!H5</f>
    </oc>
    <nc r="C5">
      <f>Diego!H5+Aelton!AF5+Leonam!H5+Danilo!H5+Marcos!H5+Alessandro!H5+Carlos!H5</f>
    </nc>
    <ndxf>
      <fill>
        <patternFill>
          <bgColor theme="0"/>
        </patternFill>
      </fill>
    </ndxf>
  </rcc>
  <rcc rId="5156" sId="3" odxf="1" dxf="1">
    <oc r="C7">
      <f>Diego!H7+Aelton!H7+Leonam!H7+Danilo!H7+Marcos!H7+Carlos!H7+Alessandro!H7</f>
    </oc>
    <nc r="C7">
      <f>Diego!H7+Aelton!AF7+Leonam!H7+Danilo!H7+Marcos!H7+Alessandro!H7+Carlos!H7</f>
    </nc>
    <ndxf>
      <fill>
        <patternFill>
          <bgColor theme="0"/>
        </patternFill>
      </fill>
    </ndxf>
  </rcc>
  <rcc rId="5157" sId="3" odxf="1" dxf="1">
    <oc r="C9">
      <f>Diego!H9+Aelton!H9+Leonam!H9+Danilo!H9+Marcos!H9+Carlos!H9+Alessandro!H9</f>
    </oc>
    <nc r="C9">
      <f>Diego!H9+Aelton!AF9+Leonam!H9+Danilo!H9+Marcos!H9+Alessandro!H9+Carlos!H9</f>
    </nc>
    <ndxf>
      <fill>
        <patternFill>
          <bgColor theme="0"/>
        </patternFill>
      </fill>
    </ndxf>
  </rcc>
  <rcc rId="5158" sId="3" odxf="1" dxf="1">
    <oc r="C11">
      <f>Diego!H11+Aelton!H11+Leonam!H11+Danilo!H11+Marcos!H11+Carlos!H11+Alessandro!H11</f>
    </oc>
    <nc r="C11">
      <f>Diego!H11+Aelton!AF11+Leonam!H11+Danilo!H11+Marcos!H11+Alessandro!H11+Carlos!H11</f>
    </nc>
    <ndxf>
      <fill>
        <patternFill>
          <bgColor theme="0"/>
        </patternFill>
      </fill>
    </ndxf>
  </rcc>
  <rcc rId="5159" sId="3" odxf="1" dxf="1">
    <oc r="C13">
      <f>Diego!H13+Aelton!H13+Leonam!H13+Danilo!H13+Marcos!H13+Carlos!H13+Alessandro!H13</f>
    </oc>
    <nc r="C13">
      <f>Diego!H13+Aelton!AF13+Leonam!H13+Danilo!H13+Marcos!H13+Alessandro!H13+Carlos!H13</f>
    </nc>
    <ndxf>
      <fill>
        <patternFill>
          <bgColor theme="0"/>
        </patternFill>
      </fill>
    </ndxf>
  </rcc>
  <rcc rId="5160" sId="3" odxf="1" dxf="1">
    <oc r="C15">
      <f>Diego!H15+Aelton!H15+Leonam!H15+Danilo!H15+Marcos!H15+Carlos!H15+Alessandro!H15</f>
    </oc>
    <nc r="C15">
      <f>Diego!H15+Aelton!AF15+Leonam!H15+Danilo!H15+Marcos!H15+Alessandro!H15+Carlos!H15</f>
    </nc>
    <ndxf>
      <fill>
        <patternFill>
          <bgColor theme="0"/>
        </patternFill>
      </fill>
    </ndxf>
  </rcc>
  <rcv guid="{18A482E0-C8B6-4AA1-9E04-15FA7C9CD5E3}" action="delete"/>
  <rdn rId="0" localSheetId="1" customView="1" name="Z_18A482E0_C8B6_4AA1_9E04_15FA7C9CD5E3_.wvu.FilterData" hidden="1" oldHidden="1">
    <formula>Patrícia!$A$1:$A$18</formula>
    <oldFormula>Patrícia!$A$1:$A$18</oldFormula>
  </rdn>
  <rdn rId="0" localSheetId="2" customView="1" name="Z_18A482E0_C8B6_4AA1_9E04_15FA7C9CD5E3_.wvu.FilterData" hidden="1" oldHidden="1">
    <formula>Marcelo!$A$1:$A$18</formula>
    <oldFormula>Marcelo!$A$1:$A$18</oldFormula>
  </rdn>
  <rdn rId="0" localSheetId="3" customView="1" name="Z_18A482E0_C8B6_4AA1_9E04_15FA7C9CD5E3_.wvu.FilterData" hidden="1" oldHidden="1">
    <formula>TOTAL!$A$1:$A$18</formula>
    <oldFormula>TOTAL!$A$1:$A$18</oldFormula>
  </rdn>
  <rdn rId="0" localSheetId="4" customView="1" name="Z_18A482E0_C8B6_4AA1_9E04_15FA7C9CD5E3_.wvu.FilterData" hidden="1" oldHidden="1">
    <formula>Diego!$A$1:$A$18</formula>
    <oldFormula>Diego!$A$1:$A$18</oldFormula>
  </rdn>
  <rdn rId="0" localSheetId="5" customView="1" name="Z_18A482E0_C8B6_4AA1_9E04_15FA7C9CD5E3_.wvu.FilterData" hidden="1" oldHidden="1">
    <formula>Aelton!$A$1:$A$18</formula>
    <oldFormula>Aelton!$A$1:$A$18</oldFormula>
  </rdn>
  <rdn rId="0" localSheetId="6" customView="1" name="Z_18A482E0_C8B6_4AA1_9E04_15FA7C9CD5E3_.wvu.FilterData" hidden="1" oldHidden="1">
    <formula>Leonam!$A$1:$BD$18</formula>
    <oldFormula>Leonam!$A$1:$BD$18</oldFormula>
  </rdn>
  <rdn rId="0" localSheetId="7" customView="1" name="Z_18A482E0_C8B6_4AA1_9E04_15FA7C9CD5E3_.wvu.FilterData" hidden="1" oldHidden="1">
    <formula>Danilo!$A$1:$A$18</formula>
    <oldFormula>Danilo!$A$1:$A$18</oldFormula>
  </rdn>
  <rdn rId="0" localSheetId="8" customView="1" name="Z_18A482E0_C8B6_4AA1_9E04_15FA7C9CD5E3_.wvu.FilterData" hidden="1" oldHidden="1">
    <formula>Marcos!$A$1:$A$18</formula>
    <oldFormula>Marcos!$A$1:$A$18</oldFormula>
  </rdn>
  <rdn rId="0" localSheetId="10" customView="1" name="Z_18A482E0_C8B6_4AA1_9E04_15FA7C9CD5E3_.wvu.FilterData" hidden="1" oldHidden="1">
    <formula>Alessandro!$A$1:$A$18</formula>
    <oldFormula>Alessandro!$A$1:$A$18</oldFormula>
  </rdn>
  <rdn rId="0" localSheetId="9" customView="1" name="Z_18A482E0_C8B6_4AA1_9E04_15FA7C9CD5E3_.wvu.FilterData" hidden="1" oldHidden="1">
    <formula>Carlos!$A$1:$A$18</formula>
    <oldFormula>Carlos!$A$1:$A$18</oldFormula>
  </rdn>
  <rcv guid="{18A482E0-C8B6-4AA1-9E04-15FA7C9CD5E3}" action="add"/>
</revisions>
</file>

<file path=xl/revisions/revisionLog2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71" sId="3">
    <oc r="C2">
      <f>Diego!H2+Aelton!AF2+Leonam!H2+Danilo!H2+Marcos!H2+Alessandro!H2+Carlos!H2</f>
    </oc>
    <nc r="C2">
      <f>Diego!H2+Aelton!H2+Leonam!H2+Danilo!H2+Marcos!H2+Alessandro!H2+Carlos!H2</f>
    </nc>
  </rcc>
  <rcc rId="5172" sId="3">
    <nc r="E1" t="inlineStr">
      <is>
        <t xml:space="preserve">18/08 a 22/08/2025 </t>
      </is>
    </nc>
  </rcc>
  <rcc rId="5173" sId="3">
    <nc r="F1" t="inlineStr">
      <is>
        <t xml:space="preserve">25/08 a 29/08/2025 </t>
      </is>
    </nc>
  </rcc>
  <rcc rId="5174" sId="3">
    <nc r="G1" t="inlineStr">
      <is>
        <t xml:space="preserve">01/09 a 05/09/2025 </t>
      </is>
    </nc>
  </rcc>
  <rcc rId="5175" sId="3">
    <nc r="H1" t="inlineStr">
      <is>
        <t xml:space="preserve">08/09 a 12/09/2025 </t>
      </is>
    </nc>
  </rcc>
  <rcc rId="5176" sId="3">
    <nc r="I1" t="inlineStr">
      <is>
        <t xml:space="preserve">15/09 a 19/09/2025 </t>
      </is>
    </nc>
  </rcc>
  <rcc rId="5177" sId="3">
    <nc r="J1" t="inlineStr">
      <is>
        <t xml:space="preserve">12/09 a 26/09/2025 </t>
      </is>
    </nc>
  </rcc>
  <rcc rId="5178" sId="3">
    <nc r="K1" t="inlineStr">
      <is>
        <t xml:space="preserve">29/09 a 03/10/2025 </t>
      </is>
    </nc>
  </rcc>
  <rcv guid="{18A482E0-C8B6-4AA1-9E04-15FA7C9CD5E3}" action="delete"/>
  <rdn rId="0" localSheetId="1" customView="1" name="Z_18A482E0_C8B6_4AA1_9E04_15FA7C9CD5E3_.wvu.FilterData" hidden="1" oldHidden="1">
    <formula>Patrícia!$A$1:$A$18</formula>
    <oldFormula>Patrícia!$A$1:$A$18</oldFormula>
  </rdn>
  <rdn rId="0" localSheetId="2" customView="1" name="Z_18A482E0_C8B6_4AA1_9E04_15FA7C9CD5E3_.wvu.FilterData" hidden="1" oldHidden="1">
    <formula>Marcelo!$A$1:$A$18</formula>
    <oldFormula>Marcelo!$A$1:$A$18</oldFormula>
  </rdn>
  <rdn rId="0" localSheetId="3" customView="1" name="Z_18A482E0_C8B6_4AA1_9E04_15FA7C9CD5E3_.wvu.FilterData" hidden="1" oldHidden="1">
    <formula>TOTAL!$A$1:$A$18</formula>
    <oldFormula>TOTAL!$A$1:$A$18</oldFormula>
  </rdn>
  <rdn rId="0" localSheetId="4" customView="1" name="Z_18A482E0_C8B6_4AA1_9E04_15FA7C9CD5E3_.wvu.FilterData" hidden="1" oldHidden="1">
    <formula>Diego!$A$1:$A$18</formula>
    <oldFormula>Diego!$A$1:$A$18</oldFormula>
  </rdn>
  <rdn rId="0" localSheetId="5" customView="1" name="Z_18A482E0_C8B6_4AA1_9E04_15FA7C9CD5E3_.wvu.FilterData" hidden="1" oldHidden="1">
    <formula>Aelton!$A$1:$A$18</formula>
    <oldFormula>Aelton!$A$1:$A$18</oldFormula>
  </rdn>
  <rdn rId="0" localSheetId="6" customView="1" name="Z_18A482E0_C8B6_4AA1_9E04_15FA7C9CD5E3_.wvu.FilterData" hidden="1" oldHidden="1">
    <formula>Leonam!$A$1:$BD$18</formula>
    <oldFormula>Leonam!$A$1:$BD$18</oldFormula>
  </rdn>
  <rdn rId="0" localSheetId="7" customView="1" name="Z_18A482E0_C8B6_4AA1_9E04_15FA7C9CD5E3_.wvu.FilterData" hidden="1" oldHidden="1">
    <formula>Danilo!$A$1:$A$18</formula>
    <oldFormula>Danilo!$A$1:$A$18</oldFormula>
  </rdn>
  <rdn rId="0" localSheetId="8" customView="1" name="Z_18A482E0_C8B6_4AA1_9E04_15FA7C9CD5E3_.wvu.FilterData" hidden="1" oldHidden="1">
    <formula>Marcos!$A$1:$A$18</formula>
    <oldFormula>Marcos!$A$1:$A$18</oldFormula>
  </rdn>
  <rdn rId="0" localSheetId="10" customView="1" name="Z_18A482E0_C8B6_4AA1_9E04_15FA7C9CD5E3_.wvu.FilterData" hidden="1" oldHidden="1">
    <formula>Alessandro!$A$1:$A$18</formula>
    <oldFormula>Alessandro!$A$1:$A$18</oldFormula>
  </rdn>
  <rdn rId="0" localSheetId="9" customView="1" name="Z_18A482E0_C8B6_4AA1_9E04_15FA7C9CD5E3_.wvu.FilterData" hidden="1" oldHidden="1">
    <formula>Carlos!$A$1:$A$18</formula>
    <oldFormula>Carlos!$A$1:$A$18</oldFormula>
  </rdn>
  <rcv guid="{18A482E0-C8B6-4AA1-9E04-15FA7C9CD5E3}" action="add"/>
</revisions>
</file>

<file path=xl/revisions/revisionLog2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18A482E0-C8B6-4AA1-9E04-15FA7C9CD5E3}" action="delete"/>
  <rdn rId="0" localSheetId="1" customView="1" name="Z_18A482E0_C8B6_4AA1_9E04_15FA7C9CD5E3_.wvu.FilterData" hidden="1" oldHidden="1">
    <formula>Patrícia!$A$1:$A$18</formula>
    <oldFormula>Patrícia!$A$1:$A$18</oldFormula>
  </rdn>
  <rdn rId="0" localSheetId="2" customView="1" name="Z_18A482E0_C8B6_4AA1_9E04_15FA7C9CD5E3_.wvu.FilterData" hidden="1" oldHidden="1">
    <formula>Marcelo!$A$1:$A$18</formula>
    <oldFormula>Marcelo!$A$1:$A$18</oldFormula>
  </rdn>
  <rdn rId="0" localSheetId="3" customView="1" name="Z_18A482E0_C8B6_4AA1_9E04_15FA7C9CD5E3_.wvu.FilterData" hidden="1" oldHidden="1">
    <formula>TOTAL!$A$1:$A$18</formula>
    <oldFormula>TOTAL!$A$1:$A$18</oldFormula>
  </rdn>
  <rdn rId="0" localSheetId="4" customView="1" name="Z_18A482E0_C8B6_4AA1_9E04_15FA7C9CD5E3_.wvu.FilterData" hidden="1" oldHidden="1">
    <formula>Diego!$A$1:$A$18</formula>
    <oldFormula>Diego!$A$1:$A$18</oldFormula>
  </rdn>
  <rdn rId="0" localSheetId="5" customView="1" name="Z_18A482E0_C8B6_4AA1_9E04_15FA7C9CD5E3_.wvu.FilterData" hidden="1" oldHidden="1">
    <formula>Aelton!$A$1:$A$18</formula>
    <oldFormula>Aelton!$A$1:$A$18</oldFormula>
  </rdn>
  <rdn rId="0" localSheetId="6" customView="1" name="Z_18A482E0_C8B6_4AA1_9E04_15FA7C9CD5E3_.wvu.FilterData" hidden="1" oldHidden="1">
    <formula>Leonam!$A$1:$BD$18</formula>
    <oldFormula>Leonam!$A$1:$BD$18</oldFormula>
  </rdn>
  <rdn rId="0" localSheetId="7" customView="1" name="Z_18A482E0_C8B6_4AA1_9E04_15FA7C9CD5E3_.wvu.FilterData" hidden="1" oldHidden="1">
    <formula>Danilo!$A$1:$A$18</formula>
    <oldFormula>Danilo!$A$1:$A$18</oldFormula>
  </rdn>
  <rdn rId="0" localSheetId="8" customView="1" name="Z_18A482E0_C8B6_4AA1_9E04_15FA7C9CD5E3_.wvu.FilterData" hidden="1" oldHidden="1">
    <formula>Marcos!$A$1:$A$18</formula>
    <oldFormula>Marcos!$A$1:$A$18</oldFormula>
  </rdn>
  <rdn rId="0" localSheetId="10" customView="1" name="Z_18A482E0_C8B6_4AA1_9E04_15FA7C9CD5E3_.wvu.FilterData" hidden="1" oldHidden="1">
    <formula>Alessandro!$A$1:$A$18</formula>
    <oldFormula>Alessandro!$A$1:$A$18</oldFormula>
  </rdn>
  <rdn rId="0" localSheetId="9" customView="1" name="Z_18A482E0_C8B6_4AA1_9E04_15FA7C9CD5E3_.wvu.FilterData" hidden="1" oldHidden="1">
    <formula>Carlos!$A$1:$A$18</formula>
    <oldFormula>Carlos!$A$1:$A$18</oldFormula>
  </rdn>
  <rcv guid="{18A482E0-C8B6-4AA1-9E04-15FA7C9CD5E3}" action="add"/>
</revisions>
</file>

<file path=xl/revisions/revisionLog2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99" sId="3">
    <oc r="J1" t="inlineStr">
      <is>
        <t xml:space="preserve">12/09 a 26/09/2025 </t>
      </is>
    </oc>
    <nc r="J1" t="inlineStr">
      <is>
        <t xml:space="preserve">22/09 a 26/09/2025 </t>
      </is>
    </nc>
  </rcc>
</revisions>
</file>

<file path=xl/revisions/revisionLog2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00" sId="5">
    <nc r="AM2">
      <v>4</v>
    </nc>
  </rcc>
  <rcc rId="5201" sId="5">
    <nc r="AP2">
      <v>29</v>
    </nc>
  </rcc>
  <rcc rId="5202" sId="5">
    <nc r="AN13">
      <v>1</v>
    </nc>
  </rcc>
  <rcc rId="5203" sId="5">
    <nc r="AP13">
      <v>1</v>
    </nc>
  </rcc>
  <rfmt sheetId="5" sqref="AM16" start="0" length="0">
    <dxf>
      <border outline="0">
        <bottom/>
      </border>
    </dxf>
  </rfmt>
  <rfmt sheetId="5" sqref="AN16" start="0" length="0">
    <dxf>
      <border outline="0">
        <bottom/>
      </border>
    </dxf>
  </rfmt>
  <rfmt sheetId="5" sqref="AO16" start="0" length="0">
    <dxf>
      <border outline="0">
        <bottom/>
      </border>
    </dxf>
  </rfmt>
  <rfmt sheetId="5" sqref="AP16" start="0" length="0">
    <dxf>
      <border outline="0">
        <bottom/>
      </border>
    </dxf>
  </rfmt>
  <rfmt sheetId="5" sqref="AQ16" start="0" length="0">
    <dxf>
      <border outline="0">
        <bottom/>
      </border>
    </dxf>
  </rfmt>
  <rcc rId="5204" sId="5">
    <nc r="AM17" t="inlineStr">
      <is>
        <t>1. Contagem total do Inventário
 de fotos LBA.
2. Preparação desarquivamento 30 processos, ida ao Bloco A.
3. Desarquivamento Pasta Funcional.</t>
      </is>
    </nc>
  </rcc>
  <rcc rId="5205" sId="5" odxf="1" dxf="1">
    <nc r="AN17" t="inlineStr">
      <is>
        <t>1. Preparação desarquivamento 30 processos, ida ao Bloco A.
2. Acompanhamento visita dos professores da UNB nos Arquivos do DNIT, a respeito das fotos LBA.</t>
      </is>
    </nc>
    <odxf>
      <alignment wrapText="0"/>
    </odxf>
    <ndxf>
      <alignment wrapText="1"/>
    </ndxf>
  </rcc>
  <rcc rId="5206" sId="5" odxf="1" dxf="1">
    <nc r="AO17" t="inlineStr">
      <is>
        <t>1. Preparação desarquivamento 30 processos.</t>
      </is>
    </nc>
    <odxf>
      <alignment wrapText="0"/>
    </odxf>
    <ndxf>
      <alignment wrapText="1"/>
    </ndxf>
  </rcc>
  <rcc rId="5207" sId="5" odxf="1" dxf="1">
    <nc r="AP17" t="inlineStr">
      <is>
        <t>1. Preparação desarquivamento 30 processos.
2. Desarquivamento 30 processos.</t>
      </is>
    </nc>
    <odxf>
      <alignment wrapText="0"/>
    </odxf>
    <ndxf>
      <alignment wrapText="1"/>
    </ndxf>
  </rcc>
  <rfmt sheetId="5" sqref="AQ17" start="0" length="0">
    <dxf>
      <alignment wrapText="1"/>
    </dxf>
  </rfmt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Danilo!$A$1:$A$18</formula>
    <oldFormula>Danilo!$A$1:$A$18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dn rId="0" localSheetId="9" customView="1" name="Z_86039CF8_B158_4D70_9A6F_A10C29CBD68A_.wvu.FilterData" hidden="1" oldHidden="1">
    <formula>Carlos!$A$1:$A$18</formula>
    <oldFormula>Carlos!$A$1:$A$18</oldFormula>
  </rdn>
  <rcv guid="{86039CF8-B158-4D70-9A6F-A10C29CBD68A}" action="add"/>
</revisions>
</file>

<file path=xl/revisions/revisionLog2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Danilo!$A$1:$A$18</formula>
    <oldFormula>Danilo!$A$1:$A$18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dn rId="0" localSheetId="9" customView="1" name="Z_86039CF8_B158_4D70_9A6F_A10C29CBD68A_.wvu.FilterData" hidden="1" oldHidden="1">
    <formula>Carlos!$A$1:$A$18</formula>
    <oldFormula>Carlos!$A$1:$A$18</oldFormula>
  </rdn>
  <rcv guid="{86039CF8-B158-4D70-9A6F-A10C29CBD68A}" action="add"/>
</revisions>
</file>

<file path=xl/revisions/revisionLog2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28" sId="5">
    <nc r="AQ17" t="inlineStr">
      <is>
        <t>Tratando do desarqivamento dos 30 processos, pois já estão digitalizados no antigo SEI do  Esporte.</t>
      </is>
    </nc>
  </rcc>
</revisions>
</file>

<file path=xl/revisions/revisionLog2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29" sId="5">
    <nc r="AQ13">
      <v>30</v>
    </nc>
  </rcc>
  <rcc rId="5230" sId="5">
    <oc r="AQ17" t="inlineStr">
      <is>
        <t>Tratando do desarqivamento dos 30 processos, pois já estão digitalizados no antigo SEI do  Esporte.</t>
      </is>
    </oc>
    <nc r="AQ17" t="inlineStr">
      <is>
        <t>1. Tratando do desarqivamento dos 30 processos, pois já estão digitalizados no antigo SEI do  Esporte.
2.  Criação de 30 Despachos, o da demanda principal e dos 29 processos que foram exportados do SEI Esporte para DIARQ. Então tramitamos para CPAD 01/2025 da Corregedoria do Ministério do Esporte</t>
      </is>
    </nc>
  </rcc>
</revisions>
</file>

<file path=xl/revisions/revisionLog2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31" sId="10">
    <nc r="AM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5232" sId="10" odxf="1" dxf="1">
    <nc r="AN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  <odxf>
      <alignment wrapText="0"/>
    </odxf>
    <ndxf>
      <alignment wrapText="1"/>
    </ndxf>
  </rcc>
  <rcc rId="5233" sId="10" odxf="1" dxf="1">
    <nc r="AO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  <odxf>
      <alignment wrapText="0"/>
    </odxf>
    <ndxf>
      <alignment wrapText="1"/>
    </ndxf>
  </rcc>
  <rcc rId="5234" sId="10" odxf="1" dxf="1">
    <nc r="AP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  <odxf>
      <alignment wrapText="0"/>
    </odxf>
    <ndxf>
      <alignment wrapText="1"/>
    </ndxf>
  </rcc>
  <rcc rId="5235" sId="10" odxf="1" dxf="1">
    <nc r="AQ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  <odxf>
      <alignment wrapText="0"/>
    </odxf>
    <ndxf>
      <alignment wrapText="1"/>
    </ndxf>
  </rcc>
  <rcc rId="5236" sId="10">
    <nc r="AS17" t="inlineStr">
      <is>
        <r>
          <t xml:space="preserve">Revisão da planilha de Inventário de fotos </t>
        </r>
        <r>
          <rPr>
            <b/>
            <sz val="11"/>
            <color theme="1"/>
            <rFont val="Aptos Narrow"/>
            <family val="2"/>
          </rPr>
          <t>LBA</t>
        </r>
      </is>
    </nc>
  </rcc>
  <rcc rId="5237" sId="10">
    <nc r="AT17" t="inlineStr">
      <is>
        <r>
          <t xml:space="preserve">Correções e Formatação de campos da planilha do </t>
        </r>
        <r>
          <rPr>
            <b/>
            <sz val="11"/>
            <color theme="1"/>
            <rFont val="Aptos Narrow"/>
            <family val="2"/>
          </rPr>
          <t>ARCEN</t>
        </r>
        <r>
          <rPr>
            <sz val="11"/>
            <color theme="1"/>
            <rFont val="Aptos Narrow"/>
            <family val="2"/>
          </rPr>
          <t xml:space="preserve">
(Otimização e padronização)</t>
        </r>
      </is>
    </nc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Danilo!$A$1:$A$18</formula>
    <oldFormula>Danilo!$A$1:$A$18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dn rId="0" localSheetId="9" customView="1" name="Z_3D987F8E_A6EA_454D_9537_6BFC5053CB00_.wvu.FilterData" hidden="1" oldHidden="1">
    <formula>Carlos!$A$1:$A$18</formula>
    <oldFormula>Carlos!$A$1:$A$18</oldFormula>
  </rdn>
  <rcv guid="{3D987F8E-A6EA-454D-9537-6BFC5053CB00}" action="add"/>
</revisions>
</file>

<file path=xl/revisions/revisionLog2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48" sId="4">
    <nc r="AM17" t="inlineStr">
      <is>
        <t>Inventário de Fotos LBA</t>
      </is>
    </nc>
  </rcc>
  <rcc rId="5249" sId="4" odxf="1" dxf="1">
    <nc r="AN17" t="inlineStr">
      <is>
        <t>Inventário de Fotos LBA</t>
      </is>
    </nc>
    <odxf>
      <alignment wrapText="0"/>
    </odxf>
    <ndxf>
      <alignment wrapText="1"/>
    </ndxf>
  </rcc>
  <rcc rId="5250" sId="4" odxf="1" dxf="1">
    <nc r="AO17" t="inlineStr">
      <is>
        <t>Inventário de Fotos LBA</t>
      </is>
    </nc>
    <odxf>
      <alignment wrapText="0"/>
    </odxf>
    <ndxf>
      <alignment wrapText="1"/>
    </ndxf>
  </rcc>
  <rcc rId="5251" sId="4" odxf="1" dxf="1">
    <nc r="AP17" t="inlineStr">
      <is>
        <t>Inventário de Fotos LBA</t>
      </is>
    </nc>
    <odxf>
      <alignment wrapText="0"/>
    </odxf>
    <ndxf>
      <alignment wrapText="1"/>
    </ndxf>
  </rcc>
  <rfmt sheetId="4" sqref="AQ17" start="0" length="0">
    <dxf>
      <alignment wrapText="1"/>
    </dxf>
  </rfmt>
  <rcc rId="5252" sId="4">
    <nc r="AV17" t="inlineStr">
      <is>
        <t xml:space="preserve">RECEBIMENTO DE 140 CAIXAS </t>
      </is>
    </nc>
  </rcc>
  <rcc rId="5253" sId="4">
    <nc r="AS17" t="inlineStr">
      <is>
        <t>INVETARIO DE SLIDES DA LBA</t>
      </is>
    </nc>
  </rcc>
  <rcc rId="5254" sId="4">
    <nc r="AT17" t="inlineStr">
      <is>
        <t>INVETARIO DE SLIDES DA LBA</t>
      </is>
    </nc>
  </rcc>
  <rcc rId="5255" sId="4" odxf="1" dxf="1">
    <nc r="AU17" t="inlineStr">
      <is>
        <t>INVETARIO DE SLIDES DA LBA</t>
      </is>
    </nc>
    <odxf>
      <alignment wrapText="0"/>
    </odxf>
    <ndxf>
      <alignment wrapText="1"/>
    </ndxf>
  </rcc>
  <rcc rId="5256" sId="4">
    <nc r="AQ17" t="inlineStr">
      <is>
        <t>INVETARIO DE SLIDES DA LBA</t>
      </is>
    </nc>
  </rcc>
  <rcc rId="5257" sId="4">
    <nc r="AW17" t="inlineStr">
      <is>
        <t xml:space="preserve">ENTREGANDO AS DOCUMENTAÇÃO DA EMPRESA NOVA </t>
      </is>
    </nc>
  </rcc>
  <rcv guid="{20CB6D8F-C24D-4D4B-A424-AF380F620455}" action="delete"/>
  <rdn rId="0" localSheetId="1" customView="1" name="Z_20CB6D8F_C24D_4D4B_A424_AF380F620455_.wvu.FilterData" hidden="1" oldHidden="1">
    <formula>Patrícia!$A$1:$A$18</formula>
    <oldFormula>Patrícia!$A$1:$A$18</oldFormula>
  </rdn>
  <rdn rId="0" localSheetId="2" customView="1" name="Z_20CB6D8F_C24D_4D4B_A424_AF380F620455_.wvu.FilterData" hidden="1" oldHidden="1">
    <formula>Marcelo!$A$1:$A$18</formula>
    <oldFormula>Marcelo!$A$1:$A$18</oldFormula>
  </rdn>
  <rdn rId="0" localSheetId="3" customView="1" name="Z_20CB6D8F_C24D_4D4B_A424_AF380F620455_.wvu.FilterData" hidden="1" oldHidden="1">
    <formula>TOTAL!$A$1:$A$18</formula>
    <oldFormula>TOTAL!$A$1:$A$18</oldFormula>
  </rdn>
  <rdn rId="0" localSheetId="4" customView="1" name="Z_20CB6D8F_C24D_4D4B_A424_AF380F620455_.wvu.FilterData" hidden="1" oldHidden="1">
    <formula>Diego!$A$1:$A$18</formula>
    <oldFormula>Diego!$A$1:$A$18</oldFormula>
  </rdn>
  <rdn rId="0" localSheetId="5" customView="1" name="Z_20CB6D8F_C24D_4D4B_A424_AF380F620455_.wvu.FilterData" hidden="1" oldHidden="1">
    <formula>Aelton!$A$1:$A$18</formula>
    <oldFormula>Aelton!$A$1:$A$18</oldFormula>
  </rdn>
  <rdn rId="0" localSheetId="6" customView="1" name="Z_20CB6D8F_C24D_4D4B_A424_AF380F620455_.wvu.FilterData" hidden="1" oldHidden="1">
    <formula>Leonam!$A$1:$BD$18</formula>
    <oldFormula>Leonam!$A$1:$BD$18</oldFormula>
  </rdn>
  <rdn rId="0" localSheetId="7" customView="1" name="Z_20CB6D8F_C24D_4D4B_A424_AF380F620455_.wvu.FilterData" hidden="1" oldHidden="1">
    <formula>Danilo!$A$1:$A$18</formula>
    <oldFormula>Danilo!$A$1:$A$18</oldFormula>
  </rdn>
  <rdn rId="0" localSheetId="8" customView="1" name="Z_20CB6D8F_C24D_4D4B_A424_AF380F620455_.wvu.FilterData" hidden="1" oldHidden="1">
    <formula>Marcos!$A$1:$A$18</formula>
    <oldFormula>Marcos!$A$1:$A$18</oldFormula>
  </rdn>
  <rdn rId="0" localSheetId="10" customView="1" name="Z_20CB6D8F_C24D_4D4B_A424_AF380F620455_.wvu.FilterData" hidden="1" oldHidden="1">
    <formula>Alessandro!$A$1:$A$18</formula>
    <oldFormula>Alessandro!$A$1:$A$18</oldFormula>
  </rdn>
  <rdn rId="0" localSheetId="9" customView="1" name="Z_20CB6D8F_C24D_4D4B_A424_AF380F620455_.wvu.FilterData" hidden="1" oldHidden="1">
    <formula>Carlos!$A$1:$A$18</formula>
    <oldFormula>Carlos!$A$1:$A$18</oldFormula>
  </rdn>
  <rcv guid="{20CB6D8F-C24D-4D4B-A424-AF380F620455}" action="add"/>
</revisions>
</file>

<file path=xl/revisions/revisionLog2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W2" start="0" length="0">
    <dxf>
      <fill>
        <patternFill patternType="solid">
          <bgColor theme="9" tint="0.59999389629810485"/>
        </patternFill>
      </fill>
    </dxf>
  </rfmt>
  <rfmt sheetId="5" sqref="AW3" start="0" length="0">
    <dxf>
      <fill>
        <patternFill patternType="solid">
          <bgColor theme="9" tint="0.59999389629810485"/>
        </patternFill>
      </fill>
    </dxf>
  </rfmt>
  <rfmt sheetId="5" sqref="AW4" start="0" length="0">
    <dxf>
      <fill>
        <patternFill patternType="solid">
          <bgColor theme="9" tint="0.59999389629810485"/>
        </patternFill>
      </fill>
    </dxf>
  </rfmt>
  <rfmt sheetId="5" sqref="AW5" start="0" length="0">
    <dxf>
      <fill>
        <patternFill patternType="solid">
          <bgColor theme="9" tint="0.59999389629810485"/>
        </patternFill>
      </fill>
    </dxf>
  </rfmt>
  <rfmt sheetId="5" sqref="AW6" start="0" length="0">
    <dxf>
      <fill>
        <patternFill patternType="solid">
          <bgColor theme="9" tint="0.59999389629810485"/>
        </patternFill>
      </fill>
    </dxf>
  </rfmt>
  <rfmt sheetId="5" sqref="AW7" start="0" length="0">
    <dxf>
      <fill>
        <patternFill patternType="solid">
          <bgColor theme="9" tint="0.59999389629810485"/>
        </patternFill>
      </fill>
    </dxf>
  </rfmt>
  <rfmt sheetId="5" sqref="AW8" start="0" length="0">
    <dxf>
      <fill>
        <patternFill patternType="solid">
          <bgColor theme="9" tint="0.59999389629810485"/>
        </patternFill>
      </fill>
    </dxf>
  </rfmt>
  <rfmt sheetId="5" sqref="AW9" start="0" length="0">
    <dxf>
      <fill>
        <patternFill patternType="solid">
          <bgColor theme="9" tint="0.59999389629810485"/>
        </patternFill>
      </fill>
    </dxf>
  </rfmt>
  <rfmt sheetId="5" sqref="AW10" start="0" length="0">
    <dxf>
      <fill>
        <patternFill patternType="solid">
          <bgColor theme="9" tint="0.59999389629810485"/>
        </patternFill>
      </fill>
    </dxf>
  </rfmt>
  <rfmt sheetId="5" sqref="AW11" start="0" length="0">
    <dxf>
      <fill>
        <patternFill patternType="solid">
          <bgColor theme="9" tint="0.59999389629810485"/>
        </patternFill>
      </fill>
    </dxf>
  </rfmt>
  <rfmt sheetId="5" sqref="AW12" start="0" length="0">
    <dxf>
      <fill>
        <patternFill patternType="solid">
          <bgColor theme="9" tint="0.59999389629810485"/>
        </patternFill>
      </fill>
    </dxf>
  </rfmt>
  <rcc rId="5268" sId="5">
    <nc r="AS13">
      <v>1</v>
    </nc>
  </rcc>
  <rfmt sheetId="5" sqref="AW13" start="0" length="0">
    <dxf>
      <fill>
        <patternFill patternType="solid">
          <bgColor theme="9" tint="0.59999389629810485"/>
        </patternFill>
      </fill>
    </dxf>
  </rfmt>
  <rfmt sheetId="5" sqref="AW14" start="0" length="0">
    <dxf>
      <fill>
        <patternFill patternType="solid">
          <bgColor theme="9" tint="0.59999389629810485"/>
        </patternFill>
      </fill>
    </dxf>
  </rfmt>
  <rfmt sheetId="5" sqref="AW15" start="0" length="0">
    <dxf>
      <fill>
        <patternFill patternType="solid">
          <bgColor theme="9" tint="0.59999389629810485"/>
        </patternFill>
      </fill>
    </dxf>
  </rfmt>
  <rfmt sheetId="5" sqref="AS16" start="0" length="0">
    <dxf>
      <border outline="0">
        <bottom/>
      </border>
    </dxf>
  </rfmt>
  <rfmt sheetId="5" sqref="AT16" start="0" length="0">
    <dxf>
      <border outline="0">
        <bottom/>
      </border>
    </dxf>
  </rfmt>
  <rfmt sheetId="5" sqref="AU16" start="0" length="0">
    <dxf>
      <border outline="0">
        <bottom/>
      </border>
    </dxf>
  </rfmt>
  <rfmt sheetId="5" sqref="AV16" start="0" length="0">
    <dxf>
      <border outline="0">
        <bottom/>
      </border>
    </dxf>
  </rfmt>
  <rfmt sheetId="5" sqref="AW16" start="0" length="0">
    <dxf>
      <fill>
        <patternFill patternType="solid">
          <bgColor theme="9" tint="0.59999389629810485"/>
        </patternFill>
      </fill>
      <border outline="0">
        <bottom/>
      </border>
    </dxf>
  </rfmt>
  <rcc rId="5269" sId="5" odxf="1" dxf="1">
    <nc r="AS17" t="inlineStr">
      <is>
        <t>1. Conferência de 29 Despachos se foram enviados corretamento para o setor CPAD01/2025.
2. Criação de Despacho.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fmt sheetId="5" sqref="AU17" start="0" length="0">
    <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AW17" start="0" length="0">
    <dxf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AW2" start="0" length="0">
    <dxf>
      <fill>
        <patternFill patternType="none">
          <bgColor indexed="65"/>
        </patternFill>
      </fill>
    </dxf>
  </rfmt>
  <rfmt sheetId="5" sqref="AW3" start="0" length="0">
    <dxf>
      <fill>
        <patternFill patternType="none">
          <bgColor indexed="65"/>
        </patternFill>
      </fill>
    </dxf>
  </rfmt>
  <rfmt sheetId="5" sqref="AW4" start="0" length="0">
    <dxf>
      <fill>
        <patternFill patternType="none">
          <bgColor indexed="65"/>
        </patternFill>
      </fill>
    </dxf>
  </rfmt>
  <rfmt sheetId="5" sqref="AW5" start="0" length="0">
    <dxf>
      <fill>
        <patternFill patternType="none">
          <bgColor indexed="65"/>
        </patternFill>
      </fill>
    </dxf>
  </rfmt>
  <rfmt sheetId="5" sqref="AW6" start="0" length="0">
    <dxf>
      <fill>
        <patternFill patternType="none">
          <bgColor indexed="65"/>
        </patternFill>
      </fill>
    </dxf>
  </rfmt>
  <rfmt sheetId="5" sqref="AW7" start="0" length="0">
    <dxf>
      <fill>
        <patternFill patternType="none">
          <bgColor indexed="65"/>
        </patternFill>
      </fill>
    </dxf>
  </rfmt>
  <rfmt sheetId="5" sqref="AW8" start="0" length="0">
    <dxf>
      <fill>
        <patternFill patternType="none">
          <bgColor indexed="65"/>
        </patternFill>
      </fill>
    </dxf>
  </rfmt>
  <rfmt sheetId="5" sqref="AW9" start="0" length="0">
    <dxf>
      <fill>
        <patternFill patternType="none">
          <bgColor indexed="65"/>
        </patternFill>
      </fill>
    </dxf>
  </rfmt>
  <rfmt sheetId="5" sqref="AW10" start="0" length="0">
    <dxf>
      <fill>
        <patternFill patternType="none">
          <bgColor indexed="65"/>
        </patternFill>
      </fill>
    </dxf>
  </rfmt>
  <rfmt sheetId="5" sqref="AW11" start="0" length="0">
    <dxf>
      <fill>
        <patternFill patternType="none">
          <bgColor indexed="65"/>
        </patternFill>
      </fill>
    </dxf>
  </rfmt>
  <rfmt sheetId="5" sqref="AW12" start="0" length="0">
    <dxf>
      <fill>
        <patternFill patternType="none">
          <bgColor indexed="65"/>
        </patternFill>
      </fill>
    </dxf>
  </rfmt>
  <rcc rId="5270" sId="5">
    <nc r="AT13">
      <v>1</v>
    </nc>
  </rcc>
  <rfmt sheetId="5" sqref="AW13" start="0" length="0">
    <dxf>
      <fill>
        <patternFill patternType="none">
          <bgColor indexed="65"/>
        </patternFill>
      </fill>
    </dxf>
  </rfmt>
  <rfmt sheetId="5" sqref="AW14" start="0" length="0">
    <dxf>
      <fill>
        <patternFill patternType="none">
          <bgColor indexed="65"/>
        </patternFill>
      </fill>
    </dxf>
  </rfmt>
  <rfmt sheetId="5" sqref="AW15" start="0" length="0">
    <dxf>
      <fill>
        <patternFill patternType="none">
          <bgColor indexed="65"/>
        </patternFill>
      </fill>
    </dxf>
  </rfmt>
  <rfmt sheetId="5" sqref="AW16" start="0" length="0">
    <dxf>
      <fill>
        <patternFill patternType="none">
          <bgColor indexed="65"/>
        </patternFill>
      </fill>
    </dxf>
  </rfmt>
  <rcc rId="5271" sId="5" odxf="1" dxf="1">
    <nc r="AT17" t="inlineStr">
      <is>
        <t xml:space="preserve"> 1. Preparação do envio das 70 caixas
 para o DEFNAS.
2. Criação de modelo de e-mail de autorização de saída das 70 caixas, enviado para a Patrícia.</t>
      </is>
    </nc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5272" sId="5">
    <nc r="AU17" t="inlineStr">
      <is>
        <t>Censura de PDF's para enviar para o Arquivo Nacional.</t>
      </is>
    </nc>
  </rcc>
  <rcc rId="5273" sId="5" odxf="1" dxf="1">
    <nc r="AV17" t="inlineStr">
      <is>
        <t xml:space="preserve"> 1. Envio de 70 caixas para o DEFNAS e 
recebimento de 70 caixas DEFNAS.
2. Censura de PDF's para enviar para o Arquivo Nacional.</t>
      </is>
    </nc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5274" sId="5" odxf="1" dxf="1">
    <nc r="AW17" t="inlineStr">
      <is>
        <t>Folga autorizada por Patrícia.</t>
      </is>
    </nc>
    <ndxf>
      <fill>
        <patternFill patternType="none">
          <bgColor indexed="65"/>
        </patternFill>
      </fill>
    </ndxf>
  </rcc>
  <rfmt sheetId="5" sqref="AT18" start="0" length="0">
    <dxf>
      <alignment wrapText="0"/>
    </dxf>
  </rfmt>
  <rfmt sheetId="5" sqref="AU18" start="0" length="0">
    <dxf>
      <alignment wrapText="0"/>
    </dxf>
  </rfmt>
  <rfmt sheetId="5" sqref="AW18" start="0" length="0">
    <dxf>
      <alignment wrapText="0"/>
    </dxf>
  </rfmt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Danilo!$A$1:$A$18</formula>
    <oldFormula>Danilo!$A$1:$A$18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dn rId="0" localSheetId="9" customView="1" name="Z_86039CF8_B158_4D70_9A6F_A10C29CBD68A_.wvu.FilterData" hidden="1" oldHidden="1">
    <formula>Carlos!$A$1:$A$18</formula>
    <oldFormula>Carlos!$A$1:$A$18</oldFormula>
  </rdn>
  <rcv guid="{86039CF8-B158-4D70-9A6F-A10C29CBD68A}" action="add"/>
</revisions>
</file>

<file path=xl/revisions/revisionLog2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W2:AW17">
    <dxf>
      <fill>
        <patternFill patternType="solid">
          <bgColor theme="9" tint="0.59999389629810485"/>
        </patternFill>
      </fill>
    </dxf>
  </rfmt>
</revisions>
</file>

<file path=xl/revisions/revisionLog2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85" sId="8">
    <nc r="AG17" t="inlineStr">
      <is>
        <t>Inventário de Fotos LBA</t>
      </is>
    </nc>
  </rcc>
  <rcc rId="5286" sId="8" odxf="1" dxf="1">
    <nc r="AH17" t="inlineStr">
      <is>
        <t>Inventário de Fotos LBA</t>
      </is>
    </nc>
    <odxf>
      <alignment wrapText="0"/>
    </odxf>
    <ndxf>
      <alignment wrapText="1"/>
    </ndxf>
  </rcc>
  <rcc rId="5287" sId="8" odxf="1" dxf="1">
    <nc r="AI17" t="inlineStr">
      <is>
        <t>Inventário de Fotos LBA</t>
      </is>
    </nc>
    <odxf>
      <alignment wrapText="0"/>
    </odxf>
    <ndxf>
      <alignment wrapText="1"/>
    </ndxf>
  </rcc>
  <rcc rId="5288" sId="8" odxf="1" dxf="1">
    <nc r="AJ17" t="inlineStr">
      <is>
        <t>Inventário de Fotos LBA</t>
      </is>
    </nc>
    <odxf>
      <alignment wrapText="0"/>
    </odxf>
    <ndxf>
      <alignment wrapText="1"/>
    </ndxf>
  </rcc>
  <rcc rId="5289" sId="8">
    <nc r="AK17" t="inlineStr">
      <is>
        <t>Inventário de Fotos LBA</t>
      </is>
    </nc>
  </rcc>
  <rcc rId="5290" sId="8">
    <nc r="AM17" t="inlineStr">
      <is>
        <t>Inventário de Fotos LBA</t>
      </is>
    </nc>
  </rcc>
  <rcc rId="5291" sId="8" odxf="1" dxf="1">
    <nc r="AN17" t="inlineStr">
      <is>
        <t>Inventário de Fotos LBA</t>
      </is>
    </nc>
    <odxf>
      <alignment wrapText="0"/>
    </odxf>
    <ndxf>
      <alignment wrapText="1"/>
    </ndxf>
  </rcc>
  <rcc rId="5292" sId="8" odxf="1" dxf="1">
    <nc r="AO17" t="inlineStr">
      <is>
        <t>Inventário de Fotos LBA</t>
      </is>
    </nc>
    <odxf>
      <alignment wrapText="0"/>
    </odxf>
    <ndxf>
      <alignment wrapText="1"/>
    </ndxf>
  </rcc>
  <rcc rId="5293" sId="8" odxf="1" dxf="1">
    <nc r="AP17" t="inlineStr">
      <is>
        <t>Inventário de Fotos LBA</t>
      </is>
    </nc>
    <odxf>
      <alignment wrapText="0"/>
    </odxf>
    <ndxf>
      <alignment wrapText="1"/>
    </ndxf>
  </rcc>
  <rcc rId="5294" sId="8" odxf="1" dxf="1">
    <nc r="AQ17" t="inlineStr">
      <is>
        <t>INVETARIO DE SLIDES DA LBA</t>
      </is>
    </nc>
    <odxf>
      <alignment wrapText="0"/>
    </odxf>
    <ndxf>
      <alignment wrapText="1"/>
    </ndxf>
  </rcc>
  <rcc rId="5295" sId="8">
    <nc r="AS17" t="inlineStr">
      <is>
        <t>INVETARIO DE SLIDES DA LBA</t>
      </is>
    </nc>
  </rcc>
  <rcc rId="5296" sId="8">
    <nc r="AT17" t="inlineStr">
      <is>
        <t>INVETARIO DE SLIDES DA LBA</t>
      </is>
    </nc>
  </rcc>
  <rcc rId="5297" sId="8" odxf="1" dxf="1">
    <nc r="AU17" t="inlineStr">
      <is>
        <t>INVETARIO DE SLIDES DA LBA</t>
      </is>
    </nc>
    <odxf>
      <alignment wrapText="0"/>
    </odxf>
    <ndxf>
      <alignment wrapText="1"/>
    </ndxf>
  </rcc>
  <rcc rId="5298" sId="8">
    <nc r="AV17" t="inlineStr">
      <is>
        <t xml:space="preserve">RECEBIMENTO DE 140 CAIXAS </t>
      </is>
    </nc>
  </rcc>
  <rcc rId="5299" sId="8">
    <nc r="AW17" t="inlineStr">
      <is>
        <t xml:space="preserve">ENTREGANDO AS DOCUMENTAÇÃO DA EMPRESA NOVA </t>
      </is>
    </nc>
  </rcc>
  <rcc rId="5300" sId="8">
    <nc r="AG18" t="inlineStr">
      <is>
        <t xml:space="preserve">PROCURANDO  O PROCESSO DA LBA </t>
      </is>
    </nc>
  </rcc>
  <rcc rId="5301" sId="8">
    <nc r="AH18" t="inlineStr">
      <is>
        <t xml:space="preserve">PROCURANDO  O PROCESSO DA LBA </t>
      </is>
    </nc>
  </rcc>
  <rcc rId="5302" sId="8" odxf="1" dxf="1">
    <nc r="AE17" t="inlineStr">
      <is>
        <r>
          <t xml:space="preserve"> Inventário de fotos  </t>
        </r>
        <r>
          <rPr>
            <b/>
            <sz val="11"/>
            <color theme="1"/>
            <rFont val="Aptos Narrow"/>
            <family val="2"/>
          </rPr>
          <t>LBA</t>
        </r>
      </is>
    </nc>
    <odxf>
      <alignment wrapText="0"/>
    </odxf>
    <ndxf>
      <alignment wrapText="1"/>
    </ndxf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Danilo!$A$1:$A$18</formula>
    <oldFormula>Danilo!$A$1:$A$18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dn rId="0" localSheetId="9" customView="1" name="Z_E3841903_5B68_44FD_8F09_58E03D1025C5_.wvu.FilterData" hidden="1" oldHidden="1">
    <formula>Carlos!$A$1:$A$18</formula>
    <oldFormula>Carlos!$A$1:$A$18</oldFormula>
  </rdn>
  <rcv guid="{E3841903-5B68-44FD-8F09-58E03D1025C5}" action="add"/>
</revisions>
</file>

<file path=xl/revisions/revisionLog2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Y16" start="0" length="0">
    <dxf>
      <border outline="0">
        <bottom/>
      </border>
    </dxf>
  </rfmt>
  <rfmt sheetId="5" sqref="AZ16" start="0" length="0">
    <dxf>
      <border outline="0">
        <bottom/>
      </border>
    </dxf>
  </rfmt>
  <rfmt sheetId="5" sqref="BA16" start="0" length="0">
    <dxf>
      <border outline="0">
        <bottom/>
      </border>
    </dxf>
  </rfmt>
  <rfmt sheetId="5" sqref="BB16" start="0" length="0">
    <dxf>
      <border outline="0">
        <bottom/>
      </border>
    </dxf>
  </rfmt>
  <rfmt sheetId="5" sqref="BC16" start="0" length="0">
    <dxf>
      <border outline="0">
        <bottom/>
      </border>
    </dxf>
  </rfmt>
  <rcc rId="5313" sId="5" odxf="1" dxf="1">
    <nc r="AY17" t="inlineStr">
      <is>
        <t>Conversa entre os terceirizados sobre a demanda da apostila que a Patrícia entregou.
Resultado: Microfilmes somente resultado total; Mapas não foi possível devido serem anexos de processos; Fotos conseguiremos dar o resultado;
Contagem das caixas total do Acervo conseguiremos.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fmt sheetId="5" sqref="BA17" start="0" length="0">
    <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BB17" start="0" length="0">
    <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BC17" start="0" length="0">
    <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cc rId="5314" sId="5">
    <nc r="BC13">
      <v>1</v>
    </nc>
  </rcc>
  <rcc rId="5315" sId="5">
    <nc r="BA16">
      <v>3</v>
    </nc>
  </rcc>
  <rcc rId="5316" sId="5">
    <nc r="BB16">
      <v>3</v>
    </nc>
  </rcc>
  <rcc rId="5317" sId="5">
    <nc r="BC16">
      <v>4</v>
    </nc>
  </rcc>
  <rcc rId="5318" sId="5" odxf="1" dxf="1">
    <nc r="AZ17" t="inlineStr">
      <is>
        <t xml:space="preserve"> 1. Confraternização: Aniversário do 
Danilo.
2. Reunião com a chefe Patrícia para tratar dos tópicos da apostila.
3. Entreguei o resultado total de microfilmes e fotos da LBA, que constam nas planilhas, para a Patrícia.</t>
      </is>
    </nc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5319" sId="5">
    <nc r="BA17" t="inlineStr">
      <is>
        <t xml:space="preserve">Conferência caixas do DEFNAS.
</t>
      </is>
    </nc>
  </rcc>
  <rcc rId="5320" sId="5">
    <nc r="BB17" t="inlineStr">
      <is>
        <t xml:space="preserve">Conferência caixas do DEFNAS.
</t>
      </is>
    </nc>
  </rcc>
  <rcc rId="5321" sId="5">
    <nc r="BC17" t="inlineStr">
      <is>
        <t xml:space="preserve">Conferência caixas do DEFNAS.
</t>
      </is>
    </nc>
  </rcc>
  <rfmt sheetId="5" sqref="BC18" start="0" length="0">
    <dxf>
      <alignment wrapText="1"/>
    </dxf>
  </rfmt>
  <rcv guid="{86039CF8-B158-4D70-9A6F-A10C29CBD68A}" action="delete"/>
  <rdn rId="0" localSheetId="1" customView="1" name="Z_86039CF8_B158_4D70_9A6F_A10C29CBD68A_.wvu.FilterData" hidden="1" oldHidden="1">
    <formula>Patrícia!$A$1:$A$18</formula>
    <oldFormula>Patrícia!$A$1:$A$18</oldFormula>
  </rdn>
  <rdn rId="0" localSheetId="2" customView="1" name="Z_86039CF8_B158_4D70_9A6F_A10C29CBD68A_.wvu.FilterData" hidden="1" oldHidden="1">
    <formula>Marcelo!$A$1:$A$18</formula>
    <oldFormula>Marcelo!$A$1:$A$18</oldFormula>
  </rdn>
  <rdn rId="0" localSheetId="3" customView="1" name="Z_86039CF8_B158_4D70_9A6F_A10C29CBD68A_.wvu.FilterData" hidden="1" oldHidden="1">
    <formula>TOTAL!$A$1:$A$18</formula>
    <oldFormula>TOTAL!$A$1:$A$18</oldFormula>
  </rdn>
  <rdn rId="0" localSheetId="4" customView="1" name="Z_86039CF8_B158_4D70_9A6F_A10C29CBD68A_.wvu.FilterData" hidden="1" oldHidden="1">
    <formula>Diego!$A$1:$A$18</formula>
    <oldFormula>Diego!$A$1:$A$18</oldFormula>
  </rdn>
  <rdn rId="0" localSheetId="5" customView="1" name="Z_86039CF8_B158_4D70_9A6F_A10C29CBD68A_.wvu.FilterData" hidden="1" oldHidden="1">
    <formula>Aelton!$A$1:$A$18</formula>
    <oldFormula>Aelton!$A$1:$A$18</oldFormula>
  </rdn>
  <rdn rId="0" localSheetId="6" customView="1" name="Z_86039CF8_B158_4D70_9A6F_A10C29CBD68A_.wvu.FilterData" hidden="1" oldHidden="1">
    <formula>Leonam!$A$1:$BD$18</formula>
    <oldFormula>Leonam!$A$1:$BD$18</oldFormula>
  </rdn>
  <rdn rId="0" localSheetId="7" customView="1" name="Z_86039CF8_B158_4D70_9A6F_A10C29CBD68A_.wvu.FilterData" hidden="1" oldHidden="1">
    <formula>Danilo!$A$1:$A$18</formula>
    <oldFormula>Danilo!$A$1:$A$18</oldFormula>
  </rdn>
  <rdn rId="0" localSheetId="8" customView="1" name="Z_86039CF8_B158_4D70_9A6F_A10C29CBD68A_.wvu.FilterData" hidden="1" oldHidden="1">
    <formula>Marcos!$A$1:$A$18</formula>
    <oldFormula>Marcos!$A$1:$A$18</oldFormula>
  </rdn>
  <rdn rId="0" localSheetId="10" customView="1" name="Z_86039CF8_B158_4D70_9A6F_A10C29CBD68A_.wvu.FilterData" hidden="1" oldHidden="1">
    <formula>Alessandro!$A$1:$A$18</formula>
    <oldFormula>Alessandro!$A$1:$A$18</oldFormula>
  </rdn>
  <rdn rId="0" localSheetId="9" customView="1" name="Z_86039CF8_B158_4D70_9A6F_A10C29CBD68A_.wvu.FilterData" hidden="1" oldHidden="1">
    <formula>Carlos!$A$1:$A$18</formula>
    <oldFormula>Carlos!$A$1:$A$18</oldFormula>
  </rdn>
  <rcv guid="{86039CF8-B158-4D70-9A6F-A10C29CBD68A}" action="add"/>
</revisions>
</file>

<file path=xl/revisions/revisionLog2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32" sId="5">
    <oc r="BC13">
      <v>1</v>
    </oc>
    <nc r="BC13">
      <v>3</v>
    </nc>
  </rcc>
  <rfmt sheetId="5" sqref="AZ17" start="0" length="0">
    <dxf>
      <border outline="0">
        <left/>
        <right/>
        <top/>
        <bottom/>
      </border>
    </dxf>
  </rfmt>
</revisions>
</file>

<file path=xl/revisions/revisionLog2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33" sId="5">
    <oc r="BC17" t="inlineStr">
      <is>
        <t xml:space="preserve">Conferência caixas do DEFNAS.
</t>
      </is>
    </oc>
    <nc r="BC17" t="inlineStr">
      <is>
        <t xml:space="preserve">1. Conferência caixas do DEFNAS.
2. Pesquisa e busca por processos DEFNAS.
</t>
      </is>
    </nc>
  </rcc>
</revisions>
</file>

<file path=xl/revisions/revisionLog2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34" sId="5">
    <nc r="BC2">
      <v>4</v>
    </nc>
  </rcc>
</revisions>
</file>

<file path=xl/revisions/revisionLog2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BA17" start="0" length="0">
    <dxf>
      <alignment horizontal="general" vertical="bottom"/>
    </dxf>
  </rfmt>
  <rfmt sheetId="10" xfDxf="1" sqref="BA17" start="0" length="0"/>
  <rcc rId="5335" sId="10" odxf="1" dxf="1">
    <nc r="BA17" t="inlineStr">
      <is>
        <t xml:space="preserve">Conferência caixas do DEFNAS.
</t>
      </is>
    </nc>
    <ndxf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5336" sId="10">
    <nc r="AZ17" t="inlineStr">
      <is>
        <t xml:space="preserve"> Confraternização: Aniversário do 
Danilo.
</t>
      </is>
    </nc>
  </rcc>
  <rcc rId="5337" sId="10">
    <nc r="AW17" t="inlineStr">
      <is>
        <t>Juntada e entrega de documentação para nova empresa</t>
      </is>
    </nc>
  </rcc>
  <rcc rId="5338" sId="10" odxf="1" dxf="1">
    <nc r="BB17" t="inlineStr">
      <is>
        <t xml:space="preserve">Conferência caixas do DEFNAS.
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5339" sId="10" odxf="1" dxf="1">
    <nc r="BC17" t="inlineStr">
      <is>
        <t xml:space="preserve">Conferência caixas do DEFNAS.
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5340" sId="10">
    <oc r="AL13">
      <f>SUM(AG13:AK13)</f>
    </oc>
    <nc r="AL13">
      <v>0</v>
    </nc>
  </rcc>
  <rcc rId="5341" sId="10" odxf="1" dxf="1">
    <nc r="AU17" t="inlineStr">
      <is>
        <r>
          <t xml:space="preserve">Correções e Formatação de campos da planilha do </t>
        </r>
        <r>
          <rPr>
            <b/>
            <sz val="11"/>
            <color theme="1"/>
            <rFont val="Aptos Narrow"/>
            <family val="2"/>
          </rPr>
          <t>ARCEN</t>
        </r>
        <r>
          <rPr>
            <sz val="11"/>
            <color theme="1"/>
            <rFont val="Aptos Narrow"/>
            <family val="2"/>
          </rPr>
          <t xml:space="preserve">
(Otimização e padronização)</t>
        </r>
      </is>
    </nc>
    <odxf>
      <alignment wrapText="0"/>
    </odxf>
    <ndxf>
      <alignment wrapText="1"/>
    </ndxf>
  </rcc>
  <rcc rId="5342" sId="10">
    <nc r="AV17" t="inlineStr">
      <is>
        <r>
          <t xml:space="preserve">Correções e Formatação de campos da planilha do </t>
        </r>
        <r>
          <rPr>
            <b/>
            <sz val="11"/>
            <color theme="1"/>
            <rFont val="Aptos Narrow"/>
            <family val="2"/>
          </rPr>
          <t>ARCEN</t>
        </r>
        <r>
          <rPr>
            <sz val="11"/>
            <color theme="1"/>
            <rFont val="Aptos Narrow"/>
            <family val="2"/>
          </rPr>
          <t xml:space="preserve">
(Otimização e padronização)</t>
        </r>
      </is>
    </nc>
  </rcc>
  <rcc rId="5343" sId="10">
    <nc r="BA16">
      <v>3</v>
    </nc>
  </rcc>
  <rcc rId="5344" sId="10">
    <nc r="BB16">
      <v>3</v>
    </nc>
  </rcc>
  <rcc rId="5345" sId="10">
    <nc r="BC16">
      <v>4</v>
    </nc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Danilo!$A$1:$A$18</formula>
    <oldFormula>Danilo!$A$1:$A$18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dn rId="0" localSheetId="9" customView="1" name="Z_3D987F8E_A6EA_454D_9537_6BFC5053CB00_.wvu.FilterData" hidden="1" oldHidden="1">
    <formula>Carlos!$A$1:$A$18</formula>
    <oldFormula>Carlos!$A$1:$A$18</oldFormula>
  </rdn>
  <rcv guid="{3D987F8E-A6EA-454D-9537-6BFC5053CB00}" action="add"/>
</revisions>
</file>

<file path=xl/revisions/revisionLog2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Danilo!$A$1:$A$18</formula>
    <oldFormula>Danilo!$A$1:$A$18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dn rId="0" localSheetId="9" customView="1" name="Z_3D987F8E_A6EA_454D_9537_6BFC5053CB00_.wvu.FilterData" hidden="1" oldHidden="1">
    <formula>Carlos!$A$1:$A$18</formula>
    <oldFormula>Carlos!$A$1:$A$18</oldFormula>
  </rdn>
  <rcv guid="{3D987F8E-A6EA-454D-9537-6BFC5053CB00}" action="add"/>
</revisions>
</file>

<file path=xl/revisions/revisionLog2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66" sId="10">
    <oc r="AW17" t="inlineStr">
      <is>
        <t>Juntada e entrega de documentação para nova empresa</t>
      </is>
    </oc>
    <nc r="AW17" t="inlineStr">
      <is>
        <t>Juntada e entrega de documentação para nova empresa
(GE Serviços)</t>
      </is>
    </nc>
  </rcc>
  <rcc rId="5367" sId="10">
    <oc r="BC16">
      <v>4</v>
    </oc>
    <nc r="BC16">
      <v>3</v>
    </nc>
  </rcc>
  <rcc rId="5368" sId="10">
    <oc r="BB16">
      <v>3</v>
    </oc>
    <nc r="BB16">
      <v>2</v>
    </nc>
  </rcc>
  <rcc rId="5369" sId="10">
    <oc r="BA16">
      <v>3</v>
    </oc>
    <nc r="BA16">
      <v>2</v>
    </nc>
  </rcc>
  <rcc rId="5370" sId="10">
    <nc r="AZ16">
      <v>1</v>
    </nc>
  </rcc>
  <rcc rId="5371" sId="10">
    <nc r="AY16">
      <v>2</v>
    </nc>
  </rcc>
  <rcc rId="5372" sId="10" odxf="1" dxf="1">
    <nc r="AY17" t="inlineStr">
      <is>
        <t xml:space="preserve">Conferência caixas do DEFNAS.
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</revisions>
</file>

<file path=xl/revisions/revisionLog2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Y17:BC17" start="0" length="0">
    <dxf>
      <border>
        <bottom style="thin">
          <color indexed="64"/>
        </bottom>
      </border>
    </dxf>
  </rfmt>
  <rfmt sheetId="10" sqref="AY17" start="0" length="0">
    <dxf>
      <border>
        <left/>
      </border>
    </dxf>
  </rfmt>
  <rfmt sheetId="10" sqref="AY17:BC17" start="0" length="0">
    <dxf>
      <border>
        <top/>
      </border>
    </dxf>
  </rfmt>
  <rfmt sheetId="10" sqref="BC17" start="0" length="0">
    <dxf>
      <border>
        <right/>
      </border>
    </dxf>
  </rfmt>
  <rfmt sheetId="10" sqref="AY17:BC17" start="0" length="0">
    <dxf>
      <border>
        <bottom/>
      </border>
    </dxf>
  </rfmt>
  <rfmt sheetId="10" sqref="AY17:BC17">
    <dxf>
      <border>
        <left/>
        <right/>
        <vertical/>
      </border>
    </dxf>
  </rfmt>
  <rm rId="5373" sheetId="10" source="AY17:BC17" destination="AZ17:BD17" sourceSheetId="10">
    <rfmt sheetId="10" sqref="BD17" start="0" length="0">
      <dxf>
        <alignment horizontal="center" vertical="center"/>
      </dxf>
    </rfmt>
  </rm>
  <rfmt sheetId="10" sqref="AY16:BC16" start="0" length="0">
    <dxf>
      <border>
        <bottom style="thin">
          <color indexed="64"/>
        </bottom>
      </border>
    </dxf>
  </rfmt>
  <rfmt sheetId="10" sqref="Y17" start="0" length="0">
    <dxf>
      <border>
        <left/>
        <right/>
        <top/>
        <bottom/>
      </border>
    </dxf>
  </rfmt>
  <rfmt sheetId="10" sqref="Y16" start="0" length="0">
    <dxf>
      <border>
        <left/>
        <right/>
        <top/>
        <bottom style="thin">
          <color indexed="64"/>
        </bottom>
      </border>
    </dxf>
  </rfmt>
  <rfmt sheetId="10" sqref="F17" start="0" length="0">
    <dxf>
      <border>
        <left/>
        <right/>
        <top/>
        <bottom/>
      </border>
    </dxf>
  </rfmt>
  <rfmt sheetId="10" sqref="F16" start="0" length="0">
    <dxf>
      <border>
        <left/>
        <right/>
        <top/>
        <bottom style="thin">
          <color indexed="64"/>
        </bottom>
      </border>
    </dxf>
  </rfmt>
  <rcc rId="5374" sId="10">
    <nc r="AM11">
      <v>2</v>
    </nc>
  </rcc>
  <rcc rId="5375" sId="10">
    <nc r="AN11">
      <v>2</v>
    </nc>
  </rcc>
  <rcc rId="5376" sId="10">
    <nc r="AO11">
      <v>2</v>
    </nc>
  </rcc>
  <rcc rId="5377" sId="10">
    <nc r="AP11">
      <v>2</v>
    </nc>
  </rcc>
  <rcc rId="5378" sId="10">
    <oc r="AE11">
      <v>1</v>
    </oc>
    <nc r="AE11">
      <v>2</v>
    </nc>
  </rcc>
  <rcc rId="5379" sId="10">
    <oc r="AC11">
      <v>2</v>
    </oc>
    <nc r="AC11">
      <v>3</v>
    </nc>
  </rcc>
  <rcc rId="5380" sId="10">
    <nc r="AQ11">
      <v>3</v>
    </nc>
  </rcc>
  <rcc rId="5381" sId="10">
    <oc r="R11">
      <v>2</v>
    </oc>
    <nc r="R11">
      <v>3</v>
    </nc>
  </rcc>
  <rcc rId="5382" sId="10">
    <oc r="M11">
      <v>1</v>
    </oc>
    <nc r="M11">
      <v>3</v>
    </nc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Danilo!$A$1:$A$18</formula>
    <oldFormula>Danilo!$A$1:$A$18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dn rId="0" localSheetId="9" customView="1" name="Z_3D987F8E_A6EA_454D_9537_6BFC5053CB00_.wvu.FilterData" hidden="1" oldHidden="1">
    <formula>Carlos!$A$1:$A$18</formula>
    <oldFormula>Carlos!$A$1:$A$18</oldFormula>
  </rdn>
  <rcv guid="{3D987F8E-A6EA-454D-9537-6BFC5053CB00}" action="add"/>
</revisions>
</file>

<file path=xl/revisions/revisionLog2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93" sId="4">
    <nc r="AY17" t="inlineStr">
      <is>
        <t>conferindo patrimonio</t>
      </is>
    </nc>
  </rcc>
  <rcc rId="5394" sId="4" odxf="1" dxf="1">
    <nc r="AZ17" t="inlineStr">
      <is>
        <t>conferindo patrimonio</t>
      </is>
    </nc>
    <odxf>
      <alignment wrapText="1" readingOrder="0"/>
    </odxf>
    <ndxf>
      <alignment wrapText="0" readingOrder="0"/>
    </ndxf>
  </rcc>
  <rcc rId="5395" sId="4">
    <nc r="BA17" t="inlineStr">
      <is>
        <t>conferindo patrimonio</t>
      </is>
    </nc>
  </rcc>
  <rcc rId="5396" sId="4">
    <nc r="BB17" t="inlineStr">
      <is>
        <t>conferindo patrimonio</t>
      </is>
    </nc>
  </rcc>
  <rcc rId="5397" sId="4">
    <nc r="BC17" t="inlineStr">
      <is>
        <t>conferindo patrimonio</t>
      </is>
    </nc>
  </rcc>
  <rcc rId="5398" sId="4">
    <nc r="BC18" t="inlineStr">
      <is>
        <t xml:space="preserve">procurando processo </t>
      </is>
    </nc>
  </rcc>
  <rcc rId="5399" sId="4" odxf="1" dxf="1">
    <nc r="BB18" t="inlineStr">
      <is>
        <t xml:space="preserve">procurando processo </t>
      </is>
    </nc>
    <odxf>
      <alignment wrapText="1" readingOrder="0"/>
    </odxf>
    <ndxf>
      <alignment wrapText="0" readingOrder="0"/>
    </ndxf>
  </rcc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Danilo!$A$1:$A$18</formula>
    <oldFormula>Danilo!$A$1:$A$18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dn rId="0" localSheetId="9" customView="1" name="Z_E3841903_5B68_44FD_8F09_58E03D1025C5_.wvu.FilterData" hidden="1" oldHidden="1">
    <formula>Carlos!$A$1:$A$18</formula>
    <oldFormula>Carlos!$A$1:$A$18</oldFormula>
  </rdn>
  <rcv guid="{E3841903-5B68-44FD-8F09-58E03D1025C5}" action="add"/>
</revisions>
</file>

<file path=xl/revisions/revisionLog2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10" sId="8">
    <nc r="AY17" t="inlineStr">
      <is>
        <t>conferindo patrimonio</t>
      </is>
    </nc>
  </rcc>
  <rcc rId="5411" sId="8" odxf="1" dxf="1">
    <nc r="AZ17" t="inlineStr">
      <is>
        <t>conferindo patrimonio</t>
      </is>
    </nc>
    <odxf>
      <alignment wrapText="1" readingOrder="0"/>
    </odxf>
    <ndxf>
      <alignment wrapText="0" readingOrder="0"/>
    </ndxf>
  </rcc>
  <rcc rId="5412" sId="8">
    <nc r="BA17" t="inlineStr">
      <is>
        <t>conferindo patrimonio</t>
      </is>
    </nc>
  </rcc>
  <rcc rId="5413" sId="8">
    <nc r="BB17" t="inlineStr">
      <is>
        <t>conferindo patrimonio</t>
      </is>
    </nc>
  </rcc>
  <rcc rId="5414" sId="8">
    <nc r="BC17" t="inlineStr">
      <is>
        <t>conferindo patrimonio</t>
      </is>
    </nc>
  </rcc>
</revisions>
</file>

<file path=xl/revisions/revisionLog2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15" sId="7">
    <nc r="AM17" t="inlineStr">
      <is>
        <t>Inventário de Fotos LBA</t>
      </is>
    </nc>
  </rcc>
  <rcc rId="5416" sId="7" odxf="1" dxf="1">
    <nc r="AN17" t="inlineStr">
      <is>
        <t>Inventário de Fotos LBA</t>
      </is>
    </nc>
    <odxf>
      <alignment wrapText="0"/>
    </odxf>
    <ndxf>
      <alignment wrapText="1"/>
    </ndxf>
  </rcc>
  <rcc rId="5417" sId="7" odxf="1" dxf="1">
    <nc r="AO17" t="inlineStr">
      <is>
        <t>Inventário de Fotos LBA</t>
      </is>
    </nc>
    <odxf>
      <alignment wrapText="0"/>
    </odxf>
    <ndxf>
      <alignment wrapText="1"/>
    </ndxf>
  </rcc>
  <rcc rId="5418" sId="7" odxf="1" dxf="1">
    <nc r="AP17" t="inlineStr">
      <is>
        <t>Inventário de Fotos LBA</t>
      </is>
    </nc>
    <odxf>
      <alignment wrapText="0"/>
    </odxf>
    <ndxf>
      <alignment wrapText="1"/>
    </ndxf>
  </rcc>
  <rcc rId="5419" sId="7" odxf="1" dxf="1">
    <nc r="AQ17" t="inlineStr">
      <is>
        <t>INVETARIO DE SLIDES DA LBA</t>
      </is>
    </nc>
    <odxf>
      <alignment wrapText="0"/>
    </odxf>
    <ndxf>
      <alignment wrapText="1"/>
    </ndxf>
  </rcc>
  <rcc rId="5420" sId="7">
    <nc r="AS17" t="inlineStr">
      <is>
        <t>INVETARIO DE SLIDES DA LBA</t>
      </is>
    </nc>
  </rcc>
  <rcc rId="5421" sId="7">
    <nc r="AT17" t="inlineStr">
      <is>
        <t>INVETARIO DE SLIDES DA LBA</t>
      </is>
    </nc>
  </rcc>
  <rcc rId="5422" sId="7" odxf="1" dxf="1">
    <nc r="AU17" t="inlineStr">
      <is>
        <t>INVETARIO DE SLIDES DA LBA</t>
      </is>
    </nc>
    <odxf>
      <alignment wrapText="0"/>
    </odxf>
    <ndxf>
      <alignment wrapText="1"/>
    </ndxf>
  </rcc>
  <rcc rId="5423" sId="7">
    <nc r="AV17" t="inlineStr">
      <is>
        <t xml:space="preserve">RECEBIMENTO DE 140 CAIXAS </t>
      </is>
    </nc>
  </rcc>
  <rcc rId="5424" sId="7">
    <nc r="AW17" t="inlineStr">
      <is>
        <t xml:space="preserve">ENTREGANDO AS DOCUMENTAÇÃO DA EMPRESA NOVA </t>
      </is>
    </nc>
  </rcc>
  <rcc rId="5425" sId="7" odxf="1" dxf="1">
    <nc r="AY17" t="inlineStr">
      <is>
        <t>Conversa entre os terceirizados sobre a demanda da apostila que a Patrícia entregou.
Resultado: Microfilmes somente resultado total; Mapas não foi possível devido serem anexos de processos; Fotos conseguiremos dar o resultado;
Contagem das caixas total do Acervo conseguiremos.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5426" sId="7">
    <nc r="AZ17" t="inlineStr">
      <is>
        <t xml:space="preserve"> 1. Confraternização: Aniversário do 
Danilo.
2. Reunião com a chefe Patrícia para tratar dos tópicos da apostila.
3. Entreguei o resultado total de microfilmes e fotos da LBA, que constam nas planilhas, para a Patrícia.</t>
      </is>
    </nc>
  </rcc>
  <rcc rId="5427" sId="7" odxf="1" dxf="1">
    <nc r="BA17" t="inlineStr">
      <is>
        <t xml:space="preserve">Conferência caixas do DEFNAS.
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5428" sId="7" odxf="1" dxf="1">
    <nc r="BB17" t="inlineStr">
      <is>
        <t xml:space="preserve">Conferência caixas do DEFNAS.
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5429" sId="7" odxf="1" dxf="1">
    <nc r="BC17" t="inlineStr">
      <is>
        <t xml:space="preserve">1. Conferência caixas do DEFNAS.
2. Pesquisa e busca por processos DEFNAS.
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v guid="{B3CDE377-BA5D-4E06-91D9-3A48E1959BA5}" action="delete"/>
  <rdn rId="0" localSheetId="1" customView="1" name="Z_B3CDE377_BA5D_4E06_91D9_3A48E1959BA5_.wvu.FilterData" hidden="1" oldHidden="1">
    <formula>Patrícia!$A$1:$A$18</formula>
    <oldFormula>Patrícia!$A$1:$A$18</oldFormula>
  </rdn>
  <rdn rId="0" localSheetId="2" customView="1" name="Z_B3CDE377_BA5D_4E06_91D9_3A48E1959BA5_.wvu.FilterData" hidden="1" oldHidden="1">
    <formula>Marcelo!$A$1:$A$18</formula>
    <oldFormula>Marcelo!$A$1:$A$18</oldFormula>
  </rdn>
  <rdn rId="0" localSheetId="3" customView="1" name="Z_B3CDE377_BA5D_4E06_91D9_3A48E1959BA5_.wvu.FilterData" hidden="1" oldHidden="1">
    <formula>TOTAL!$A$1:$A$18</formula>
    <oldFormula>TOTAL!$A$1:$A$18</oldFormula>
  </rdn>
  <rdn rId="0" localSheetId="4" customView="1" name="Z_B3CDE377_BA5D_4E06_91D9_3A48E1959BA5_.wvu.FilterData" hidden="1" oldHidden="1">
    <formula>Diego!$A$1:$A$18</formula>
    <oldFormula>Diego!$A$1:$A$18</oldFormula>
  </rdn>
  <rdn rId="0" localSheetId="5" customView="1" name="Z_B3CDE377_BA5D_4E06_91D9_3A48E1959BA5_.wvu.FilterData" hidden="1" oldHidden="1">
    <formula>Aelton!$A$1:$A$18</formula>
    <oldFormula>Aelton!$A$1:$A$18</oldFormula>
  </rdn>
  <rdn rId="0" localSheetId="6" customView="1" name="Z_B3CDE377_BA5D_4E06_91D9_3A48E1959BA5_.wvu.FilterData" hidden="1" oldHidden="1">
    <formula>Leonam!$A$1:$BD$18</formula>
    <oldFormula>Leonam!$A$1:$BD$18</oldFormula>
  </rdn>
  <rdn rId="0" localSheetId="7" customView="1" name="Z_B3CDE377_BA5D_4E06_91D9_3A48E1959BA5_.wvu.FilterData" hidden="1" oldHidden="1">
    <formula>Danilo!$A$1:$A$18</formula>
    <oldFormula>Danilo!$A$1:$A$18</oldFormula>
  </rdn>
  <rdn rId="0" localSheetId="8" customView="1" name="Z_B3CDE377_BA5D_4E06_91D9_3A48E1959BA5_.wvu.FilterData" hidden="1" oldHidden="1">
    <formula>Marcos!$A$1:$A$18</formula>
    <oldFormula>Marcos!$A$1:$A$18</oldFormula>
  </rdn>
  <rdn rId="0" localSheetId="10" customView="1" name="Z_B3CDE377_BA5D_4E06_91D9_3A48E1959BA5_.wvu.FilterData" hidden="1" oldHidden="1">
    <formula>Alessandro!$A$1:$A$18</formula>
    <oldFormula>Alessandro!$A$1:$A$18</oldFormula>
  </rdn>
  <rdn rId="0" localSheetId="9" customView="1" name="Z_B3CDE377_BA5D_4E06_91D9_3A48E1959BA5_.wvu.FilterData" hidden="1" oldHidden="1">
    <formula>Carlos!$A$1:$A$18</formula>
    <oldFormula>Carlos!$A$1:$A$18</oldFormula>
  </rdn>
  <rcv guid="{B3CDE377-BA5D-4E06-91D9-3A48E1959BA5}" action="add"/>
</revisions>
</file>

<file path=xl/revisions/revisionLog2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40" sId="7">
    <oc r="AZ17" t="inlineStr">
      <is>
        <t xml:space="preserve"> 1. Confraternização: Aniversário do 
Danilo.
2. Reunião com a chefe Patrícia para tratar dos tópicos da apostila.
3. Entreguei o resultado total de microfilmes e fotos da LBA, que constam nas planilhas, para a Patrícia.</t>
      </is>
    </oc>
    <nc r="AZ17" t="inlineStr">
      <is>
        <t xml:space="preserve"> 1. Confraternização: Aniversário 
2. Reunião com a chefe Patrícia para tratar dos tópicos da apostila.
3. Entreguei o resultado total de microfilmes e fotos da LBA, que constam nas planilhas, para a Patrícia.</t>
      </is>
    </nc>
  </rcc>
</revisions>
</file>

<file path=xl/revisions/revisionLog2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3841903-5B68-44FD-8F09-58E03D1025C5}" action="delete"/>
  <rdn rId="0" localSheetId="1" customView="1" name="Z_E3841903_5B68_44FD_8F09_58E03D1025C5_.wvu.FilterData" hidden="1" oldHidden="1">
    <formula>Patrícia!$A$1:$A$18</formula>
    <oldFormula>Patrícia!$A$1:$A$18</oldFormula>
  </rdn>
  <rdn rId="0" localSheetId="2" customView="1" name="Z_E3841903_5B68_44FD_8F09_58E03D1025C5_.wvu.FilterData" hidden="1" oldHidden="1">
    <formula>Marcelo!$A$1:$A$18</formula>
    <oldFormula>Marcelo!$A$1:$A$18</oldFormula>
  </rdn>
  <rdn rId="0" localSheetId="3" customView="1" name="Z_E3841903_5B68_44FD_8F09_58E03D1025C5_.wvu.FilterData" hidden="1" oldHidden="1">
    <formula>TOTAL!$A$1:$A$18</formula>
    <oldFormula>TOTAL!$A$1:$A$18</oldFormula>
  </rdn>
  <rdn rId="0" localSheetId="4" customView="1" name="Z_E3841903_5B68_44FD_8F09_58E03D1025C5_.wvu.FilterData" hidden="1" oldHidden="1">
    <formula>Diego!$A$1:$A$18</formula>
    <oldFormula>Diego!$A$1:$A$18</oldFormula>
  </rdn>
  <rdn rId="0" localSheetId="5" customView="1" name="Z_E3841903_5B68_44FD_8F09_58E03D1025C5_.wvu.FilterData" hidden="1" oldHidden="1">
    <formula>Aelton!$A$1:$A$18</formula>
    <oldFormula>Aelton!$A$1:$A$18</oldFormula>
  </rdn>
  <rdn rId="0" localSheetId="6" customView="1" name="Z_E3841903_5B68_44FD_8F09_58E03D1025C5_.wvu.FilterData" hidden="1" oldHidden="1">
    <formula>Leonam!$A$1:$BD$18</formula>
    <oldFormula>Leonam!$A$1:$BD$18</oldFormula>
  </rdn>
  <rdn rId="0" localSheetId="7" customView="1" name="Z_E3841903_5B68_44FD_8F09_58E03D1025C5_.wvu.FilterData" hidden="1" oldHidden="1">
    <formula>Danilo!$A$1:$A$18</formula>
    <oldFormula>Danilo!$A$1:$A$18</oldFormula>
  </rdn>
  <rdn rId="0" localSheetId="8" customView="1" name="Z_E3841903_5B68_44FD_8F09_58E03D1025C5_.wvu.FilterData" hidden="1" oldHidden="1">
    <formula>Marcos!$A$1:$A$18</formula>
    <oldFormula>Marcos!$A$1:$A$18</oldFormula>
  </rdn>
  <rdn rId="0" localSheetId="10" customView="1" name="Z_E3841903_5B68_44FD_8F09_58E03D1025C5_.wvu.FilterData" hidden="1" oldHidden="1">
    <formula>Alessandro!$A$1:$A$18</formula>
    <oldFormula>Alessandro!$A$1:$A$18</oldFormula>
  </rdn>
  <rdn rId="0" localSheetId="9" customView="1" name="Z_E3841903_5B68_44FD_8F09_58E03D1025C5_.wvu.FilterData" hidden="1" oldHidden="1">
    <formula>Carlos!$A$1:$A$18</formula>
    <oldFormula>Carlos!$A$1:$A$18</oldFormula>
  </rdn>
  <rcv guid="{E3841903-5B68-44FD-8F09-58E03D1025C5}" action="add"/>
</revisions>
</file>

<file path=xl/revisions/revisionLog2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51" sId="10">
    <nc r="Y16">
      <v>7</v>
    </nc>
  </rcc>
  <rcc rId="5452" sId="10" odxf="1" dxf="1">
    <nc r="AY17" t="inlineStr">
      <is>
        <t xml:space="preserve">Conferência caixas do DEFNAS.
</t>
      </is>
    </nc>
    <odxf>
      <alignment wrapText="0"/>
    </odxf>
    <ndxf>
      <alignment wrapText="1"/>
    </ndxf>
  </rcc>
  <rcv guid="{3D987F8E-A6EA-454D-9537-6BFC5053CB00}" action="delete"/>
  <rdn rId="0" localSheetId="1" customView="1" name="Z_3D987F8E_A6EA_454D_9537_6BFC5053CB00_.wvu.FilterData" hidden="1" oldHidden="1">
    <formula>Patrícia!$A$1:$A$18</formula>
    <oldFormula>Patrícia!$A$1:$A$18</oldFormula>
  </rdn>
  <rdn rId="0" localSheetId="2" customView="1" name="Z_3D987F8E_A6EA_454D_9537_6BFC5053CB00_.wvu.FilterData" hidden="1" oldHidden="1">
    <formula>Marcelo!$A$1:$A$18</formula>
    <oldFormula>Marcelo!$A$1:$A$18</oldFormula>
  </rdn>
  <rdn rId="0" localSheetId="3" customView="1" name="Z_3D987F8E_A6EA_454D_9537_6BFC5053CB00_.wvu.FilterData" hidden="1" oldHidden="1">
    <formula>TOTAL!$A$1:$A$18</formula>
    <oldFormula>TOTAL!$A$1:$A$18</oldFormula>
  </rdn>
  <rdn rId="0" localSheetId="4" customView="1" name="Z_3D987F8E_A6EA_454D_9537_6BFC5053CB00_.wvu.FilterData" hidden="1" oldHidden="1">
    <formula>Diego!$A$1:$A$18</formula>
    <oldFormula>Diego!$A$1:$A$18</oldFormula>
  </rdn>
  <rdn rId="0" localSheetId="5" customView="1" name="Z_3D987F8E_A6EA_454D_9537_6BFC5053CB00_.wvu.FilterData" hidden="1" oldHidden="1">
    <formula>Aelton!$A$1:$A$18</formula>
    <oldFormula>Aelton!$A$1:$A$18</oldFormula>
  </rdn>
  <rdn rId="0" localSheetId="6" customView="1" name="Z_3D987F8E_A6EA_454D_9537_6BFC5053CB00_.wvu.FilterData" hidden="1" oldHidden="1">
    <formula>Leonam!$A$1:$BD$18</formula>
    <oldFormula>Leonam!$A$1:$BD$18</oldFormula>
  </rdn>
  <rdn rId="0" localSheetId="7" customView="1" name="Z_3D987F8E_A6EA_454D_9537_6BFC5053CB00_.wvu.FilterData" hidden="1" oldHidden="1">
    <formula>Danilo!$A$1:$A$18</formula>
    <oldFormula>Danilo!$A$1:$A$18</oldFormula>
  </rdn>
  <rdn rId="0" localSheetId="8" customView="1" name="Z_3D987F8E_A6EA_454D_9537_6BFC5053CB00_.wvu.FilterData" hidden="1" oldHidden="1">
    <formula>Marcos!$A$1:$A$18</formula>
    <oldFormula>Marcos!$A$1:$A$18</oldFormula>
  </rdn>
  <rdn rId="0" localSheetId="10" customView="1" name="Z_3D987F8E_A6EA_454D_9537_6BFC5053CB00_.wvu.FilterData" hidden="1" oldHidden="1">
    <formula>Alessandro!$A$1:$A$18</formula>
    <oldFormula>Alessandro!$A$1:$A$18</oldFormula>
  </rdn>
  <rdn rId="0" localSheetId="9" customView="1" name="Z_3D987F8E_A6EA_454D_9537_6BFC5053CB00_.wvu.FilterData" hidden="1" oldHidden="1">
    <formula>Carlos!$A$1:$A$18</formula>
    <oldFormula>Carlos!$A$1:$A$18</oldFormula>
  </rdn>
  <rcv guid="{3D987F8E-A6EA-454D-9537-6BFC5053CB00}" action="add"/>
</revisions>
</file>

<file path=xl/revisions/revisionLog2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63" sId="3">
    <oc r="C15">
      <f>Diego!H15+Aelton!AF15+Leonam!H15+Danilo!H15+Marcos!H15+Alessandro!H15+Carlos!H15</f>
    </oc>
    <nc r="C15">
      <f>Diego!H15+Aelton!H15+Leonam!H15+Danilo!H15+Marcos!H15+Carlos!H15+Alessandro!H15</f>
    </nc>
  </rcc>
  <rcc rId="5464" sId="3">
    <oc r="C16">
      <f>Diego!H16+Aelton!AF16+Leonam!H16+Danilo!H16+Marcos!H16+Alessandro!H16+Carlos!H16</f>
    </oc>
    <nc r="C16">
      <f>Diego!H16+Aelton!H16+Leonam!H16+Danilo!H16+Marcos!H16+Carlos!H16+Alessandro!H16</f>
    </nc>
  </rcc>
  <rcc rId="5465" sId="3">
    <oc r="C11">
      <f>Diego!H11+Aelton!AF11+Leonam!H11+Danilo!H11+Marcos!H11+Alessandro!H11+Carlos!H11</f>
    </oc>
    <nc r="C11">
      <f>Diego!H11+Aelton!H11+Leonam!H11+Danilo!H11+Marcos!H11+Carlos!H11+Alessandro!H11</f>
    </nc>
  </rcc>
  <rcc rId="5466" sId="4">
    <oc r="H2">
      <f>SUM(C2:G2)</f>
    </oc>
    <nc r="H2">
      <f>SUM(C2:G2)</f>
    </nc>
  </rcc>
  <rcc rId="5467" sId="8">
    <oc r="Z2">
      <f>SUM(U2:Y2)</f>
    </oc>
    <nc r="Z2">
      <f>SUM(U2:Y2)</f>
    </nc>
  </rcc>
  <rcc rId="5468" sId="4">
    <oc r="AR2">
      <f>SUM(AM2:AQ2)</f>
    </oc>
    <nc r="AR2">
      <f>SUM(AM2:AQ2)</f>
    </nc>
  </rcc>
  <rcc rId="5469" sId="9">
    <oc r="AR2">
      <f>SUM(AM2:AQ2)</f>
    </oc>
    <nc r="AR2">
      <f>SUM(AM2:AQ2)</f>
    </nc>
  </rcc>
  <rcc rId="5470" sId="10">
    <oc r="AR4">
      <f>SUM(AM4:AQ4)</f>
    </oc>
    <nc r="AR4">
      <f>SUM(AM4:AQ4)</f>
    </nc>
  </rcc>
  <rcc rId="5471" sId="3">
    <oc r="I11">
      <f>Diego!AM11+Aelton!AM11+Leonam!AM11+Danilo!AM11+Marcos!AM11+Carlos!AM11+Alessandro!AM11</f>
    </oc>
    <nc r="I11">
      <f>SUM(Diego!AR11+Aelton!AR11+Leonam!AR11+Danilo!AR11+Marcos!AR11+Carlos!AR11+Alessandro!AR11)</f>
    </nc>
  </rcc>
  <rcc rId="5472" sId="4">
    <oc r="AR12">
      <f>SUM(AM12:AQ12)</f>
    </oc>
    <nc r="AR12">
      <f>SUM(AM12:AQ12)</f>
    </nc>
  </rcc>
  <rcc rId="5473" sId="5">
    <oc r="H12">
      <f>SUM(C12:G12)</f>
    </oc>
    <nc r="H12">
      <f>SUM(C12:G12)</f>
    </nc>
  </rcc>
  <rcc rId="5474" sId="3">
    <oc r="I13">
      <f>Diego!AM13+Aelton!AM13+Leonam!AM13+Danilo!AM13+Marcos!AM13+Carlos!AM13+Alessandro!AM13</f>
    </oc>
    <nc r="I13">
      <f>Diego!AR13+Aelton!AR13+Leonam!AR13+Danilo!AR13+Marcos!AR13+Carlos!AR13+Alessandro!AR13</f>
    </nc>
  </rcc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28">
  <userInfo guid="{C2A20258-9F99-4BA6-8D33-29922802D4E5}" name="Diego Santos de Abreu" id="-678729049" dateTime="2025-06-17T10:29:52"/>
  <userInfo guid="{6738F86D-A203-4323-AB0F-6A3FF0764D5D}" name="Diego Santos de Abreu" id="-678718990" dateTime="2025-06-23T09:03:37"/>
  <userInfo guid="{4607D3AC-E4CA-4739-8695-02BEE3BC0EFC}" name="Marcos Neves de Almeida" id="-830210254" dateTime="2025-06-24T08:29:26"/>
  <userInfo guid="{AA0432D1-B842-4893-B375-E1C9B47D1C73}" name="Marcelo Lucio Saboia Fonseca" id="-1979051998" dateTime="2025-07-02T15:27:28"/>
  <userInfo guid="{3DA37686-3FE7-4B6C-BB56-6FA32C0B5DDC}" name="Marcos Neves de Almeida" id="-830237265" dateTime="2025-07-04T14:29:20"/>
  <userInfo guid="{DEB64982-3361-476D-93A4-405DF6BD3D45}" name="Leonam Morrison Monteiro de Oliveira" id="-1618913845" dateTime="2025-07-07T13:50:52"/>
  <userInfo guid="{1C7AC174-A991-414F-9066-34FB3BBB60FA}" name="Danilo Rafael Basilio da Silva" id="-1332264726" dateTime="2025-07-08T08:55:03"/>
  <userInfo guid="{C75F8921-B831-44C0-9C1D-6CA402D99E2F}" name="Marcelo Lucio Saboia Fonseca" id="-1978993370" dateTime="2025-07-10T10:12:08"/>
  <userInfo guid="{94DA70BD-4D53-4481-9F49-BCF561C35078}" name="Danilo Rafael Basilio da Silva" id="-1332248875" dateTime="2025-07-10T10:12:44"/>
  <userInfo guid="{1D9B5513-83FF-4845-81E7-DA7B1DC60461}" name="Aelton de Jesus Nunes" id="-687487506" dateTime="2025-07-10T17:04:15"/>
  <userInfo guid="{1D9B5513-83FF-4845-81E7-DA7B1DC60461}" name="Danilo Rafael Basilio da Silva" id="-1332263918" dateTime="2025-07-11T10:05:56"/>
  <userInfo guid="{005555E9-04FC-4857-88CE-A3AF5FCB5B00}" name="Aelton de Jesus Nunes" id="-687503586" dateTime="2025-07-14T14:21:34"/>
  <userInfo guid="{3F9CB36B-082E-4199-B0BC-0276E896CD81}" name="Danilo Rafael Basilio da Silva" id="-1332220481" dateTime="2025-07-15T10:12:59"/>
  <userInfo guid="{78A189D5-01F7-411B-8460-A35EE3662084}" name="Danilo Rafael Basilio da Silva" id="-1332254621" dateTime="2025-08-01T09:27:48"/>
  <userInfo guid="{9EB227E7-B774-4D6E-A62A-7175F0877B52}" name="Diego Santos de Abreu" id="-678738821" dateTime="2025-08-01T11:20:14"/>
  <userInfo guid="{374E5801-FD68-48E8-9E2C-AB5F5288E5B4}" name="Diego Santos de Abreu" id="-678711119" dateTime="2025-08-04T08:53:02"/>
  <userInfo guid="{9E26D4B2-5C1A-4651-AA8C-88FA2A31492D}" name="Marcos Neves de Almeida" id="-830214021" dateTime="2025-08-08T09:17:42"/>
  <userInfo guid="{92F6B190-F2AD-4339-8A62-9FFB390FBD9C}" name="Marcos Neves de Almeida" id="-830271437" dateTime="2025-08-14T08:34:22"/>
  <userInfo guid="{A124F073-60D0-40E3-9302-F36C346FFD6F}" name="Aelton de Jesus Nunes" id="-687537098" dateTime="2025-08-15T09:20:19"/>
  <userInfo guid="{A124F073-60D0-40E3-9302-F36C346FFD6F}" name="Marcelo Lucio Saboia Fonseca" id="-1978993954" dateTime="2025-08-15T15:10:57"/>
  <userInfo guid="{EFD864A3-16AE-4805-9F6D-9A6E823A6261}" name="Aelton de Jesus Nunes" id="-687508725" dateTime="2025-08-15T17:19:44"/>
  <userInfo guid="{10A0A9BC-3CBC-45C7-B396-FA7A27194D17}" name="Aelton de Jesus Nunes" id="-687504152" dateTime="2025-08-22T08:53:30"/>
  <userInfo guid="{8FC29708-77F3-46CB-88CC-B46AF96E5484}" name="Danilo Rafael Basilio da Silva" id="-1332265952" dateTime="2025-08-25T09:50:14"/>
  <userInfo guid="{1D19659A-0C30-42E4-BE7B-C665104C9E80}" name="Leonam Morrison Monteiro de Oliveira" id="-1618910902" dateTime="2025-08-27T15:44:41"/>
  <userInfo guid="{EFD17A32-F590-4294-A91D-C77BC0777436}" name="Danilo Rafael Basilio da Silva" id="-1332221136" dateTime="2025-09-05T09:34:38"/>
  <userInfo guid="{6614B792-847C-4684-BE6C-852D5F9B3BBB}" name="Marcelo Lucio Saboia Fonseca" id="-1979007599" dateTime="2025-09-17T17:02:13"/>
  <userInfo guid="{687119F1-9149-4D08-AF67-FD1AA484503D}" name="Marcelo Lucio Saboia Fonseca" id="-1979015939" dateTime="2025-09-19T09:46:40"/>
  <userInfo guid="{14FBC604-23D8-43E8-A522-986B83E44F8B}" name="Alessandro Borges de Araújo" id="-864265342" dateTime="2025-09-24T11:58:58"/>
</us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3" sqref="B13"/>
    </sheetView>
  </sheetViews>
  <sheetFormatPr defaultRowHeight="15" x14ac:dyDescent="0.25"/>
  <cols>
    <col min="1" max="1" width="77.42578125" bestFit="1" customWidth="1"/>
    <col min="2" max="2" width="97.42578125" customWidth="1"/>
  </cols>
  <sheetData>
    <row r="1" spans="1:2" ht="24" x14ac:dyDescent="0.25">
      <c r="A1" s="54" t="s">
        <v>9</v>
      </c>
      <c r="B1" s="53" t="s">
        <v>29</v>
      </c>
    </row>
    <row r="2" spans="1:2" ht="18.75" x14ac:dyDescent="0.25">
      <c r="A2" s="55" t="s">
        <v>18</v>
      </c>
      <c r="B2" s="59" t="s">
        <v>30</v>
      </c>
    </row>
    <row r="3" spans="1:2" ht="31.5" x14ac:dyDescent="0.25">
      <c r="A3" s="56" t="s">
        <v>0</v>
      </c>
      <c r="B3" s="60" t="s">
        <v>31</v>
      </c>
    </row>
    <row r="4" spans="1:2" ht="18.75" x14ac:dyDescent="0.25">
      <c r="A4" s="57" t="s">
        <v>17</v>
      </c>
      <c r="B4" s="59" t="s">
        <v>30</v>
      </c>
    </row>
    <row r="5" spans="1:2" ht="18.75" x14ac:dyDescent="0.25">
      <c r="A5" s="58" t="s">
        <v>16</v>
      </c>
      <c r="B5" s="60" t="s">
        <v>32</v>
      </c>
    </row>
    <row r="6" spans="1:2" ht="31.5" x14ac:dyDescent="0.25">
      <c r="A6" s="57" t="s">
        <v>1</v>
      </c>
      <c r="B6" s="62" t="s">
        <v>33</v>
      </c>
    </row>
    <row r="7" spans="1:2" ht="18.75" x14ac:dyDescent="0.25">
      <c r="A7" s="58" t="s">
        <v>2</v>
      </c>
      <c r="B7" s="60" t="s">
        <v>23</v>
      </c>
    </row>
    <row r="8" spans="1:2" ht="18.75" x14ac:dyDescent="0.25">
      <c r="A8" s="57" t="s">
        <v>3</v>
      </c>
      <c r="B8" s="62" t="s">
        <v>34</v>
      </c>
    </row>
    <row r="9" spans="1:2" ht="18.75" x14ac:dyDescent="0.25">
      <c r="A9" s="58" t="s">
        <v>25</v>
      </c>
      <c r="B9" s="60" t="s">
        <v>23</v>
      </c>
    </row>
    <row r="10" spans="1:2" ht="18.75" x14ac:dyDescent="0.25">
      <c r="A10" s="57" t="s">
        <v>12</v>
      </c>
      <c r="B10" s="61" t="s">
        <v>23</v>
      </c>
    </row>
    <row r="11" spans="1:2" ht="18.75" x14ac:dyDescent="0.25">
      <c r="A11" s="58" t="s">
        <v>4</v>
      </c>
      <c r="B11" s="63" t="s">
        <v>23</v>
      </c>
    </row>
    <row r="12" spans="1:2" ht="18.75" x14ac:dyDescent="0.25">
      <c r="A12" s="57" t="s">
        <v>5</v>
      </c>
      <c r="B12" s="62" t="s">
        <v>23</v>
      </c>
    </row>
    <row r="13" spans="1:2" ht="37.5" x14ac:dyDescent="0.25">
      <c r="A13" s="58" t="s">
        <v>8</v>
      </c>
      <c r="B13" s="60" t="s">
        <v>37</v>
      </c>
    </row>
    <row r="14" spans="1:2" ht="18.75" x14ac:dyDescent="0.25">
      <c r="A14" s="57" t="s">
        <v>6</v>
      </c>
      <c r="B14" s="62" t="s">
        <v>26</v>
      </c>
    </row>
    <row r="15" spans="1:2" ht="31.5" x14ac:dyDescent="0.25">
      <c r="A15" s="56" t="s">
        <v>19</v>
      </c>
      <c r="B15" s="60" t="s">
        <v>35</v>
      </c>
    </row>
    <row r="16" spans="1:2" ht="31.5" x14ac:dyDescent="0.25">
      <c r="A16" s="55" t="s">
        <v>14</v>
      </c>
      <c r="B16" s="62" t="s">
        <v>36</v>
      </c>
    </row>
  </sheetData>
  <customSheetViews>
    <customSheetView guid="{3D987F8E-A6EA-454D-9537-6BFC5053CB00}">
      <selection activeCell="B13" sqref="B13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activeCell="B13" sqref="B13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B13" sqref="B13"/>
      <pageMargins left="0.511811024" right="0.511811024" top="0.78740157499999996" bottom="0.78740157499999996" header="0.31496062000000002" footer="0.31496062000000002"/>
    </customSheetView>
    <customSheetView guid="{9B623083-AA7B-440B-95EA-C33E1AB3D963}">
      <selection activeCell="B13" sqref="B13"/>
      <pageMargins left="0.511811024" right="0.511811024" top="0.78740157499999996" bottom="0.78740157499999996" header="0.31496062000000002" footer="0.31496062000000002"/>
    </customSheetView>
    <customSheetView guid="{18A482E0-C8B6-4AA1-9E04-15FA7C9CD5E3}">
      <selection activeCell="B13" sqref="B13"/>
      <pageMargins left="0.511811024" right="0.511811024" top="0.78740157499999996" bottom="0.78740157499999996" header="0.31496062000000002" footer="0.31496062000000002"/>
    </customSheetView>
    <customSheetView guid="{20CB6D8F-C24D-4D4B-A424-AF380F620455}">
      <selection activeCell="B13" sqref="B13"/>
      <pageMargins left="0.511811024" right="0.511811024" top="0.78740157499999996" bottom="0.78740157499999996" header="0.31496062000000002" footer="0.31496062000000002"/>
    </customSheetView>
    <customSheetView guid="{E3841903-5B68-44FD-8F09-58E03D1025C5}">
      <selection activeCell="B13" sqref="B13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18"/>
  <sheetViews>
    <sheetView workbookViewId="0">
      <selection activeCell="A14" sqref="A14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8" width="7.140625" style="1" bestFit="1" customWidth="1"/>
    <col min="19" max="19" width="7.5703125" style="1" customWidth="1"/>
    <col min="20" max="20" width="14.28515625" style="1" bestFit="1" customWidth="1"/>
    <col min="21" max="25" width="7.140625" style="1" bestFit="1" customWidth="1"/>
    <col min="26" max="26" width="14.28515625" style="1" bestFit="1" customWidth="1"/>
    <col min="27" max="31" width="9.140625" style="1"/>
    <col min="32" max="32" width="15.28515625" style="1" customWidth="1"/>
    <col min="33" max="37" width="9.140625" style="1"/>
    <col min="38" max="38" width="17.42578125" style="1" customWidth="1"/>
    <col min="39" max="43" width="9.140625" style="1"/>
    <col min="44" max="44" width="15.42578125" style="1" customWidth="1"/>
    <col min="45" max="49" width="9.140625" style="1"/>
    <col min="50" max="50" width="15.42578125" style="1" customWidth="1"/>
    <col min="51" max="55" width="9.140625" style="1"/>
    <col min="56" max="56" width="16.140625" style="1" customWidth="1"/>
    <col min="57" max="16384" width="9.140625" style="1"/>
  </cols>
  <sheetData>
    <row r="1" spans="1:56" x14ac:dyDescent="0.25">
      <c r="A1" s="19" t="s">
        <v>9</v>
      </c>
      <c r="B1" s="6"/>
      <c r="C1" s="5">
        <v>45810</v>
      </c>
      <c r="D1" s="5">
        <v>45811</v>
      </c>
      <c r="E1" s="5">
        <v>45812</v>
      </c>
      <c r="F1" s="5">
        <v>45813</v>
      </c>
      <c r="G1" s="5">
        <v>45814</v>
      </c>
      <c r="H1" s="13" t="s">
        <v>15</v>
      </c>
      <c r="I1" s="5">
        <v>45817</v>
      </c>
      <c r="J1" s="5">
        <v>45818</v>
      </c>
      <c r="K1" s="5">
        <v>45819</v>
      </c>
      <c r="L1" s="5">
        <v>45820</v>
      </c>
      <c r="M1" s="5">
        <v>45821</v>
      </c>
      <c r="N1" s="12" t="s">
        <v>15</v>
      </c>
      <c r="O1" s="5">
        <v>45824</v>
      </c>
      <c r="P1" s="5">
        <v>45825</v>
      </c>
      <c r="Q1" s="5">
        <v>45826</v>
      </c>
      <c r="R1" s="5">
        <v>45827</v>
      </c>
      <c r="S1" s="5">
        <v>45828</v>
      </c>
      <c r="T1" s="12" t="s">
        <v>15</v>
      </c>
      <c r="U1" s="5">
        <v>45831</v>
      </c>
      <c r="V1" s="5">
        <v>45832</v>
      </c>
      <c r="W1" s="5">
        <v>45833</v>
      </c>
      <c r="X1" s="5">
        <v>45834</v>
      </c>
      <c r="Y1" s="5">
        <v>45835</v>
      </c>
      <c r="Z1" s="12" t="s">
        <v>15</v>
      </c>
      <c r="AA1" s="5">
        <v>45838</v>
      </c>
      <c r="AB1" s="5">
        <v>45839</v>
      </c>
      <c r="AC1" s="5">
        <v>45840</v>
      </c>
      <c r="AD1" s="5">
        <v>45841</v>
      </c>
      <c r="AE1" s="5">
        <v>45842</v>
      </c>
      <c r="AF1" s="12" t="s">
        <v>15</v>
      </c>
      <c r="AG1" s="5">
        <v>45845</v>
      </c>
      <c r="AH1" s="5">
        <v>45846</v>
      </c>
      <c r="AI1" s="5">
        <v>45847</v>
      </c>
      <c r="AJ1" s="5">
        <v>45848</v>
      </c>
      <c r="AK1" s="5">
        <v>45849</v>
      </c>
      <c r="AL1" s="12" t="s">
        <v>15</v>
      </c>
      <c r="AM1" s="5">
        <v>45852</v>
      </c>
      <c r="AN1" s="5">
        <v>45853</v>
      </c>
      <c r="AO1" s="5">
        <v>45854</v>
      </c>
      <c r="AP1" s="5">
        <v>45855</v>
      </c>
      <c r="AQ1" s="5">
        <v>45856</v>
      </c>
      <c r="AR1" s="26" t="s">
        <v>15</v>
      </c>
      <c r="AS1" s="5">
        <v>45859</v>
      </c>
      <c r="AT1" s="5">
        <v>45860</v>
      </c>
      <c r="AU1" s="5">
        <v>45861</v>
      </c>
      <c r="AV1" s="5">
        <v>45862</v>
      </c>
      <c r="AW1" s="5">
        <v>45863</v>
      </c>
      <c r="AX1" s="26" t="s">
        <v>15</v>
      </c>
      <c r="AY1" s="5">
        <v>45866</v>
      </c>
      <c r="AZ1" s="5">
        <v>45867</v>
      </c>
      <c r="BA1" s="5">
        <v>45868</v>
      </c>
      <c r="BB1" s="5">
        <v>45869</v>
      </c>
      <c r="BC1" s="5">
        <v>45870</v>
      </c>
      <c r="BD1" s="26" t="s">
        <v>15</v>
      </c>
    </row>
    <row r="2" spans="1:56" x14ac:dyDescent="0.25">
      <c r="A2" s="2" t="s">
        <v>18</v>
      </c>
      <c r="B2" s="23">
        <v>1</v>
      </c>
      <c r="C2" s="14"/>
      <c r="H2" s="25">
        <f>SUM(C2:G2)</f>
        <v>0</v>
      </c>
      <c r="N2" s="25">
        <f>SUM(I2:M2)</f>
        <v>0</v>
      </c>
      <c r="T2" s="25">
        <f t="shared" ref="T2:T16" si="0">SUM(O2:S2)</f>
        <v>0</v>
      </c>
      <c r="Z2" s="25">
        <f>SUM(U2:Y2)</f>
        <v>0</v>
      </c>
      <c r="AF2" s="15">
        <f>SUM(AA2:AE2)</f>
        <v>0</v>
      </c>
      <c r="AL2" s="25">
        <f>SUM(AG2:AK2)</f>
        <v>0</v>
      </c>
      <c r="AR2" s="29">
        <f>SUM(AM2:AQ2)</f>
        <v>0</v>
      </c>
      <c r="AX2" s="29">
        <f>SUM(AS2:AW2)</f>
        <v>0</v>
      </c>
      <c r="BD2" s="27">
        <f>SUM(AY2:BC2)</f>
        <v>0</v>
      </c>
    </row>
    <row r="3" spans="1:56" x14ac:dyDescent="0.25">
      <c r="A3" s="2" t="s">
        <v>0</v>
      </c>
      <c r="B3" s="23">
        <v>2</v>
      </c>
      <c r="C3" s="14"/>
      <c r="H3" s="25">
        <f t="shared" ref="H3:H16" si="1">SUM(C3:G3)</f>
        <v>0</v>
      </c>
      <c r="N3" s="25">
        <f t="shared" ref="N3:N16" si="2">SUM(I3:M3)</f>
        <v>0</v>
      </c>
      <c r="T3" s="25">
        <f t="shared" si="0"/>
        <v>0</v>
      </c>
      <c r="Z3" s="25">
        <f t="shared" ref="Z3:Z16" si="3">SUM(U3:Y3)</f>
        <v>0</v>
      </c>
      <c r="AF3" s="15">
        <f t="shared" ref="AF3:AF16" si="4">SUM(AA3:AE3)</f>
        <v>0</v>
      </c>
      <c r="AL3" s="25">
        <f t="shared" ref="AL3:AL16" si="5">SUM(AG3:AK3)</f>
        <v>0</v>
      </c>
      <c r="AR3" s="29">
        <f t="shared" ref="AR3:AR16" si="6">SUM(AM3:AQ3)</f>
        <v>0</v>
      </c>
      <c r="AX3" s="29">
        <f t="shared" ref="AX3:AX16" si="7">SUM(AS3:AW3)</f>
        <v>0</v>
      </c>
      <c r="BD3" s="27">
        <f t="shared" ref="BD3:BD16" si="8">SUM(AY3:BC3)</f>
        <v>0</v>
      </c>
    </row>
    <row r="4" spans="1:56" x14ac:dyDescent="0.25">
      <c r="A4" s="3" t="s">
        <v>17</v>
      </c>
      <c r="B4" s="24">
        <v>3</v>
      </c>
      <c r="C4" s="14"/>
      <c r="H4" s="25">
        <f t="shared" si="1"/>
        <v>0</v>
      </c>
      <c r="N4" s="25">
        <f t="shared" si="2"/>
        <v>0</v>
      </c>
      <c r="T4" s="25">
        <f t="shared" si="0"/>
        <v>0</v>
      </c>
      <c r="Z4" s="25">
        <f t="shared" si="3"/>
        <v>0</v>
      </c>
      <c r="AF4" s="15">
        <f t="shared" si="4"/>
        <v>0</v>
      </c>
      <c r="AL4" s="25">
        <f t="shared" si="5"/>
        <v>0</v>
      </c>
      <c r="AR4" s="29">
        <f t="shared" si="6"/>
        <v>0</v>
      </c>
      <c r="AX4" s="29">
        <f t="shared" si="7"/>
        <v>0</v>
      </c>
      <c r="BD4" s="27">
        <f t="shared" si="8"/>
        <v>0</v>
      </c>
    </row>
    <row r="5" spans="1:56" x14ac:dyDescent="0.25">
      <c r="A5" s="3" t="s">
        <v>16</v>
      </c>
      <c r="B5" s="23">
        <v>4</v>
      </c>
      <c r="C5" s="14"/>
      <c r="H5" s="25">
        <f t="shared" si="1"/>
        <v>0</v>
      </c>
      <c r="N5" s="25">
        <f t="shared" si="2"/>
        <v>0</v>
      </c>
      <c r="T5" s="25">
        <f t="shared" si="0"/>
        <v>0</v>
      </c>
      <c r="Z5" s="25">
        <f t="shared" si="3"/>
        <v>0</v>
      </c>
      <c r="AF5" s="15">
        <f t="shared" si="4"/>
        <v>0</v>
      </c>
      <c r="AL5" s="25">
        <f t="shared" si="5"/>
        <v>0</v>
      </c>
      <c r="AR5" s="29">
        <f t="shared" si="6"/>
        <v>0</v>
      </c>
      <c r="AX5" s="29">
        <f t="shared" si="7"/>
        <v>0</v>
      </c>
      <c r="BD5" s="27">
        <f t="shared" si="8"/>
        <v>0</v>
      </c>
    </row>
    <row r="6" spans="1:56" x14ac:dyDescent="0.25">
      <c r="A6" s="3" t="s">
        <v>1</v>
      </c>
      <c r="B6" s="23">
        <v>5</v>
      </c>
      <c r="C6" s="14"/>
      <c r="H6" s="25">
        <f t="shared" si="1"/>
        <v>0</v>
      </c>
      <c r="N6" s="25">
        <f t="shared" si="2"/>
        <v>0</v>
      </c>
      <c r="T6" s="25">
        <f t="shared" si="0"/>
        <v>0</v>
      </c>
      <c r="Z6" s="25">
        <f t="shared" si="3"/>
        <v>0</v>
      </c>
      <c r="AF6" s="15">
        <f t="shared" si="4"/>
        <v>0</v>
      </c>
      <c r="AL6" s="25">
        <f t="shared" si="5"/>
        <v>0</v>
      </c>
      <c r="AR6" s="29">
        <f t="shared" si="6"/>
        <v>0</v>
      </c>
      <c r="AX6" s="29">
        <f t="shared" si="7"/>
        <v>0</v>
      </c>
      <c r="BD6" s="27">
        <f t="shared" si="8"/>
        <v>0</v>
      </c>
    </row>
    <row r="7" spans="1:56" x14ac:dyDescent="0.25">
      <c r="A7" s="3" t="s">
        <v>2</v>
      </c>
      <c r="B7" s="24">
        <v>6</v>
      </c>
      <c r="C7" s="14"/>
      <c r="H7" s="25">
        <f t="shared" si="1"/>
        <v>0</v>
      </c>
      <c r="N7" s="25">
        <f t="shared" si="2"/>
        <v>0</v>
      </c>
      <c r="T7" s="25">
        <f t="shared" si="0"/>
        <v>0</v>
      </c>
      <c r="Z7" s="25">
        <f t="shared" si="3"/>
        <v>0</v>
      </c>
      <c r="AF7" s="15">
        <f t="shared" si="4"/>
        <v>0</v>
      </c>
      <c r="AL7" s="25">
        <f t="shared" si="5"/>
        <v>0</v>
      </c>
      <c r="AR7" s="29">
        <f t="shared" si="6"/>
        <v>0</v>
      </c>
      <c r="AX7" s="29">
        <f t="shared" si="7"/>
        <v>0</v>
      </c>
      <c r="BD7" s="27">
        <f t="shared" si="8"/>
        <v>0</v>
      </c>
    </row>
    <row r="8" spans="1:56" x14ac:dyDescent="0.25">
      <c r="A8" s="3" t="s">
        <v>3</v>
      </c>
      <c r="B8" s="23">
        <v>7</v>
      </c>
      <c r="C8" s="14"/>
      <c r="H8" s="25">
        <f t="shared" si="1"/>
        <v>0</v>
      </c>
      <c r="N8" s="25">
        <f t="shared" si="2"/>
        <v>0</v>
      </c>
      <c r="T8" s="25">
        <f t="shared" si="0"/>
        <v>0</v>
      </c>
      <c r="Z8" s="25">
        <f t="shared" si="3"/>
        <v>0</v>
      </c>
      <c r="AF8" s="15">
        <f t="shared" si="4"/>
        <v>0</v>
      </c>
      <c r="AL8" s="25">
        <f t="shared" si="5"/>
        <v>0</v>
      </c>
      <c r="AR8" s="29">
        <f t="shared" si="6"/>
        <v>0</v>
      </c>
      <c r="AX8" s="29">
        <f t="shared" si="7"/>
        <v>0</v>
      </c>
      <c r="BD8" s="27">
        <f t="shared" si="8"/>
        <v>0</v>
      </c>
    </row>
    <row r="9" spans="1:56" x14ac:dyDescent="0.25">
      <c r="A9" s="3" t="s">
        <v>13</v>
      </c>
      <c r="B9" s="23">
        <v>8</v>
      </c>
      <c r="C9" s="14"/>
      <c r="H9" s="25">
        <f t="shared" si="1"/>
        <v>0</v>
      </c>
      <c r="N9" s="25">
        <f t="shared" si="2"/>
        <v>0</v>
      </c>
      <c r="T9" s="25">
        <f t="shared" si="0"/>
        <v>0</v>
      </c>
      <c r="Z9" s="25">
        <f t="shared" si="3"/>
        <v>0</v>
      </c>
      <c r="AF9" s="15">
        <f t="shared" si="4"/>
        <v>0</v>
      </c>
      <c r="AL9" s="25">
        <f t="shared" si="5"/>
        <v>0</v>
      </c>
      <c r="AR9" s="29">
        <f t="shared" si="6"/>
        <v>0</v>
      </c>
      <c r="AX9" s="29">
        <f t="shared" si="7"/>
        <v>0</v>
      </c>
      <c r="BD9" s="27">
        <f t="shared" si="8"/>
        <v>0</v>
      </c>
    </row>
    <row r="10" spans="1:56" x14ac:dyDescent="0.25">
      <c r="A10" s="2" t="s">
        <v>12</v>
      </c>
      <c r="B10" s="24">
        <v>9</v>
      </c>
      <c r="C10" s="14"/>
      <c r="H10" s="25">
        <f t="shared" si="1"/>
        <v>0</v>
      </c>
      <c r="N10" s="25">
        <f t="shared" si="2"/>
        <v>0</v>
      </c>
      <c r="T10" s="25">
        <f t="shared" si="0"/>
        <v>0</v>
      </c>
      <c r="Z10" s="25">
        <f t="shared" si="3"/>
        <v>0</v>
      </c>
      <c r="AF10" s="15">
        <f t="shared" si="4"/>
        <v>0</v>
      </c>
      <c r="AL10" s="25">
        <f t="shared" si="5"/>
        <v>0</v>
      </c>
      <c r="AR10" s="29">
        <f t="shared" si="6"/>
        <v>0</v>
      </c>
      <c r="AX10" s="29">
        <f t="shared" si="7"/>
        <v>0</v>
      </c>
      <c r="BD10" s="27">
        <f t="shared" si="8"/>
        <v>0</v>
      </c>
    </row>
    <row r="11" spans="1:56" x14ac:dyDescent="0.25">
      <c r="A11" s="3" t="s">
        <v>4</v>
      </c>
      <c r="B11" s="23">
        <v>10</v>
      </c>
      <c r="C11" s="14"/>
      <c r="H11" s="25">
        <f t="shared" si="1"/>
        <v>0</v>
      </c>
      <c r="N11" s="25">
        <f t="shared" si="2"/>
        <v>0</v>
      </c>
      <c r="T11" s="25">
        <f t="shared" si="0"/>
        <v>0</v>
      </c>
      <c r="Z11" s="25">
        <f t="shared" si="3"/>
        <v>0</v>
      </c>
      <c r="AF11" s="15">
        <f t="shared" si="4"/>
        <v>0</v>
      </c>
      <c r="AL11" s="25">
        <f t="shared" si="5"/>
        <v>0</v>
      </c>
      <c r="AR11" s="29">
        <f t="shared" si="6"/>
        <v>0</v>
      </c>
      <c r="AX11" s="29">
        <f t="shared" si="7"/>
        <v>0</v>
      </c>
      <c r="BD11" s="27">
        <f t="shared" si="8"/>
        <v>0</v>
      </c>
    </row>
    <row r="12" spans="1:56" x14ac:dyDescent="0.25">
      <c r="A12" s="3" t="s">
        <v>5</v>
      </c>
      <c r="B12" s="23">
        <v>11</v>
      </c>
      <c r="C12" s="14"/>
      <c r="H12" s="25">
        <f t="shared" si="1"/>
        <v>0</v>
      </c>
      <c r="N12" s="25">
        <f t="shared" si="2"/>
        <v>0</v>
      </c>
      <c r="T12" s="25">
        <f t="shared" si="0"/>
        <v>0</v>
      </c>
      <c r="Z12" s="25">
        <f t="shared" si="3"/>
        <v>0</v>
      </c>
      <c r="AF12" s="15">
        <f t="shared" si="4"/>
        <v>0</v>
      </c>
      <c r="AL12" s="25">
        <f t="shared" si="5"/>
        <v>0</v>
      </c>
      <c r="AR12" s="29">
        <f t="shared" si="6"/>
        <v>0</v>
      </c>
      <c r="AX12" s="29">
        <f t="shared" si="7"/>
        <v>0</v>
      </c>
      <c r="BD12" s="27">
        <f t="shared" si="8"/>
        <v>0</v>
      </c>
    </row>
    <row r="13" spans="1:56" x14ac:dyDescent="0.25">
      <c r="A13" s="2" t="s">
        <v>8</v>
      </c>
      <c r="B13" s="24">
        <v>12</v>
      </c>
      <c r="C13" s="14"/>
      <c r="H13" s="25">
        <f t="shared" si="1"/>
        <v>0</v>
      </c>
      <c r="J13" s="1">
        <v>1</v>
      </c>
      <c r="M13" s="1">
        <v>1</v>
      </c>
      <c r="N13" s="25">
        <f t="shared" si="2"/>
        <v>2</v>
      </c>
      <c r="P13" s="1">
        <v>1</v>
      </c>
      <c r="T13" s="25">
        <f t="shared" si="0"/>
        <v>1</v>
      </c>
      <c r="U13" s="1">
        <v>1</v>
      </c>
      <c r="V13" s="1">
        <v>1</v>
      </c>
      <c r="Z13" s="25">
        <f t="shared" si="3"/>
        <v>2</v>
      </c>
      <c r="AA13" s="1">
        <v>1</v>
      </c>
      <c r="AC13" s="1">
        <v>1</v>
      </c>
      <c r="AF13" s="15">
        <f t="shared" si="4"/>
        <v>2</v>
      </c>
      <c r="AL13" s="25">
        <f t="shared" si="5"/>
        <v>0</v>
      </c>
      <c r="AR13" s="29">
        <f t="shared" si="6"/>
        <v>0</v>
      </c>
      <c r="AX13" s="29">
        <f t="shared" si="7"/>
        <v>0</v>
      </c>
      <c r="BD13" s="27">
        <f t="shared" si="8"/>
        <v>0</v>
      </c>
    </row>
    <row r="14" spans="1:56" x14ac:dyDescent="0.25">
      <c r="A14" s="3" t="s">
        <v>6</v>
      </c>
      <c r="B14" s="23">
        <v>13</v>
      </c>
      <c r="C14" s="14"/>
      <c r="H14" s="25">
        <f t="shared" si="1"/>
        <v>0</v>
      </c>
      <c r="N14" s="25">
        <f t="shared" si="2"/>
        <v>0</v>
      </c>
      <c r="T14" s="25">
        <f t="shared" si="0"/>
        <v>0</v>
      </c>
      <c r="Z14" s="25">
        <f t="shared" si="3"/>
        <v>0</v>
      </c>
      <c r="AF14" s="15">
        <f t="shared" si="4"/>
        <v>0</v>
      </c>
      <c r="AL14" s="25">
        <f t="shared" si="5"/>
        <v>0</v>
      </c>
      <c r="AR14" s="29">
        <f t="shared" si="6"/>
        <v>0</v>
      </c>
      <c r="AX14" s="29">
        <f t="shared" si="7"/>
        <v>0</v>
      </c>
      <c r="BD14" s="27">
        <f t="shared" si="8"/>
        <v>0</v>
      </c>
    </row>
    <row r="15" spans="1:56" x14ac:dyDescent="0.25">
      <c r="A15" s="2" t="s">
        <v>7</v>
      </c>
      <c r="B15" s="23">
        <v>14</v>
      </c>
      <c r="C15" s="14"/>
      <c r="H15" s="25">
        <f t="shared" si="1"/>
        <v>0</v>
      </c>
      <c r="N15" s="25">
        <f t="shared" si="2"/>
        <v>0</v>
      </c>
      <c r="T15" s="25">
        <f t="shared" si="0"/>
        <v>0</v>
      </c>
      <c r="Z15" s="25">
        <f t="shared" si="3"/>
        <v>0</v>
      </c>
      <c r="AF15" s="15">
        <f t="shared" si="4"/>
        <v>0</v>
      </c>
      <c r="AL15" s="25">
        <f t="shared" si="5"/>
        <v>0</v>
      </c>
      <c r="AR15" s="29">
        <f t="shared" si="6"/>
        <v>0</v>
      </c>
      <c r="AX15" s="29">
        <f t="shared" si="7"/>
        <v>0</v>
      </c>
      <c r="BD15" s="27">
        <f t="shared" si="8"/>
        <v>0</v>
      </c>
    </row>
    <row r="16" spans="1:56" x14ac:dyDescent="0.25">
      <c r="A16" s="20" t="s">
        <v>14</v>
      </c>
      <c r="B16" s="21">
        <v>15</v>
      </c>
      <c r="C16" s="16"/>
      <c r="D16" s="17"/>
      <c r="E16" s="17"/>
      <c r="F16" s="17"/>
      <c r="G16" s="17"/>
      <c r="H16" s="18">
        <f t="shared" si="1"/>
        <v>0</v>
      </c>
      <c r="I16" s="17"/>
      <c r="J16" s="17"/>
      <c r="K16" s="17"/>
      <c r="L16" s="17"/>
      <c r="M16" s="17"/>
      <c r="N16" s="18">
        <f t="shared" si="2"/>
        <v>0</v>
      </c>
      <c r="O16" s="17"/>
      <c r="P16" s="17"/>
      <c r="Q16" s="17"/>
      <c r="R16" s="17"/>
      <c r="S16" s="17"/>
      <c r="T16" s="18">
        <f t="shared" si="0"/>
        <v>0</v>
      </c>
      <c r="U16" s="17"/>
      <c r="V16" s="17"/>
      <c r="W16" s="17"/>
      <c r="X16" s="17"/>
      <c r="Y16" s="17"/>
      <c r="Z16" s="18">
        <f t="shared" si="3"/>
        <v>0</v>
      </c>
      <c r="AA16" s="17"/>
      <c r="AB16" s="17"/>
      <c r="AC16" s="17"/>
      <c r="AD16" s="17"/>
      <c r="AE16" s="17"/>
      <c r="AF16" s="22">
        <f t="shared" si="4"/>
        <v>0</v>
      </c>
      <c r="AG16" s="17"/>
      <c r="AH16" s="17"/>
      <c r="AI16" s="17"/>
      <c r="AJ16" s="17"/>
      <c r="AK16" s="17"/>
      <c r="AL16" s="25">
        <f t="shared" si="5"/>
        <v>0</v>
      </c>
      <c r="AM16" s="17"/>
      <c r="AN16" s="17"/>
      <c r="AO16" s="17"/>
      <c r="AP16" s="17"/>
      <c r="AQ16" s="17"/>
      <c r="AR16" s="29">
        <f t="shared" si="6"/>
        <v>0</v>
      </c>
      <c r="AS16" s="17"/>
      <c r="AT16" s="17"/>
      <c r="AU16" s="17"/>
      <c r="AV16" s="17"/>
      <c r="AW16" s="17"/>
      <c r="AX16" s="29">
        <f t="shared" si="7"/>
        <v>0</v>
      </c>
      <c r="AY16" s="17"/>
      <c r="AZ16" s="17"/>
      <c r="BA16" s="17"/>
      <c r="BB16" s="17"/>
      <c r="BC16" s="17"/>
      <c r="BD16" s="27">
        <f t="shared" si="8"/>
        <v>0</v>
      </c>
    </row>
    <row r="17" spans="1:19" x14ac:dyDescent="0.25">
      <c r="A17" s="1" t="s">
        <v>11</v>
      </c>
      <c r="C17" s="4"/>
      <c r="D17" s="4"/>
      <c r="E17" s="4"/>
      <c r="F17" s="4"/>
      <c r="G17" s="4"/>
      <c r="H17" s="4"/>
      <c r="K17" s="4"/>
      <c r="M17" s="4"/>
      <c r="S17" s="4"/>
    </row>
    <row r="18" spans="1:19" x14ac:dyDescent="0.25">
      <c r="A18" s="1" t="s">
        <v>10</v>
      </c>
      <c r="C18" s="4"/>
    </row>
  </sheetData>
  <customSheetViews>
    <customSheetView guid="{3D987F8E-A6EA-454D-9537-6BFC5053CB00}">
      <selection activeCell="A14" sqref="A14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activeCell="A16" sqref="A16:XFD16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E1" sqref="E1:E1048576"/>
      <pageMargins left="0.511811024" right="0.511811024" top="0.78740157499999996" bottom="0.78740157499999996" header="0.31496062000000002" footer="0.31496062000000002"/>
    </customSheetView>
    <customSheetView guid="{552DFCCD-1786-4D75-8B10-27DD730384DD}">
      <selection activeCell="D12" sqref="D12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A14" sqref="A14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selection activeCell="E4" sqref="E4"/>
      <pageMargins left="0.511811024" right="0.511811024" top="0.78740157499999996" bottom="0.78740157499999996" header="0.31496062000000002" footer="0.31496062000000002"/>
      <autoFilter ref="A1:A18" xr:uid="{8EADB20A-A96C-47B6-AAE6-D066BE582FDC}"/>
    </customSheetView>
    <customSheetView guid="{18A482E0-C8B6-4AA1-9E04-15FA7C9CD5E3}">
      <pane xSplit="1" topLeftCell="BT1" activePane="topRight" state="frozen"/>
      <selection pane="topRight" activeCell="CE1" sqref="CE1"/>
      <pageMargins left="0.511811024" right="0.511811024" top="0.78740157499999996" bottom="0.78740157499999996" header="0.31496062000000002" footer="0.31496062000000002"/>
    </customSheetView>
    <customSheetView guid="{20CB6D8F-C24D-4D4B-A424-AF380F620455}" showPageBreaks="1">
      <selection activeCell="A14" sqref="A14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E3841903-5B68-44FD-8F09-58E03D1025C5}">
      <selection activeCell="A9" sqref="A9:XFD9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18"/>
  <sheetViews>
    <sheetView workbookViewId="0">
      <selection activeCell="BA18" sqref="BA18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8" width="7.140625" style="1" bestFit="1" customWidth="1"/>
    <col min="19" max="19" width="7.5703125" style="1" customWidth="1"/>
    <col min="20" max="20" width="14.28515625" style="1" bestFit="1" customWidth="1"/>
    <col min="21" max="25" width="7.140625" style="1" bestFit="1" customWidth="1"/>
    <col min="26" max="26" width="14.28515625" style="1" bestFit="1" customWidth="1"/>
    <col min="27" max="31" width="9.140625" style="1"/>
    <col min="32" max="32" width="15.28515625" style="1" customWidth="1"/>
    <col min="33" max="37" width="9.140625" style="1"/>
    <col min="38" max="38" width="17.42578125" style="1" customWidth="1"/>
    <col min="39" max="43" width="9.140625" style="1"/>
    <col min="44" max="44" width="15.42578125" style="1" customWidth="1"/>
    <col min="45" max="49" width="9.140625" style="1"/>
    <col min="50" max="50" width="15.42578125" style="1" customWidth="1"/>
    <col min="51" max="55" width="9.140625" style="1"/>
    <col min="56" max="56" width="16.140625" style="1" customWidth="1"/>
    <col min="57" max="16384" width="9.140625" style="1"/>
  </cols>
  <sheetData>
    <row r="1" spans="1:56" x14ac:dyDescent="0.25">
      <c r="A1" s="19" t="s">
        <v>9</v>
      </c>
      <c r="B1" s="6"/>
      <c r="C1" s="5">
        <v>45810</v>
      </c>
      <c r="D1" s="5">
        <v>45811</v>
      </c>
      <c r="E1" s="5">
        <v>45812</v>
      </c>
      <c r="F1" s="5">
        <v>45813</v>
      </c>
      <c r="G1" s="5">
        <v>45814</v>
      </c>
      <c r="H1" s="13" t="s">
        <v>15</v>
      </c>
      <c r="I1" s="5">
        <v>45817</v>
      </c>
      <c r="J1" s="5">
        <v>45818</v>
      </c>
      <c r="K1" s="5">
        <v>45819</v>
      </c>
      <c r="L1" s="5">
        <v>45820</v>
      </c>
      <c r="M1" s="5">
        <v>45821</v>
      </c>
      <c r="N1" s="12" t="s">
        <v>15</v>
      </c>
      <c r="O1" s="5">
        <v>45824</v>
      </c>
      <c r="P1" s="5">
        <v>45825</v>
      </c>
      <c r="Q1" s="5">
        <v>45826</v>
      </c>
      <c r="R1" s="5">
        <v>45827</v>
      </c>
      <c r="S1" s="5">
        <v>45828</v>
      </c>
      <c r="T1" s="12" t="s">
        <v>15</v>
      </c>
      <c r="U1" s="5">
        <v>45831</v>
      </c>
      <c r="V1" s="5">
        <v>45832</v>
      </c>
      <c r="W1" s="5">
        <v>45833</v>
      </c>
      <c r="X1" s="5">
        <v>45834</v>
      </c>
      <c r="Y1" s="5">
        <v>45835</v>
      </c>
      <c r="Z1" s="12" t="s">
        <v>15</v>
      </c>
      <c r="AA1" s="5">
        <v>45838</v>
      </c>
      <c r="AB1" s="5">
        <v>45839</v>
      </c>
      <c r="AC1" s="5">
        <v>45840</v>
      </c>
      <c r="AD1" s="5">
        <v>45841</v>
      </c>
      <c r="AE1" s="5">
        <v>45842</v>
      </c>
      <c r="AF1" s="12" t="s">
        <v>15</v>
      </c>
      <c r="AG1" s="5">
        <v>45845</v>
      </c>
      <c r="AH1" s="5">
        <v>45846</v>
      </c>
      <c r="AI1" s="5">
        <v>45847</v>
      </c>
      <c r="AJ1" s="5">
        <v>45848</v>
      </c>
      <c r="AK1" s="5">
        <v>45849</v>
      </c>
      <c r="AL1" s="12" t="s">
        <v>15</v>
      </c>
      <c r="AM1" s="5">
        <v>45852</v>
      </c>
      <c r="AN1" s="5">
        <v>45853</v>
      </c>
      <c r="AO1" s="5">
        <v>45854</v>
      </c>
      <c r="AP1" s="5">
        <v>45855</v>
      </c>
      <c r="AQ1" s="5">
        <v>45856</v>
      </c>
      <c r="AR1" s="26" t="s">
        <v>15</v>
      </c>
      <c r="AS1" s="5">
        <v>45859</v>
      </c>
      <c r="AT1" s="5">
        <v>45860</v>
      </c>
      <c r="AU1" s="5">
        <v>45861</v>
      </c>
      <c r="AV1" s="5">
        <v>45862</v>
      </c>
      <c r="AW1" s="5">
        <v>45863</v>
      </c>
      <c r="AX1" s="26" t="s">
        <v>15</v>
      </c>
      <c r="AY1" s="5">
        <v>45866</v>
      </c>
      <c r="AZ1" s="5">
        <v>45867</v>
      </c>
      <c r="BA1" s="5">
        <v>45868</v>
      </c>
      <c r="BB1" s="5">
        <v>45869</v>
      </c>
      <c r="BC1" s="5">
        <v>45870</v>
      </c>
      <c r="BD1" s="26" t="s">
        <v>15</v>
      </c>
    </row>
    <row r="2" spans="1:56" x14ac:dyDescent="0.25">
      <c r="A2" s="2" t="s">
        <v>18</v>
      </c>
      <c r="B2" s="23">
        <v>1</v>
      </c>
      <c r="C2" s="14"/>
      <c r="H2" s="25">
        <f>SUM(C2:G2)</f>
        <v>0</v>
      </c>
      <c r="N2" s="25">
        <f>SUM(I2:M2)</f>
        <v>0</v>
      </c>
      <c r="T2" s="25">
        <f t="shared" ref="T2:T16" si="0">SUM(O2:S2)</f>
        <v>0</v>
      </c>
      <c r="Z2" s="25">
        <f>SUM(U2:Y2)</f>
        <v>0</v>
      </c>
      <c r="AF2" s="15">
        <f>SUM(AA2:AE2)</f>
        <v>0</v>
      </c>
      <c r="AL2" s="25">
        <f>SUM(AG2:AK2)</f>
        <v>0</v>
      </c>
      <c r="AR2" s="29">
        <f>SUM(AM2:AQ2)</f>
        <v>0</v>
      </c>
      <c r="AX2" s="29">
        <f>SUM(AS2:AW2)</f>
        <v>0</v>
      </c>
      <c r="BD2" s="27">
        <f>SUM(AY2:BC2)</f>
        <v>0</v>
      </c>
    </row>
    <row r="3" spans="1:56" x14ac:dyDescent="0.25">
      <c r="A3" s="2" t="s">
        <v>0</v>
      </c>
      <c r="B3" s="23">
        <v>2</v>
      </c>
      <c r="C3" s="14"/>
      <c r="H3" s="25">
        <f t="shared" ref="H3:H16" si="1">SUM(C3:G3)</f>
        <v>0</v>
      </c>
      <c r="N3" s="25">
        <f t="shared" ref="N3:N16" si="2">SUM(I3:M3)</f>
        <v>0</v>
      </c>
      <c r="T3" s="25">
        <f t="shared" si="0"/>
        <v>0</v>
      </c>
      <c r="Z3" s="25">
        <f t="shared" ref="Z3:Z16" si="3">SUM(U3:Y3)</f>
        <v>0</v>
      </c>
      <c r="AF3" s="15">
        <f t="shared" ref="AF3:AF16" si="4">SUM(AA3:AE3)</f>
        <v>0</v>
      </c>
      <c r="AL3" s="25">
        <f t="shared" ref="AL3:AL16" si="5">SUM(AG3:AK3)</f>
        <v>0</v>
      </c>
      <c r="AR3" s="29">
        <f t="shared" ref="AR3:AR16" si="6">SUM(AM3:AQ3)</f>
        <v>0</v>
      </c>
      <c r="AX3" s="29">
        <f t="shared" ref="AX3:AX16" si="7">SUM(AS3:AW3)</f>
        <v>0</v>
      </c>
      <c r="BD3" s="27">
        <f t="shared" ref="BD3:BD16" si="8">SUM(AY3:BC3)</f>
        <v>0</v>
      </c>
    </row>
    <row r="4" spans="1:56" x14ac:dyDescent="0.25">
      <c r="A4" s="3" t="s">
        <v>17</v>
      </c>
      <c r="B4" s="24">
        <v>3</v>
      </c>
      <c r="C4" s="14"/>
      <c r="H4" s="25">
        <f t="shared" si="1"/>
        <v>0</v>
      </c>
      <c r="N4" s="25">
        <f t="shared" si="2"/>
        <v>0</v>
      </c>
      <c r="T4" s="25">
        <f t="shared" si="0"/>
        <v>0</v>
      </c>
      <c r="Z4" s="25">
        <f t="shared" si="3"/>
        <v>0</v>
      </c>
      <c r="AF4" s="15">
        <f t="shared" si="4"/>
        <v>0</v>
      </c>
      <c r="AL4" s="25">
        <f t="shared" si="5"/>
        <v>0</v>
      </c>
      <c r="AR4" s="29">
        <f t="shared" si="6"/>
        <v>0</v>
      </c>
      <c r="AX4" s="29">
        <f t="shared" si="7"/>
        <v>0</v>
      </c>
      <c r="BD4" s="27">
        <f t="shared" si="8"/>
        <v>0</v>
      </c>
    </row>
    <row r="5" spans="1:56" x14ac:dyDescent="0.25">
      <c r="A5" s="3" t="s">
        <v>16</v>
      </c>
      <c r="B5" s="23">
        <v>4</v>
      </c>
      <c r="C5" s="14"/>
      <c r="H5" s="25">
        <f t="shared" si="1"/>
        <v>0</v>
      </c>
      <c r="N5" s="25">
        <f t="shared" si="2"/>
        <v>0</v>
      </c>
      <c r="T5" s="25">
        <f t="shared" si="0"/>
        <v>0</v>
      </c>
      <c r="Z5" s="25">
        <f t="shared" si="3"/>
        <v>0</v>
      </c>
      <c r="AF5" s="15">
        <f t="shared" si="4"/>
        <v>0</v>
      </c>
      <c r="AL5" s="25">
        <f t="shared" si="5"/>
        <v>0</v>
      </c>
      <c r="AR5" s="29">
        <f t="shared" si="6"/>
        <v>0</v>
      </c>
      <c r="AX5" s="29">
        <f t="shared" si="7"/>
        <v>0</v>
      </c>
      <c r="BD5" s="27">
        <f t="shared" si="8"/>
        <v>0</v>
      </c>
    </row>
    <row r="6" spans="1:56" x14ac:dyDescent="0.25">
      <c r="A6" s="3" t="s">
        <v>1</v>
      </c>
      <c r="B6" s="23">
        <v>5</v>
      </c>
      <c r="C6" s="14"/>
      <c r="H6" s="25">
        <f t="shared" si="1"/>
        <v>0</v>
      </c>
      <c r="N6" s="25">
        <f t="shared" si="2"/>
        <v>0</v>
      </c>
      <c r="T6" s="25">
        <f t="shared" si="0"/>
        <v>0</v>
      </c>
      <c r="Z6" s="25">
        <f t="shared" si="3"/>
        <v>0</v>
      </c>
      <c r="AF6" s="15">
        <f t="shared" si="4"/>
        <v>0</v>
      </c>
      <c r="AL6" s="25">
        <f t="shared" si="5"/>
        <v>0</v>
      </c>
      <c r="AR6" s="29">
        <f t="shared" si="6"/>
        <v>0</v>
      </c>
      <c r="AX6" s="29">
        <f t="shared" si="7"/>
        <v>0</v>
      </c>
      <c r="BD6" s="27">
        <f t="shared" si="8"/>
        <v>0</v>
      </c>
    </row>
    <row r="7" spans="1:56" x14ac:dyDescent="0.25">
      <c r="A7" s="3" t="s">
        <v>2</v>
      </c>
      <c r="B7" s="24">
        <v>6</v>
      </c>
      <c r="C7" s="14"/>
      <c r="H7" s="25">
        <f t="shared" si="1"/>
        <v>0</v>
      </c>
      <c r="N7" s="25">
        <f t="shared" si="2"/>
        <v>0</v>
      </c>
      <c r="T7" s="25">
        <f t="shared" si="0"/>
        <v>0</v>
      </c>
      <c r="Z7" s="25">
        <f t="shared" si="3"/>
        <v>0</v>
      </c>
      <c r="AF7" s="15">
        <f t="shared" si="4"/>
        <v>0</v>
      </c>
      <c r="AL7" s="25">
        <f t="shared" si="5"/>
        <v>0</v>
      </c>
      <c r="AR7" s="29">
        <f t="shared" si="6"/>
        <v>0</v>
      </c>
      <c r="AX7" s="29">
        <f t="shared" si="7"/>
        <v>0</v>
      </c>
      <c r="BD7" s="27">
        <f t="shared" si="8"/>
        <v>0</v>
      </c>
    </row>
    <row r="8" spans="1:56" x14ac:dyDescent="0.25">
      <c r="A8" s="3" t="s">
        <v>3</v>
      </c>
      <c r="B8" s="23">
        <v>7</v>
      </c>
      <c r="C8" s="14"/>
      <c r="H8" s="25">
        <f t="shared" si="1"/>
        <v>0</v>
      </c>
      <c r="N8" s="25">
        <f t="shared" si="2"/>
        <v>0</v>
      </c>
      <c r="T8" s="25">
        <f t="shared" si="0"/>
        <v>0</v>
      </c>
      <c r="Z8" s="25">
        <f t="shared" si="3"/>
        <v>0</v>
      </c>
      <c r="AF8" s="15">
        <f t="shared" si="4"/>
        <v>0</v>
      </c>
      <c r="AL8" s="25">
        <f t="shared" si="5"/>
        <v>0</v>
      </c>
      <c r="AR8" s="29">
        <f t="shared" si="6"/>
        <v>0</v>
      </c>
      <c r="AX8" s="29">
        <f t="shared" si="7"/>
        <v>0</v>
      </c>
      <c r="BD8" s="27">
        <f t="shared" si="8"/>
        <v>0</v>
      </c>
    </row>
    <row r="9" spans="1:56" x14ac:dyDescent="0.25">
      <c r="A9" s="3" t="s">
        <v>13</v>
      </c>
      <c r="B9" s="23">
        <v>8</v>
      </c>
      <c r="C9" s="14"/>
      <c r="H9" s="25">
        <f t="shared" si="1"/>
        <v>0</v>
      </c>
      <c r="N9" s="25">
        <f t="shared" si="2"/>
        <v>0</v>
      </c>
      <c r="T9" s="25">
        <f t="shared" si="0"/>
        <v>0</v>
      </c>
      <c r="Z9" s="25">
        <f t="shared" si="3"/>
        <v>0</v>
      </c>
      <c r="AF9" s="15">
        <f t="shared" si="4"/>
        <v>0</v>
      </c>
      <c r="AL9" s="25">
        <f t="shared" si="5"/>
        <v>0</v>
      </c>
      <c r="AR9" s="29">
        <f t="shared" si="6"/>
        <v>0</v>
      </c>
      <c r="AX9" s="29">
        <f t="shared" si="7"/>
        <v>0</v>
      </c>
      <c r="BD9" s="27">
        <f t="shared" si="8"/>
        <v>0</v>
      </c>
    </row>
    <row r="10" spans="1:56" x14ac:dyDescent="0.25">
      <c r="A10" s="2" t="s">
        <v>12</v>
      </c>
      <c r="B10" s="24">
        <v>9</v>
      </c>
      <c r="C10" s="14"/>
      <c r="H10" s="25">
        <f t="shared" si="1"/>
        <v>0</v>
      </c>
      <c r="N10" s="25">
        <f t="shared" si="2"/>
        <v>0</v>
      </c>
      <c r="T10" s="25">
        <f t="shared" si="0"/>
        <v>0</v>
      </c>
      <c r="Z10" s="25">
        <f t="shared" si="3"/>
        <v>0</v>
      </c>
      <c r="AF10" s="15">
        <f t="shared" si="4"/>
        <v>0</v>
      </c>
      <c r="AL10" s="25">
        <f t="shared" si="5"/>
        <v>0</v>
      </c>
      <c r="AR10" s="29">
        <f t="shared" si="6"/>
        <v>0</v>
      </c>
      <c r="AX10" s="29">
        <f t="shared" si="7"/>
        <v>0</v>
      </c>
      <c r="BD10" s="27">
        <f t="shared" si="8"/>
        <v>0</v>
      </c>
    </row>
    <row r="11" spans="1:56" x14ac:dyDescent="0.25">
      <c r="A11" s="3" t="s">
        <v>4</v>
      </c>
      <c r="B11" s="23">
        <v>10</v>
      </c>
      <c r="C11" s="14"/>
      <c r="H11" s="25">
        <f t="shared" si="1"/>
        <v>0</v>
      </c>
      <c r="N11" s="25">
        <f t="shared" si="2"/>
        <v>0</v>
      </c>
      <c r="T11" s="25">
        <f t="shared" si="0"/>
        <v>0</v>
      </c>
      <c r="Z11" s="25">
        <f t="shared" si="3"/>
        <v>0</v>
      </c>
      <c r="AF11" s="15">
        <f t="shared" si="4"/>
        <v>0</v>
      </c>
      <c r="AL11" s="25">
        <f t="shared" si="5"/>
        <v>0</v>
      </c>
      <c r="AR11" s="29">
        <f t="shared" si="6"/>
        <v>0</v>
      </c>
      <c r="AX11" s="29">
        <f t="shared" si="7"/>
        <v>0</v>
      </c>
      <c r="BD11" s="27">
        <f t="shared" si="8"/>
        <v>0</v>
      </c>
    </row>
    <row r="12" spans="1:56" x14ac:dyDescent="0.25">
      <c r="A12" s="3" t="s">
        <v>5</v>
      </c>
      <c r="B12" s="23">
        <v>11</v>
      </c>
      <c r="C12" s="14"/>
      <c r="H12" s="25">
        <f t="shared" si="1"/>
        <v>0</v>
      </c>
      <c r="N12" s="25">
        <f t="shared" si="2"/>
        <v>0</v>
      </c>
      <c r="T12" s="25">
        <f t="shared" si="0"/>
        <v>0</v>
      </c>
      <c r="Z12" s="25">
        <f t="shared" si="3"/>
        <v>0</v>
      </c>
      <c r="AF12" s="15">
        <f t="shared" si="4"/>
        <v>0</v>
      </c>
      <c r="AL12" s="25">
        <f t="shared" si="5"/>
        <v>0</v>
      </c>
      <c r="AR12" s="29">
        <f t="shared" si="6"/>
        <v>0</v>
      </c>
      <c r="AX12" s="29">
        <f t="shared" si="7"/>
        <v>0</v>
      </c>
      <c r="BD12" s="27">
        <f t="shared" si="8"/>
        <v>0</v>
      </c>
    </row>
    <row r="13" spans="1:56" x14ac:dyDescent="0.25">
      <c r="A13" s="2" t="s">
        <v>8</v>
      </c>
      <c r="B13" s="24">
        <v>12</v>
      </c>
      <c r="C13" s="14"/>
      <c r="H13" s="25">
        <f t="shared" si="1"/>
        <v>0</v>
      </c>
      <c r="N13" s="25">
        <f t="shared" si="2"/>
        <v>0</v>
      </c>
      <c r="T13" s="25">
        <f t="shared" si="0"/>
        <v>0</v>
      </c>
      <c r="Z13" s="25">
        <f t="shared" si="3"/>
        <v>0</v>
      </c>
      <c r="AF13" s="15">
        <f t="shared" si="4"/>
        <v>0</v>
      </c>
      <c r="AL13" s="25">
        <f t="shared" si="5"/>
        <v>0</v>
      </c>
      <c r="AR13" s="29">
        <f t="shared" si="6"/>
        <v>0</v>
      </c>
      <c r="AX13" s="29">
        <f t="shared" si="7"/>
        <v>0</v>
      </c>
      <c r="BD13" s="27">
        <f t="shared" si="8"/>
        <v>0</v>
      </c>
    </row>
    <row r="14" spans="1:56" x14ac:dyDescent="0.25">
      <c r="A14" s="3" t="s">
        <v>6</v>
      </c>
      <c r="B14" s="23">
        <v>13</v>
      </c>
      <c r="C14" s="14"/>
      <c r="H14" s="25">
        <f t="shared" si="1"/>
        <v>0</v>
      </c>
      <c r="N14" s="25">
        <f t="shared" si="2"/>
        <v>0</v>
      </c>
      <c r="T14" s="25">
        <f t="shared" si="0"/>
        <v>0</v>
      </c>
      <c r="Z14" s="25">
        <f t="shared" si="3"/>
        <v>0</v>
      </c>
      <c r="AF14" s="15">
        <f t="shared" si="4"/>
        <v>0</v>
      </c>
      <c r="AL14" s="25">
        <f t="shared" si="5"/>
        <v>0</v>
      </c>
      <c r="AR14" s="29">
        <f t="shared" si="6"/>
        <v>0</v>
      </c>
      <c r="AX14" s="29">
        <f t="shared" si="7"/>
        <v>0</v>
      </c>
      <c r="BD14" s="27">
        <f t="shared" si="8"/>
        <v>0</v>
      </c>
    </row>
    <row r="15" spans="1:56" x14ac:dyDescent="0.25">
      <c r="A15" s="2" t="s">
        <v>7</v>
      </c>
      <c r="B15" s="23">
        <v>14</v>
      </c>
      <c r="C15" s="14"/>
      <c r="H15" s="25">
        <f t="shared" si="1"/>
        <v>0</v>
      </c>
      <c r="N15" s="25">
        <f t="shared" si="2"/>
        <v>0</v>
      </c>
      <c r="T15" s="25">
        <f t="shared" si="0"/>
        <v>0</v>
      </c>
      <c r="Z15" s="25">
        <f t="shared" si="3"/>
        <v>0</v>
      </c>
      <c r="AF15" s="15">
        <f t="shared" si="4"/>
        <v>0</v>
      </c>
      <c r="AL15" s="25">
        <f t="shared" si="5"/>
        <v>0</v>
      </c>
      <c r="AR15" s="29">
        <f t="shared" si="6"/>
        <v>0</v>
      </c>
      <c r="AX15" s="29">
        <f t="shared" si="7"/>
        <v>0</v>
      </c>
      <c r="BD15" s="27">
        <f t="shared" si="8"/>
        <v>0</v>
      </c>
    </row>
    <row r="16" spans="1:56" x14ac:dyDescent="0.25">
      <c r="A16" s="20" t="s">
        <v>14</v>
      </c>
      <c r="B16" s="21">
        <v>15</v>
      </c>
      <c r="C16" s="16"/>
      <c r="D16" s="17"/>
      <c r="E16" s="17"/>
      <c r="F16" s="17"/>
      <c r="G16" s="17"/>
      <c r="H16" s="18">
        <f t="shared" si="1"/>
        <v>0</v>
      </c>
      <c r="I16" s="17"/>
      <c r="J16" s="17"/>
      <c r="K16" s="17"/>
      <c r="L16" s="17"/>
      <c r="M16" s="17"/>
      <c r="N16" s="18">
        <f t="shared" si="2"/>
        <v>0</v>
      </c>
      <c r="O16" s="17"/>
      <c r="P16" s="17"/>
      <c r="Q16" s="17"/>
      <c r="R16" s="17"/>
      <c r="S16" s="17"/>
      <c r="T16" s="18">
        <f t="shared" si="0"/>
        <v>0</v>
      </c>
      <c r="U16" s="17"/>
      <c r="V16" s="17"/>
      <c r="W16" s="17"/>
      <c r="X16" s="17"/>
      <c r="Y16" s="17"/>
      <c r="Z16" s="18">
        <f t="shared" si="3"/>
        <v>0</v>
      </c>
      <c r="AA16" s="17"/>
      <c r="AB16" s="17"/>
      <c r="AC16" s="17"/>
      <c r="AD16" s="17"/>
      <c r="AE16" s="17"/>
      <c r="AF16" s="22">
        <f t="shared" si="4"/>
        <v>0</v>
      </c>
      <c r="AG16" s="17"/>
      <c r="AH16" s="17"/>
      <c r="AI16" s="17"/>
      <c r="AJ16" s="17"/>
      <c r="AK16" s="17"/>
      <c r="AL16" s="25">
        <f t="shared" si="5"/>
        <v>0</v>
      </c>
      <c r="AM16" s="17"/>
      <c r="AN16" s="17"/>
      <c r="AO16" s="17"/>
      <c r="AP16" s="17"/>
      <c r="AQ16" s="17"/>
      <c r="AR16" s="29">
        <f t="shared" si="6"/>
        <v>0</v>
      </c>
      <c r="AS16" s="17"/>
      <c r="AT16" s="17"/>
      <c r="AU16" s="17"/>
      <c r="AV16" s="17"/>
      <c r="AW16" s="17"/>
      <c r="AX16" s="29">
        <f t="shared" si="7"/>
        <v>0</v>
      </c>
      <c r="AY16" s="17"/>
      <c r="AZ16" s="17"/>
      <c r="BA16" s="17"/>
      <c r="BB16" s="17"/>
      <c r="BC16" s="17"/>
      <c r="BD16" s="27">
        <f t="shared" si="8"/>
        <v>0</v>
      </c>
    </row>
    <row r="17" spans="1:19" x14ac:dyDescent="0.25">
      <c r="A17" s="1" t="s">
        <v>11</v>
      </c>
      <c r="C17" s="4"/>
      <c r="D17" s="4"/>
      <c r="E17" s="4"/>
      <c r="F17" s="4"/>
      <c r="G17" s="4"/>
      <c r="H17" s="4"/>
      <c r="K17" s="4"/>
      <c r="M17" s="4"/>
      <c r="S17" s="4"/>
    </row>
    <row r="18" spans="1:19" x14ac:dyDescent="0.25">
      <c r="A18" s="1" t="s">
        <v>10</v>
      </c>
      <c r="C18" s="4"/>
    </row>
  </sheetData>
  <customSheetViews>
    <customSheetView guid="{3D987F8E-A6EA-454D-9537-6BFC5053CB00}">
      <selection activeCell="BA18" sqref="BA18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activeCell="E1" sqref="E1:E1048576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S1" sqref="S1:S1048576"/>
      <pageMargins left="0.511811024" right="0.511811024" top="0.78740157499999996" bottom="0.78740157499999996" header="0.31496062000000002" footer="0.31496062000000002"/>
    </customSheetView>
    <customSheetView guid="{552DFCCD-1786-4D75-8B10-27DD730384DD}">
      <selection activeCell="C13" sqref="C13"/>
      <pageMargins left="0.511811024" right="0.511811024" top="0.78740157499999996" bottom="0.78740157499999996" header="0.31496062000000002" footer="0.31496062000000002"/>
    </customSheetView>
    <customSheetView guid="{C69767F5-CD39-44C1-AD4B-CE19DC8285A6}" topLeftCell="A12">
      <selection activeCell="A9" sqref="A9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selection sqref="A1:XFD1048576"/>
      <pageMargins left="0.511811024" right="0.511811024" top="0.78740157499999996" bottom="0.78740157499999996" header="0.31496062000000002" footer="0.31496062000000002"/>
      <autoFilter ref="A1:A18" xr:uid="{F125C1B3-24DC-4769-9299-EC2B8328E7CB}"/>
    </customSheetView>
    <customSheetView guid="{18A482E0-C8B6-4AA1-9E04-15FA7C9CD5E3}">
      <pane xSplit="1" topLeftCell="BS1" activePane="topRight" state="frozen"/>
      <selection pane="topRight" activeCell="CF1" sqref="CF1"/>
      <pageMargins left="0.511811024" right="0.511811024" top="0.78740157499999996" bottom="0.78740157499999996" header="0.31496062000000002" footer="0.31496062000000002"/>
    </customSheetView>
    <customSheetView guid="{20CB6D8F-C24D-4D4B-A424-AF380F620455}" showPageBreaks="1" topLeftCell="A12">
      <selection activeCell="A9" sqref="A9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E3841903-5B68-44FD-8F09-58E03D1025C5}">
      <selection activeCell="A9" sqref="A9:XFD9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"/>
  <sheetViews>
    <sheetView tabSelected="1" zoomScaleNormal="130" workbookViewId="0">
      <selection activeCell="E18" sqref="E18"/>
    </sheetView>
  </sheetViews>
  <sheetFormatPr defaultRowHeight="15" x14ac:dyDescent="0.25"/>
  <cols>
    <col min="1" max="1" width="87.5703125" customWidth="1"/>
    <col min="2" max="2" width="59.5703125" style="7" customWidth="1"/>
  </cols>
  <sheetData>
    <row r="1" spans="1:11" ht="36" x14ac:dyDescent="0.25">
      <c r="A1" s="38" t="s">
        <v>9</v>
      </c>
      <c r="B1" s="39" t="s">
        <v>20</v>
      </c>
      <c r="C1" s="8" t="s">
        <v>94</v>
      </c>
      <c r="D1" s="8" t="s">
        <v>95</v>
      </c>
      <c r="E1" s="8" t="s">
        <v>97</v>
      </c>
      <c r="F1" s="8" t="s">
        <v>98</v>
      </c>
      <c r="G1" s="8" t="s">
        <v>99</v>
      </c>
      <c r="H1" s="8" t="s">
        <v>100</v>
      </c>
      <c r="I1" s="8" t="s">
        <v>101</v>
      </c>
      <c r="J1" s="8" t="s">
        <v>103</v>
      </c>
      <c r="K1" s="8" t="s">
        <v>102</v>
      </c>
    </row>
    <row r="2" spans="1:11" x14ac:dyDescent="0.25">
      <c r="A2" s="40" t="s">
        <v>18</v>
      </c>
      <c r="B2" s="48" t="s">
        <v>21</v>
      </c>
      <c r="C2" s="45">
        <f>Diego!H2+Aelton!H2+Leonam!H2+Danilo!H2+Marcos!H2+Alessandro!H2+Carlos!H2</f>
        <v>0</v>
      </c>
      <c r="D2" s="45">
        <f>Diego!N2+Aelton!N2+Leonam!N2+Danilo!N2+Marcos!N2+Carlos!N2+Alessandro!N2</f>
        <v>1</v>
      </c>
      <c r="E2" s="45">
        <f>Diego!T2+Aelton!T2+Leonam!T2+Danilo!T2+Marcos!T2+Carlos!T2+Alessandro!T2</f>
        <v>0</v>
      </c>
      <c r="F2" s="45">
        <f>Diego!Z2+Aelton!Z2+Leonam!Z2+Danilo!Z2+Marcos!Z2+Carlos!Z2+Alessandro!Z2</f>
        <v>8</v>
      </c>
      <c r="G2" s="45">
        <f>Diego!AF2+Aelton!AF2+Leonam!AF2+Danilo!AF2+Marcos!AF2+Carlos!AF2+Alessandro!AF2</f>
        <v>0</v>
      </c>
      <c r="H2" s="45">
        <f>Diego!AL2+Aelton!AL2+Leonam!AL2+Danilo!AL2+Marcos!AL2+Carlos!AL2+Alessandro!AL2</f>
        <v>0</v>
      </c>
      <c r="I2" s="45">
        <f>Diego!AR2+Aelton!AR2+Leonam!AR2+Danilo!AR2+Marcos!AR2+Carlos!AR2+Alessandro!AR2</f>
        <v>33</v>
      </c>
      <c r="J2" s="45">
        <f>Diego!AX2+Aelton!AX2+Leonam!AX2+Danilo!AX2+Marcos!AX2+Carlos!AX2+Alessandro!AX2</f>
        <v>0</v>
      </c>
      <c r="K2" s="45">
        <f>Diego!BD2+Aelton!BD2+Leonam!BD2+Danilo!BD2+Marcos!BD2+Carlos!BD2+Alessandro!BD2</f>
        <v>4</v>
      </c>
    </row>
    <row r="3" spans="1:11" ht="24" x14ac:dyDescent="0.25">
      <c r="A3" s="41" t="s">
        <v>0</v>
      </c>
      <c r="B3" s="49" t="s">
        <v>22</v>
      </c>
      <c r="C3" s="46">
        <f>Diego!H3+Aelton!AF3+Leonam!H3+Danilo!H3+Marcos!H3+Alessandro!H3+Carlos!H3</f>
        <v>0</v>
      </c>
      <c r="D3" s="46">
        <f>Diego!N3+Aelton!N3+Leonam!N3+Danilo!N3+Marcos!N3+Carlos!N3+Alessandro!N3</f>
        <v>0</v>
      </c>
      <c r="E3" s="46">
        <f>Diego!T3+Aelton!T3+Leonam!T3+Danilo!T3+Marcos!T3+Carlos!T3+Alessandro!T3</f>
        <v>5</v>
      </c>
      <c r="F3" s="46">
        <f>Diego!Z3+Aelton!Z3+Leonam!Z3+Danilo!Z3+Marcos!Z3+Carlos!Z3+Alessandro!Z3</f>
        <v>0</v>
      </c>
      <c r="G3" s="46">
        <f>Diego!AF3+Aelton!AF3+Leonam!AF3+Danilo!AF3+Marcos!AF3+Carlos!AF3+Alessandro!AF3</f>
        <v>0</v>
      </c>
      <c r="H3" s="46">
        <f>Diego!AL3+Aelton!AL3+Leonam!AL3+Danilo!AL3+Marcos!AL3+Carlos!AL3+Alessandro!AL3</f>
        <v>0</v>
      </c>
      <c r="I3" s="46">
        <f>Diego!AM3+Aelton!AM3+Leonam!AM3+Danilo!AM3+Marcos!AM3+Carlos!AM3+Alessandro!AM3</f>
        <v>0</v>
      </c>
      <c r="J3" s="46">
        <f>Diego!AX3+Aelton!AX3+Leonam!AX3+Danilo!AX3+Marcos!AX3+Carlos!AX3+Alessandro!AX3</f>
        <v>0</v>
      </c>
      <c r="K3" s="46">
        <f>Diego!BD3+Aelton!BD3+Leonam!BD3+Danilo!BD3+Marcos!BD3+Carlos!BD3+Alessandro!BD3</f>
        <v>0</v>
      </c>
    </row>
    <row r="4" spans="1:11" x14ac:dyDescent="0.25">
      <c r="A4" s="42" t="s">
        <v>17</v>
      </c>
      <c r="B4" s="50" t="s">
        <v>21</v>
      </c>
      <c r="C4" s="45">
        <f>Diego!H4+Aelton!AF4+Leonam!H4+Danilo!H4+Marcos!H4+Alessandro!H4+Carlos!H4</f>
        <v>0</v>
      </c>
      <c r="D4" s="45">
        <f>Diego!N4+Aelton!N4+Leonam!N4+Danilo!N4+Marcos!N4+Carlos!N4+Alessandro!N4</f>
        <v>0</v>
      </c>
      <c r="E4" s="45">
        <f>Diego!T4+Aelton!T4+Leonam!T4+Danilo!T4+Marcos!T4+Carlos!T4+Alessandro!T4</f>
        <v>0</v>
      </c>
      <c r="F4" s="45">
        <f>Diego!Z4+Aelton!Z4+Leonam!Z4+Danilo!Z4+Marcos!Z4+Carlos!Z4+Alessandro!Z4</f>
        <v>1</v>
      </c>
      <c r="G4" s="45">
        <f>Diego!AF4+Aelton!AF4+Leonam!AF4+Danilo!AF4+Marcos!AF4+Carlos!AF4+Alessandro!AF4</f>
        <v>0</v>
      </c>
      <c r="H4" s="45">
        <f>Diego!AL4+Aelton!AL4+Leonam!AL4+Danilo!AL4+Marcos!AL4+Carlos!AL4+Alessandro!AL4</f>
        <v>0</v>
      </c>
      <c r="I4" s="45">
        <f>Diego!AM4+Aelton!AM4+Leonam!AM4+Danilo!AM4+Marcos!AM4+Carlos!AM4+Alessandro!AM4</f>
        <v>0</v>
      </c>
      <c r="J4" s="45">
        <f>Diego!AX4+Aelton!AX4+Leonam!AX4+Danilo!AX4+Marcos!AX4+Carlos!AX4+Alessandro!AX4</f>
        <v>0</v>
      </c>
      <c r="K4" s="45">
        <f>Diego!BD4+Aelton!BD4+Leonam!BD4+Danilo!BD4+Marcos!BD4+Carlos!BD4+Alessandro!BD4</f>
        <v>0</v>
      </c>
    </row>
    <row r="5" spans="1:11" x14ac:dyDescent="0.25">
      <c r="A5" s="43" t="s">
        <v>16</v>
      </c>
      <c r="B5" s="49" t="s">
        <v>21</v>
      </c>
      <c r="C5" s="46">
        <f>Diego!H5+Aelton!AF5+Leonam!H5+Danilo!H5+Marcos!H5+Alessandro!H5+Carlos!H5</f>
        <v>0</v>
      </c>
      <c r="D5" s="46">
        <f>Diego!N5+Aelton!N5+Leonam!N5+Danilo!N5+Marcos!N5+Carlos!N5+Alessandro!N5</f>
        <v>0</v>
      </c>
      <c r="E5" s="46">
        <f>Diego!T5+Aelton!T5+Leonam!T5+Danilo!T5+Marcos!T5+Carlos!T5+Alessandro!T5</f>
        <v>0</v>
      </c>
      <c r="F5" s="46">
        <f>Diego!Z5+Aelton!Z5+Leonam!Z5+Danilo!Z5+Marcos!Z5+Carlos!Z5+Alessandro!Z5</f>
        <v>1</v>
      </c>
      <c r="G5" s="46">
        <f>Diego!AF5+Aelton!AF5+Leonam!AF5+Danilo!AF5+Marcos!AF5+Carlos!AF5+Alessandro!AF5</f>
        <v>0</v>
      </c>
      <c r="H5" s="46">
        <f>Diego!AL5+Aelton!AL5+Leonam!AL5+Danilo!AL5+Marcos!AL5+Carlos!AL5+Alessandro!AL5</f>
        <v>0</v>
      </c>
      <c r="I5" s="46">
        <f>Diego!AM5+Aelton!AM5+Leonam!AM5+Danilo!AM5+Marcos!AM5+Carlos!AM5+Alessandro!AM5</f>
        <v>0</v>
      </c>
      <c r="J5" s="46">
        <f>Diego!AX5+Aelton!AX5+Leonam!AX5+Danilo!AX5+Marcos!AX5+Carlos!AX5+Alessandro!AX5</f>
        <v>0</v>
      </c>
      <c r="K5" s="46">
        <f>Diego!BD5+Aelton!BD5+Leonam!BD5+Danilo!BD5+Marcos!BD5+Carlos!BD5+Alessandro!BD5</f>
        <v>0</v>
      </c>
    </row>
    <row r="6" spans="1:11" ht="24" x14ac:dyDescent="0.25">
      <c r="A6" s="42" t="s">
        <v>1</v>
      </c>
      <c r="B6" s="51" t="s">
        <v>96</v>
      </c>
      <c r="C6" s="45">
        <f>Diego!H6+Aelton!AF6+Leonam!H6+Danilo!H6+Marcos!H6+Alessandro!H6+Carlos!H6</f>
        <v>0</v>
      </c>
      <c r="D6" s="45">
        <f>Diego!N6+Aelton!N6+Leonam!N6+Danilo!N6+Marcos!N6+Carlos!N6+Alessandro!N6</f>
        <v>0</v>
      </c>
      <c r="E6" s="45">
        <f>Diego!T6+Aelton!T6+Leonam!T6+Danilo!T6+Marcos!T6+Carlos!T6+Alessandro!T6</f>
        <v>0</v>
      </c>
      <c r="F6" s="45">
        <f>Diego!Z6+Aelton!Z6+Leonam!Z6+Danilo!Z6+Marcos!Z6+Carlos!Z6+Alessandro!Z6</f>
        <v>0</v>
      </c>
      <c r="G6" s="45">
        <f>Diego!AF6+Aelton!AF6+Leonam!AF6+Danilo!AF6+Marcos!AF6+Carlos!AF6+Alessandro!AF6</f>
        <v>0</v>
      </c>
      <c r="H6" s="45">
        <f>Diego!AL6+Aelton!AL6+Leonam!AL6+Danilo!AL6+Marcos!AL6+Carlos!AL6+Alessandro!AL6</f>
        <v>0</v>
      </c>
      <c r="I6" s="45">
        <f>Diego!AM6+Aelton!AM6+Leonam!AM6+Danilo!AM6+Marcos!AM6+Carlos!AM6+Alessandro!AM6</f>
        <v>0</v>
      </c>
      <c r="J6" s="45">
        <f>Diego!AX6+Aelton!AX6+Leonam!AX6+Danilo!AX6+Marcos!AX6+Carlos!AX6+Alessandro!AX6</f>
        <v>0</v>
      </c>
      <c r="K6" s="45">
        <f>Diego!BD6+Aelton!BD6+Leonam!BD6+Danilo!BD6+Marcos!BD6+Carlos!BD6+Alessandro!BD6</f>
        <v>0</v>
      </c>
    </row>
    <row r="7" spans="1:11" x14ac:dyDescent="0.25">
      <c r="A7" s="43" t="s">
        <v>2</v>
      </c>
      <c r="B7" s="49" t="s">
        <v>23</v>
      </c>
      <c r="C7" s="46">
        <f>Diego!H7+Aelton!AF7+Leonam!H7+Danilo!H7+Marcos!H7+Alessandro!H7+Carlos!H7</f>
        <v>0</v>
      </c>
      <c r="D7" s="46">
        <f>Diego!N7+Aelton!N7+Leonam!N7+Danilo!N7+Marcos!N7+Carlos!N7+Alessandro!N7</f>
        <v>0</v>
      </c>
      <c r="E7" s="46">
        <f>Diego!T7+Aelton!T7+Leonam!T7+Danilo!T7+Marcos!T7+Carlos!T7+Alessandro!T7</f>
        <v>0</v>
      </c>
      <c r="F7" s="46">
        <f>Diego!Z7+Aelton!Z7+Leonam!Z7+Danilo!Z7+Marcos!Z7+Carlos!Z7+Alessandro!Z7</f>
        <v>0</v>
      </c>
      <c r="G7" s="46">
        <f>Diego!AF7+Aelton!AF7+Leonam!AF7+Danilo!AF7+Marcos!AF7+Carlos!AF7+Alessandro!AF7</f>
        <v>0</v>
      </c>
      <c r="H7" s="46">
        <f>Diego!AL7+Aelton!AL7+Leonam!AL7+Danilo!AL7+Marcos!AL7+Carlos!AL7+Alessandro!AL7</f>
        <v>0</v>
      </c>
      <c r="I7" s="46">
        <f>Diego!AM7+Aelton!AM7+Leonam!AM7+Danilo!AM7+Marcos!AM7+Carlos!AM7+Alessandro!AM7</f>
        <v>0</v>
      </c>
      <c r="J7" s="46">
        <f>Diego!AX7+Aelton!AX7+Leonam!AX7+Danilo!AX7+Marcos!AX7+Carlos!AX7+Alessandro!AX7</f>
        <v>0</v>
      </c>
      <c r="K7" s="46">
        <f>Diego!BD7+Aelton!BD7+Leonam!BD7+Danilo!BD7+Marcos!BD7+Carlos!BD7+Alessandro!BD7</f>
        <v>0</v>
      </c>
    </row>
    <row r="8" spans="1:11" ht="24" x14ac:dyDescent="0.25">
      <c r="A8" s="42" t="s">
        <v>3</v>
      </c>
      <c r="B8" s="51" t="s">
        <v>24</v>
      </c>
      <c r="C8" s="45">
        <f>Diego!H8+Aelton!AF8+Leonam!H8+Danilo!H8+Marcos!H8+Alessandro!H8+Carlos!H8</f>
        <v>0</v>
      </c>
      <c r="D8" s="45">
        <f>Diego!N8+Aelton!N8+Leonam!N8+Danilo!N8+Marcos!N8+Carlos!N8+Alessandro!N8</f>
        <v>0</v>
      </c>
      <c r="E8" s="45">
        <f>Diego!T8+Aelton!T8+Leonam!T8+Danilo!T8+Marcos!T8+Carlos!T8+Alessandro!T8</f>
        <v>0</v>
      </c>
      <c r="F8" s="45">
        <f>Diego!Z8+Aelton!Z8+Leonam!Z8+Danilo!Z8+Marcos!Z8+Carlos!Z8+Alessandro!Z8</f>
        <v>0</v>
      </c>
      <c r="G8" s="45">
        <f>Diego!AF8+Aelton!AF8+Leonam!AF8+Danilo!AF8+Marcos!AF8+Carlos!AF8+Alessandro!AF8</f>
        <v>0</v>
      </c>
      <c r="H8" s="45">
        <f>Diego!AL8+Aelton!AL8+Leonam!AL8+Danilo!AL8+Marcos!AL8+Carlos!AL8+Alessandro!AL8</f>
        <v>0</v>
      </c>
      <c r="I8" s="45">
        <f>Diego!AM8+Aelton!AM8+Leonam!AM8+Danilo!AM8+Marcos!AM8+Carlos!AM8+Alessandro!AM8</f>
        <v>0</v>
      </c>
      <c r="J8" s="45">
        <f>Diego!AX8+Aelton!AX8+Leonam!AX8+Danilo!AX8+Marcos!AX8+Carlos!AX8+Alessandro!AX8</f>
        <v>0</v>
      </c>
      <c r="K8" s="45">
        <f>Diego!BD8+Aelton!BD8+Leonam!BD8+Danilo!BD8+Marcos!BD8+Carlos!BD8+Alessandro!BD8</f>
        <v>0</v>
      </c>
    </row>
    <row r="9" spans="1:11" x14ac:dyDescent="0.25">
      <c r="A9" s="43" t="s">
        <v>25</v>
      </c>
      <c r="B9" s="49" t="s">
        <v>23</v>
      </c>
      <c r="C9" s="46">
        <f>Diego!H9+Aelton!AF9+Leonam!H9+Danilo!H9+Marcos!H9+Alessandro!H9+Carlos!H9</f>
        <v>0</v>
      </c>
      <c r="D9" s="46">
        <f>Diego!N9+Aelton!N9+Leonam!N9+Danilo!N9+Marcos!N9+Carlos!N9+Alessandro!N9</f>
        <v>0</v>
      </c>
      <c r="E9" s="46">
        <f>Diego!T9+Aelton!T9+Leonam!T9+Danilo!T9+Marcos!T9+Carlos!T9+Alessandro!T9</f>
        <v>0</v>
      </c>
      <c r="F9" s="46">
        <f>Diego!Z9+Aelton!Z9+Leonam!Z9+Danilo!Z9+Marcos!Z9+Carlos!Z9+Alessandro!Z9</f>
        <v>0</v>
      </c>
      <c r="G9" s="46">
        <f>Diego!AF9+Aelton!AF9+Leonam!AF9+Danilo!AF9+Marcos!AF9+Carlos!AF9+Alessandro!AF9</f>
        <v>0</v>
      </c>
      <c r="H9" s="46">
        <f>Diego!AL9+Aelton!AL9+Leonam!AL9+Danilo!AL9+Marcos!AL9+Carlos!AL9+Alessandro!AL9</f>
        <v>0</v>
      </c>
      <c r="I9" s="46">
        <f>Diego!AM9+Aelton!AM9+Leonam!AM9+Danilo!AM9+Marcos!AM9+Carlos!AM9+Alessandro!AM9</f>
        <v>0</v>
      </c>
      <c r="J9" s="46">
        <f>Diego!AX9+Aelton!AX9+Leonam!AX9+Danilo!AX9+Marcos!AX9+Carlos!AX9+Alessandro!AX9</f>
        <v>0</v>
      </c>
      <c r="K9" s="46">
        <f>Diego!BD9+Aelton!BD9+Leonam!BD9+Danilo!BD9+Marcos!BD9+Carlos!BD9+Alessandro!BD9</f>
        <v>0</v>
      </c>
    </row>
    <row r="10" spans="1:11" x14ac:dyDescent="0.25">
      <c r="A10" s="42" t="s">
        <v>12</v>
      </c>
      <c r="B10" s="50" t="s">
        <v>23</v>
      </c>
      <c r="C10" s="45">
        <f>Diego!H10+Aelton!AF10+Leonam!H10+Danilo!H10+Marcos!H10+Alessandro!H10+Carlos!H10</f>
        <v>0</v>
      </c>
      <c r="D10" s="45">
        <f>Diego!N10+Aelton!N10+Leonam!N10+Danilo!N10+Marcos!N10+Carlos!N10+Alessandro!N10</f>
        <v>0</v>
      </c>
      <c r="E10" s="45">
        <f>Diego!T10+Aelton!T10+Leonam!T10+Danilo!T10+Marcos!T10+Carlos!T10+Alessandro!T10</f>
        <v>0</v>
      </c>
      <c r="F10" s="45">
        <f>Diego!Z10+Aelton!Z10+Leonam!Z10+Danilo!Z10+Marcos!Z10+Carlos!Z10+Alessandro!Z10</f>
        <v>0</v>
      </c>
      <c r="G10" s="45">
        <f>Diego!AF10+Aelton!AF10+Leonam!AF10+Danilo!AF10+Marcos!AF10+Carlos!AF10+Alessandro!AF10</f>
        <v>0</v>
      </c>
      <c r="H10" s="45">
        <f>Diego!AL10+Aelton!AL10+Leonam!AL10+Danilo!AL10+Marcos!AL10+Carlos!AL10+Alessandro!AL10</f>
        <v>0</v>
      </c>
      <c r="I10" s="45">
        <f>Diego!AM10+Aelton!AM10+Leonam!AM10+Danilo!AM10+Marcos!AM10+Carlos!AM10+Alessandro!AM10</f>
        <v>0</v>
      </c>
      <c r="J10" s="45">
        <f>Diego!AX10+Aelton!AX10+Leonam!AX10+Danilo!AX10+Marcos!AX10+Carlos!AX10+Alessandro!AX10</f>
        <v>0</v>
      </c>
      <c r="K10" s="45">
        <f>Diego!BD10+Aelton!BD10+Leonam!BD10+Danilo!BD10+Marcos!BD10+Carlos!BD10+Alessandro!BD10</f>
        <v>0</v>
      </c>
    </row>
    <row r="11" spans="1:11" x14ac:dyDescent="0.25">
      <c r="A11" s="43" t="s">
        <v>4</v>
      </c>
      <c r="B11" s="52" t="s">
        <v>23</v>
      </c>
      <c r="C11" s="46">
        <f>Diego!H11+Aelton!H11+Leonam!H11+Danilo!H11+Marcos!H11+Carlos!H11+Alessandro!H11</f>
        <v>0</v>
      </c>
      <c r="D11" s="46">
        <f>Diego!N11+Aelton!N11+Leonam!N11+Danilo!N11+Marcos!N11+Carlos!N11+Alessandro!N11</f>
        <v>6</v>
      </c>
      <c r="E11" s="46">
        <f>Diego!T11+Aelton!T11+Leonam!T11+Danilo!T11+Marcos!T11+Carlos!T11+Alessandro!T11</f>
        <v>13</v>
      </c>
      <c r="F11" s="46">
        <f>Diego!Z11+Aelton!Z11+Leonam!Z11+Danilo!Z11+Marcos!Z11+Carlos!Z11+Alessandro!Z11</f>
        <v>10</v>
      </c>
      <c r="G11" s="46">
        <f>Diego!AF11+Aelton!AF11+Leonam!AF11+Danilo!AF11+Marcos!AF11+Carlos!AF11+Alessandro!AF11</f>
        <v>17</v>
      </c>
      <c r="H11" s="46">
        <f>Diego!AL11+Aelton!AL11+Leonam!AL11+Danilo!AL11+Marcos!AL11+Carlos!AL11+Alessandro!AL11</f>
        <v>1</v>
      </c>
      <c r="I11" s="46">
        <f>SUM(Diego!AR11+Aelton!AR11+Leonam!AR11+Danilo!AR11+Marcos!AR11+Carlos!AR11+Alessandro!AR11)</f>
        <v>11</v>
      </c>
      <c r="J11" s="46">
        <f>Diego!AX11+Aelton!AX11+Leonam!AX11+Danilo!AX11+Marcos!AX11+Carlos!AX11+Alessandro!AX11</f>
        <v>0</v>
      </c>
      <c r="K11" s="46">
        <f>Diego!BD11+Aelton!BD11+Leonam!BD11+Danilo!BD11+Marcos!BD11+Carlos!BD11+Alessandro!BD11</f>
        <v>0</v>
      </c>
    </row>
    <row r="12" spans="1:11" x14ac:dyDescent="0.25">
      <c r="A12" s="42" t="s">
        <v>5</v>
      </c>
      <c r="B12" s="51" t="s">
        <v>23</v>
      </c>
      <c r="C12" s="45">
        <f>Diego!H12+Aelton!AF12+Leonam!H12+Danilo!H12+Marcos!H12+Alessandro!H12+Carlos!H12</f>
        <v>0</v>
      </c>
      <c r="D12" s="45">
        <f>Diego!N12+Aelton!N12+Leonam!N12+Danilo!N12+Marcos!N12+Carlos!N12+Alessandro!N12</f>
        <v>0</v>
      </c>
      <c r="E12" s="45">
        <f>Diego!T12+Aelton!T12+Leonam!T12+Danilo!T12+Marcos!T12+Carlos!T12+Alessandro!T12</f>
        <v>0</v>
      </c>
      <c r="F12" s="45">
        <f>Diego!Z12+Aelton!Z12+Leonam!Z12+Danilo!Z12+Marcos!Z12+Carlos!Z12+Alessandro!Z12</f>
        <v>0</v>
      </c>
      <c r="G12" s="45">
        <f>Diego!AF12+Aelton!AF12+Leonam!AF12+Danilo!AF12+Marcos!AF12+Carlos!AF12+Alessandro!AF12</f>
        <v>0</v>
      </c>
      <c r="H12" s="45">
        <f>Diego!AL12+Aelton!AL12+Leonam!AL12+Danilo!AL12+Marcos!AL12+Carlos!AL12+Alessandro!AL12</f>
        <v>13</v>
      </c>
      <c r="I12" s="45">
        <f>Diego!AM12+Aelton!AM12+Leonam!AM12+Danilo!AM12+Marcos!AM12+Carlos!AM12+Alessandro!AM12</f>
        <v>0</v>
      </c>
      <c r="J12" s="45">
        <f>Diego!AX12+Aelton!AX12+Leonam!AX12+Danilo!AX12+Marcos!AX12+Carlos!AX12+Alessandro!AX12</f>
        <v>0</v>
      </c>
      <c r="K12" s="45">
        <f>Diego!BD12+Aelton!BD12+Leonam!BD12+Danilo!BD12+Marcos!BD12+Carlos!BD12+Alessandro!BD12</f>
        <v>0</v>
      </c>
    </row>
    <row r="13" spans="1:11" x14ac:dyDescent="0.25">
      <c r="A13" s="43" t="s">
        <v>8</v>
      </c>
      <c r="B13" s="49" t="s">
        <v>21</v>
      </c>
      <c r="C13" s="46">
        <f>Diego!H13+Aelton!AF13+Leonam!H13+Danilo!H13+Marcos!H13+Alessandro!H13+Carlos!H13</f>
        <v>0</v>
      </c>
      <c r="D13" s="46">
        <f>Diego!N13+Aelton!N13+Leonam!N13+Danilo!N13+Marcos!N13+Carlos!N13+Alessandro!N13</f>
        <v>1</v>
      </c>
      <c r="E13" s="46">
        <f>Diego!T13+Aelton!T13+Leonam!T13+Danilo!T13+Marcos!T13+Carlos!T13+Alessandro!T13</f>
        <v>1</v>
      </c>
      <c r="F13" s="46">
        <f>Diego!Z13+Aelton!Z13+Leonam!Z13+Danilo!Z13+Marcos!Z13+Carlos!Z13+Alessandro!Z13</f>
        <v>0</v>
      </c>
      <c r="G13" s="46">
        <f>Diego!AF13+Aelton!AF13+Leonam!AF13+Danilo!AF13+Marcos!AF13+Carlos!AF13+Alessandro!AF13</f>
        <v>0</v>
      </c>
      <c r="H13" s="46">
        <f>Diego!AL13+Aelton!AL13+Leonam!AL13+Danilo!AL13+Marcos!AL13+Carlos!AL13+Alessandro!AL13</f>
        <v>1</v>
      </c>
      <c r="I13" s="46">
        <f>Diego!AR13+Aelton!AR13+Leonam!AR13+Danilo!AR13+Marcos!AR13+Carlos!AR13+Alessandro!AR13</f>
        <v>32</v>
      </c>
      <c r="J13" s="46">
        <f>Diego!AX13+Aelton!AX13+Leonam!AX13+Danilo!AX13+Marcos!AX13+Carlos!AX13+Alessandro!AX13</f>
        <v>2</v>
      </c>
      <c r="K13" s="46">
        <f>Diego!BD13+Aelton!BD13+Leonam!BD13+Danilo!BD13+Marcos!BD13+Carlos!BD13+Alessandro!BD13</f>
        <v>3</v>
      </c>
    </row>
    <row r="14" spans="1:11" x14ac:dyDescent="0.25">
      <c r="A14" s="42" t="s">
        <v>6</v>
      </c>
      <c r="B14" s="51" t="s">
        <v>26</v>
      </c>
      <c r="C14" s="45">
        <f>Diego!H14+Aelton!AF14+Leonam!H14+Danilo!H14+Marcos!H14+Alessandro!H14+Carlos!H14</f>
        <v>0</v>
      </c>
      <c r="D14" s="45">
        <f>Diego!N14+Aelton!N14+Leonam!N14+Danilo!N14+Marcos!N14+Carlos!N14+Alessandro!N14</f>
        <v>1</v>
      </c>
      <c r="E14" s="45">
        <f>Diego!T14+Aelton!T14+Leonam!T14+Danilo!T14+Marcos!T14+Carlos!T14+Alessandro!T14</f>
        <v>0</v>
      </c>
      <c r="F14" s="45">
        <f>Diego!Z14+Aelton!Z14+Leonam!Z14+Danilo!Z14+Marcos!Z14+Carlos!Z14+Alessandro!Z14</f>
        <v>0</v>
      </c>
      <c r="G14" s="45">
        <f>Diego!AF14+Aelton!AF14+Leonam!AF14+Danilo!AF14+Marcos!AF14+Carlos!AF14+Alessandro!AF14</f>
        <v>0</v>
      </c>
      <c r="H14" s="45">
        <f>Diego!AL14+Aelton!AL14+Leonam!AL14+Danilo!AL14+Marcos!AL14+Carlos!AL14+Alessandro!AL14</f>
        <v>0</v>
      </c>
      <c r="I14" s="45">
        <f>Diego!AM14+Aelton!AM14+Leonam!AM14+Danilo!AM14+Marcos!AM14+Carlos!AM14+Alessandro!AM14</f>
        <v>0</v>
      </c>
      <c r="J14" s="45">
        <f>Diego!AX14+Aelton!AX14+Leonam!AX14+Danilo!AX14+Marcos!AX14+Carlos!AX14+Alessandro!AX14</f>
        <v>0</v>
      </c>
      <c r="K14" s="45">
        <f>Diego!BD14+Aelton!BD14+Leonam!BD14+Danilo!BD14+Marcos!BD14+Carlos!BD14+Alessandro!BD14</f>
        <v>0</v>
      </c>
    </row>
    <row r="15" spans="1:11" ht="24" x14ac:dyDescent="0.25">
      <c r="A15" s="41" t="s">
        <v>19</v>
      </c>
      <c r="B15" s="49" t="s">
        <v>27</v>
      </c>
      <c r="C15" s="46">
        <f>Diego!H15+Aelton!H15+Leonam!H15+Danilo!H15+Marcos!H15+Carlos!H15+Alessandro!H15</f>
        <v>0</v>
      </c>
      <c r="D15" s="46">
        <f>Diego!N15+Aelton!N15+Leonam!N15+Danilo!N15+Marcos!N15+Carlos!N15+Alessandro!N15</f>
        <v>0</v>
      </c>
      <c r="E15" s="46">
        <f>Diego!T15+Aelton!T15+Leonam!T15+Danilo!T15+Marcos!T15+Carlos!T15+Alessandro!T15</f>
        <v>0</v>
      </c>
      <c r="F15" s="46">
        <f>Diego!Z15+Aelton!Z15+Leonam!Z15+Danilo!Z15+Marcos!Z15+Carlos!Z15+Alessandro!Z15</f>
        <v>0</v>
      </c>
      <c r="G15" s="46">
        <f>Diego!AF15+Aelton!AF15+Leonam!AF15+Danilo!AF15+Marcos!AF15+Carlos!AF15+Alessandro!AF15</f>
        <v>14</v>
      </c>
      <c r="H15" s="46">
        <f>Diego!AL15+Aelton!AL15+Leonam!AL15+Danilo!AL15+Marcos!AL15+Carlos!AL15+Alessandro!AL15</f>
        <v>0</v>
      </c>
      <c r="I15" s="46">
        <f>Diego!AM15+Aelton!AM15+Leonam!AM15+Danilo!AM15+Marcos!AM15+Carlos!AM15+Alessandro!AM15</f>
        <v>0</v>
      </c>
      <c r="J15" s="46">
        <f>Diego!AX15+Aelton!AX15+Leonam!AX15+Danilo!AX15+Marcos!AX15+Carlos!AX15+Alessandro!AX15</f>
        <v>0</v>
      </c>
      <c r="K15" s="46">
        <f>Diego!BD15+Aelton!BD15+Leonam!BD15+Danilo!BD15+Marcos!BD15+Carlos!BD15+Alessandro!BD15</f>
        <v>0</v>
      </c>
    </row>
    <row r="16" spans="1:11" ht="24" x14ac:dyDescent="0.25">
      <c r="A16" s="40" t="s">
        <v>14</v>
      </c>
      <c r="B16" s="51" t="s">
        <v>28</v>
      </c>
      <c r="C16" s="45">
        <f>Diego!H16+Aelton!H16+Leonam!H16+Danilo!H16+Marcos!H16+Carlos!H16+Alessandro!H16</f>
        <v>0</v>
      </c>
      <c r="D16" s="45">
        <f>Diego!N16+Aelton!N16+Leonam!N16+Danilo!N16+Marcos!N16+Carlos!N16+Alessandro!N16</f>
        <v>0</v>
      </c>
      <c r="E16" s="45">
        <f>Diego!T16+Aelton!T16+Leonam!T16+Danilo!T16+Marcos!T16+Carlos!T16+Alessandro!T16</f>
        <v>0</v>
      </c>
      <c r="F16" s="45">
        <f>Diego!Z16+Aelton!Z16+Leonam!Z16+Danilo!Z16+Marcos!Z16+Carlos!Z16+Alessandro!Z16</f>
        <v>33</v>
      </c>
      <c r="G16" s="45">
        <f>Diego!AF16+Aelton!AF16+Leonam!AF16+Danilo!AF16+Marcos!AF16+Carlos!AF16+Alessandro!AF16</f>
        <v>35</v>
      </c>
      <c r="H16" s="45">
        <f>Diego!AL16+Aelton!AL16+Leonam!AL16+Danilo!AL16+Marcos!AL16+Carlos!AL16+Alessandro!AL16</f>
        <v>0</v>
      </c>
      <c r="I16" s="45">
        <f>Diego!AM16+Aelton!AM16+Leonam!AM16+Danilo!AM16+Marcos!AM16+Carlos!AM16+Alessandro!AM16</f>
        <v>0</v>
      </c>
      <c r="J16" s="45">
        <f>Diego!AX16+Aelton!AX16+Leonam!AX16+Danilo!AX16+Marcos!AX16+Carlos!AX16+Alessandro!AX16</f>
        <v>0</v>
      </c>
      <c r="K16" s="45">
        <f>Diego!BD16+Aelton!BD16+Leonam!BD16+Danilo!BD16+Marcos!BD16+Carlos!BD16+Alessandro!BD16</f>
        <v>20</v>
      </c>
    </row>
    <row r="17" spans="1:2" x14ac:dyDescent="0.25">
      <c r="A17" s="1" t="s">
        <v>11</v>
      </c>
      <c r="B17" s="1"/>
    </row>
    <row r="18" spans="1:2" x14ac:dyDescent="0.25">
      <c r="A18" s="1" t="s">
        <v>10</v>
      </c>
      <c r="B18" s="1"/>
    </row>
    <row r="20" spans="1:2" x14ac:dyDescent="0.25">
      <c r="A20" s="9"/>
    </row>
    <row r="22" spans="1:2" x14ac:dyDescent="0.25">
      <c r="A22" s="10"/>
    </row>
    <row r="23" spans="1:2" x14ac:dyDescent="0.25">
      <c r="A23" s="11"/>
    </row>
  </sheetData>
  <customSheetViews>
    <customSheetView guid="{3D987F8E-A6EA-454D-9537-6BFC5053CB00}">
      <selection activeCell="E3" sqref="E3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activeCell="C1" sqref="C1:C1048576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E3" sqref="E3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 topLeftCell="B1">
      <selection activeCell="H7" sqref="H7"/>
      <pageMargins left="0.511811024" right="0.511811024" top="0.78740157499999996" bottom="0.78740157499999996" header="0.31496062000000002" footer="0.31496062000000002"/>
      <autoFilter ref="A1:A18" xr:uid="{24344045-0974-4F75-BC29-9E3BE84834A0}"/>
    </customSheetView>
    <customSheetView guid="{18A482E0-C8B6-4AA1-9E04-15FA7C9CD5E3}" scale="130">
      <pane xSplit="1" topLeftCell="B1" activePane="topRight" state="frozen"/>
      <selection pane="topRight" activeCell="A16" sqref="A16"/>
      <pageMargins left="0.511811024" right="0.511811024" top="0.78740157499999996" bottom="0.78740157499999996" header="0.31496062000000002" footer="0.31496062000000002"/>
    </customSheetView>
    <customSheetView guid="{20CB6D8F-C24D-4D4B-A424-AF380F620455}">
      <selection activeCell="C1" sqref="C1:C1048576"/>
      <pageMargins left="0.511811024" right="0.511811024" top="0.78740157499999996" bottom="0.78740157499999996" header="0.31496062000000002" footer="0.31496062000000002"/>
    </customSheetView>
    <customSheetView guid="{E3841903-5B68-44FD-8F09-58E03D1025C5}">
      <selection activeCell="C1" sqref="C1:C1048576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18"/>
  <sheetViews>
    <sheetView topLeftCell="I1" zoomScale="90" zoomScaleNormal="90" workbookViewId="0">
      <selection activeCell="AB17" sqref="AB17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3" width="23.85546875" style="1" customWidth="1"/>
    <col min="4" max="7" width="11.7109375" style="1" customWidth="1"/>
    <col min="8" max="8" width="14.28515625" style="1" bestFit="1" customWidth="1"/>
    <col min="9" max="9" width="9.5703125" style="1" customWidth="1"/>
    <col min="10" max="10" width="12.140625" style="1" customWidth="1"/>
    <col min="11" max="11" width="13.7109375" style="1" customWidth="1"/>
    <col min="12" max="12" width="13" style="1" customWidth="1"/>
    <col min="13" max="13" width="9.5703125" style="1" customWidth="1"/>
    <col min="14" max="14" width="14.28515625" style="1" bestFit="1" customWidth="1"/>
    <col min="15" max="16" width="7.140625" style="1" bestFit="1" customWidth="1"/>
    <col min="17" max="17" width="14.5703125" style="1" customWidth="1"/>
    <col min="18" max="18" width="7.140625" style="1" bestFit="1" customWidth="1"/>
    <col min="19" max="19" width="7.5703125" style="1" customWidth="1"/>
    <col min="20" max="20" width="14.28515625" style="1" bestFit="1" customWidth="1"/>
    <col min="21" max="21" width="7.140625" style="1" bestFit="1" customWidth="1"/>
    <col min="22" max="22" width="14" style="1" customWidth="1"/>
    <col min="23" max="23" width="13" style="1" customWidth="1"/>
    <col min="24" max="24" width="16.140625" style="1" customWidth="1"/>
    <col min="25" max="25" width="16.85546875" style="1" customWidth="1"/>
    <col min="26" max="26" width="14.28515625" style="1" bestFit="1" customWidth="1"/>
    <col min="27" max="27" width="13.140625" style="1" customWidth="1"/>
    <col min="28" max="31" width="9.140625" style="1"/>
    <col min="32" max="32" width="15.28515625" style="1" customWidth="1"/>
    <col min="33" max="33" width="19.42578125" style="1" customWidth="1"/>
    <col min="34" max="34" width="17.140625" style="1" customWidth="1"/>
    <col min="35" max="35" width="9.140625" style="1"/>
    <col min="36" max="36" width="6.85546875" style="1" customWidth="1"/>
    <col min="37" max="37" width="16.5703125" style="1" customWidth="1"/>
    <col min="38" max="38" width="17.42578125" style="1" customWidth="1"/>
    <col min="39" max="40" width="11.42578125" style="1" customWidth="1"/>
    <col min="41" max="41" width="10.85546875" style="1" customWidth="1"/>
    <col min="42" max="42" width="13.42578125" style="1" customWidth="1"/>
    <col min="43" max="43" width="9.140625" style="1"/>
    <col min="44" max="44" width="15.42578125" style="1" customWidth="1"/>
    <col min="45" max="45" width="13" style="1" customWidth="1"/>
    <col min="46" max="46" width="12.85546875" style="1" customWidth="1"/>
    <col min="47" max="47" width="16.42578125" style="1" customWidth="1"/>
    <col min="48" max="48" width="17.7109375" style="1" customWidth="1"/>
    <col min="49" max="49" width="21.7109375" style="1" customWidth="1"/>
    <col min="50" max="50" width="15.42578125" style="1" customWidth="1"/>
    <col min="51" max="55" width="9.140625" style="1"/>
    <col min="56" max="56" width="16.140625" style="1" customWidth="1"/>
    <col min="57" max="16384" width="9.140625" style="1"/>
  </cols>
  <sheetData>
    <row r="1" spans="1:56" x14ac:dyDescent="0.25">
      <c r="A1" s="19" t="s">
        <v>9</v>
      </c>
      <c r="B1" s="31"/>
      <c r="C1" s="32">
        <v>45873</v>
      </c>
      <c r="D1" s="32">
        <v>45874</v>
      </c>
      <c r="E1" s="32">
        <v>45875</v>
      </c>
      <c r="F1" s="32">
        <v>45876</v>
      </c>
      <c r="G1" s="32">
        <v>45877</v>
      </c>
      <c r="H1" s="34" t="s">
        <v>15</v>
      </c>
      <c r="I1" s="33">
        <v>45880</v>
      </c>
      <c r="J1" s="33">
        <v>45881</v>
      </c>
      <c r="K1" s="33">
        <v>45882</v>
      </c>
      <c r="L1" s="33">
        <v>45883</v>
      </c>
      <c r="M1" s="33">
        <v>45884</v>
      </c>
      <c r="N1" s="35" t="s">
        <v>15</v>
      </c>
      <c r="O1" s="33">
        <v>45887</v>
      </c>
      <c r="P1" s="33">
        <v>45888</v>
      </c>
      <c r="Q1" s="33">
        <v>45889</v>
      </c>
      <c r="R1" s="33">
        <v>45890</v>
      </c>
      <c r="S1" s="33">
        <v>45891</v>
      </c>
      <c r="T1" s="35" t="s">
        <v>15</v>
      </c>
      <c r="U1" s="33">
        <v>45894</v>
      </c>
      <c r="V1" s="33">
        <v>45895</v>
      </c>
      <c r="W1" s="33">
        <v>45896</v>
      </c>
      <c r="X1" s="33">
        <v>45897</v>
      </c>
      <c r="Y1" s="33">
        <v>45898</v>
      </c>
      <c r="Z1" s="35" t="s">
        <v>15</v>
      </c>
      <c r="AA1" s="33">
        <v>45901</v>
      </c>
      <c r="AB1" s="33">
        <v>45902</v>
      </c>
      <c r="AC1" s="33">
        <v>45903</v>
      </c>
      <c r="AD1" s="33">
        <v>45904</v>
      </c>
      <c r="AE1" s="33">
        <v>45905</v>
      </c>
      <c r="AF1" s="35" t="s">
        <v>15</v>
      </c>
      <c r="AG1" s="33">
        <v>45908</v>
      </c>
      <c r="AH1" s="33">
        <v>45909</v>
      </c>
      <c r="AI1" s="33">
        <v>45910</v>
      </c>
      <c r="AJ1" s="33">
        <v>45911</v>
      </c>
      <c r="AK1" s="33">
        <v>45912</v>
      </c>
      <c r="AL1" s="35" t="s">
        <v>15</v>
      </c>
      <c r="AM1" s="33">
        <v>45915</v>
      </c>
      <c r="AN1" s="33">
        <v>45916</v>
      </c>
      <c r="AO1" s="33">
        <v>45917</v>
      </c>
      <c r="AP1" s="33">
        <v>45918</v>
      </c>
      <c r="AQ1" s="33">
        <v>45919</v>
      </c>
      <c r="AR1" s="36" t="s">
        <v>15</v>
      </c>
      <c r="AS1" s="33">
        <v>45922</v>
      </c>
      <c r="AT1" s="33">
        <v>45923</v>
      </c>
      <c r="AU1" s="33">
        <v>45924</v>
      </c>
      <c r="AV1" s="33">
        <v>45925</v>
      </c>
      <c r="AW1" s="33">
        <v>45926</v>
      </c>
      <c r="AX1" s="36" t="s">
        <v>15</v>
      </c>
      <c r="AY1" s="33">
        <v>45929</v>
      </c>
      <c r="AZ1" s="33">
        <v>45930</v>
      </c>
      <c r="BA1" s="33">
        <v>45931</v>
      </c>
      <c r="BB1" s="33">
        <v>45932</v>
      </c>
      <c r="BC1" s="33">
        <v>45933</v>
      </c>
      <c r="BD1" s="37" t="s">
        <v>15</v>
      </c>
    </row>
    <row r="2" spans="1:56" x14ac:dyDescent="0.25">
      <c r="A2" s="2" t="s">
        <v>18</v>
      </c>
      <c r="B2" s="23">
        <v>1</v>
      </c>
      <c r="C2" s="14"/>
      <c r="H2" s="25">
        <f>SUM(C2:G2)</f>
        <v>0</v>
      </c>
      <c r="N2" s="25">
        <f>SUM(I2:M2)</f>
        <v>0</v>
      </c>
      <c r="T2" s="25">
        <f t="shared" ref="T2:T16" si="0">SUM(O2:S2)</f>
        <v>0</v>
      </c>
      <c r="Z2" s="25">
        <f>SUM(U2:Y2)</f>
        <v>0</v>
      </c>
      <c r="AF2" s="25">
        <f>SUM(AA2:AE2)</f>
        <v>0</v>
      </c>
      <c r="AL2" s="25">
        <f>SUM(AG2:AK2)</f>
        <v>0</v>
      </c>
      <c r="AR2" s="29">
        <f>SUM(AM2:AQ2)</f>
        <v>0</v>
      </c>
      <c r="AX2" s="29">
        <f>SUM(AS2:AW2)</f>
        <v>0</v>
      </c>
      <c r="BD2" s="27">
        <f>SUM(AY2:BC2)</f>
        <v>0</v>
      </c>
    </row>
    <row r="3" spans="1:56" x14ac:dyDescent="0.25">
      <c r="A3" s="2" t="s">
        <v>0</v>
      </c>
      <c r="B3" s="23">
        <v>2</v>
      </c>
      <c r="C3" s="14"/>
      <c r="H3" s="25">
        <f t="shared" ref="H3:H16" si="1">SUM(C3:G3)</f>
        <v>0</v>
      </c>
      <c r="N3" s="25">
        <f t="shared" ref="N3:N16" si="2">SUM(I3:M3)</f>
        <v>0</v>
      </c>
      <c r="T3" s="25">
        <f t="shared" si="0"/>
        <v>0</v>
      </c>
      <c r="Z3" s="25">
        <f t="shared" ref="Z3:Z16" si="3">SUM(U3:Y3)</f>
        <v>0</v>
      </c>
      <c r="AF3" s="25">
        <f t="shared" ref="AF3:AF16" si="4">SUM(AA3:AE3)</f>
        <v>0</v>
      </c>
      <c r="AL3" s="25">
        <f t="shared" ref="AL3:AL16" si="5">SUM(AG3:AK3)</f>
        <v>0</v>
      </c>
      <c r="AR3" s="29">
        <f t="shared" ref="AR3:AR16" si="6">SUM(AM3:AQ3)</f>
        <v>0</v>
      </c>
      <c r="AX3" s="29">
        <f t="shared" ref="AX3:AX16" si="7">SUM(AS3:AW3)</f>
        <v>0</v>
      </c>
      <c r="BD3" s="27">
        <f t="shared" ref="BD3:BD16" si="8">SUM(AY3:BC3)</f>
        <v>0</v>
      </c>
    </row>
    <row r="4" spans="1:56" x14ac:dyDescent="0.25">
      <c r="A4" s="3" t="s">
        <v>17</v>
      </c>
      <c r="B4" s="24">
        <v>3</v>
      </c>
      <c r="C4" s="14"/>
      <c r="H4" s="25">
        <f t="shared" si="1"/>
        <v>0</v>
      </c>
      <c r="N4" s="25">
        <f t="shared" si="2"/>
        <v>0</v>
      </c>
      <c r="T4" s="25">
        <f t="shared" si="0"/>
        <v>0</v>
      </c>
      <c r="Z4" s="25">
        <f t="shared" si="3"/>
        <v>0</v>
      </c>
      <c r="AF4" s="25">
        <f t="shared" si="4"/>
        <v>0</v>
      </c>
      <c r="AL4" s="25">
        <f t="shared" si="5"/>
        <v>0</v>
      </c>
      <c r="AR4" s="29">
        <f t="shared" si="6"/>
        <v>0</v>
      </c>
      <c r="AX4" s="29">
        <f t="shared" si="7"/>
        <v>0</v>
      </c>
      <c r="BD4" s="27">
        <f t="shared" si="8"/>
        <v>0</v>
      </c>
    </row>
    <row r="5" spans="1:56" x14ac:dyDescent="0.25">
      <c r="A5" s="3" t="s">
        <v>16</v>
      </c>
      <c r="B5" s="23">
        <v>4</v>
      </c>
      <c r="C5" s="14"/>
      <c r="H5" s="25">
        <f t="shared" si="1"/>
        <v>0</v>
      </c>
      <c r="N5" s="25">
        <f t="shared" si="2"/>
        <v>0</v>
      </c>
      <c r="T5" s="25">
        <f t="shared" si="0"/>
        <v>0</v>
      </c>
      <c r="Z5" s="25">
        <f t="shared" si="3"/>
        <v>0</v>
      </c>
      <c r="AF5" s="25">
        <f t="shared" si="4"/>
        <v>0</v>
      </c>
      <c r="AL5" s="25">
        <f t="shared" si="5"/>
        <v>0</v>
      </c>
      <c r="AR5" s="29">
        <f t="shared" si="6"/>
        <v>0</v>
      </c>
      <c r="AX5" s="29">
        <f t="shared" si="7"/>
        <v>0</v>
      </c>
      <c r="BD5" s="27">
        <f t="shared" si="8"/>
        <v>0</v>
      </c>
    </row>
    <row r="6" spans="1:56" x14ac:dyDescent="0.25">
      <c r="A6" s="3" t="s">
        <v>1</v>
      </c>
      <c r="B6" s="23">
        <v>5</v>
      </c>
      <c r="C6" s="14"/>
      <c r="H6" s="25">
        <f t="shared" si="1"/>
        <v>0</v>
      </c>
      <c r="N6" s="25">
        <f t="shared" si="2"/>
        <v>0</v>
      </c>
      <c r="T6" s="25">
        <f t="shared" si="0"/>
        <v>0</v>
      </c>
      <c r="Z6" s="25">
        <f t="shared" si="3"/>
        <v>0</v>
      </c>
      <c r="AF6" s="25">
        <f t="shared" si="4"/>
        <v>0</v>
      </c>
      <c r="AL6" s="25">
        <f t="shared" si="5"/>
        <v>0</v>
      </c>
      <c r="AR6" s="29">
        <f t="shared" si="6"/>
        <v>0</v>
      </c>
      <c r="AX6" s="29">
        <f t="shared" si="7"/>
        <v>0</v>
      </c>
      <c r="BD6" s="27">
        <f t="shared" si="8"/>
        <v>0</v>
      </c>
    </row>
    <row r="7" spans="1:56" x14ac:dyDescent="0.25">
      <c r="A7" s="3" t="s">
        <v>2</v>
      </c>
      <c r="B7" s="24">
        <v>6</v>
      </c>
      <c r="C7" s="14"/>
      <c r="H7" s="25">
        <f t="shared" si="1"/>
        <v>0</v>
      </c>
      <c r="N7" s="25">
        <f t="shared" si="2"/>
        <v>0</v>
      </c>
      <c r="T7" s="25">
        <f t="shared" si="0"/>
        <v>0</v>
      </c>
      <c r="Z7" s="25">
        <f t="shared" si="3"/>
        <v>0</v>
      </c>
      <c r="AF7" s="25">
        <f t="shared" si="4"/>
        <v>0</v>
      </c>
      <c r="AL7" s="25">
        <f t="shared" si="5"/>
        <v>0</v>
      </c>
      <c r="AR7" s="29">
        <f t="shared" si="6"/>
        <v>0</v>
      </c>
      <c r="AX7" s="29">
        <f t="shared" si="7"/>
        <v>0</v>
      </c>
      <c r="BD7" s="27">
        <f t="shared" si="8"/>
        <v>0</v>
      </c>
    </row>
    <row r="8" spans="1:56" x14ac:dyDescent="0.25">
      <c r="A8" s="3" t="s">
        <v>3</v>
      </c>
      <c r="B8" s="23">
        <v>7</v>
      </c>
      <c r="C8" s="14"/>
      <c r="H8" s="25">
        <f t="shared" si="1"/>
        <v>0</v>
      </c>
      <c r="N8" s="25">
        <f t="shared" si="2"/>
        <v>0</v>
      </c>
      <c r="T8" s="25">
        <f t="shared" si="0"/>
        <v>0</v>
      </c>
      <c r="Z8" s="25">
        <f t="shared" si="3"/>
        <v>0</v>
      </c>
      <c r="AF8" s="25">
        <f t="shared" si="4"/>
        <v>0</v>
      </c>
      <c r="AL8" s="25">
        <f t="shared" si="5"/>
        <v>0</v>
      </c>
      <c r="AR8" s="29">
        <f t="shared" si="6"/>
        <v>0</v>
      </c>
      <c r="AX8" s="29">
        <f t="shared" si="7"/>
        <v>0</v>
      </c>
      <c r="BD8" s="27">
        <f t="shared" si="8"/>
        <v>0</v>
      </c>
    </row>
    <row r="9" spans="1:56" x14ac:dyDescent="0.25">
      <c r="A9" s="3" t="s">
        <v>13</v>
      </c>
      <c r="B9" s="23">
        <v>8</v>
      </c>
      <c r="C9" s="14"/>
      <c r="H9" s="25">
        <f t="shared" si="1"/>
        <v>0</v>
      </c>
      <c r="N9" s="25">
        <f t="shared" si="2"/>
        <v>0</v>
      </c>
      <c r="T9" s="25">
        <f t="shared" si="0"/>
        <v>0</v>
      </c>
      <c r="Z9" s="25">
        <f t="shared" si="3"/>
        <v>0</v>
      </c>
      <c r="AF9" s="25">
        <f t="shared" si="4"/>
        <v>0</v>
      </c>
      <c r="AL9" s="25">
        <f t="shared" si="5"/>
        <v>0</v>
      </c>
      <c r="AR9" s="29">
        <f t="shared" si="6"/>
        <v>0</v>
      </c>
      <c r="AX9" s="29">
        <f t="shared" si="7"/>
        <v>0</v>
      </c>
      <c r="BD9" s="27">
        <f t="shared" si="8"/>
        <v>0</v>
      </c>
    </row>
    <row r="10" spans="1:56" x14ac:dyDescent="0.25">
      <c r="A10" s="2" t="s">
        <v>12</v>
      </c>
      <c r="B10" s="24">
        <v>9</v>
      </c>
      <c r="C10" s="14"/>
      <c r="H10" s="25">
        <f t="shared" si="1"/>
        <v>0</v>
      </c>
      <c r="N10" s="25">
        <f t="shared" si="2"/>
        <v>0</v>
      </c>
      <c r="T10" s="25">
        <f t="shared" si="0"/>
        <v>0</v>
      </c>
      <c r="Z10" s="25">
        <f t="shared" si="3"/>
        <v>0</v>
      </c>
      <c r="AF10" s="25">
        <f t="shared" si="4"/>
        <v>0</v>
      </c>
      <c r="AL10" s="25">
        <f t="shared" si="5"/>
        <v>0</v>
      </c>
      <c r="AR10" s="29">
        <f t="shared" si="6"/>
        <v>0</v>
      </c>
      <c r="AX10" s="29">
        <f t="shared" si="7"/>
        <v>0</v>
      </c>
      <c r="BD10" s="27">
        <f t="shared" si="8"/>
        <v>0</v>
      </c>
    </row>
    <row r="11" spans="1:56" x14ac:dyDescent="0.25">
      <c r="A11" s="3" t="s">
        <v>4</v>
      </c>
      <c r="B11" s="23">
        <v>10</v>
      </c>
      <c r="C11" s="14"/>
      <c r="H11" s="25">
        <f t="shared" si="1"/>
        <v>0</v>
      </c>
      <c r="N11" s="25">
        <f t="shared" si="2"/>
        <v>0</v>
      </c>
      <c r="T11" s="25">
        <f t="shared" si="0"/>
        <v>0</v>
      </c>
      <c r="Z11" s="25">
        <f t="shared" si="3"/>
        <v>0</v>
      </c>
      <c r="AF11" s="25">
        <f t="shared" si="4"/>
        <v>0</v>
      </c>
      <c r="AL11" s="25">
        <f t="shared" si="5"/>
        <v>0</v>
      </c>
      <c r="AR11" s="29">
        <f t="shared" si="6"/>
        <v>0</v>
      </c>
      <c r="AX11" s="29">
        <f t="shared" si="7"/>
        <v>0</v>
      </c>
      <c r="BD11" s="27">
        <f t="shared" si="8"/>
        <v>0</v>
      </c>
    </row>
    <row r="12" spans="1:56" x14ac:dyDescent="0.25">
      <c r="A12" s="3" t="s">
        <v>5</v>
      </c>
      <c r="B12" s="23">
        <v>11</v>
      </c>
      <c r="C12" s="14"/>
      <c r="H12" s="25">
        <f t="shared" si="1"/>
        <v>0</v>
      </c>
      <c r="N12" s="25">
        <f t="shared" si="2"/>
        <v>0</v>
      </c>
      <c r="T12" s="25">
        <f t="shared" si="0"/>
        <v>0</v>
      </c>
      <c r="Z12" s="25">
        <f t="shared" si="3"/>
        <v>0</v>
      </c>
      <c r="AF12" s="25">
        <f t="shared" si="4"/>
        <v>0</v>
      </c>
      <c r="AL12" s="25">
        <f t="shared" si="5"/>
        <v>0</v>
      </c>
      <c r="AR12" s="29">
        <f>SUM(AM12:AQ12)</f>
        <v>0</v>
      </c>
      <c r="AX12" s="29">
        <f t="shared" si="7"/>
        <v>0</v>
      </c>
      <c r="BD12" s="27">
        <f t="shared" si="8"/>
        <v>0</v>
      </c>
    </row>
    <row r="13" spans="1:56" x14ac:dyDescent="0.25">
      <c r="A13" s="2" t="s">
        <v>8</v>
      </c>
      <c r="B13" s="24">
        <v>12</v>
      </c>
      <c r="C13" s="14"/>
      <c r="H13" s="25">
        <f t="shared" si="1"/>
        <v>0</v>
      </c>
      <c r="N13" s="25">
        <f t="shared" si="2"/>
        <v>0</v>
      </c>
      <c r="T13" s="25">
        <f t="shared" si="0"/>
        <v>0</v>
      </c>
      <c r="Z13" s="25">
        <f t="shared" si="3"/>
        <v>0</v>
      </c>
      <c r="AF13" s="25">
        <f t="shared" si="4"/>
        <v>0</v>
      </c>
      <c r="AL13" s="25">
        <f t="shared" si="5"/>
        <v>0</v>
      </c>
      <c r="AR13" s="29">
        <f t="shared" si="6"/>
        <v>0</v>
      </c>
      <c r="AX13" s="29">
        <f t="shared" si="7"/>
        <v>0</v>
      </c>
      <c r="BD13" s="27">
        <f t="shared" si="8"/>
        <v>0</v>
      </c>
    </row>
    <row r="14" spans="1:56" x14ac:dyDescent="0.25">
      <c r="A14" s="3" t="s">
        <v>6</v>
      </c>
      <c r="B14" s="23">
        <v>13</v>
      </c>
      <c r="C14" s="14"/>
      <c r="H14" s="25">
        <f t="shared" si="1"/>
        <v>0</v>
      </c>
      <c r="N14" s="25">
        <f t="shared" si="2"/>
        <v>0</v>
      </c>
      <c r="T14" s="25">
        <f t="shared" si="0"/>
        <v>0</v>
      </c>
      <c r="Z14" s="25">
        <f t="shared" si="3"/>
        <v>0</v>
      </c>
      <c r="AF14" s="25">
        <f t="shared" si="4"/>
        <v>0</v>
      </c>
      <c r="AL14" s="25">
        <f t="shared" si="5"/>
        <v>0</v>
      </c>
      <c r="AR14" s="29">
        <f t="shared" si="6"/>
        <v>0</v>
      </c>
      <c r="AX14" s="29">
        <f t="shared" si="7"/>
        <v>0</v>
      </c>
      <c r="BD14" s="27">
        <f t="shared" si="8"/>
        <v>0</v>
      </c>
    </row>
    <row r="15" spans="1:56" x14ac:dyDescent="0.25">
      <c r="A15" s="2" t="s">
        <v>7</v>
      </c>
      <c r="B15" s="23">
        <v>14</v>
      </c>
      <c r="C15" s="14"/>
      <c r="H15" s="25">
        <f t="shared" si="1"/>
        <v>0</v>
      </c>
      <c r="N15" s="25">
        <f t="shared" si="2"/>
        <v>0</v>
      </c>
      <c r="T15" s="25">
        <f t="shared" si="0"/>
        <v>0</v>
      </c>
      <c r="Z15" s="25">
        <f t="shared" si="3"/>
        <v>0</v>
      </c>
      <c r="AF15" s="25">
        <f t="shared" si="4"/>
        <v>0</v>
      </c>
      <c r="AL15" s="25">
        <f t="shared" si="5"/>
        <v>0</v>
      </c>
      <c r="AR15" s="29">
        <f t="shared" si="6"/>
        <v>0</v>
      </c>
      <c r="AX15" s="29">
        <f t="shared" si="7"/>
        <v>0</v>
      </c>
      <c r="BD15" s="27">
        <f t="shared" si="8"/>
        <v>0</v>
      </c>
    </row>
    <row r="16" spans="1:56" x14ac:dyDescent="0.25">
      <c r="A16" s="20" t="s">
        <v>14</v>
      </c>
      <c r="B16" s="21">
        <v>15</v>
      </c>
      <c r="C16" s="16"/>
      <c r="D16" s="17"/>
      <c r="E16" s="17"/>
      <c r="F16" s="44"/>
      <c r="G16" s="44"/>
      <c r="H16" s="18">
        <f t="shared" si="1"/>
        <v>0</v>
      </c>
      <c r="I16" s="44"/>
      <c r="J16" s="17"/>
      <c r="K16" s="17"/>
      <c r="L16" s="17"/>
      <c r="M16" s="17"/>
      <c r="N16" s="18">
        <f t="shared" si="2"/>
        <v>0</v>
      </c>
      <c r="O16" s="17"/>
      <c r="P16" s="17"/>
      <c r="Q16" s="17"/>
      <c r="R16" s="17"/>
      <c r="S16" s="17"/>
      <c r="T16" s="18">
        <f t="shared" si="0"/>
        <v>0</v>
      </c>
      <c r="U16" s="17"/>
      <c r="V16" s="17"/>
      <c r="W16" s="17"/>
      <c r="X16" s="17"/>
      <c r="Y16" s="17"/>
      <c r="Z16" s="18">
        <f t="shared" si="3"/>
        <v>0</v>
      </c>
      <c r="AA16" s="17"/>
      <c r="AB16" s="17"/>
      <c r="AC16" s="17"/>
      <c r="AD16" s="17"/>
      <c r="AE16" s="17"/>
      <c r="AF16" s="18">
        <f t="shared" si="4"/>
        <v>0</v>
      </c>
      <c r="AG16" s="17"/>
      <c r="AH16" s="17"/>
      <c r="AI16" s="17"/>
      <c r="AJ16" s="17"/>
      <c r="AK16" s="17"/>
      <c r="AL16" s="18">
        <f t="shared" si="5"/>
        <v>0</v>
      </c>
      <c r="AM16" s="17"/>
      <c r="AN16" s="17"/>
      <c r="AO16" s="17"/>
      <c r="AP16" s="17"/>
      <c r="AQ16" s="17"/>
      <c r="AR16" s="30">
        <f t="shared" si="6"/>
        <v>0</v>
      </c>
      <c r="AS16" s="17"/>
      <c r="AT16" s="17"/>
      <c r="AU16" s="17"/>
      <c r="AV16" s="17"/>
      <c r="AW16" s="17"/>
      <c r="AX16" s="30">
        <f t="shared" si="7"/>
        <v>0</v>
      </c>
      <c r="AY16" s="17"/>
      <c r="AZ16" s="17"/>
      <c r="BA16" s="17"/>
      <c r="BB16" s="17"/>
      <c r="BC16" s="17"/>
      <c r="BD16" s="28">
        <f t="shared" si="8"/>
        <v>0</v>
      </c>
    </row>
    <row r="17" spans="1:55" ht="135" x14ac:dyDescent="0.25">
      <c r="A17" s="1" t="s">
        <v>11</v>
      </c>
      <c r="C17" s="4" t="s">
        <v>38</v>
      </c>
      <c r="D17" s="4" t="s">
        <v>38</v>
      </c>
      <c r="E17" s="4" t="s">
        <v>38</v>
      </c>
      <c r="F17" s="65" t="s">
        <v>42</v>
      </c>
      <c r="G17" s="4" t="s">
        <v>38</v>
      </c>
      <c r="H17" s="4"/>
      <c r="I17" s="4" t="s">
        <v>38</v>
      </c>
      <c r="J17" s="4" t="s">
        <v>38</v>
      </c>
      <c r="K17" s="4" t="s">
        <v>38</v>
      </c>
      <c r="L17" s="4" t="s">
        <v>40</v>
      </c>
      <c r="M17" s="4" t="s">
        <v>40</v>
      </c>
      <c r="O17" s="4" t="s">
        <v>55</v>
      </c>
      <c r="P17" s="4" t="s">
        <v>55</v>
      </c>
      <c r="Q17" s="4" t="s">
        <v>55</v>
      </c>
      <c r="R17" s="4" t="s">
        <v>55</v>
      </c>
      <c r="S17" s="4" t="s">
        <v>55</v>
      </c>
      <c r="U17" s="4" t="s">
        <v>55</v>
      </c>
      <c r="V17" s="4" t="s">
        <v>55</v>
      </c>
      <c r="W17" s="4" t="s">
        <v>55</v>
      </c>
      <c r="X17" s="4" t="s">
        <v>55</v>
      </c>
      <c r="Y17" s="66" t="s">
        <v>71</v>
      </c>
      <c r="AA17" s="4" t="s">
        <v>55</v>
      </c>
      <c r="AB17" s="4" t="s">
        <v>55</v>
      </c>
      <c r="AC17" s="4" t="s">
        <v>55</v>
      </c>
      <c r="AD17" s="4" t="s">
        <v>55</v>
      </c>
      <c r="AE17" s="4" t="s">
        <v>55</v>
      </c>
      <c r="AG17" s="4" t="s">
        <v>55</v>
      </c>
      <c r="AH17" s="4" t="s">
        <v>55</v>
      </c>
      <c r="AI17" s="4" t="s">
        <v>55</v>
      </c>
      <c r="AJ17" s="4" t="s">
        <v>55</v>
      </c>
      <c r="AK17" s="4" t="s">
        <v>55</v>
      </c>
      <c r="AM17" s="4" t="s">
        <v>55</v>
      </c>
      <c r="AN17" s="4" t="s">
        <v>55</v>
      </c>
      <c r="AO17" s="4" t="s">
        <v>55</v>
      </c>
      <c r="AP17" s="4" t="s">
        <v>55</v>
      </c>
      <c r="AQ17" s="4" t="s">
        <v>111</v>
      </c>
      <c r="AS17" s="4" t="s">
        <v>111</v>
      </c>
      <c r="AT17" s="4" t="s">
        <v>111</v>
      </c>
      <c r="AU17" s="4" t="s">
        <v>111</v>
      </c>
      <c r="AV17" s="4" t="s">
        <v>110</v>
      </c>
      <c r="AW17" s="4" t="s">
        <v>112</v>
      </c>
      <c r="AY17" s="1" t="s">
        <v>124</v>
      </c>
      <c r="AZ17" s="1" t="s">
        <v>124</v>
      </c>
      <c r="BA17" s="1" t="s">
        <v>124</v>
      </c>
      <c r="BB17" s="1" t="s">
        <v>124</v>
      </c>
      <c r="BC17" s="1" t="s">
        <v>124</v>
      </c>
    </row>
    <row r="18" spans="1:55" ht="45" x14ac:dyDescent="0.25">
      <c r="A18" s="1" t="s">
        <v>10</v>
      </c>
      <c r="C18" s="4"/>
      <c r="J18" s="4" t="s">
        <v>39</v>
      </c>
      <c r="K18" s="4" t="s">
        <v>39</v>
      </c>
      <c r="L18" s="4" t="s">
        <v>39</v>
      </c>
      <c r="Q18" s="4"/>
      <c r="U18" s="4"/>
      <c r="W18" s="4" t="s">
        <v>73</v>
      </c>
      <c r="X18" s="4" t="s">
        <v>73</v>
      </c>
      <c r="Y18" s="4"/>
      <c r="Z18" s="4"/>
      <c r="AA18" s="4" t="s">
        <v>73</v>
      </c>
      <c r="AB18" s="4"/>
      <c r="AC18" s="4"/>
      <c r="AD18" s="4"/>
      <c r="AE18" s="4"/>
      <c r="AG18" s="4" t="s">
        <v>83</v>
      </c>
      <c r="AH18" s="4" t="s">
        <v>83</v>
      </c>
      <c r="AJ18" s="4"/>
      <c r="AK18" s="4"/>
      <c r="AN18" s="4"/>
      <c r="AO18" s="4"/>
      <c r="AP18" s="4"/>
      <c r="AQ18" s="4"/>
      <c r="AT18" s="4"/>
      <c r="AU18" s="4"/>
      <c r="AW18" s="4"/>
      <c r="AY18" s="4"/>
      <c r="AZ18" s="4"/>
      <c r="BA18" s="4"/>
      <c r="BB18" s="1" t="s">
        <v>125</v>
      </c>
      <c r="BC18" s="1" t="s">
        <v>125</v>
      </c>
    </row>
  </sheetData>
  <customSheetViews>
    <customSheetView guid="{3D987F8E-A6EA-454D-9537-6BFC5053CB00}" scale="90" topLeftCell="I1">
      <selection activeCell="AB17" sqref="AB17"/>
      <pageMargins left="0.511811024" right="0.511811024" top="0.78740157499999996" bottom="0.78740157499999996" header="0.31496062000000002" footer="0.31496062000000002"/>
    </customSheetView>
    <customSheetView guid="{B3CDE377-BA5D-4E06-91D9-3A48E1959BA5}">
      <pane xSplit="1" topLeftCell="AT1" activePane="topRight" state="frozen"/>
      <selection pane="topRight" activeCell="O17" sqref="O17:S17"/>
      <pageMargins left="0.511811024" right="0.511811024" top="0.78740157499999996" bottom="0.78740157499999996" header="0.31496062000000002" footer="0.31496062000000002"/>
    </customSheetView>
    <customSheetView guid="{86039CF8-B158-4D70-9A6F-A10C29CBD68A}" scale="90">
      <selection activeCell="M17" sqref="M17"/>
      <pageMargins left="0.511811024" right="0.511811024" top="0.78740157499999996" bottom="0.78740157499999996" header="0.31496062000000002" footer="0.31496062000000002"/>
    </customSheetView>
    <customSheetView guid="{552DFCCD-1786-4D75-8B10-27DD730384DD}">
      <pane xSplit="1" topLeftCell="I1" activePane="topRight" state="frozen"/>
      <selection pane="topRight" activeCell="M11" sqref="M11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D11" sqref="D11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pane xSplit="1" topLeftCell="AR1" activePane="topRight" state="frozen"/>
      <selection pane="topRight" activeCell="AZ18" sqref="AZ18"/>
      <pageMargins left="0.511811024" right="0.511811024" top="0.78740157499999996" bottom="0.78740157499999996" header="0.31496062000000002" footer="0.31496062000000002"/>
      <autoFilter ref="A1:A18" xr:uid="{D32949BA-2B55-4BCD-B7A6-B99FF121014E}"/>
    </customSheetView>
    <customSheetView guid="{18A482E0-C8B6-4AA1-9E04-15FA7C9CD5E3}">
      <pane xSplit="1" topLeftCell="AR1" activePane="topRight" state="frozen"/>
      <selection pane="topRight" activeCell="BD1" sqref="BD1"/>
      <pageMargins left="0.511811024" right="0.511811024" top="0.78740157499999996" bottom="0.78740157499999996" header="0.31496062000000002" footer="0.31496062000000002"/>
    </customSheetView>
    <customSheetView guid="{20CB6D8F-C24D-4D4B-A424-AF380F620455}" scale="90" showPageBreaks="1">
      <pane xSplit="1" topLeftCell="AL1" activePane="topRight" state="frozen"/>
      <selection pane="topRight" activeCell="AW5" sqref="AW5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E3841903-5B68-44FD-8F09-58E03D1025C5}" scale="80" topLeftCell="AS1">
      <selection activeCell="BB18" sqref="BB18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18"/>
  <sheetViews>
    <sheetView topLeftCell="A4" zoomScaleNormal="90" workbookViewId="0">
      <pane xSplit="1" topLeftCell="S1" activePane="topRight" state="frozen"/>
      <selection activeCell="A4" sqref="A4"/>
      <selection pane="topRight" activeCell="Y16" sqref="Y16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3" width="23.85546875" style="1" customWidth="1"/>
    <col min="4" max="6" width="11.7109375" style="1" customWidth="1"/>
    <col min="7" max="7" width="17.28515625" style="1" customWidth="1"/>
    <col min="8" max="8" width="14.28515625" style="1" bestFit="1" customWidth="1"/>
    <col min="9" max="13" width="16.7109375" style="1" customWidth="1"/>
    <col min="14" max="14" width="14.28515625" style="1" bestFit="1" customWidth="1"/>
    <col min="15" max="15" width="20.85546875" style="1" customWidth="1"/>
    <col min="16" max="16" width="18.85546875" style="1" customWidth="1"/>
    <col min="17" max="17" width="18.42578125" style="1" customWidth="1"/>
    <col min="18" max="18" width="18.7109375" style="1" customWidth="1"/>
    <col min="19" max="19" width="16.28515625" style="1" customWidth="1"/>
    <col min="20" max="20" width="14.28515625" style="1" bestFit="1" customWidth="1"/>
    <col min="21" max="25" width="20.42578125" style="1" customWidth="1"/>
    <col min="26" max="26" width="14.28515625" style="1" bestFit="1" customWidth="1"/>
    <col min="27" max="31" width="20.42578125" style="1" customWidth="1"/>
    <col min="32" max="32" width="15.28515625" style="1" customWidth="1"/>
    <col min="33" max="37" width="20.7109375" style="1" customWidth="1"/>
    <col min="38" max="38" width="17.42578125" style="1" customWidth="1"/>
    <col min="39" max="39" width="21.85546875" style="1" customWidth="1"/>
    <col min="40" max="40" width="19.7109375" style="1" customWidth="1"/>
    <col min="41" max="41" width="20.7109375" style="1" customWidth="1"/>
    <col min="42" max="42" width="20.42578125" style="1" customWidth="1"/>
    <col min="43" max="43" width="20" style="1" customWidth="1"/>
    <col min="44" max="44" width="15.42578125" style="1" customWidth="1"/>
    <col min="45" max="49" width="21.42578125" style="1" customWidth="1"/>
    <col min="50" max="50" width="15.42578125" style="1" customWidth="1"/>
    <col min="51" max="55" width="20.7109375" style="1" customWidth="1"/>
    <col min="56" max="56" width="16.140625" style="1" customWidth="1"/>
    <col min="57" max="16384" width="9.140625" style="1"/>
  </cols>
  <sheetData>
    <row r="1" spans="1:56" x14ac:dyDescent="0.25">
      <c r="A1" s="19" t="s">
        <v>9</v>
      </c>
      <c r="B1" s="31"/>
      <c r="C1" s="32">
        <v>45873</v>
      </c>
      <c r="D1" s="32">
        <v>45874</v>
      </c>
      <c r="E1" s="32">
        <v>45875</v>
      </c>
      <c r="F1" s="32">
        <v>45876</v>
      </c>
      <c r="G1" s="32">
        <v>45877</v>
      </c>
      <c r="H1" s="34" t="s">
        <v>15</v>
      </c>
      <c r="I1" s="33">
        <v>45880</v>
      </c>
      <c r="J1" s="33">
        <v>45881</v>
      </c>
      <c r="K1" s="33">
        <v>45882</v>
      </c>
      <c r="L1" s="33">
        <v>45883</v>
      </c>
      <c r="M1" s="33">
        <v>45884</v>
      </c>
      <c r="N1" s="35" t="s">
        <v>15</v>
      </c>
      <c r="O1" s="33">
        <v>45887</v>
      </c>
      <c r="P1" s="33">
        <v>45888</v>
      </c>
      <c r="Q1" s="33">
        <v>45889</v>
      </c>
      <c r="R1" s="33">
        <v>45890</v>
      </c>
      <c r="S1" s="33">
        <v>45891</v>
      </c>
      <c r="T1" s="33" t="s">
        <v>15</v>
      </c>
      <c r="U1" s="33">
        <v>45894</v>
      </c>
      <c r="V1" s="33">
        <v>45895</v>
      </c>
      <c r="W1" s="33">
        <v>45896</v>
      </c>
      <c r="X1" s="33">
        <v>45897</v>
      </c>
      <c r="Y1" s="33">
        <v>45898</v>
      </c>
      <c r="Z1" s="33" t="s">
        <v>15</v>
      </c>
      <c r="AA1" s="33">
        <v>45901</v>
      </c>
      <c r="AB1" s="33">
        <v>45902</v>
      </c>
      <c r="AC1" s="33">
        <v>45903</v>
      </c>
      <c r="AD1" s="33">
        <v>45904</v>
      </c>
      <c r="AE1" s="33">
        <v>45905</v>
      </c>
      <c r="AF1" s="33" t="s">
        <v>15</v>
      </c>
      <c r="AG1" s="33">
        <v>45908</v>
      </c>
      <c r="AH1" s="33">
        <v>45909</v>
      </c>
      <c r="AI1" s="33">
        <v>45910</v>
      </c>
      <c r="AJ1" s="33">
        <v>45911</v>
      </c>
      <c r="AK1" s="33">
        <v>45912</v>
      </c>
      <c r="AL1" s="33" t="s">
        <v>15</v>
      </c>
      <c r="AM1" s="33">
        <v>45915</v>
      </c>
      <c r="AN1" s="33">
        <v>45916</v>
      </c>
      <c r="AO1" s="33">
        <v>45917</v>
      </c>
      <c r="AP1" s="33">
        <v>45918</v>
      </c>
      <c r="AQ1" s="33">
        <v>45919</v>
      </c>
      <c r="AR1" s="33" t="s">
        <v>15</v>
      </c>
      <c r="AS1" s="33">
        <v>45922</v>
      </c>
      <c r="AT1" s="33">
        <v>45923</v>
      </c>
      <c r="AU1" s="33">
        <v>45924</v>
      </c>
      <c r="AV1" s="33">
        <v>45925</v>
      </c>
      <c r="AW1" s="33">
        <v>45926</v>
      </c>
      <c r="AX1" s="33" t="s">
        <v>15</v>
      </c>
      <c r="AY1" s="33">
        <v>45929</v>
      </c>
      <c r="AZ1" s="33">
        <v>45930</v>
      </c>
      <c r="BA1" s="33">
        <v>45931</v>
      </c>
      <c r="BB1" s="33">
        <v>45932</v>
      </c>
      <c r="BC1" s="33">
        <v>45933</v>
      </c>
      <c r="BD1" s="33" t="s">
        <v>15</v>
      </c>
    </row>
    <row r="2" spans="1:56" x14ac:dyDescent="0.25">
      <c r="A2" s="2" t="s">
        <v>18</v>
      </c>
      <c r="B2" s="23">
        <v>1</v>
      </c>
      <c r="F2" s="64"/>
      <c r="H2" s="25">
        <f>SUM(C2:G2)</f>
        <v>0</v>
      </c>
      <c r="N2" s="25">
        <f>SUM(I2:M2)</f>
        <v>0</v>
      </c>
      <c r="P2" s="67"/>
      <c r="T2" s="25">
        <f t="shared" ref="T2:T16" si="0">SUM(O2:S2)</f>
        <v>0</v>
      </c>
      <c r="Z2" s="25">
        <f>SUM(U2:Y2)</f>
        <v>0</v>
      </c>
      <c r="AF2" s="25">
        <f>SUM(AA2:AE2)</f>
        <v>0</v>
      </c>
      <c r="AL2" s="25">
        <f>SUM(AG2:AK2)</f>
        <v>0</v>
      </c>
      <c r="AM2" s="1">
        <v>4</v>
      </c>
      <c r="AP2" s="1">
        <v>29</v>
      </c>
      <c r="AR2" s="29">
        <f>SUM(AM2:AQ2)</f>
        <v>33</v>
      </c>
      <c r="AW2" s="67"/>
      <c r="AX2" s="29">
        <f>SUM(AS2:AW2)</f>
        <v>0</v>
      </c>
      <c r="BC2" s="1">
        <v>4</v>
      </c>
      <c r="BD2" s="27">
        <f>SUM(AY2:BC2)</f>
        <v>4</v>
      </c>
    </row>
    <row r="3" spans="1:56" x14ac:dyDescent="0.25">
      <c r="A3" s="2" t="s">
        <v>0</v>
      </c>
      <c r="B3" s="23">
        <v>2</v>
      </c>
      <c r="F3" s="64"/>
      <c r="H3" s="25">
        <f t="shared" ref="H3:H16" si="1">SUM(C3:G3)</f>
        <v>0</v>
      </c>
      <c r="N3" s="25">
        <f t="shared" ref="N3:N16" si="2">SUM(I3:M3)</f>
        <v>0</v>
      </c>
      <c r="P3" s="67"/>
      <c r="T3" s="25">
        <f t="shared" si="0"/>
        <v>0</v>
      </c>
      <c r="Z3" s="25">
        <f t="shared" ref="Z3:Z16" si="3">SUM(U3:Y3)</f>
        <v>0</v>
      </c>
      <c r="AF3" s="25">
        <f t="shared" ref="AF3:AF16" si="4">SUM(AA3:AE3)</f>
        <v>0</v>
      </c>
      <c r="AL3" s="25">
        <f t="shared" ref="AL3:AL16" si="5">SUM(AG3:AK3)</f>
        <v>0</v>
      </c>
      <c r="AR3" s="29">
        <f t="shared" ref="AR3:AR16" si="6">SUM(AM3:AQ3)</f>
        <v>0</v>
      </c>
      <c r="AW3" s="67"/>
      <c r="AX3" s="29">
        <f t="shared" ref="AX3:AX16" si="7">SUM(AS3:AW3)</f>
        <v>0</v>
      </c>
      <c r="BD3" s="27">
        <f t="shared" ref="BD3:BD16" si="8">SUM(AY3:BC3)</f>
        <v>0</v>
      </c>
    </row>
    <row r="4" spans="1:56" x14ac:dyDescent="0.25">
      <c r="A4" s="3" t="s">
        <v>17</v>
      </c>
      <c r="B4" s="24">
        <v>3</v>
      </c>
      <c r="F4" s="64"/>
      <c r="H4" s="25">
        <f t="shared" si="1"/>
        <v>0</v>
      </c>
      <c r="N4" s="25">
        <f t="shared" si="2"/>
        <v>0</v>
      </c>
      <c r="P4" s="67"/>
      <c r="T4" s="25">
        <f t="shared" si="0"/>
        <v>0</v>
      </c>
      <c r="Z4" s="25">
        <f t="shared" si="3"/>
        <v>0</v>
      </c>
      <c r="AF4" s="25">
        <f t="shared" si="4"/>
        <v>0</v>
      </c>
      <c r="AL4" s="25">
        <f t="shared" si="5"/>
        <v>0</v>
      </c>
      <c r="AR4" s="29">
        <f t="shared" si="6"/>
        <v>0</v>
      </c>
      <c r="AW4" s="67"/>
      <c r="AX4" s="29">
        <f t="shared" si="7"/>
        <v>0</v>
      </c>
      <c r="BD4" s="27">
        <f t="shared" si="8"/>
        <v>0</v>
      </c>
    </row>
    <row r="5" spans="1:56" x14ac:dyDescent="0.25">
      <c r="A5" s="3" t="s">
        <v>16</v>
      </c>
      <c r="B5" s="23">
        <v>4</v>
      </c>
      <c r="F5" s="64"/>
      <c r="H5" s="25">
        <f t="shared" si="1"/>
        <v>0</v>
      </c>
      <c r="N5" s="25">
        <f t="shared" si="2"/>
        <v>0</v>
      </c>
      <c r="P5" s="67"/>
      <c r="T5" s="25">
        <f t="shared" si="0"/>
        <v>0</v>
      </c>
      <c r="Z5" s="25">
        <f t="shared" si="3"/>
        <v>0</v>
      </c>
      <c r="AF5" s="25">
        <f t="shared" si="4"/>
        <v>0</v>
      </c>
      <c r="AL5" s="25">
        <f t="shared" si="5"/>
        <v>0</v>
      </c>
      <c r="AR5" s="29">
        <f t="shared" si="6"/>
        <v>0</v>
      </c>
      <c r="AW5" s="67"/>
      <c r="AX5" s="29">
        <f t="shared" si="7"/>
        <v>0</v>
      </c>
      <c r="BD5" s="27">
        <f t="shared" si="8"/>
        <v>0</v>
      </c>
    </row>
    <row r="6" spans="1:56" x14ac:dyDescent="0.25">
      <c r="A6" s="3" t="s">
        <v>1</v>
      </c>
      <c r="B6" s="23">
        <v>5</v>
      </c>
      <c r="F6" s="64"/>
      <c r="H6" s="25">
        <f t="shared" si="1"/>
        <v>0</v>
      </c>
      <c r="N6" s="25">
        <f t="shared" si="2"/>
        <v>0</v>
      </c>
      <c r="P6" s="67"/>
      <c r="T6" s="25">
        <f t="shared" si="0"/>
        <v>0</v>
      </c>
      <c r="Z6" s="25">
        <f t="shared" si="3"/>
        <v>0</v>
      </c>
      <c r="AF6" s="25">
        <f t="shared" si="4"/>
        <v>0</v>
      </c>
      <c r="AL6" s="25">
        <f t="shared" si="5"/>
        <v>0</v>
      </c>
      <c r="AR6" s="29">
        <f t="shared" si="6"/>
        <v>0</v>
      </c>
      <c r="AW6" s="67"/>
      <c r="AX6" s="29">
        <f t="shared" si="7"/>
        <v>0</v>
      </c>
      <c r="BD6" s="27">
        <f t="shared" si="8"/>
        <v>0</v>
      </c>
    </row>
    <row r="7" spans="1:56" x14ac:dyDescent="0.25">
      <c r="A7" s="3" t="s">
        <v>2</v>
      </c>
      <c r="B7" s="24">
        <v>6</v>
      </c>
      <c r="F7" s="64"/>
      <c r="H7" s="25">
        <f t="shared" si="1"/>
        <v>0</v>
      </c>
      <c r="N7" s="25">
        <f t="shared" si="2"/>
        <v>0</v>
      </c>
      <c r="P7" s="67"/>
      <c r="T7" s="25">
        <f t="shared" si="0"/>
        <v>0</v>
      </c>
      <c r="Z7" s="25">
        <f t="shared" si="3"/>
        <v>0</v>
      </c>
      <c r="AF7" s="25">
        <f t="shared" si="4"/>
        <v>0</v>
      </c>
      <c r="AL7" s="25">
        <f t="shared" si="5"/>
        <v>0</v>
      </c>
      <c r="AR7" s="29">
        <f t="shared" si="6"/>
        <v>0</v>
      </c>
      <c r="AW7" s="67"/>
      <c r="AX7" s="29">
        <f t="shared" si="7"/>
        <v>0</v>
      </c>
      <c r="BD7" s="27">
        <f t="shared" si="8"/>
        <v>0</v>
      </c>
    </row>
    <row r="8" spans="1:56" x14ac:dyDescent="0.25">
      <c r="A8" s="3" t="s">
        <v>3</v>
      </c>
      <c r="B8" s="23">
        <v>7</v>
      </c>
      <c r="F8" s="64"/>
      <c r="H8" s="25">
        <f t="shared" si="1"/>
        <v>0</v>
      </c>
      <c r="N8" s="25">
        <f t="shared" si="2"/>
        <v>0</v>
      </c>
      <c r="P8" s="67"/>
      <c r="T8" s="25">
        <f t="shared" si="0"/>
        <v>0</v>
      </c>
      <c r="Z8" s="25">
        <f t="shared" si="3"/>
        <v>0</v>
      </c>
      <c r="AF8" s="25">
        <f t="shared" si="4"/>
        <v>0</v>
      </c>
      <c r="AL8" s="25">
        <f t="shared" si="5"/>
        <v>0</v>
      </c>
      <c r="AR8" s="29">
        <f t="shared" si="6"/>
        <v>0</v>
      </c>
      <c r="AW8" s="67"/>
      <c r="AX8" s="29">
        <f t="shared" si="7"/>
        <v>0</v>
      </c>
      <c r="BD8" s="27">
        <f t="shared" si="8"/>
        <v>0</v>
      </c>
    </row>
    <row r="9" spans="1:56" x14ac:dyDescent="0.25">
      <c r="A9" s="3" t="s">
        <v>13</v>
      </c>
      <c r="B9" s="23">
        <v>8</v>
      </c>
      <c r="F9" s="64"/>
      <c r="H9" s="25">
        <f t="shared" si="1"/>
        <v>0</v>
      </c>
      <c r="N9" s="25">
        <f t="shared" si="2"/>
        <v>0</v>
      </c>
      <c r="P9" s="67"/>
      <c r="T9" s="25">
        <f t="shared" si="0"/>
        <v>0</v>
      </c>
      <c r="Z9" s="25">
        <f t="shared" si="3"/>
        <v>0</v>
      </c>
      <c r="AF9" s="25">
        <f t="shared" si="4"/>
        <v>0</v>
      </c>
      <c r="AL9" s="25">
        <f t="shared" si="5"/>
        <v>0</v>
      </c>
      <c r="AR9" s="29">
        <f t="shared" si="6"/>
        <v>0</v>
      </c>
      <c r="AW9" s="67"/>
      <c r="AX9" s="29">
        <f t="shared" si="7"/>
        <v>0</v>
      </c>
      <c r="BD9" s="27">
        <f t="shared" si="8"/>
        <v>0</v>
      </c>
    </row>
    <row r="10" spans="1:56" x14ac:dyDescent="0.25">
      <c r="A10" s="2" t="s">
        <v>12</v>
      </c>
      <c r="B10" s="24">
        <v>9</v>
      </c>
      <c r="F10" s="64"/>
      <c r="H10" s="25">
        <f t="shared" si="1"/>
        <v>0</v>
      </c>
      <c r="N10" s="25">
        <f t="shared" si="2"/>
        <v>0</v>
      </c>
      <c r="P10" s="67"/>
      <c r="T10" s="25">
        <f t="shared" si="0"/>
        <v>0</v>
      </c>
      <c r="Z10" s="25">
        <f t="shared" si="3"/>
        <v>0</v>
      </c>
      <c r="AF10" s="25">
        <f t="shared" si="4"/>
        <v>0</v>
      </c>
      <c r="AL10" s="25">
        <f t="shared" si="5"/>
        <v>0</v>
      </c>
      <c r="AR10" s="29">
        <f t="shared" si="6"/>
        <v>0</v>
      </c>
      <c r="AW10" s="67"/>
      <c r="AX10" s="29">
        <f t="shared" si="7"/>
        <v>0</v>
      </c>
      <c r="BD10" s="27">
        <f t="shared" si="8"/>
        <v>0</v>
      </c>
    </row>
    <row r="11" spans="1:56" x14ac:dyDescent="0.25">
      <c r="A11" s="3" t="s">
        <v>4</v>
      </c>
      <c r="B11" s="23">
        <v>10</v>
      </c>
      <c r="F11" s="64"/>
      <c r="H11" s="25">
        <f t="shared" si="1"/>
        <v>0</v>
      </c>
      <c r="L11" s="1">
        <v>1</v>
      </c>
      <c r="M11" s="1">
        <v>2</v>
      </c>
      <c r="N11" s="25">
        <f t="shared" si="2"/>
        <v>3</v>
      </c>
      <c r="P11" s="67"/>
      <c r="S11" s="1">
        <v>2</v>
      </c>
      <c r="T11" s="25">
        <f t="shared" si="0"/>
        <v>2</v>
      </c>
      <c r="V11" s="1">
        <v>2</v>
      </c>
      <c r="Z11" s="25">
        <f t="shared" si="3"/>
        <v>2</v>
      </c>
      <c r="AA11" s="1">
        <v>3</v>
      </c>
      <c r="AD11" s="1">
        <v>2</v>
      </c>
      <c r="AE11" s="1">
        <v>1</v>
      </c>
      <c r="AF11" s="25">
        <f t="shared" si="4"/>
        <v>6</v>
      </c>
      <c r="AG11" s="1">
        <v>1</v>
      </c>
      <c r="AL11" s="25">
        <f t="shared" si="5"/>
        <v>1</v>
      </c>
      <c r="AR11" s="29">
        <f t="shared" si="6"/>
        <v>0</v>
      </c>
      <c r="AW11" s="67"/>
      <c r="AX11" s="29">
        <f t="shared" si="7"/>
        <v>0</v>
      </c>
      <c r="BD11" s="27">
        <f t="shared" si="8"/>
        <v>0</v>
      </c>
    </row>
    <row r="12" spans="1:56" x14ac:dyDescent="0.25">
      <c r="A12" s="3" t="s">
        <v>5</v>
      </c>
      <c r="B12" s="23">
        <v>11</v>
      </c>
      <c r="F12" s="64"/>
      <c r="H12" s="25">
        <f>SUM(C12:G12)</f>
        <v>0</v>
      </c>
      <c r="N12" s="25">
        <f t="shared" si="2"/>
        <v>0</v>
      </c>
      <c r="P12" s="67"/>
      <c r="T12" s="25">
        <f t="shared" si="0"/>
        <v>0</v>
      </c>
      <c r="Z12" s="25">
        <f t="shared" si="3"/>
        <v>0</v>
      </c>
      <c r="AF12" s="25">
        <f t="shared" si="4"/>
        <v>0</v>
      </c>
      <c r="AG12" s="1">
        <v>2</v>
      </c>
      <c r="AI12" s="1">
        <v>7</v>
      </c>
      <c r="AJ12" s="1">
        <v>4</v>
      </c>
      <c r="AL12" s="25">
        <f t="shared" si="5"/>
        <v>13</v>
      </c>
      <c r="AR12" s="29">
        <f t="shared" si="6"/>
        <v>0</v>
      </c>
      <c r="AW12" s="67"/>
      <c r="AX12" s="29">
        <f t="shared" si="7"/>
        <v>0</v>
      </c>
      <c r="BD12" s="27">
        <f t="shared" si="8"/>
        <v>0</v>
      </c>
    </row>
    <row r="13" spans="1:56" x14ac:dyDescent="0.25">
      <c r="A13" s="2" t="s">
        <v>8</v>
      </c>
      <c r="B13" s="24">
        <v>12</v>
      </c>
      <c r="F13" s="64"/>
      <c r="H13" s="25">
        <f t="shared" si="1"/>
        <v>0</v>
      </c>
      <c r="N13" s="25">
        <f t="shared" si="2"/>
        <v>0</v>
      </c>
      <c r="P13" s="67"/>
      <c r="T13" s="25">
        <f t="shared" si="0"/>
        <v>0</v>
      </c>
      <c r="Z13" s="25">
        <f t="shared" si="3"/>
        <v>0</v>
      </c>
      <c r="AF13" s="25">
        <f t="shared" si="4"/>
        <v>0</v>
      </c>
      <c r="AK13" s="1">
        <v>1</v>
      </c>
      <c r="AL13" s="25">
        <f t="shared" si="5"/>
        <v>1</v>
      </c>
      <c r="AN13" s="1">
        <v>1</v>
      </c>
      <c r="AP13" s="1">
        <v>1</v>
      </c>
      <c r="AQ13" s="1">
        <v>30</v>
      </c>
      <c r="AR13" s="29">
        <f t="shared" si="6"/>
        <v>32</v>
      </c>
      <c r="AS13" s="1">
        <v>1</v>
      </c>
      <c r="AT13" s="1">
        <v>1</v>
      </c>
      <c r="AW13" s="67"/>
      <c r="AX13" s="29">
        <f t="shared" si="7"/>
        <v>2</v>
      </c>
      <c r="BC13" s="1">
        <v>3</v>
      </c>
      <c r="BD13" s="27">
        <f t="shared" si="8"/>
        <v>3</v>
      </c>
    </row>
    <row r="14" spans="1:56" x14ac:dyDescent="0.25">
      <c r="A14" s="3" t="s">
        <v>6</v>
      </c>
      <c r="B14" s="23">
        <v>13</v>
      </c>
      <c r="F14" s="64"/>
      <c r="H14" s="25">
        <f t="shared" si="1"/>
        <v>0</v>
      </c>
      <c r="J14" s="1">
        <v>1</v>
      </c>
      <c r="N14" s="25">
        <f t="shared" si="2"/>
        <v>1</v>
      </c>
      <c r="P14" s="67"/>
      <c r="T14" s="25">
        <f t="shared" si="0"/>
        <v>0</v>
      </c>
      <c r="Z14" s="25">
        <f t="shared" si="3"/>
        <v>0</v>
      </c>
      <c r="AF14" s="25">
        <f t="shared" si="4"/>
        <v>0</v>
      </c>
      <c r="AL14" s="25">
        <f t="shared" si="5"/>
        <v>0</v>
      </c>
      <c r="AR14" s="29">
        <f t="shared" si="6"/>
        <v>0</v>
      </c>
      <c r="AW14" s="67"/>
      <c r="AX14" s="29">
        <f t="shared" si="7"/>
        <v>0</v>
      </c>
      <c r="BD14" s="27">
        <f t="shared" si="8"/>
        <v>0</v>
      </c>
    </row>
    <row r="15" spans="1:56" x14ac:dyDescent="0.25">
      <c r="A15" s="2" t="s">
        <v>7</v>
      </c>
      <c r="B15" s="23">
        <v>14</v>
      </c>
      <c r="F15" s="64"/>
      <c r="H15" s="25">
        <f t="shared" si="1"/>
        <v>0</v>
      </c>
      <c r="N15" s="25">
        <f t="shared" si="2"/>
        <v>0</v>
      </c>
      <c r="P15" s="67"/>
      <c r="T15" s="25">
        <f t="shared" si="0"/>
        <v>0</v>
      </c>
      <c r="Z15" s="25">
        <f t="shared" si="3"/>
        <v>0</v>
      </c>
      <c r="AC15" s="1">
        <v>14</v>
      </c>
      <c r="AF15" s="25">
        <f t="shared" si="4"/>
        <v>14</v>
      </c>
      <c r="AL15" s="25">
        <f t="shared" si="5"/>
        <v>0</v>
      </c>
      <c r="AR15" s="29">
        <f t="shared" si="6"/>
        <v>0</v>
      </c>
      <c r="AW15" s="67"/>
      <c r="AX15" s="29">
        <f t="shared" si="7"/>
        <v>0</v>
      </c>
      <c r="BD15" s="27">
        <f t="shared" si="8"/>
        <v>0</v>
      </c>
    </row>
    <row r="16" spans="1:56" x14ac:dyDescent="0.25">
      <c r="A16" s="20" t="s">
        <v>14</v>
      </c>
      <c r="B16" s="21">
        <v>15</v>
      </c>
      <c r="F16" s="64"/>
      <c r="H16" s="18">
        <f t="shared" si="1"/>
        <v>0</v>
      </c>
      <c r="N16" s="18">
        <f t="shared" si="2"/>
        <v>0</v>
      </c>
      <c r="O16" s="17"/>
      <c r="P16" s="68"/>
      <c r="Q16" s="17"/>
      <c r="T16" s="18">
        <f t="shared" si="0"/>
        <v>0</v>
      </c>
      <c r="U16" s="17"/>
      <c r="V16" s="17"/>
      <c r="W16" s="17">
        <v>4</v>
      </c>
      <c r="X16" s="17"/>
      <c r="Y16" s="17">
        <v>7</v>
      </c>
      <c r="Z16" s="18">
        <f t="shared" si="3"/>
        <v>11</v>
      </c>
      <c r="AB16" s="1">
        <v>23</v>
      </c>
      <c r="AC16" s="1">
        <v>12</v>
      </c>
      <c r="AF16" s="18">
        <f t="shared" si="4"/>
        <v>35</v>
      </c>
      <c r="AL16" s="18">
        <f t="shared" si="5"/>
        <v>0</v>
      </c>
      <c r="AR16" s="30">
        <f t="shared" si="6"/>
        <v>0</v>
      </c>
      <c r="AW16" s="67"/>
      <c r="AX16" s="30">
        <f t="shared" si="7"/>
        <v>0</v>
      </c>
      <c r="BA16" s="1">
        <v>3</v>
      </c>
      <c r="BB16" s="1">
        <v>3</v>
      </c>
      <c r="BC16" s="1">
        <v>4</v>
      </c>
      <c r="BD16" s="28">
        <f t="shared" si="8"/>
        <v>10</v>
      </c>
    </row>
    <row r="17" spans="1:55" ht="255" x14ac:dyDescent="0.25">
      <c r="A17" s="1" t="s">
        <v>11</v>
      </c>
      <c r="C17" s="4" t="s">
        <v>41</v>
      </c>
      <c r="D17" s="4" t="s">
        <v>38</v>
      </c>
      <c r="E17" s="4" t="s">
        <v>41</v>
      </c>
      <c r="F17" s="65" t="s">
        <v>42</v>
      </c>
      <c r="G17" s="4" t="s">
        <v>43</v>
      </c>
      <c r="H17" s="4"/>
      <c r="I17" s="66" t="s">
        <v>44</v>
      </c>
      <c r="J17" s="66" t="s">
        <v>45</v>
      </c>
      <c r="K17" s="66" t="s">
        <v>46</v>
      </c>
      <c r="L17" s="66" t="s">
        <v>47</v>
      </c>
      <c r="M17" s="66" t="s">
        <v>48</v>
      </c>
      <c r="O17" s="4" t="s">
        <v>59</v>
      </c>
      <c r="P17" s="69" t="s">
        <v>58</v>
      </c>
      <c r="Q17" s="66" t="s">
        <v>60</v>
      </c>
      <c r="R17" s="4" t="s">
        <v>61</v>
      </c>
      <c r="S17" s="66" t="s">
        <v>68</v>
      </c>
      <c r="U17" s="66" t="s">
        <v>69</v>
      </c>
      <c r="V17" s="66" t="s">
        <v>68</v>
      </c>
      <c r="W17" s="4" t="s">
        <v>70</v>
      </c>
      <c r="X17" s="66" t="s">
        <v>71</v>
      </c>
      <c r="Y17" s="66" t="s">
        <v>71</v>
      </c>
      <c r="AA17" s="66" t="s">
        <v>76</v>
      </c>
      <c r="AB17" s="66" t="s">
        <v>77</v>
      </c>
      <c r="AC17" s="4" t="s">
        <v>78</v>
      </c>
      <c r="AD17" s="66" t="s">
        <v>68</v>
      </c>
      <c r="AE17" s="4" t="s">
        <v>81</v>
      </c>
      <c r="AG17" s="4" t="s">
        <v>87</v>
      </c>
      <c r="AH17" s="4" t="s">
        <v>88</v>
      </c>
      <c r="AI17" s="4" t="s">
        <v>89</v>
      </c>
      <c r="AJ17" s="4" t="s">
        <v>90</v>
      </c>
      <c r="AK17" s="4" t="s">
        <v>91</v>
      </c>
      <c r="AM17" s="4" t="s">
        <v>104</v>
      </c>
      <c r="AN17" s="4" t="s">
        <v>105</v>
      </c>
      <c r="AO17" s="4" t="s">
        <v>106</v>
      </c>
      <c r="AP17" s="4" t="s">
        <v>107</v>
      </c>
      <c r="AQ17" s="4" t="s">
        <v>108</v>
      </c>
      <c r="AS17" s="66" t="s">
        <v>113</v>
      </c>
      <c r="AT17" s="66" t="s">
        <v>114</v>
      </c>
      <c r="AU17" s="66" t="s">
        <v>115</v>
      </c>
      <c r="AV17" s="66" t="s">
        <v>116</v>
      </c>
      <c r="AW17" s="70" t="s">
        <v>117</v>
      </c>
      <c r="AY17" s="66" t="s">
        <v>118</v>
      </c>
      <c r="AZ17" s="4" t="s">
        <v>119</v>
      </c>
      <c r="BA17" s="66" t="s">
        <v>120</v>
      </c>
      <c r="BB17" s="66" t="s">
        <v>120</v>
      </c>
      <c r="BC17" s="66" t="s">
        <v>121</v>
      </c>
    </row>
    <row r="18" spans="1:55" x14ac:dyDescent="0.25">
      <c r="A18" s="1" t="s">
        <v>10</v>
      </c>
      <c r="C18" s="4"/>
      <c r="Q18" s="4"/>
      <c r="U18" s="4"/>
      <c r="W18" s="4"/>
      <c r="X18" s="4"/>
      <c r="Y18" s="4"/>
      <c r="Z18" s="4"/>
      <c r="AA18" s="4"/>
      <c r="AB18" s="4"/>
      <c r="AC18" s="4"/>
      <c r="AD18" s="4"/>
      <c r="AE18" s="4"/>
      <c r="AG18" s="4"/>
      <c r="AH18" s="4"/>
      <c r="AI18" s="4"/>
      <c r="AJ18" s="4"/>
      <c r="AK18" s="4"/>
      <c r="AN18" s="4"/>
      <c r="AO18" s="4"/>
      <c r="AP18" s="4"/>
      <c r="AQ18" s="4"/>
      <c r="AY18" s="4"/>
      <c r="AZ18" s="4"/>
      <c r="BA18" s="4"/>
      <c r="BB18" s="4"/>
      <c r="BC18" s="4"/>
    </row>
  </sheetData>
  <customSheetViews>
    <customSheetView guid="{3D987F8E-A6EA-454D-9537-6BFC5053CB00}" topLeftCell="A4">
      <pane xSplit="1" topLeftCell="S1" activePane="topRight" state="frozen"/>
      <selection pane="topRight" activeCell="Y16" sqref="Y16"/>
      <pageMargins left="0.511811024" right="0.511811024" top="0.78740157499999996" bottom="0.78740157499999996" header="0.31496062000000002" footer="0.31496062000000002"/>
    </customSheetView>
    <customSheetView guid="{B3CDE377-BA5D-4E06-91D9-3A48E1959BA5}">
      <pane xSplit="1" topLeftCell="AX1" activePane="topRight" state="frozen"/>
      <selection pane="topRight" activeCell="AY17" sqref="AY17:BC17"/>
      <pageMargins left="0.511811024" right="0.511811024" top="0.78740157499999996" bottom="0.78740157499999996" header="0.31496062000000002" footer="0.31496062000000002"/>
    </customSheetView>
    <customSheetView guid="{86039CF8-B158-4D70-9A6F-A10C29CBD68A}" scale="90">
      <pane xSplit="1" topLeftCell="AX1" activePane="topRight" state="frozen"/>
      <selection pane="topRight" activeCell="BD17" sqref="BD17"/>
      <pageMargins left="0.511811024" right="0.511811024" top="0.78740157499999996" bottom="0.78740157499999996" header="0.31496062000000002" footer="0.31496062000000002"/>
    </customSheetView>
    <customSheetView guid="{552DFCCD-1786-4D75-8B10-27DD730384DD}">
      <selection activeCell="E3" sqref="E3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F5" sqref="F5"/>
      <pageMargins left="0.511811024" right="0.511811024" top="0.78740157499999996" bottom="0.78740157499999996" header="0.31496062000000002" footer="0.31496062000000002"/>
    </customSheetView>
    <customSheetView guid="{9B623083-AA7B-440B-95EA-C33E1AB3D963}" scale="90" showAutoFilter="1">
      <pane xSplit="1" topLeftCell="T1" activePane="topRight" state="frozen"/>
      <selection pane="topRight" activeCell="W17" sqref="W17"/>
      <pageMargins left="0.511811024" right="0.511811024" top="0.78740157499999996" bottom="0.78740157499999996" header="0.31496062000000002" footer="0.31496062000000002"/>
      <autoFilter ref="A1:A18" xr:uid="{627F443F-532B-48F2-B461-F6672AD2AF0A}"/>
    </customSheetView>
    <customSheetView guid="{18A482E0-C8B6-4AA1-9E04-15FA7C9CD5E3}" scale="90">
      <pane xSplit="1" topLeftCell="AC1" activePane="topRight" state="frozen"/>
      <selection pane="topRight" activeCell="AE17" sqref="AE17"/>
      <pageMargins left="0.511811024" right="0.511811024" top="0.78740157499999996" bottom="0.78740157499999996" header="0.31496062000000002" footer="0.31496062000000002"/>
    </customSheetView>
    <customSheetView guid="{20CB6D8F-C24D-4D4B-A424-AF380F620455}" showPageBreaks="1" topLeftCell="AA1">
      <selection activeCell="Y17" sqref="Y17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E3841903-5B68-44FD-8F09-58E03D1025C5}" topLeftCell="O1">
      <selection activeCell="BF17" sqref="BF17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D33"/>
  <sheetViews>
    <sheetView topLeftCell="A3" zoomScaleNormal="90" workbookViewId="0">
      <pane xSplit="1" topLeftCell="AJ1" activePane="topRight" state="frozen"/>
      <selection activeCell="A3" sqref="A3"/>
      <selection pane="topRight" activeCell="AU17" sqref="AU17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3" width="23.85546875" style="1" customWidth="1"/>
    <col min="4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6" width="7.140625" style="1" bestFit="1" customWidth="1"/>
    <col min="17" max="17" width="14.5703125" style="1" customWidth="1"/>
    <col min="18" max="18" width="7.140625" style="1" bestFit="1" customWidth="1"/>
    <col min="19" max="19" width="7.5703125" style="1" customWidth="1"/>
    <col min="20" max="20" width="14.28515625" style="1" bestFit="1" customWidth="1"/>
    <col min="21" max="21" width="7.140625" style="1" bestFit="1" customWidth="1"/>
    <col min="22" max="22" width="14" style="1" customWidth="1"/>
    <col min="23" max="23" width="13" style="1" customWidth="1"/>
    <col min="24" max="24" width="16.140625" style="1" customWidth="1"/>
    <col min="25" max="25" width="16.85546875" style="1" customWidth="1"/>
    <col min="26" max="26" width="14.28515625" style="1" bestFit="1" customWidth="1"/>
    <col min="27" max="27" width="13.140625" style="1" customWidth="1"/>
    <col min="28" max="31" width="9.140625" style="1"/>
    <col min="32" max="32" width="15.28515625" style="1" customWidth="1"/>
    <col min="33" max="33" width="19.42578125" style="1" customWidth="1"/>
    <col min="34" max="35" width="9.140625" style="1"/>
    <col min="36" max="36" width="6.85546875" style="1" customWidth="1"/>
    <col min="37" max="37" width="16.5703125" style="1" customWidth="1"/>
    <col min="38" max="38" width="17.42578125" style="1" customWidth="1"/>
    <col min="39" max="40" width="11.42578125" style="1" customWidth="1"/>
    <col min="41" max="41" width="10.85546875" style="1" customWidth="1"/>
    <col min="42" max="42" width="13.42578125" style="1" customWidth="1"/>
    <col min="43" max="43" width="9.140625" style="1"/>
    <col min="44" max="44" width="15.42578125" style="1" customWidth="1"/>
    <col min="45" max="49" width="9.140625" style="1"/>
    <col min="50" max="50" width="15.42578125" style="1" customWidth="1"/>
    <col min="51" max="55" width="9.140625" style="1"/>
    <col min="56" max="56" width="16.140625" style="1" customWidth="1"/>
    <col min="57" max="16384" width="9.140625" style="1"/>
  </cols>
  <sheetData>
    <row r="1" spans="1:56" x14ac:dyDescent="0.25">
      <c r="A1" s="19" t="s">
        <v>9</v>
      </c>
      <c r="B1" s="31"/>
      <c r="C1" s="32">
        <v>45873</v>
      </c>
      <c r="D1" s="32">
        <v>45874</v>
      </c>
      <c r="E1" s="32">
        <v>45875</v>
      </c>
      <c r="F1" s="32">
        <v>45876</v>
      </c>
      <c r="G1" s="32">
        <v>45877</v>
      </c>
      <c r="H1" s="34" t="s">
        <v>15</v>
      </c>
      <c r="I1" s="33">
        <v>45880</v>
      </c>
      <c r="J1" s="33">
        <v>45881</v>
      </c>
      <c r="K1" s="33">
        <v>45882</v>
      </c>
      <c r="L1" s="33">
        <v>45883</v>
      </c>
      <c r="M1" s="33">
        <v>45884</v>
      </c>
      <c r="N1" s="35" t="s">
        <v>15</v>
      </c>
      <c r="O1" s="33">
        <v>45887</v>
      </c>
      <c r="P1" s="33">
        <v>45888</v>
      </c>
      <c r="Q1" s="33">
        <v>45889</v>
      </c>
      <c r="R1" s="33">
        <v>45890</v>
      </c>
      <c r="S1" s="33">
        <v>45891</v>
      </c>
      <c r="T1" s="35" t="s">
        <v>15</v>
      </c>
      <c r="U1" s="33">
        <v>45894</v>
      </c>
      <c r="V1" s="33">
        <v>45895</v>
      </c>
      <c r="W1" s="33">
        <v>45896</v>
      </c>
      <c r="X1" s="33">
        <v>45897</v>
      </c>
      <c r="Y1" s="33">
        <v>45898</v>
      </c>
      <c r="Z1" s="35" t="s">
        <v>15</v>
      </c>
      <c r="AA1" s="33">
        <v>45901</v>
      </c>
      <c r="AB1" s="33">
        <v>45902</v>
      </c>
      <c r="AC1" s="33">
        <v>45903</v>
      </c>
      <c r="AD1" s="33">
        <v>45904</v>
      </c>
      <c r="AE1" s="33">
        <v>45905</v>
      </c>
      <c r="AF1" s="35" t="s">
        <v>15</v>
      </c>
      <c r="AG1" s="33">
        <v>45908</v>
      </c>
      <c r="AH1" s="33">
        <v>45909</v>
      </c>
      <c r="AI1" s="33">
        <v>45910</v>
      </c>
      <c r="AJ1" s="33">
        <v>45911</v>
      </c>
      <c r="AK1" s="33">
        <v>45912</v>
      </c>
      <c r="AL1" s="35" t="s">
        <v>15</v>
      </c>
      <c r="AM1" s="33">
        <v>45915</v>
      </c>
      <c r="AN1" s="33">
        <v>45916</v>
      </c>
      <c r="AO1" s="33">
        <v>45917</v>
      </c>
      <c r="AP1" s="33">
        <v>45918</v>
      </c>
      <c r="AQ1" s="33">
        <v>45919</v>
      </c>
      <c r="AR1" s="36" t="s">
        <v>15</v>
      </c>
      <c r="AS1" s="33">
        <v>45922</v>
      </c>
      <c r="AT1" s="33">
        <v>45923</v>
      </c>
      <c r="AU1" s="33">
        <v>45924</v>
      </c>
      <c r="AV1" s="33">
        <v>45925</v>
      </c>
      <c r="AW1" s="33">
        <v>45926</v>
      </c>
      <c r="AX1" s="36" t="s">
        <v>15</v>
      </c>
      <c r="AY1" s="33">
        <v>45929</v>
      </c>
      <c r="AZ1" s="33">
        <v>45930</v>
      </c>
      <c r="BA1" s="33">
        <v>45931</v>
      </c>
      <c r="BB1" s="33">
        <v>45932</v>
      </c>
      <c r="BC1" s="33">
        <v>45933</v>
      </c>
      <c r="BD1" s="37" t="s">
        <v>15</v>
      </c>
    </row>
    <row r="2" spans="1:56" x14ac:dyDescent="0.25">
      <c r="A2" s="2" t="s">
        <v>18</v>
      </c>
      <c r="B2" s="23">
        <v>1</v>
      </c>
      <c r="C2" s="14"/>
      <c r="H2" s="25">
        <f>SUM(C2:G2)</f>
        <v>0</v>
      </c>
      <c r="M2" s="1">
        <v>1</v>
      </c>
      <c r="N2" s="25">
        <f>SUM(I2:M2)</f>
        <v>1</v>
      </c>
      <c r="T2" s="25">
        <f t="shared" ref="T2:T16" si="0">SUM(O2:S2)</f>
        <v>0</v>
      </c>
      <c r="Y2" s="1">
        <v>8</v>
      </c>
      <c r="Z2" s="25">
        <f>SUM(U2:Y2)</f>
        <v>8</v>
      </c>
      <c r="AF2" s="25">
        <f>SUM(AA2:AE2)</f>
        <v>0</v>
      </c>
      <c r="AL2" s="25">
        <f>SUM(AG2:AK2)</f>
        <v>0</v>
      </c>
      <c r="AR2" s="29">
        <f>SUM(AM2:AQ2)</f>
        <v>0</v>
      </c>
      <c r="AX2" s="29">
        <f>SUM(AS2:AW2)</f>
        <v>0</v>
      </c>
      <c r="BD2" s="27">
        <f>SUM(AY2:BC2)</f>
        <v>0</v>
      </c>
    </row>
    <row r="3" spans="1:56" x14ac:dyDescent="0.25">
      <c r="A3" s="2" t="s">
        <v>0</v>
      </c>
      <c r="B3" s="23">
        <v>2</v>
      </c>
      <c r="C3" s="14"/>
      <c r="H3" s="25">
        <f t="shared" ref="H3:H16" si="1">SUM(C3:G3)</f>
        <v>0</v>
      </c>
      <c r="N3" s="25">
        <f t="shared" ref="N3:N16" si="2">SUM(I3:M3)</f>
        <v>0</v>
      </c>
      <c r="T3" s="25">
        <f t="shared" si="0"/>
        <v>0</v>
      </c>
      <c r="Z3" s="25">
        <f t="shared" ref="Z3:Z16" si="3">SUM(U3:Y3)</f>
        <v>0</v>
      </c>
      <c r="AF3" s="25">
        <f t="shared" ref="AF3:AF16" si="4">SUM(AA3:AE3)</f>
        <v>0</v>
      </c>
      <c r="AL3" s="25">
        <f t="shared" ref="AL3:AL16" si="5">SUM(AG3:AK3)</f>
        <v>0</v>
      </c>
      <c r="AR3" s="29">
        <f t="shared" ref="AR3:AR16" si="6">SUM(AM3:AQ3)</f>
        <v>0</v>
      </c>
      <c r="AX3" s="29">
        <f t="shared" ref="AX3:AX16" si="7">SUM(AS3:AW3)</f>
        <v>0</v>
      </c>
      <c r="BD3" s="27">
        <f t="shared" ref="BD3:BD16" si="8">SUM(AY3:BC3)</f>
        <v>0</v>
      </c>
    </row>
    <row r="4" spans="1:56" x14ac:dyDescent="0.25">
      <c r="A4" s="3" t="s">
        <v>17</v>
      </c>
      <c r="B4" s="24">
        <v>3</v>
      </c>
      <c r="C4" s="14"/>
      <c r="H4" s="25">
        <f t="shared" si="1"/>
        <v>0</v>
      </c>
      <c r="N4" s="25">
        <f t="shared" si="2"/>
        <v>0</v>
      </c>
      <c r="T4" s="25">
        <f t="shared" si="0"/>
        <v>0</v>
      </c>
      <c r="U4" s="1">
        <v>1</v>
      </c>
      <c r="Z4" s="25">
        <f t="shared" si="3"/>
        <v>1</v>
      </c>
      <c r="AF4" s="25">
        <f t="shared" si="4"/>
        <v>0</v>
      </c>
      <c r="AL4" s="25">
        <f t="shared" si="5"/>
        <v>0</v>
      </c>
      <c r="AR4" s="29">
        <f t="shared" si="6"/>
        <v>0</v>
      </c>
      <c r="AX4" s="29">
        <f t="shared" si="7"/>
        <v>0</v>
      </c>
      <c r="BD4" s="27">
        <f t="shared" si="8"/>
        <v>0</v>
      </c>
    </row>
    <row r="5" spans="1:56" x14ac:dyDescent="0.25">
      <c r="A5" s="3" t="s">
        <v>16</v>
      </c>
      <c r="B5" s="23">
        <v>4</v>
      </c>
      <c r="C5" s="14"/>
      <c r="H5" s="25">
        <f t="shared" si="1"/>
        <v>0</v>
      </c>
      <c r="N5" s="25">
        <f t="shared" si="2"/>
        <v>0</v>
      </c>
      <c r="T5" s="25">
        <f t="shared" si="0"/>
        <v>0</v>
      </c>
      <c r="V5" s="1">
        <v>1</v>
      </c>
      <c r="Z5" s="25">
        <f t="shared" si="3"/>
        <v>1</v>
      </c>
      <c r="AF5" s="25">
        <f t="shared" si="4"/>
        <v>0</v>
      </c>
      <c r="AL5" s="25">
        <f t="shared" si="5"/>
        <v>0</v>
      </c>
      <c r="AR5" s="29">
        <f t="shared" si="6"/>
        <v>0</v>
      </c>
      <c r="AX5" s="29">
        <f t="shared" si="7"/>
        <v>0</v>
      </c>
      <c r="BD5" s="27">
        <f t="shared" si="8"/>
        <v>0</v>
      </c>
    </row>
    <row r="6" spans="1:56" x14ac:dyDescent="0.25">
      <c r="A6" s="3" t="s">
        <v>1</v>
      </c>
      <c r="B6" s="23">
        <v>5</v>
      </c>
      <c r="C6" s="14"/>
      <c r="H6" s="25">
        <f t="shared" si="1"/>
        <v>0</v>
      </c>
      <c r="N6" s="25">
        <f t="shared" si="2"/>
        <v>0</v>
      </c>
      <c r="T6" s="25">
        <f t="shared" si="0"/>
        <v>0</v>
      </c>
      <c r="Z6" s="25">
        <f t="shared" si="3"/>
        <v>0</v>
      </c>
      <c r="AF6" s="25">
        <f t="shared" si="4"/>
        <v>0</v>
      </c>
      <c r="AL6" s="25">
        <f t="shared" si="5"/>
        <v>0</v>
      </c>
      <c r="AR6" s="29">
        <f t="shared" si="6"/>
        <v>0</v>
      </c>
      <c r="AX6" s="29">
        <f t="shared" si="7"/>
        <v>0</v>
      </c>
      <c r="BD6" s="27">
        <f t="shared" si="8"/>
        <v>0</v>
      </c>
    </row>
    <row r="7" spans="1:56" x14ac:dyDescent="0.25">
      <c r="A7" s="3" t="s">
        <v>2</v>
      </c>
      <c r="B7" s="24">
        <v>6</v>
      </c>
      <c r="C7" s="14"/>
      <c r="H7" s="25">
        <f t="shared" si="1"/>
        <v>0</v>
      </c>
      <c r="N7" s="25">
        <f t="shared" si="2"/>
        <v>0</v>
      </c>
      <c r="T7" s="25">
        <f t="shared" si="0"/>
        <v>0</v>
      </c>
      <c r="Z7" s="25">
        <f t="shared" si="3"/>
        <v>0</v>
      </c>
      <c r="AF7" s="25">
        <f t="shared" si="4"/>
        <v>0</v>
      </c>
      <c r="AL7" s="25">
        <f t="shared" si="5"/>
        <v>0</v>
      </c>
      <c r="AR7" s="29">
        <f t="shared" si="6"/>
        <v>0</v>
      </c>
      <c r="AX7" s="29">
        <f t="shared" si="7"/>
        <v>0</v>
      </c>
      <c r="BD7" s="27">
        <f t="shared" si="8"/>
        <v>0</v>
      </c>
    </row>
    <row r="8" spans="1:56" x14ac:dyDescent="0.25">
      <c r="A8" s="3" t="s">
        <v>3</v>
      </c>
      <c r="B8" s="23">
        <v>7</v>
      </c>
      <c r="C8" s="14"/>
      <c r="H8" s="25">
        <f t="shared" si="1"/>
        <v>0</v>
      </c>
      <c r="N8" s="25">
        <f t="shared" si="2"/>
        <v>0</v>
      </c>
      <c r="T8" s="25">
        <f t="shared" si="0"/>
        <v>0</v>
      </c>
      <c r="Z8" s="25">
        <f t="shared" si="3"/>
        <v>0</v>
      </c>
      <c r="AF8" s="25">
        <f t="shared" si="4"/>
        <v>0</v>
      </c>
      <c r="AL8" s="25">
        <f t="shared" si="5"/>
        <v>0</v>
      </c>
      <c r="AR8" s="29">
        <f t="shared" si="6"/>
        <v>0</v>
      </c>
      <c r="AX8" s="29">
        <f t="shared" si="7"/>
        <v>0</v>
      </c>
      <c r="BD8" s="27">
        <f t="shared" si="8"/>
        <v>0</v>
      </c>
    </row>
    <row r="9" spans="1:56" x14ac:dyDescent="0.25">
      <c r="A9" s="3" t="s">
        <v>13</v>
      </c>
      <c r="B9" s="23">
        <v>8</v>
      </c>
      <c r="C9" s="14"/>
      <c r="H9" s="25">
        <f t="shared" si="1"/>
        <v>0</v>
      </c>
      <c r="N9" s="25">
        <f t="shared" si="2"/>
        <v>0</v>
      </c>
      <c r="T9" s="25">
        <f t="shared" si="0"/>
        <v>0</v>
      </c>
      <c r="Z9" s="25">
        <f t="shared" si="3"/>
        <v>0</v>
      </c>
      <c r="AF9" s="25">
        <f t="shared" si="4"/>
        <v>0</v>
      </c>
      <c r="AL9" s="25">
        <f t="shared" si="5"/>
        <v>0</v>
      </c>
      <c r="AR9" s="29">
        <f t="shared" si="6"/>
        <v>0</v>
      </c>
      <c r="AX9" s="29">
        <f t="shared" si="7"/>
        <v>0</v>
      </c>
      <c r="BD9" s="27">
        <f t="shared" si="8"/>
        <v>0</v>
      </c>
    </row>
    <row r="10" spans="1:56" x14ac:dyDescent="0.25">
      <c r="A10" s="2" t="s">
        <v>12</v>
      </c>
      <c r="B10" s="24">
        <v>9</v>
      </c>
      <c r="C10" s="14"/>
      <c r="H10" s="25">
        <f t="shared" si="1"/>
        <v>0</v>
      </c>
      <c r="N10" s="25">
        <f t="shared" si="2"/>
        <v>0</v>
      </c>
      <c r="T10" s="25">
        <f t="shared" si="0"/>
        <v>0</v>
      </c>
      <c r="Z10" s="25">
        <f t="shared" si="3"/>
        <v>0</v>
      </c>
      <c r="AF10" s="25">
        <f t="shared" si="4"/>
        <v>0</v>
      </c>
      <c r="AL10" s="25">
        <f t="shared" si="5"/>
        <v>0</v>
      </c>
      <c r="AR10" s="29">
        <f t="shared" si="6"/>
        <v>0</v>
      </c>
      <c r="AX10" s="29">
        <f t="shared" si="7"/>
        <v>0</v>
      </c>
      <c r="BD10" s="27">
        <f t="shared" si="8"/>
        <v>0</v>
      </c>
    </row>
    <row r="11" spans="1:56" x14ac:dyDescent="0.25">
      <c r="A11" s="3" t="s">
        <v>4</v>
      </c>
      <c r="B11" s="23">
        <v>10</v>
      </c>
      <c r="C11" s="14"/>
      <c r="H11" s="25">
        <f t="shared" si="1"/>
        <v>0</v>
      </c>
      <c r="N11" s="25">
        <f t="shared" si="2"/>
        <v>0</v>
      </c>
      <c r="T11" s="25">
        <f t="shared" si="0"/>
        <v>0</v>
      </c>
      <c r="Z11" s="25">
        <f t="shared" si="3"/>
        <v>0</v>
      </c>
      <c r="AF11" s="25">
        <f t="shared" si="4"/>
        <v>0</v>
      </c>
      <c r="AL11" s="25">
        <f t="shared" si="5"/>
        <v>0</v>
      </c>
      <c r="AR11" s="29">
        <f t="shared" si="6"/>
        <v>0</v>
      </c>
      <c r="AX11" s="29">
        <f t="shared" si="7"/>
        <v>0</v>
      </c>
      <c r="BD11" s="27">
        <f t="shared" si="8"/>
        <v>0</v>
      </c>
    </row>
    <row r="12" spans="1:56" x14ac:dyDescent="0.25">
      <c r="A12" s="3" t="s">
        <v>5</v>
      </c>
      <c r="B12" s="23">
        <v>11</v>
      </c>
      <c r="C12" s="14"/>
      <c r="H12" s="25">
        <f t="shared" si="1"/>
        <v>0</v>
      </c>
      <c r="N12" s="25">
        <f t="shared" si="2"/>
        <v>0</v>
      </c>
      <c r="T12" s="25">
        <f t="shared" si="0"/>
        <v>0</v>
      </c>
      <c r="Z12" s="25">
        <f t="shared" si="3"/>
        <v>0</v>
      </c>
      <c r="AF12" s="25">
        <f t="shared" si="4"/>
        <v>0</v>
      </c>
      <c r="AL12" s="25">
        <f t="shared" si="5"/>
        <v>0</v>
      </c>
      <c r="AR12" s="29">
        <f t="shared" si="6"/>
        <v>0</v>
      </c>
      <c r="AX12" s="29">
        <f t="shared" si="7"/>
        <v>0</v>
      </c>
      <c r="BD12" s="27">
        <f t="shared" si="8"/>
        <v>0</v>
      </c>
    </row>
    <row r="13" spans="1:56" x14ac:dyDescent="0.25">
      <c r="A13" s="2" t="s">
        <v>8</v>
      </c>
      <c r="B13" s="24">
        <v>12</v>
      </c>
      <c r="C13" s="14"/>
      <c r="H13" s="25">
        <f t="shared" si="1"/>
        <v>0</v>
      </c>
      <c r="M13" s="1">
        <v>1</v>
      </c>
      <c r="N13" s="25">
        <f t="shared" si="2"/>
        <v>1</v>
      </c>
      <c r="T13" s="25">
        <f t="shared" si="0"/>
        <v>0</v>
      </c>
      <c r="Z13" s="25">
        <f t="shared" si="3"/>
        <v>0</v>
      </c>
      <c r="AF13" s="25">
        <f t="shared" si="4"/>
        <v>0</v>
      </c>
      <c r="AL13" s="25">
        <f t="shared" si="5"/>
        <v>0</v>
      </c>
      <c r="AR13" s="29">
        <f t="shared" si="6"/>
        <v>0</v>
      </c>
      <c r="AX13" s="29">
        <f t="shared" si="7"/>
        <v>0</v>
      </c>
      <c r="BD13" s="27">
        <f t="shared" si="8"/>
        <v>0</v>
      </c>
    </row>
    <row r="14" spans="1:56" x14ac:dyDescent="0.25">
      <c r="A14" s="3" t="s">
        <v>6</v>
      </c>
      <c r="B14" s="23">
        <v>13</v>
      </c>
      <c r="C14" s="14"/>
      <c r="H14" s="25">
        <f t="shared" si="1"/>
        <v>0</v>
      </c>
      <c r="N14" s="25">
        <f t="shared" si="2"/>
        <v>0</v>
      </c>
      <c r="T14" s="25">
        <f t="shared" si="0"/>
        <v>0</v>
      </c>
      <c r="Z14" s="25">
        <f t="shared" si="3"/>
        <v>0</v>
      </c>
      <c r="AF14" s="25">
        <f t="shared" si="4"/>
        <v>0</v>
      </c>
      <c r="AL14" s="25">
        <f t="shared" si="5"/>
        <v>0</v>
      </c>
      <c r="AR14" s="29">
        <f t="shared" si="6"/>
        <v>0</v>
      </c>
      <c r="AX14" s="29">
        <f t="shared" si="7"/>
        <v>0</v>
      </c>
      <c r="BD14" s="27">
        <f t="shared" si="8"/>
        <v>0</v>
      </c>
    </row>
    <row r="15" spans="1:56" x14ac:dyDescent="0.25">
      <c r="A15" s="2" t="s">
        <v>7</v>
      </c>
      <c r="B15" s="23">
        <v>14</v>
      </c>
      <c r="C15" s="14"/>
      <c r="H15" s="25">
        <f t="shared" si="1"/>
        <v>0</v>
      </c>
      <c r="N15" s="25">
        <f t="shared" si="2"/>
        <v>0</v>
      </c>
      <c r="T15" s="25">
        <f t="shared" si="0"/>
        <v>0</v>
      </c>
      <c r="Z15" s="25">
        <f t="shared" si="3"/>
        <v>0</v>
      </c>
      <c r="AF15" s="25">
        <f t="shared" si="4"/>
        <v>0</v>
      </c>
      <c r="AL15" s="25">
        <f t="shared" si="5"/>
        <v>0</v>
      </c>
      <c r="AR15" s="29">
        <f t="shared" si="6"/>
        <v>0</v>
      </c>
      <c r="AX15" s="29">
        <f t="shared" si="7"/>
        <v>0</v>
      </c>
      <c r="BD15" s="27">
        <f t="shared" si="8"/>
        <v>0</v>
      </c>
    </row>
    <row r="16" spans="1:56" x14ac:dyDescent="0.25">
      <c r="A16" s="20" t="s">
        <v>14</v>
      </c>
      <c r="B16" s="21">
        <v>15</v>
      </c>
      <c r="C16" s="16"/>
      <c r="D16" s="17"/>
      <c r="E16" s="17"/>
      <c r="F16" s="44"/>
      <c r="G16" s="44"/>
      <c r="H16" s="18">
        <f t="shared" si="1"/>
        <v>0</v>
      </c>
      <c r="I16" s="44"/>
      <c r="J16" s="17"/>
      <c r="K16" s="17"/>
      <c r="L16" s="17"/>
      <c r="M16" s="17"/>
      <c r="N16" s="18">
        <f t="shared" si="2"/>
        <v>0</v>
      </c>
      <c r="O16" s="17"/>
      <c r="P16" s="17"/>
      <c r="Q16" s="17"/>
      <c r="R16" s="17"/>
      <c r="S16" s="17"/>
      <c r="T16" s="18">
        <f t="shared" si="0"/>
        <v>0</v>
      </c>
      <c r="U16" s="17"/>
      <c r="V16" s="17"/>
      <c r="W16" s="17"/>
      <c r="X16" s="17"/>
      <c r="Y16" s="17">
        <v>15</v>
      </c>
      <c r="Z16" s="18">
        <f t="shared" si="3"/>
        <v>15</v>
      </c>
      <c r="AA16" s="17"/>
      <c r="AB16" s="17"/>
      <c r="AC16" s="17"/>
      <c r="AD16" s="17"/>
      <c r="AE16" s="17"/>
      <c r="AF16" s="18">
        <f t="shared" si="4"/>
        <v>0</v>
      </c>
      <c r="AG16" s="17"/>
      <c r="AH16" s="17"/>
      <c r="AI16" s="17"/>
      <c r="AJ16" s="17"/>
      <c r="AK16" s="17"/>
      <c r="AL16" s="18">
        <f t="shared" si="5"/>
        <v>0</v>
      </c>
      <c r="AM16" s="17"/>
      <c r="AN16" s="17"/>
      <c r="AO16" s="17"/>
      <c r="AP16" s="17"/>
      <c r="AQ16" s="17"/>
      <c r="AR16" s="30">
        <f t="shared" si="6"/>
        <v>0</v>
      </c>
      <c r="AS16" s="17"/>
      <c r="AT16" s="17"/>
      <c r="AU16" s="17"/>
      <c r="AV16" s="17"/>
      <c r="AW16" s="17"/>
      <c r="AX16" s="30">
        <f t="shared" si="7"/>
        <v>0</v>
      </c>
      <c r="AY16" s="17"/>
      <c r="AZ16" s="17"/>
      <c r="BA16" s="17"/>
      <c r="BB16" s="17"/>
      <c r="BC16" s="17"/>
      <c r="BD16" s="28">
        <f t="shared" si="8"/>
        <v>0</v>
      </c>
    </row>
    <row r="17" spans="1:54" ht="180" x14ac:dyDescent="0.25">
      <c r="A17" s="1" t="s">
        <v>11</v>
      </c>
      <c r="C17" s="4" t="s">
        <v>49</v>
      </c>
      <c r="D17" s="4" t="s">
        <v>38</v>
      </c>
      <c r="E17" s="4" t="s">
        <v>50</v>
      </c>
      <c r="F17" s="65" t="s">
        <v>42</v>
      </c>
      <c r="G17" s="4" t="s">
        <v>38</v>
      </c>
      <c r="H17" s="4"/>
      <c r="I17" s="4" t="s">
        <v>54</v>
      </c>
      <c r="J17" s="4" t="s">
        <v>54</v>
      </c>
      <c r="K17" s="4" t="s">
        <v>65</v>
      </c>
      <c r="L17" s="4" t="s">
        <v>54</v>
      </c>
      <c r="M17" s="66" t="s">
        <v>53</v>
      </c>
      <c r="O17" s="4" t="s">
        <v>54</v>
      </c>
      <c r="P17" s="4" t="s">
        <v>54</v>
      </c>
      <c r="Q17" s="4" t="s">
        <v>63</v>
      </c>
      <c r="R17" s="4" t="s">
        <v>62</v>
      </c>
      <c r="S17" s="4" t="s">
        <v>62</v>
      </c>
      <c r="U17" s="4"/>
      <c r="V17" s="4"/>
      <c r="W17" s="66" t="s">
        <v>67</v>
      </c>
      <c r="X17" s="66" t="s">
        <v>67</v>
      </c>
      <c r="Y17" s="66" t="s">
        <v>67</v>
      </c>
      <c r="AA17" s="4" t="s">
        <v>74</v>
      </c>
      <c r="AC17" s="4" t="s">
        <v>75</v>
      </c>
      <c r="AD17" s="4" t="s">
        <v>80</v>
      </c>
      <c r="AE17" s="4" t="s">
        <v>80</v>
      </c>
      <c r="AG17" s="4" t="s">
        <v>93</v>
      </c>
      <c r="AH17" s="4" t="s">
        <v>93</v>
      </c>
      <c r="AI17" s="4" t="s">
        <v>93</v>
      </c>
      <c r="AJ17" s="4" t="s">
        <v>93</v>
      </c>
      <c r="AK17" s="4" t="s">
        <v>93</v>
      </c>
      <c r="AM17" s="4"/>
      <c r="AZ17" s="4"/>
    </row>
    <row r="18" spans="1:54" ht="105" x14ac:dyDescent="0.25">
      <c r="A18" s="1" t="s">
        <v>10</v>
      </c>
      <c r="C18" s="4"/>
      <c r="J18" s="4"/>
      <c r="O18" s="4" t="s">
        <v>64</v>
      </c>
      <c r="P18" s="4" t="s">
        <v>64</v>
      </c>
      <c r="Q18" s="66" t="s">
        <v>60</v>
      </c>
      <c r="U18" s="4"/>
      <c r="W18" s="4" t="s">
        <v>72</v>
      </c>
      <c r="X18" s="4"/>
      <c r="Y18" s="4"/>
      <c r="Z18" s="4"/>
      <c r="AA18" s="4"/>
      <c r="AB18" s="4"/>
      <c r="AC18" s="4"/>
      <c r="AD18" s="4"/>
      <c r="AE18" s="4"/>
      <c r="AG18" s="4"/>
      <c r="AH18" s="4"/>
      <c r="AJ18" s="4"/>
      <c r="AK18" s="4"/>
      <c r="AN18" s="4"/>
      <c r="AO18" s="4"/>
      <c r="AP18" s="4"/>
      <c r="AQ18" s="4"/>
      <c r="AT18" s="4"/>
      <c r="AU18" s="4"/>
      <c r="AW18" s="4"/>
      <c r="AY18" s="4"/>
      <c r="AZ18" s="4"/>
      <c r="BA18" s="4"/>
      <c r="BB18" s="4"/>
    </row>
    <row r="32" spans="1:54" x14ac:dyDescent="0.25">
      <c r="Q32" s="17"/>
    </row>
    <row r="33" spans="17:17" x14ac:dyDescent="0.25">
      <c r="Q33" s="4"/>
    </row>
  </sheetData>
  <customSheetViews>
    <customSheetView guid="{3D987F8E-A6EA-454D-9537-6BFC5053CB00}" topLeftCell="A3">
      <pane xSplit="1" topLeftCell="AJ1" activePane="topRight" state="frozen"/>
      <selection pane="topRight" activeCell="AU17" sqref="AU17"/>
      <pageMargins left="0.511811024" right="0.511811024" top="0.78740157499999996" bottom="0.78740157499999996" header="0.31496062000000002" footer="0.31496062000000002"/>
    </customSheetView>
    <customSheetView guid="{B3CDE377-BA5D-4E06-91D9-3A48E1959BA5}">
      <pane xSplit="1" topLeftCell="B1" activePane="topRight" state="frozen"/>
      <selection pane="topRight" activeCell="BQ18" sqref="BQ18"/>
      <pageMargins left="0.511811024" right="0.511811024" top="0.78740157499999996" bottom="0.78740157499999996" header="0.31496062000000002" footer="0.31496062000000002"/>
    </customSheetView>
    <customSheetView guid="{86039CF8-B158-4D70-9A6F-A10C29CBD68A}" topLeftCell="T1">
      <selection activeCell="AA17" sqref="AA17"/>
      <pageMargins left="0.511811024" right="0.511811024" top="0.78740157499999996" bottom="0.78740157499999996" header="0.31496062000000002" footer="0.31496062000000002"/>
    </customSheetView>
    <customSheetView guid="{552DFCCD-1786-4D75-8B10-27DD730384DD}">
      <selection activeCell="G12" sqref="G12"/>
      <pageMargins left="0.511811024" right="0.511811024" top="0.78740157499999996" bottom="0.78740157499999996" header="0.31496062000000002" footer="0.31496062000000002"/>
    </customSheetView>
    <customSheetView guid="{C69767F5-CD39-44C1-AD4B-CE19DC8285A6}" topLeftCell="D1">
      <selection activeCell="L10" sqref="L10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pane xSplit="1" topLeftCell="AD1" activePane="topRight" state="frozen"/>
      <selection pane="topRight" activeCell="AI10" sqref="AI10"/>
      <pageMargins left="0.511811024" right="0.511811024" top="0.78740157499999996" bottom="0.78740157499999996" header="0.31496062000000002" footer="0.31496062000000002"/>
      <autoFilter ref="A1:BD18" xr:uid="{33C7FD05-C346-411D-A8B7-EBF31E928B5D}"/>
    </customSheetView>
    <customSheetView guid="{18A482E0-C8B6-4AA1-9E04-15FA7C9CD5E3}" scale="90">
      <pane xSplit="1" topLeftCell="B1" activePane="topRight" state="frozen"/>
      <selection pane="topRight" activeCell="AR3" sqref="AR3"/>
      <pageMargins left="0.511811024" right="0.511811024" top="0.78740157499999996" bottom="0.78740157499999996" header="0.31496062000000002" footer="0.31496062000000002"/>
    </customSheetView>
    <customSheetView guid="{20CB6D8F-C24D-4D4B-A424-AF380F620455}" showPageBreaks="1" topLeftCell="AK1">
      <selection activeCell="AK17" sqref="AK17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E3841903-5B68-44FD-8F09-58E03D1025C5}">
      <selection activeCell="A12" sqref="A12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D18"/>
  <sheetViews>
    <sheetView zoomScaleNormal="100" workbookViewId="0">
      <pane xSplit="1" topLeftCell="AE1" activePane="topRight" state="frozen"/>
      <selection pane="topRight" activeCell="AO17" sqref="AO17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3" width="23.85546875" style="1" customWidth="1"/>
    <col min="4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6" width="7.140625" style="1" bestFit="1" customWidth="1"/>
    <col min="17" max="17" width="14.5703125" style="1" customWidth="1"/>
    <col min="18" max="18" width="7.140625" style="1" bestFit="1" customWidth="1"/>
    <col min="19" max="19" width="7.5703125" style="1" customWidth="1"/>
    <col min="20" max="20" width="14.28515625" style="1" bestFit="1" customWidth="1"/>
    <col min="21" max="21" width="7.140625" style="1" bestFit="1" customWidth="1"/>
    <col min="22" max="22" width="14" style="1" customWidth="1"/>
    <col min="23" max="23" width="13" style="1" customWidth="1"/>
    <col min="24" max="24" width="16.140625" style="1" customWidth="1"/>
    <col min="25" max="25" width="16.85546875" style="1" customWidth="1"/>
    <col min="26" max="26" width="14.28515625" style="1" bestFit="1" customWidth="1"/>
    <col min="27" max="27" width="13.140625" style="1" customWidth="1"/>
    <col min="28" max="31" width="9.140625" style="1"/>
    <col min="32" max="32" width="15.28515625" style="1" customWidth="1"/>
    <col min="33" max="33" width="19.42578125" style="1" customWidth="1"/>
    <col min="34" max="35" width="9.140625" style="1"/>
    <col min="36" max="36" width="6.85546875" style="1" customWidth="1"/>
    <col min="37" max="37" width="16.5703125" style="1" customWidth="1"/>
    <col min="38" max="38" width="17.42578125" style="1" customWidth="1"/>
    <col min="39" max="40" width="11.42578125" style="1" customWidth="1"/>
    <col min="41" max="41" width="10.85546875" style="1" customWidth="1"/>
    <col min="42" max="42" width="13.42578125" style="1" customWidth="1"/>
    <col min="43" max="43" width="9.140625" style="1"/>
    <col min="44" max="44" width="15.42578125" style="1" customWidth="1"/>
    <col min="45" max="49" width="9.140625" style="1"/>
    <col min="50" max="50" width="15.42578125" style="1" customWidth="1"/>
    <col min="51" max="51" width="16.7109375" style="1" customWidth="1"/>
    <col min="52" max="52" width="19.140625" style="1" customWidth="1"/>
    <col min="53" max="53" width="21.140625" style="1" customWidth="1"/>
    <col min="54" max="54" width="14.42578125" style="1" customWidth="1"/>
    <col min="55" max="55" width="19.7109375" style="1" customWidth="1"/>
    <col min="56" max="56" width="16.140625" style="1" customWidth="1"/>
    <col min="57" max="16384" width="9.140625" style="1"/>
  </cols>
  <sheetData>
    <row r="1" spans="1:56" x14ac:dyDescent="0.25">
      <c r="A1" s="19" t="s">
        <v>9</v>
      </c>
      <c r="B1" s="31"/>
      <c r="C1" s="32">
        <v>45873</v>
      </c>
      <c r="D1" s="32">
        <v>45874</v>
      </c>
      <c r="E1" s="32">
        <v>45875</v>
      </c>
      <c r="F1" s="32">
        <v>45876</v>
      </c>
      <c r="G1" s="32">
        <v>45877</v>
      </c>
      <c r="H1" s="34" t="s">
        <v>15</v>
      </c>
      <c r="I1" s="33">
        <v>45880</v>
      </c>
      <c r="J1" s="33">
        <v>45881</v>
      </c>
      <c r="K1" s="33">
        <v>45882</v>
      </c>
      <c r="L1" s="33">
        <v>45883</v>
      </c>
      <c r="M1" s="33">
        <v>45884</v>
      </c>
      <c r="N1" s="35" t="s">
        <v>15</v>
      </c>
      <c r="O1" s="33">
        <v>45887</v>
      </c>
      <c r="P1" s="33">
        <v>45888</v>
      </c>
      <c r="Q1" s="33">
        <v>45889</v>
      </c>
      <c r="R1" s="33">
        <v>45890</v>
      </c>
      <c r="S1" s="33">
        <v>45891</v>
      </c>
      <c r="T1" s="35" t="s">
        <v>15</v>
      </c>
      <c r="U1" s="33">
        <v>45894</v>
      </c>
      <c r="V1" s="33">
        <v>45895</v>
      </c>
      <c r="W1" s="33">
        <v>45896</v>
      </c>
      <c r="X1" s="33">
        <v>45897</v>
      </c>
      <c r="Y1" s="33">
        <v>45898</v>
      </c>
      <c r="Z1" s="35" t="s">
        <v>15</v>
      </c>
      <c r="AA1" s="33">
        <v>45901</v>
      </c>
      <c r="AB1" s="33">
        <v>45902</v>
      </c>
      <c r="AC1" s="33">
        <v>45903</v>
      </c>
      <c r="AD1" s="33">
        <v>45904</v>
      </c>
      <c r="AE1" s="33">
        <v>45905</v>
      </c>
      <c r="AF1" s="35" t="s">
        <v>15</v>
      </c>
      <c r="AG1" s="33">
        <v>45908</v>
      </c>
      <c r="AH1" s="33">
        <v>45909</v>
      </c>
      <c r="AI1" s="33">
        <v>45910</v>
      </c>
      <c r="AJ1" s="33">
        <v>45911</v>
      </c>
      <c r="AK1" s="33">
        <v>45912</v>
      </c>
      <c r="AL1" s="35" t="s">
        <v>15</v>
      </c>
      <c r="AM1" s="33">
        <v>45915</v>
      </c>
      <c r="AN1" s="33">
        <v>45916</v>
      </c>
      <c r="AO1" s="33">
        <v>45917</v>
      </c>
      <c r="AP1" s="33">
        <v>45918</v>
      </c>
      <c r="AQ1" s="33">
        <v>45919</v>
      </c>
      <c r="AR1" s="36" t="s">
        <v>15</v>
      </c>
      <c r="AS1" s="33">
        <v>45922</v>
      </c>
      <c r="AT1" s="33">
        <v>45923</v>
      </c>
      <c r="AU1" s="33">
        <v>45924</v>
      </c>
      <c r="AV1" s="33">
        <v>45925</v>
      </c>
      <c r="AW1" s="33">
        <v>45926</v>
      </c>
      <c r="AX1" s="36" t="s">
        <v>15</v>
      </c>
      <c r="AY1" s="33">
        <v>45929</v>
      </c>
      <c r="AZ1" s="33">
        <v>45930</v>
      </c>
      <c r="BA1" s="33">
        <v>45931</v>
      </c>
      <c r="BB1" s="33">
        <v>45932</v>
      </c>
      <c r="BC1" s="33">
        <v>45933</v>
      </c>
      <c r="BD1" s="37" t="s">
        <v>15</v>
      </c>
    </row>
    <row r="2" spans="1:56" x14ac:dyDescent="0.25">
      <c r="A2" s="2" t="s">
        <v>18</v>
      </c>
      <c r="B2" s="23">
        <v>1</v>
      </c>
      <c r="C2" s="14"/>
      <c r="H2" s="25">
        <f>SUM(C2:G2)</f>
        <v>0</v>
      </c>
      <c r="N2" s="25">
        <f>SUM(I2:M2)</f>
        <v>0</v>
      </c>
      <c r="T2" s="25">
        <f t="shared" ref="T2:T16" si="0">SUM(O2:S2)</f>
        <v>0</v>
      </c>
      <c r="Z2" s="25">
        <f>SUM(U2:Y2)</f>
        <v>0</v>
      </c>
      <c r="AF2" s="25">
        <f>SUM(AA2:AE2)</f>
        <v>0</v>
      </c>
      <c r="AL2" s="25">
        <f>SUM(AG2:AK2)</f>
        <v>0</v>
      </c>
      <c r="AR2" s="29">
        <f>SUM(AM2:AQ2)</f>
        <v>0</v>
      </c>
      <c r="AX2" s="29">
        <f>SUM(AS2:AW2)</f>
        <v>0</v>
      </c>
      <c r="BD2" s="27">
        <f>SUM(AY2:BC2)</f>
        <v>0</v>
      </c>
    </row>
    <row r="3" spans="1:56" x14ac:dyDescent="0.25">
      <c r="A3" s="2" t="s">
        <v>0</v>
      </c>
      <c r="B3" s="23">
        <v>2</v>
      </c>
      <c r="C3" s="14"/>
      <c r="H3" s="25">
        <f t="shared" ref="H3:H16" si="1">SUM(C3:G3)</f>
        <v>0</v>
      </c>
      <c r="N3" s="25">
        <f t="shared" ref="N3:N16" si="2">SUM(I3:M3)</f>
        <v>0</v>
      </c>
      <c r="O3" s="1">
        <v>5</v>
      </c>
      <c r="T3" s="25">
        <f t="shared" si="0"/>
        <v>5</v>
      </c>
      <c r="Z3" s="25">
        <f t="shared" ref="Z3:Z16" si="3">SUM(U3:Y3)</f>
        <v>0</v>
      </c>
      <c r="AF3" s="25">
        <f t="shared" ref="AF3:AF16" si="4">SUM(AA3:AE3)</f>
        <v>0</v>
      </c>
      <c r="AL3" s="25">
        <f t="shared" ref="AL3:AL16" si="5">SUM(AG3:AK3)</f>
        <v>0</v>
      </c>
      <c r="AR3" s="29">
        <f t="shared" ref="AR3:AR16" si="6">SUM(AM3:AQ3)</f>
        <v>0</v>
      </c>
      <c r="AX3" s="29">
        <f t="shared" ref="AX3:AX16" si="7">SUM(AS3:AW3)</f>
        <v>0</v>
      </c>
      <c r="BD3" s="27">
        <f t="shared" ref="BD3:BD16" si="8">SUM(AY3:BC3)</f>
        <v>0</v>
      </c>
    </row>
    <row r="4" spans="1:56" x14ac:dyDescent="0.25">
      <c r="A4" s="3" t="s">
        <v>17</v>
      </c>
      <c r="B4" s="24">
        <v>3</v>
      </c>
      <c r="C4" s="14"/>
      <c r="H4" s="25">
        <f t="shared" si="1"/>
        <v>0</v>
      </c>
      <c r="N4" s="25">
        <f t="shared" si="2"/>
        <v>0</v>
      </c>
      <c r="T4" s="25">
        <f t="shared" si="0"/>
        <v>0</v>
      </c>
      <c r="Z4" s="25">
        <f t="shared" si="3"/>
        <v>0</v>
      </c>
      <c r="AF4" s="25">
        <f t="shared" si="4"/>
        <v>0</v>
      </c>
      <c r="AL4" s="25">
        <f t="shared" si="5"/>
        <v>0</v>
      </c>
      <c r="AR4" s="29">
        <f t="shared" si="6"/>
        <v>0</v>
      </c>
      <c r="AX4" s="29">
        <f t="shared" si="7"/>
        <v>0</v>
      </c>
      <c r="BD4" s="27">
        <f t="shared" si="8"/>
        <v>0</v>
      </c>
    </row>
    <row r="5" spans="1:56" x14ac:dyDescent="0.25">
      <c r="A5" s="3" t="s">
        <v>16</v>
      </c>
      <c r="B5" s="23">
        <v>4</v>
      </c>
      <c r="C5" s="14"/>
      <c r="H5" s="25">
        <f t="shared" si="1"/>
        <v>0</v>
      </c>
      <c r="N5" s="25">
        <f t="shared" si="2"/>
        <v>0</v>
      </c>
      <c r="T5" s="25">
        <f t="shared" si="0"/>
        <v>0</v>
      </c>
      <c r="Z5" s="25">
        <f t="shared" si="3"/>
        <v>0</v>
      </c>
      <c r="AF5" s="25">
        <f t="shared" si="4"/>
        <v>0</v>
      </c>
      <c r="AL5" s="25">
        <f t="shared" si="5"/>
        <v>0</v>
      </c>
      <c r="AR5" s="29">
        <f t="shared" si="6"/>
        <v>0</v>
      </c>
      <c r="AX5" s="29">
        <f t="shared" si="7"/>
        <v>0</v>
      </c>
      <c r="BD5" s="27">
        <f t="shared" si="8"/>
        <v>0</v>
      </c>
    </row>
    <row r="6" spans="1:56" x14ac:dyDescent="0.25">
      <c r="A6" s="3" t="s">
        <v>1</v>
      </c>
      <c r="B6" s="23">
        <v>5</v>
      </c>
      <c r="C6" s="14"/>
      <c r="H6" s="25">
        <f t="shared" si="1"/>
        <v>0</v>
      </c>
      <c r="N6" s="25">
        <f t="shared" si="2"/>
        <v>0</v>
      </c>
      <c r="T6" s="25">
        <f t="shared" si="0"/>
        <v>0</v>
      </c>
      <c r="Z6" s="25">
        <f t="shared" si="3"/>
        <v>0</v>
      </c>
      <c r="AF6" s="25">
        <f t="shared" si="4"/>
        <v>0</v>
      </c>
      <c r="AL6" s="25">
        <f t="shared" si="5"/>
        <v>0</v>
      </c>
      <c r="AR6" s="29">
        <f t="shared" si="6"/>
        <v>0</v>
      </c>
      <c r="AX6" s="29">
        <f t="shared" si="7"/>
        <v>0</v>
      </c>
      <c r="BD6" s="27">
        <f t="shared" si="8"/>
        <v>0</v>
      </c>
    </row>
    <row r="7" spans="1:56" x14ac:dyDescent="0.25">
      <c r="A7" s="3" t="s">
        <v>2</v>
      </c>
      <c r="B7" s="24">
        <v>6</v>
      </c>
      <c r="C7" s="14"/>
      <c r="H7" s="25">
        <f t="shared" si="1"/>
        <v>0</v>
      </c>
      <c r="N7" s="25">
        <f t="shared" si="2"/>
        <v>0</v>
      </c>
      <c r="T7" s="25">
        <f t="shared" si="0"/>
        <v>0</v>
      </c>
      <c r="Z7" s="25">
        <f t="shared" si="3"/>
        <v>0</v>
      </c>
      <c r="AF7" s="25">
        <f t="shared" si="4"/>
        <v>0</v>
      </c>
      <c r="AL7" s="25">
        <f t="shared" si="5"/>
        <v>0</v>
      </c>
      <c r="AR7" s="29">
        <f t="shared" si="6"/>
        <v>0</v>
      </c>
      <c r="AX7" s="29">
        <f t="shared" si="7"/>
        <v>0</v>
      </c>
      <c r="BD7" s="27">
        <f t="shared" si="8"/>
        <v>0</v>
      </c>
    </row>
    <row r="8" spans="1:56" x14ac:dyDescent="0.25">
      <c r="A8" s="3" t="s">
        <v>3</v>
      </c>
      <c r="B8" s="23">
        <v>7</v>
      </c>
      <c r="C8" s="14"/>
      <c r="H8" s="25">
        <f t="shared" si="1"/>
        <v>0</v>
      </c>
      <c r="N8" s="25">
        <f t="shared" si="2"/>
        <v>0</v>
      </c>
      <c r="T8" s="25">
        <f t="shared" si="0"/>
        <v>0</v>
      </c>
      <c r="Z8" s="25">
        <f t="shared" si="3"/>
        <v>0</v>
      </c>
      <c r="AF8" s="25">
        <f t="shared" si="4"/>
        <v>0</v>
      </c>
      <c r="AL8" s="25">
        <f t="shared" si="5"/>
        <v>0</v>
      </c>
      <c r="AR8" s="29">
        <f t="shared" si="6"/>
        <v>0</v>
      </c>
      <c r="AX8" s="29">
        <f t="shared" si="7"/>
        <v>0</v>
      </c>
      <c r="BD8" s="27">
        <f t="shared" si="8"/>
        <v>0</v>
      </c>
    </row>
    <row r="9" spans="1:56" x14ac:dyDescent="0.25">
      <c r="A9" s="3" t="s">
        <v>13</v>
      </c>
      <c r="B9" s="23">
        <v>8</v>
      </c>
      <c r="C9" s="14"/>
      <c r="H9" s="25">
        <f t="shared" si="1"/>
        <v>0</v>
      </c>
      <c r="N9" s="25">
        <f t="shared" si="2"/>
        <v>0</v>
      </c>
      <c r="T9" s="25">
        <f t="shared" si="0"/>
        <v>0</v>
      </c>
      <c r="Z9" s="25">
        <f t="shared" si="3"/>
        <v>0</v>
      </c>
      <c r="AF9" s="25">
        <f t="shared" si="4"/>
        <v>0</v>
      </c>
      <c r="AL9" s="25">
        <f t="shared" si="5"/>
        <v>0</v>
      </c>
      <c r="AR9" s="29">
        <f t="shared" si="6"/>
        <v>0</v>
      </c>
      <c r="AX9" s="29">
        <f t="shared" si="7"/>
        <v>0</v>
      </c>
      <c r="BD9" s="27">
        <f t="shared" si="8"/>
        <v>0</v>
      </c>
    </row>
    <row r="10" spans="1:56" x14ac:dyDescent="0.25">
      <c r="A10" s="2" t="s">
        <v>12</v>
      </c>
      <c r="B10" s="24">
        <v>9</v>
      </c>
      <c r="C10" s="14"/>
      <c r="H10" s="25">
        <f t="shared" si="1"/>
        <v>0</v>
      </c>
      <c r="N10" s="25">
        <f t="shared" si="2"/>
        <v>0</v>
      </c>
      <c r="T10" s="25">
        <f t="shared" si="0"/>
        <v>0</v>
      </c>
      <c r="Z10" s="25">
        <f t="shared" si="3"/>
        <v>0</v>
      </c>
      <c r="AF10" s="25">
        <f t="shared" si="4"/>
        <v>0</v>
      </c>
      <c r="AL10" s="25">
        <f t="shared" si="5"/>
        <v>0</v>
      </c>
      <c r="AR10" s="29">
        <f t="shared" si="6"/>
        <v>0</v>
      </c>
      <c r="AX10" s="29">
        <f t="shared" si="7"/>
        <v>0</v>
      </c>
      <c r="BD10" s="27">
        <f t="shared" si="8"/>
        <v>0</v>
      </c>
    </row>
    <row r="11" spans="1:56" x14ac:dyDescent="0.25">
      <c r="A11" s="3" t="s">
        <v>4</v>
      </c>
      <c r="B11" s="23">
        <v>10</v>
      </c>
      <c r="C11" s="14"/>
      <c r="H11" s="25">
        <f t="shared" si="1"/>
        <v>0</v>
      </c>
      <c r="N11" s="25">
        <f t="shared" si="2"/>
        <v>0</v>
      </c>
      <c r="T11" s="25">
        <f t="shared" si="0"/>
        <v>0</v>
      </c>
      <c r="Z11" s="25">
        <f t="shared" si="3"/>
        <v>0</v>
      </c>
      <c r="AF11" s="25">
        <f t="shared" si="4"/>
        <v>0</v>
      </c>
      <c r="AL11" s="25">
        <f t="shared" si="5"/>
        <v>0</v>
      </c>
      <c r="AR11" s="29">
        <f t="shared" si="6"/>
        <v>0</v>
      </c>
      <c r="AX11" s="29">
        <f t="shared" si="7"/>
        <v>0</v>
      </c>
      <c r="BD11" s="27">
        <f t="shared" si="8"/>
        <v>0</v>
      </c>
    </row>
    <row r="12" spans="1:56" x14ac:dyDescent="0.25">
      <c r="A12" s="3" t="s">
        <v>5</v>
      </c>
      <c r="B12" s="23">
        <v>11</v>
      </c>
      <c r="C12" s="14"/>
      <c r="H12" s="25">
        <f t="shared" si="1"/>
        <v>0</v>
      </c>
      <c r="N12" s="25">
        <f t="shared" si="2"/>
        <v>0</v>
      </c>
      <c r="T12" s="25">
        <f t="shared" si="0"/>
        <v>0</v>
      </c>
      <c r="Z12" s="25">
        <f t="shared" si="3"/>
        <v>0</v>
      </c>
      <c r="AF12" s="25">
        <f t="shared" si="4"/>
        <v>0</v>
      </c>
      <c r="AL12" s="25">
        <f t="shared" si="5"/>
        <v>0</v>
      </c>
      <c r="AR12" s="29">
        <f t="shared" si="6"/>
        <v>0</v>
      </c>
      <c r="AX12" s="29">
        <f t="shared" si="7"/>
        <v>0</v>
      </c>
      <c r="BD12" s="27">
        <f t="shared" si="8"/>
        <v>0</v>
      </c>
    </row>
    <row r="13" spans="1:56" x14ac:dyDescent="0.25">
      <c r="A13" s="2" t="s">
        <v>8</v>
      </c>
      <c r="B13" s="24">
        <v>12</v>
      </c>
      <c r="C13" s="14"/>
      <c r="H13" s="25">
        <f t="shared" si="1"/>
        <v>0</v>
      </c>
      <c r="N13" s="25">
        <f t="shared" si="2"/>
        <v>0</v>
      </c>
      <c r="O13" s="1">
        <v>1</v>
      </c>
      <c r="T13" s="25">
        <f t="shared" si="0"/>
        <v>1</v>
      </c>
      <c r="Z13" s="25">
        <f t="shared" si="3"/>
        <v>0</v>
      </c>
      <c r="AF13" s="25">
        <f t="shared" si="4"/>
        <v>0</v>
      </c>
      <c r="AL13" s="25">
        <f t="shared" si="5"/>
        <v>0</v>
      </c>
      <c r="AR13" s="29">
        <f t="shared" si="6"/>
        <v>0</v>
      </c>
      <c r="AX13" s="29">
        <f t="shared" si="7"/>
        <v>0</v>
      </c>
      <c r="BD13" s="27">
        <f t="shared" si="8"/>
        <v>0</v>
      </c>
    </row>
    <row r="14" spans="1:56" x14ac:dyDescent="0.25">
      <c r="A14" s="3" t="s">
        <v>6</v>
      </c>
      <c r="B14" s="23">
        <v>13</v>
      </c>
      <c r="C14" s="14"/>
      <c r="H14" s="25">
        <f t="shared" si="1"/>
        <v>0</v>
      </c>
      <c r="N14" s="25">
        <f t="shared" si="2"/>
        <v>0</v>
      </c>
      <c r="T14" s="25">
        <f t="shared" si="0"/>
        <v>0</v>
      </c>
      <c r="Z14" s="25">
        <f t="shared" si="3"/>
        <v>0</v>
      </c>
      <c r="AF14" s="25">
        <f t="shared" si="4"/>
        <v>0</v>
      </c>
      <c r="AL14" s="25">
        <f t="shared" si="5"/>
        <v>0</v>
      </c>
      <c r="AR14" s="29">
        <f t="shared" si="6"/>
        <v>0</v>
      </c>
      <c r="AX14" s="29">
        <f t="shared" si="7"/>
        <v>0</v>
      </c>
      <c r="BD14" s="27">
        <f t="shared" si="8"/>
        <v>0</v>
      </c>
    </row>
    <row r="15" spans="1:56" x14ac:dyDescent="0.25">
      <c r="A15" s="2" t="s">
        <v>7</v>
      </c>
      <c r="B15" s="23">
        <v>14</v>
      </c>
      <c r="C15" s="14"/>
      <c r="H15" s="25">
        <f t="shared" si="1"/>
        <v>0</v>
      </c>
      <c r="N15" s="25">
        <f t="shared" si="2"/>
        <v>0</v>
      </c>
      <c r="T15" s="25">
        <f t="shared" si="0"/>
        <v>0</v>
      </c>
      <c r="Z15" s="25">
        <f t="shared" si="3"/>
        <v>0</v>
      </c>
      <c r="AF15" s="25">
        <f t="shared" si="4"/>
        <v>0</v>
      </c>
      <c r="AL15" s="25">
        <f t="shared" si="5"/>
        <v>0</v>
      </c>
      <c r="AR15" s="29">
        <f t="shared" si="6"/>
        <v>0</v>
      </c>
      <c r="AX15" s="29">
        <f t="shared" si="7"/>
        <v>0</v>
      </c>
      <c r="BD15" s="27">
        <f t="shared" si="8"/>
        <v>0</v>
      </c>
    </row>
    <row r="16" spans="1:56" x14ac:dyDescent="0.25">
      <c r="A16" s="20" t="s">
        <v>14</v>
      </c>
      <c r="B16" s="21">
        <v>15</v>
      </c>
      <c r="C16" s="16"/>
      <c r="D16" s="17"/>
      <c r="E16" s="17"/>
      <c r="F16" s="44"/>
      <c r="G16" s="44"/>
      <c r="H16" s="18">
        <f t="shared" si="1"/>
        <v>0</v>
      </c>
      <c r="I16" s="44"/>
      <c r="J16" s="17"/>
      <c r="K16" s="17"/>
      <c r="L16" s="17"/>
      <c r="M16" s="17"/>
      <c r="N16" s="18">
        <f t="shared" si="2"/>
        <v>0</v>
      </c>
      <c r="O16" s="17"/>
      <c r="P16" s="17"/>
      <c r="Q16" s="17"/>
      <c r="R16" s="17"/>
      <c r="S16" s="17"/>
      <c r="T16" s="18">
        <f t="shared" si="0"/>
        <v>0</v>
      </c>
      <c r="U16" s="17"/>
      <c r="V16" s="17"/>
      <c r="W16" s="17"/>
      <c r="X16" s="17"/>
      <c r="Y16" s="17"/>
      <c r="Z16" s="18">
        <f t="shared" si="3"/>
        <v>0</v>
      </c>
      <c r="AA16" s="17"/>
      <c r="AB16" s="17"/>
      <c r="AC16" s="17"/>
      <c r="AD16" s="17"/>
      <c r="AE16" s="17"/>
      <c r="AF16" s="18">
        <f t="shared" si="4"/>
        <v>0</v>
      </c>
      <c r="AG16" s="17"/>
      <c r="AH16" s="17"/>
      <c r="AI16" s="17"/>
      <c r="AJ16" s="17"/>
      <c r="AK16" s="17"/>
      <c r="AL16" s="18">
        <f t="shared" si="5"/>
        <v>0</v>
      </c>
      <c r="AM16" s="17"/>
      <c r="AN16" s="17"/>
      <c r="AO16" s="17"/>
      <c r="AP16" s="17"/>
      <c r="AQ16" s="17"/>
      <c r="AR16" s="30">
        <f t="shared" si="6"/>
        <v>0</v>
      </c>
      <c r="AS16" s="17"/>
      <c r="AT16" s="17"/>
      <c r="AU16" s="17"/>
      <c r="AV16" s="17"/>
      <c r="AW16" s="17"/>
      <c r="AX16" s="30">
        <f t="shared" si="7"/>
        <v>0</v>
      </c>
      <c r="AY16" s="17"/>
      <c r="AZ16" s="17"/>
      <c r="BA16" s="17"/>
      <c r="BB16" s="17"/>
      <c r="BC16" s="17"/>
      <c r="BD16" s="28">
        <f t="shared" si="8"/>
        <v>0</v>
      </c>
    </row>
    <row r="17" spans="1:55" ht="285" x14ac:dyDescent="0.25">
      <c r="A17" s="1" t="s">
        <v>11</v>
      </c>
      <c r="C17" s="4" t="s">
        <v>49</v>
      </c>
      <c r="D17" s="4" t="s">
        <v>38</v>
      </c>
      <c r="E17" s="4" t="s">
        <v>50</v>
      </c>
      <c r="F17" s="65" t="s">
        <v>42</v>
      </c>
      <c r="G17" s="4" t="s">
        <v>43</v>
      </c>
      <c r="H17" s="4"/>
      <c r="I17" s="66" t="s">
        <v>44</v>
      </c>
      <c r="J17" s="66" t="s">
        <v>51</v>
      </c>
      <c r="K17" s="66" t="s">
        <v>46</v>
      </c>
      <c r="L17" s="66" t="s">
        <v>52</v>
      </c>
      <c r="M17" s="66" t="s">
        <v>53</v>
      </c>
      <c r="O17" s="4" t="s">
        <v>54</v>
      </c>
      <c r="P17" s="4" t="s">
        <v>55</v>
      </c>
      <c r="Q17" s="4" t="s">
        <v>55</v>
      </c>
      <c r="R17" s="4" t="s">
        <v>55</v>
      </c>
      <c r="S17" s="4" t="s">
        <v>55</v>
      </c>
      <c r="T17" s="4"/>
      <c r="U17" s="4" t="s">
        <v>54</v>
      </c>
      <c r="V17" s="4" t="s">
        <v>55</v>
      </c>
      <c r="W17" s="4" t="s">
        <v>55</v>
      </c>
      <c r="X17" s="4" t="s">
        <v>55</v>
      </c>
      <c r="Y17" s="4" t="s">
        <v>55</v>
      </c>
      <c r="AA17" s="4" t="s">
        <v>54</v>
      </c>
      <c r="AB17" s="4" t="s">
        <v>84</v>
      </c>
      <c r="AC17" s="4" t="s">
        <v>85</v>
      </c>
      <c r="AD17" s="4" t="s">
        <v>85</v>
      </c>
      <c r="AE17" s="4" t="s">
        <v>86</v>
      </c>
      <c r="AG17" s="4" t="s">
        <v>54</v>
      </c>
      <c r="AH17" s="4" t="s">
        <v>54</v>
      </c>
      <c r="AI17" s="4" t="s">
        <v>54</v>
      </c>
      <c r="AJ17" s="4" t="s">
        <v>54</v>
      </c>
      <c r="AK17" s="4" t="s">
        <v>54</v>
      </c>
      <c r="AM17" s="4" t="s">
        <v>55</v>
      </c>
      <c r="AN17" s="4" t="s">
        <v>55</v>
      </c>
      <c r="AO17" s="4" t="s">
        <v>55</v>
      </c>
      <c r="AP17" s="4" t="s">
        <v>55</v>
      </c>
      <c r="AQ17" s="4" t="s">
        <v>111</v>
      </c>
      <c r="AS17" s="4" t="s">
        <v>111</v>
      </c>
      <c r="AT17" s="4" t="s">
        <v>111</v>
      </c>
      <c r="AU17" s="4" t="s">
        <v>111</v>
      </c>
      <c r="AV17" s="4" t="s">
        <v>110</v>
      </c>
      <c r="AW17" s="4" t="s">
        <v>112</v>
      </c>
      <c r="AY17" s="66" t="s">
        <v>118</v>
      </c>
      <c r="AZ17" s="4" t="s">
        <v>126</v>
      </c>
      <c r="BA17" s="66" t="s">
        <v>120</v>
      </c>
      <c r="BB17" s="66" t="s">
        <v>120</v>
      </c>
      <c r="BC17" s="66" t="s">
        <v>121</v>
      </c>
    </row>
    <row r="18" spans="1:55" ht="60" x14ac:dyDescent="0.25">
      <c r="A18" s="1" t="s">
        <v>10</v>
      </c>
      <c r="C18" s="4"/>
      <c r="J18" s="4"/>
      <c r="Q18" s="4"/>
      <c r="U18" s="4"/>
      <c r="W18" s="4"/>
      <c r="X18" s="4"/>
      <c r="Y18" s="4"/>
      <c r="Z18" s="4"/>
      <c r="AA18" s="4"/>
      <c r="AB18" s="4"/>
      <c r="AC18" s="4"/>
      <c r="AD18" s="4"/>
      <c r="AE18" s="4"/>
      <c r="AG18" s="4"/>
      <c r="AH18" s="4" t="s">
        <v>83</v>
      </c>
      <c r="AI18" s="4" t="s">
        <v>83</v>
      </c>
      <c r="AJ18" s="4"/>
      <c r="AK18" s="4"/>
      <c r="AN18" s="4"/>
      <c r="AO18" s="4"/>
      <c r="AP18" s="4"/>
      <c r="AQ18" s="4"/>
      <c r="AT18" s="4"/>
      <c r="AU18" s="4"/>
      <c r="AW18" s="4"/>
      <c r="AY18" s="4"/>
      <c r="AZ18" s="4"/>
      <c r="BA18" s="4"/>
      <c r="BB18" s="4"/>
    </row>
  </sheetData>
  <customSheetViews>
    <customSheetView guid="{3D987F8E-A6EA-454D-9537-6BFC5053CB00}">
      <pane xSplit="1" topLeftCell="AE1" activePane="topRight" state="frozen"/>
      <selection pane="topRight" activeCell="AO17" sqref="AO17"/>
      <pageMargins left="0.511811024" right="0.511811024" top="0.78740157499999996" bottom="0.78740157499999996" header="0.31496062000000002" footer="0.31496062000000002"/>
    </customSheetView>
    <customSheetView guid="{B3CDE377-BA5D-4E06-91D9-3A48E1959BA5}" topLeftCell="A16">
      <pane xSplit="1" topLeftCell="AT1" activePane="topRight" state="frozen"/>
      <selection pane="topRight" activeCell="BA6" sqref="BA6"/>
      <pageMargins left="0.511811024" right="0.511811024" top="0.78740157499999996" bottom="0.78740157499999996" header="0.31496062000000002" footer="0.31496062000000002"/>
    </customSheetView>
    <customSheetView guid="{86039CF8-B158-4D70-9A6F-A10C29CBD68A}" topLeftCell="B1">
      <selection activeCell="S1" sqref="S1:S1048576"/>
      <pageMargins left="0.511811024" right="0.511811024" top="0.78740157499999996" bottom="0.78740157499999996" header="0.31496062000000002" footer="0.31496062000000002"/>
    </customSheetView>
    <customSheetView guid="{552DFCCD-1786-4D75-8B10-27DD730384DD}">
      <pane xSplit="1" topLeftCell="J1" activePane="topRight" state="frozen"/>
      <selection pane="topRight" activeCell="L8" sqref="L8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A18" sqref="A18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pane xSplit="1" topLeftCell="AQ1" activePane="topRight" state="frozen"/>
      <selection pane="topRight" activeCell="AS12" sqref="AS12:AW12"/>
      <pageMargins left="0.511811024" right="0.511811024" top="0.78740157499999996" bottom="0.78740157499999996" header="0.31496062000000002" footer="0.31496062000000002"/>
      <autoFilter ref="A1:A18" xr:uid="{DAF8F77C-84F2-468B-89D5-456C240DECF9}"/>
    </customSheetView>
    <customSheetView guid="{18A482E0-C8B6-4AA1-9E04-15FA7C9CD5E3}" scale="90">
      <pane xSplit="1" topLeftCell="B1" activePane="topRight" state="frozen"/>
      <selection pane="topRight" activeCell="H2" sqref="H2"/>
      <pageMargins left="0.511811024" right="0.511811024" top="0.78740157499999996" bottom="0.78740157499999996" header="0.31496062000000002" footer="0.31496062000000002"/>
    </customSheetView>
    <customSheetView guid="{20CB6D8F-C24D-4D4B-A424-AF380F620455}" showPageBreaks="1" topLeftCell="L4">
      <selection activeCell="P17" sqref="P17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E3841903-5B68-44FD-8F09-58E03D1025C5}" topLeftCell="BZ17">
      <selection activeCell="CR18" sqref="CR18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D18"/>
  <sheetViews>
    <sheetView zoomScaleNormal="100" workbookViewId="0">
      <pane xSplit="1" topLeftCell="O1" activePane="topRight" state="frozen"/>
      <selection pane="topRight" activeCell="Y17" sqref="Y17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3" width="23.85546875" style="1" customWidth="1"/>
    <col min="4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6" width="7.140625" style="1" bestFit="1" customWidth="1"/>
    <col min="17" max="17" width="9.28515625" style="1" customWidth="1"/>
    <col min="18" max="18" width="7.140625" style="1" bestFit="1" customWidth="1"/>
    <col min="19" max="19" width="7.5703125" style="1" customWidth="1"/>
    <col min="20" max="20" width="14.28515625" style="1" bestFit="1" customWidth="1"/>
    <col min="21" max="21" width="7.140625" style="1" bestFit="1" customWidth="1"/>
    <col min="22" max="22" width="14" style="1" customWidth="1"/>
    <col min="23" max="23" width="13" style="1" customWidth="1"/>
    <col min="24" max="24" width="16.140625" style="1" customWidth="1"/>
    <col min="25" max="25" width="16.85546875" style="1" customWidth="1"/>
    <col min="26" max="26" width="14.28515625" style="1" bestFit="1" customWidth="1"/>
    <col min="27" max="27" width="13.140625" style="1" customWidth="1"/>
    <col min="28" max="31" width="9.140625" style="1"/>
    <col min="32" max="32" width="15.28515625" style="1" customWidth="1"/>
    <col min="33" max="33" width="19.42578125" style="1" customWidth="1"/>
    <col min="34" max="35" width="9.140625" style="1"/>
    <col min="36" max="36" width="6.85546875" style="1" customWidth="1"/>
    <col min="37" max="37" width="16.5703125" style="1" customWidth="1"/>
    <col min="38" max="38" width="17.42578125" style="1" customWidth="1"/>
    <col min="39" max="40" width="11.42578125" style="1" customWidth="1"/>
    <col min="41" max="41" width="10.85546875" style="1" customWidth="1"/>
    <col min="42" max="42" width="13.42578125" style="1" customWidth="1"/>
    <col min="43" max="43" width="9.140625" style="1"/>
    <col min="44" max="44" width="15.42578125" style="1" customWidth="1"/>
    <col min="45" max="49" width="9.140625" style="1"/>
    <col min="50" max="50" width="15.42578125" style="1" customWidth="1"/>
    <col min="51" max="51" width="10.42578125" style="1" customWidth="1"/>
    <col min="52" max="52" width="10.5703125" style="1" customWidth="1"/>
    <col min="53" max="55" width="9.140625" style="1"/>
    <col min="56" max="56" width="16.140625" style="1" customWidth="1"/>
    <col min="57" max="16384" width="9.140625" style="1"/>
  </cols>
  <sheetData>
    <row r="1" spans="1:56" x14ac:dyDescent="0.25">
      <c r="A1" s="19" t="s">
        <v>9</v>
      </c>
      <c r="B1" s="31"/>
      <c r="C1" s="32">
        <v>45873</v>
      </c>
      <c r="D1" s="32">
        <v>45874</v>
      </c>
      <c r="E1" s="32">
        <v>45875</v>
      </c>
      <c r="F1" s="32">
        <v>45876</v>
      </c>
      <c r="G1" s="32">
        <v>45877</v>
      </c>
      <c r="H1" s="34" t="s">
        <v>15</v>
      </c>
      <c r="I1" s="33">
        <v>45880</v>
      </c>
      <c r="J1" s="33">
        <v>45881</v>
      </c>
      <c r="K1" s="33">
        <v>45882</v>
      </c>
      <c r="L1" s="33">
        <v>45883</v>
      </c>
      <c r="M1" s="33">
        <v>45884</v>
      </c>
      <c r="N1" s="35" t="s">
        <v>15</v>
      </c>
      <c r="O1" s="33">
        <v>45887</v>
      </c>
      <c r="P1" s="33">
        <v>45888</v>
      </c>
      <c r="Q1" s="33">
        <v>45889</v>
      </c>
      <c r="R1" s="33">
        <v>45890</v>
      </c>
      <c r="S1" s="33">
        <v>45891</v>
      </c>
      <c r="T1" s="35" t="s">
        <v>15</v>
      </c>
      <c r="U1" s="33">
        <v>45894</v>
      </c>
      <c r="V1" s="33">
        <v>45895</v>
      </c>
      <c r="W1" s="33">
        <v>45896</v>
      </c>
      <c r="X1" s="33">
        <v>45897</v>
      </c>
      <c r="Y1" s="33">
        <v>45898</v>
      </c>
      <c r="Z1" s="35" t="s">
        <v>15</v>
      </c>
      <c r="AA1" s="33">
        <v>45901</v>
      </c>
      <c r="AB1" s="33">
        <v>45902</v>
      </c>
      <c r="AC1" s="33">
        <v>45903</v>
      </c>
      <c r="AD1" s="33">
        <v>45904</v>
      </c>
      <c r="AE1" s="33">
        <v>45905</v>
      </c>
      <c r="AF1" s="35" t="s">
        <v>15</v>
      </c>
      <c r="AG1" s="33">
        <v>45908</v>
      </c>
      <c r="AH1" s="33">
        <v>45909</v>
      </c>
      <c r="AI1" s="33">
        <v>45910</v>
      </c>
      <c r="AJ1" s="33">
        <v>45911</v>
      </c>
      <c r="AK1" s="33">
        <v>45912</v>
      </c>
      <c r="AL1" s="35" t="s">
        <v>15</v>
      </c>
      <c r="AM1" s="33">
        <v>45915</v>
      </c>
      <c r="AN1" s="33">
        <v>45916</v>
      </c>
      <c r="AO1" s="33">
        <v>45917</v>
      </c>
      <c r="AP1" s="33">
        <v>45918</v>
      </c>
      <c r="AQ1" s="33">
        <v>45919</v>
      </c>
      <c r="AR1" s="36" t="s">
        <v>15</v>
      </c>
      <c r="AS1" s="33">
        <v>45922</v>
      </c>
      <c r="AT1" s="33">
        <v>45923</v>
      </c>
      <c r="AU1" s="33">
        <v>45924</v>
      </c>
      <c r="AV1" s="33">
        <v>45925</v>
      </c>
      <c r="AW1" s="33">
        <v>45926</v>
      </c>
      <c r="AX1" s="36" t="s">
        <v>15</v>
      </c>
      <c r="AY1" s="33">
        <v>45929</v>
      </c>
      <c r="AZ1" s="33">
        <v>45930</v>
      </c>
      <c r="BA1" s="33">
        <v>45931</v>
      </c>
      <c r="BB1" s="33">
        <v>45932</v>
      </c>
      <c r="BC1" s="33">
        <v>45933</v>
      </c>
      <c r="BD1" s="37" t="s">
        <v>15</v>
      </c>
    </row>
    <row r="2" spans="1:56" x14ac:dyDescent="0.25">
      <c r="A2" s="2" t="s">
        <v>18</v>
      </c>
      <c r="B2" s="23">
        <v>1</v>
      </c>
      <c r="C2" s="14"/>
      <c r="H2" s="25">
        <f>SUM(C2:G2)</f>
        <v>0</v>
      </c>
      <c r="N2" s="25">
        <f>SUM(I2:M2)</f>
        <v>0</v>
      </c>
      <c r="T2" s="25">
        <f t="shared" ref="T2:T16" si="0">SUM(O2:S2)</f>
        <v>0</v>
      </c>
      <c r="Z2" s="25">
        <f>SUM(U2:Y2)</f>
        <v>0</v>
      </c>
      <c r="AF2" s="25">
        <f>SUM(AA2:AE2)</f>
        <v>0</v>
      </c>
      <c r="AL2" s="25">
        <f>SUM(AG2:AK2)</f>
        <v>0</v>
      </c>
      <c r="AR2" s="29">
        <f>SUM(AM2:AQ2)</f>
        <v>0</v>
      </c>
      <c r="AX2" s="29">
        <f>SUM(AS2:AW2)</f>
        <v>0</v>
      </c>
      <c r="BD2" s="27">
        <f>SUM(AY2:BC2)</f>
        <v>0</v>
      </c>
    </row>
    <row r="3" spans="1:56" x14ac:dyDescent="0.25">
      <c r="A3" s="2" t="s">
        <v>0</v>
      </c>
      <c r="B3" s="23">
        <v>2</v>
      </c>
      <c r="C3" s="14"/>
      <c r="H3" s="25">
        <f t="shared" ref="H3:H16" si="1">SUM(C3:G3)</f>
        <v>0</v>
      </c>
      <c r="N3" s="25">
        <f t="shared" ref="N3:N16" si="2">SUM(I3:M3)</f>
        <v>0</v>
      </c>
      <c r="T3" s="25">
        <f t="shared" si="0"/>
        <v>0</v>
      </c>
      <c r="Z3" s="25">
        <f t="shared" ref="Z3:Z16" si="3">SUM(U3:Y3)</f>
        <v>0</v>
      </c>
      <c r="AF3" s="25">
        <f t="shared" ref="AF3:AF16" si="4">SUM(AA3:AE3)</f>
        <v>0</v>
      </c>
      <c r="AL3" s="25">
        <f t="shared" ref="AL3:AL16" si="5">SUM(AG3:AK3)</f>
        <v>0</v>
      </c>
      <c r="AR3" s="29">
        <f t="shared" ref="AR3:AR16" si="6">SUM(AM3:AQ3)</f>
        <v>0</v>
      </c>
      <c r="AX3" s="29">
        <f t="shared" ref="AX3:AX16" si="7">SUM(AS3:AW3)</f>
        <v>0</v>
      </c>
      <c r="BD3" s="27">
        <f t="shared" ref="BD3:BD16" si="8">SUM(AY3:BC3)</f>
        <v>0</v>
      </c>
    </row>
    <row r="4" spans="1:56" x14ac:dyDescent="0.25">
      <c r="A4" s="3" t="s">
        <v>17</v>
      </c>
      <c r="B4" s="24">
        <v>3</v>
      </c>
      <c r="C4" s="14"/>
      <c r="H4" s="25">
        <f t="shared" si="1"/>
        <v>0</v>
      </c>
      <c r="N4" s="25">
        <f t="shared" si="2"/>
        <v>0</v>
      </c>
      <c r="T4" s="25">
        <f t="shared" si="0"/>
        <v>0</v>
      </c>
      <c r="Z4" s="25">
        <f t="shared" si="3"/>
        <v>0</v>
      </c>
      <c r="AF4" s="25">
        <f t="shared" si="4"/>
        <v>0</v>
      </c>
      <c r="AL4" s="25">
        <f t="shared" si="5"/>
        <v>0</v>
      </c>
      <c r="AR4" s="29">
        <f t="shared" si="6"/>
        <v>0</v>
      </c>
      <c r="AX4" s="29">
        <f t="shared" si="7"/>
        <v>0</v>
      </c>
      <c r="BD4" s="27">
        <f t="shared" si="8"/>
        <v>0</v>
      </c>
    </row>
    <row r="5" spans="1:56" x14ac:dyDescent="0.25">
      <c r="A5" s="3" t="s">
        <v>16</v>
      </c>
      <c r="B5" s="23">
        <v>4</v>
      </c>
      <c r="C5" s="14"/>
      <c r="H5" s="25">
        <f t="shared" si="1"/>
        <v>0</v>
      </c>
      <c r="N5" s="25">
        <f t="shared" si="2"/>
        <v>0</v>
      </c>
      <c r="T5" s="25">
        <f t="shared" si="0"/>
        <v>0</v>
      </c>
      <c r="Z5" s="25">
        <f t="shared" si="3"/>
        <v>0</v>
      </c>
      <c r="AF5" s="25">
        <f t="shared" si="4"/>
        <v>0</v>
      </c>
      <c r="AL5" s="25">
        <f t="shared" si="5"/>
        <v>0</v>
      </c>
      <c r="AR5" s="29">
        <f t="shared" si="6"/>
        <v>0</v>
      </c>
      <c r="AX5" s="29">
        <f t="shared" si="7"/>
        <v>0</v>
      </c>
      <c r="BD5" s="27">
        <f t="shared" si="8"/>
        <v>0</v>
      </c>
    </row>
    <row r="6" spans="1:56" x14ac:dyDescent="0.25">
      <c r="A6" s="3" t="s">
        <v>1</v>
      </c>
      <c r="B6" s="23">
        <v>5</v>
      </c>
      <c r="C6" s="14"/>
      <c r="H6" s="25">
        <f t="shared" si="1"/>
        <v>0</v>
      </c>
      <c r="N6" s="25">
        <f t="shared" si="2"/>
        <v>0</v>
      </c>
      <c r="T6" s="25">
        <f t="shared" si="0"/>
        <v>0</v>
      </c>
      <c r="Z6" s="25">
        <f t="shared" si="3"/>
        <v>0</v>
      </c>
      <c r="AF6" s="25">
        <f t="shared" si="4"/>
        <v>0</v>
      </c>
      <c r="AL6" s="25">
        <f t="shared" si="5"/>
        <v>0</v>
      </c>
      <c r="AR6" s="29">
        <f t="shared" si="6"/>
        <v>0</v>
      </c>
      <c r="AX6" s="29">
        <f t="shared" si="7"/>
        <v>0</v>
      </c>
      <c r="BD6" s="27">
        <f t="shared" si="8"/>
        <v>0</v>
      </c>
    </row>
    <row r="7" spans="1:56" x14ac:dyDescent="0.25">
      <c r="A7" s="3" t="s">
        <v>2</v>
      </c>
      <c r="B7" s="24">
        <v>6</v>
      </c>
      <c r="C7" s="14"/>
      <c r="H7" s="25">
        <f t="shared" si="1"/>
        <v>0</v>
      </c>
      <c r="N7" s="25">
        <f t="shared" si="2"/>
        <v>0</v>
      </c>
      <c r="T7" s="25">
        <f t="shared" si="0"/>
        <v>0</v>
      </c>
      <c r="Z7" s="25">
        <f t="shared" si="3"/>
        <v>0</v>
      </c>
      <c r="AF7" s="25">
        <f t="shared" si="4"/>
        <v>0</v>
      </c>
      <c r="AL7" s="25">
        <f t="shared" si="5"/>
        <v>0</v>
      </c>
      <c r="AR7" s="29">
        <f t="shared" si="6"/>
        <v>0</v>
      </c>
      <c r="AX7" s="29">
        <f t="shared" si="7"/>
        <v>0</v>
      </c>
      <c r="BD7" s="27">
        <f t="shared" si="8"/>
        <v>0</v>
      </c>
    </row>
    <row r="8" spans="1:56" x14ac:dyDescent="0.25">
      <c r="A8" s="3" t="s">
        <v>3</v>
      </c>
      <c r="B8" s="23">
        <v>7</v>
      </c>
      <c r="C8" s="14"/>
      <c r="H8" s="25">
        <f t="shared" si="1"/>
        <v>0</v>
      </c>
      <c r="N8" s="25">
        <f t="shared" si="2"/>
        <v>0</v>
      </c>
      <c r="T8" s="25">
        <f t="shared" si="0"/>
        <v>0</v>
      </c>
      <c r="Z8" s="25">
        <f t="shared" si="3"/>
        <v>0</v>
      </c>
      <c r="AF8" s="25">
        <f t="shared" si="4"/>
        <v>0</v>
      </c>
      <c r="AL8" s="25">
        <f t="shared" si="5"/>
        <v>0</v>
      </c>
      <c r="AR8" s="29">
        <f t="shared" si="6"/>
        <v>0</v>
      </c>
      <c r="AX8" s="29">
        <f t="shared" si="7"/>
        <v>0</v>
      </c>
      <c r="BD8" s="27">
        <f t="shared" si="8"/>
        <v>0</v>
      </c>
    </row>
    <row r="9" spans="1:56" x14ac:dyDescent="0.25">
      <c r="A9" s="3" t="s">
        <v>13</v>
      </c>
      <c r="B9" s="23">
        <v>8</v>
      </c>
      <c r="C9" s="14"/>
      <c r="H9" s="25">
        <f t="shared" si="1"/>
        <v>0</v>
      </c>
      <c r="N9" s="25">
        <f t="shared" si="2"/>
        <v>0</v>
      </c>
      <c r="T9" s="25">
        <f t="shared" si="0"/>
        <v>0</v>
      </c>
      <c r="Z9" s="25">
        <f t="shared" si="3"/>
        <v>0</v>
      </c>
      <c r="AF9" s="25">
        <f t="shared" si="4"/>
        <v>0</v>
      </c>
      <c r="AL9" s="25">
        <f t="shared" si="5"/>
        <v>0</v>
      </c>
      <c r="AR9" s="29">
        <f t="shared" si="6"/>
        <v>0</v>
      </c>
      <c r="AX9" s="29">
        <f t="shared" si="7"/>
        <v>0</v>
      </c>
      <c r="BD9" s="27">
        <f t="shared" si="8"/>
        <v>0</v>
      </c>
    </row>
    <row r="10" spans="1:56" x14ac:dyDescent="0.25">
      <c r="A10" s="2" t="s">
        <v>12</v>
      </c>
      <c r="B10" s="24">
        <v>9</v>
      </c>
      <c r="C10" s="14"/>
      <c r="H10" s="25">
        <f t="shared" si="1"/>
        <v>0</v>
      </c>
      <c r="N10" s="25">
        <f t="shared" si="2"/>
        <v>0</v>
      </c>
      <c r="T10" s="25">
        <f t="shared" si="0"/>
        <v>0</v>
      </c>
      <c r="Z10" s="25">
        <f t="shared" si="3"/>
        <v>0</v>
      </c>
      <c r="AF10" s="25">
        <f t="shared" si="4"/>
        <v>0</v>
      </c>
      <c r="AL10" s="25">
        <f t="shared" si="5"/>
        <v>0</v>
      </c>
      <c r="AR10" s="29">
        <f t="shared" si="6"/>
        <v>0</v>
      </c>
      <c r="AX10" s="29">
        <f t="shared" si="7"/>
        <v>0</v>
      </c>
      <c r="BD10" s="27">
        <f t="shared" si="8"/>
        <v>0</v>
      </c>
    </row>
    <row r="11" spans="1:56" x14ac:dyDescent="0.25">
      <c r="A11" s="3" t="s">
        <v>4</v>
      </c>
      <c r="B11" s="23">
        <v>10</v>
      </c>
      <c r="C11" s="14"/>
      <c r="H11" s="25">
        <f t="shared" si="1"/>
        <v>0</v>
      </c>
      <c r="N11" s="25">
        <f t="shared" si="2"/>
        <v>0</v>
      </c>
      <c r="T11" s="25">
        <f t="shared" si="0"/>
        <v>0</v>
      </c>
      <c r="Z11" s="25">
        <f t="shared" si="3"/>
        <v>0</v>
      </c>
      <c r="AF11" s="25">
        <f t="shared" si="4"/>
        <v>0</v>
      </c>
      <c r="AL11" s="25">
        <f t="shared" si="5"/>
        <v>0</v>
      </c>
      <c r="AR11" s="29">
        <f t="shared" si="6"/>
        <v>0</v>
      </c>
      <c r="AX11" s="29">
        <f t="shared" si="7"/>
        <v>0</v>
      </c>
      <c r="BD11" s="27">
        <f t="shared" si="8"/>
        <v>0</v>
      </c>
    </row>
    <row r="12" spans="1:56" x14ac:dyDescent="0.25">
      <c r="A12" s="3" t="s">
        <v>5</v>
      </c>
      <c r="B12" s="23">
        <v>11</v>
      </c>
      <c r="C12" s="14"/>
      <c r="H12" s="25">
        <f t="shared" si="1"/>
        <v>0</v>
      </c>
      <c r="N12" s="25">
        <f t="shared" si="2"/>
        <v>0</v>
      </c>
      <c r="T12" s="25">
        <f t="shared" si="0"/>
        <v>0</v>
      </c>
      <c r="Z12" s="25">
        <f t="shared" si="3"/>
        <v>0</v>
      </c>
      <c r="AF12" s="25">
        <f t="shared" si="4"/>
        <v>0</v>
      </c>
      <c r="AL12" s="25">
        <f t="shared" si="5"/>
        <v>0</v>
      </c>
      <c r="AR12" s="29">
        <f t="shared" si="6"/>
        <v>0</v>
      </c>
      <c r="AX12" s="29">
        <f t="shared" si="7"/>
        <v>0</v>
      </c>
      <c r="BD12" s="27">
        <f t="shared" si="8"/>
        <v>0</v>
      </c>
    </row>
    <row r="13" spans="1:56" x14ac:dyDescent="0.25">
      <c r="A13" s="2" t="s">
        <v>8</v>
      </c>
      <c r="B13" s="24">
        <v>12</v>
      </c>
      <c r="C13" s="14"/>
      <c r="H13" s="25">
        <f t="shared" si="1"/>
        <v>0</v>
      </c>
      <c r="N13" s="25">
        <f t="shared" si="2"/>
        <v>0</v>
      </c>
      <c r="T13" s="25">
        <f t="shared" si="0"/>
        <v>0</v>
      </c>
      <c r="Z13" s="25">
        <f t="shared" si="3"/>
        <v>0</v>
      </c>
      <c r="AF13" s="25">
        <f t="shared" si="4"/>
        <v>0</v>
      </c>
      <c r="AL13" s="25">
        <f t="shared" si="5"/>
        <v>0</v>
      </c>
      <c r="AR13" s="29">
        <f t="shared" si="6"/>
        <v>0</v>
      </c>
      <c r="AX13" s="29">
        <f t="shared" si="7"/>
        <v>0</v>
      </c>
      <c r="BD13" s="27">
        <f t="shared" si="8"/>
        <v>0</v>
      </c>
    </row>
    <row r="14" spans="1:56" x14ac:dyDescent="0.25">
      <c r="A14" s="3" t="s">
        <v>6</v>
      </c>
      <c r="B14" s="23">
        <v>13</v>
      </c>
      <c r="C14" s="14"/>
      <c r="H14" s="25">
        <f t="shared" si="1"/>
        <v>0</v>
      </c>
      <c r="N14" s="25">
        <f t="shared" si="2"/>
        <v>0</v>
      </c>
      <c r="T14" s="25">
        <f t="shared" si="0"/>
        <v>0</v>
      </c>
      <c r="Z14" s="25">
        <f t="shared" si="3"/>
        <v>0</v>
      </c>
      <c r="AF14" s="25">
        <f t="shared" si="4"/>
        <v>0</v>
      </c>
      <c r="AL14" s="25">
        <f t="shared" si="5"/>
        <v>0</v>
      </c>
      <c r="AR14" s="29">
        <f t="shared" si="6"/>
        <v>0</v>
      </c>
      <c r="AX14" s="29">
        <f t="shared" si="7"/>
        <v>0</v>
      </c>
      <c r="BD14" s="27">
        <f t="shared" si="8"/>
        <v>0</v>
      </c>
    </row>
    <row r="15" spans="1:56" x14ac:dyDescent="0.25">
      <c r="A15" s="2" t="s">
        <v>7</v>
      </c>
      <c r="B15" s="23">
        <v>14</v>
      </c>
      <c r="C15" s="14"/>
      <c r="H15" s="25">
        <f t="shared" si="1"/>
        <v>0</v>
      </c>
      <c r="N15" s="25">
        <f t="shared" si="2"/>
        <v>0</v>
      </c>
      <c r="T15" s="25">
        <f t="shared" si="0"/>
        <v>0</v>
      </c>
      <c r="Z15" s="25">
        <f t="shared" si="3"/>
        <v>0</v>
      </c>
      <c r="AF15" s="25">
        <f t="shared" si="4"/>
        <v>0</v>
      </c>
      <c r="AL15" s="25">
        <f t="shared" si="5"/>
        <v>0</v>
      </c>
      <c r="AR15" s="29">
        <f t="shared" si="6"/>
        <v>0</v>
      </c>
      <c r="AX15" s="29">
        <f t="shared" si="7"/>
        <v>0</v>
      </c>
      <c r="BD15" s="27">
        <f t="shared" si="8"/>
        <v>0</v>
      </c>
    </row>
    <row r="16" spans="1:56" x14ac:dyDescent="0.25">
      <c r="A16" s="20" t="s">
        <v>14</v>
      </c>
      <c r="B16" s="21">
        <v>15</v>
      </c>
      <c r="C16" s="16"/>
      <c r="D16" s="17"/>
      <c r="E16" s="17"/>
      <c r="F16" s="44"/>
      <c r="G16" s="44"/>
      <c r="H16" s="18">
        <f t="shared" si="1"/>
        <v>0</v>
      </c>
      <c r="I16" s="44"/>
      <c r="J16" s="17"/>
      <c r="K16" s="17"/>
      <c r="L16" s="17"/>
      <c r="M16" s="17"/>
      <c r="N16" s="18">
        <f t="shared" si="2"/>
        <v>0</v>
      </c>
      <c r="O16" s="17"/>
      <c r="P16" s="17"/>
      <c r="Q16" s="17"/>
      <c r="R16" s="17"/>
      <c r="S16" s="17"/>
      <c r="T16" s="18">
        <f t="shared" si="0"/>
        <v>0</v>
      </c>
      <c r="U16" s="17"/>
      <c r="V16" s="17"/>
      <c r="W16" s="17"/>
      <c r="X16" s="17"/>
      <c r="Y16" s="17"/>
      <c r="Z16" s="18">
        <f t="shared" si="3"/>
        <v>0</v>
      </c>
      <c r="AA16" s="17"/>
      <c r="AB16" s="17"/>
      <c r="AC16" s="17"/>
      <c r="AD16" s="17"/>
      <c r="AE16" s="17"/>
      <c r="AF16" s="18">
        <f t="shared" si="4"/>
        <v>0</v>
      </c>
      <c r="AG16" s="17"/>
      <c r="AH16" s="17"/>
      <c r="AI16" s="17"/>
      <c r="AJ16" s="17"/>
      <c r="AK16" s="17"/>
      <c r="AL16" s="18">
        <f t="shared" si="5"/>
        <v>0</v>
      </c>
      <c r="AM16" s="17"/>
      <c r="AN16" s="17"/>
      <c r="AO16" s="17"/>
      <c r="AP16" s="17"/>
      <c r="AQ16" s="17"/>
      <c r="AR16" s="30">
        <f t="shared" si="6"/>
        <v>0</v>
      </c>
      <c r="AS16" s="17"/>
      <c r="AT16" s="17"/>
      <c r="AU16" s="17"/>
      <c r="AV16" s="17"/>
      <c r="AW16" s="17"/>
      <c r="AX16" s="30">
        <f t="shared" si="7"/>
        <v>0</v>
      </c>
      <c r="AY16" s="17"/>
      <c r="AZ16" s="17"/>
      <c r="BA16" s="17"/>
      <c r="BB16" s="17"/>
      <c r="BC16" s="17"/>
      <c r="BD16" s="28">
        <f t="shared" si="8"/>
        <v>0</v>
      </c>
    </row>
    <row r="17" spans="1:55" ht="120" x14ac:dyDescent="0.25">
      <c r="A17" s="1" t="s">
        <v>11</v>
      </c>
      <c r="C17" s="4" t="s">
        <v>38</v>
      </c>
      <c r="D17" s="4" t="s">
        <v>38</v>
      </c>
      <c r="E17" s="4" t="s">
        <v>38</v>
      </c>
      <c r="F17" s="4" t="s">
        <v>42</v>
      </c>
      <c r="G17" s="4" t="s">
        <v>38</v>
      </c>
      <c r="H17" s="4"/>
      <c r="I17" s="4" t="s">
        <v>56</v>
      </c>
      <c r="J17" s="4" t="s">
        <v>56</v>
      </c>
      <c r="K17" s="4" t="s">
        <v>56</v>
      </c>
      <c r="L17" s="4" t="s">
        <v>56</v>
      </c>
      <c r="M17" s="4" t="s">
        <v>56</v>
      </c>
      <c r="O17" s="4" t="s">
        <v>56</v>
      </c>
      <c r="P17" s="4" t="s">
        <v>56</v>
      </c>
      <c r="Q17" s="4" t="s">
        <v>56</v>
      </c>
      <c r="R17" s="4" t="s">
        <v>56</v>
      </c>
      <c r="S17" s="4" t="s">
        <v>56</v>
      </c>
      <c r="U17" s="4" t="s">
        <v>66</v>
      </c>
      <c r="V17" s="4" t="s">
        <v>56</v>
      </c>
      <c r="W17" s="4" t="s">
        <v>56</v>
      </c>
      <c r="X17" s="4" t="s">
        <v>56</v>
      </c>
      <c r="Y17" s="4" t="s">
        <v>56</v>
      </c>
      <c r="AA17" s="4" t="s">
        <v>56</v>
      </c>
      <c r="AB17" s="4" t="s">
        <v>56</v>
      </c>
      <c r="AC17" s="4" t="s">
        <v>79</v>
      </c>
      <c r="AD17" s="4" t="s">
        <v>56</v>
      </c>
      <c r="AE17" s="4" t="s">
        <v>56</v>
      </c>
      <c r="AG17" s="4" t="s">
        <v>55</v>
      </c>
      <c r="AH17" s="4" t="s">
        <v>55</v>
      </c>
      <c r="AI17" s="4" t="s">
        <v>55</v>
      </c>
      <c r="AJ17" s="4" t="s">
        <v>55</v>
      </c>
      <c r="AK17" s="4" t="s">
        <v>55</v>
      </c>
      <c r="AM17" s="4" t="s">
        <v>55</v>
      </c>
      <c r="AN17" s="4" t="s">
        <v>55</v>
      </c>
      <c r="AO17" s="4" t="s">
        <v>55</v>
      </c>
      <c r="AP17" s="4" t="s">
        <v>55</v>
      </c>
      <c r="AQ17" s="4" t="s">
        <v>111</v>
      </c>
      <c r="AS17" s="4" t="s">
        <v>111</v>
      </c>
      <c r="AT17" s="4" t="s">
        <v>111</v>
      </c>
      <c r="AU17" s="4" t="s">
        <v>111</v>
      </c>
      <c r="AV17" s="4" t="s">
        <v>110</v>
      </c>
      <c r="AW17" s="4" t="s">
        <v>112</v>
      </c>
      <c r="AY17" s="1" t="s">
        <v>124</v>
      </c>
      <c r="AZ17" s="1" t="s">
        <v>124</v>
      </c>
      <c r="BA17" s="1" t="s">
        <v>124</v>
      </c>
      <c r="BB17" s="1" t="s">
        <v>124</v>
      </c>
      <c r="BC17" s="1" t="s">
        <v>124</v>
      </c>
    </row>
    <row r="18" spans="1:55" ht="60" x14ac:dyDescent="0.25">
      <c r="A18" s="1" t="s">
        <v>10</v>
      </c>
      <c r="C18" s="4"/>
      <c r="J18" s="4"/>
      <c r="Q18" s="4"/>
      <c r="U18" s="4"/>
      <c r="W18" s="4"/>
      <c r="X18" s="4"/>
      <c r="Y18" s="4"/>
      <c r="Z18" s="4"/>
      <c r="AA18" s="4"/>
      <c r="AB18" s="4"/>
      <c r="AC18" s="4"/>
      <c r="AD18" s="4"/>
      <c r="AE18" s="4"/>
      <c r="AG18" s="4" t="s">
        <v>83</v>
      </c>
      <c r="AH18" s="4" t="s">
        <v>83</v>
      </c>
      <c r="AJ18" s="4"/>
      <c r="AK18" s="4"/>
      <c r="AN18" s="4"/>
      <c r="AO18" s="4"/>
      <c r="AP18" s="4"/>
      <c r="AQ18" s="4"/>
      <c r="AT18" s="4"/>
      <c r="AU18" s="4"/>
      <c r="AW18" s="4"/>
      <c r="AY18" s="4"/>
      <c r="AZ18" s="4"/>
      <c r="BA18" s="4"/>
      <c r="BB18" s="4"/>
    </row>
  </sheetData>
  <customSheetViews>
    <customSheetView guid="{3D987F8E-A6EA-454D-9537-6BFC5053CB00}">
      <pane xSplit="1" topLeftCell="O1" activePane="topRight" state="frozen"/>
      <selection pane="topRight" activeCell="Y17" sqref="Y17"/>
      <pageMargins left="0.511811024" right="0.511811024" top="0.78740157499999996" bottom="0.78740157499999996" header="0.31496062000000002" footer="0.31496062000000002"/>
    </customSheetView>
    <customSheetView guid="{B3CDE377-BA5D-4E06-91D9-3A48E1959BA5}">
      <pane xSplit="1" topLeftCell="AM1" activePane="topRight" state="frozen"/>
      <selection pane="topRight" activeCell="AM17" sqref="AM17:AW17"/>
      <pageMargins left="0.511811024" right="0.511811024" top="0.78740157499999996" bottom="0.78740157499999996" header="0.31496062000000002" footer="0.31496062000000002"/>
    </customSheetView>
    <customSheetView guid="{86039CF8-B158-4D70-9A6F-A10C29CBD68A}" topLeftCell="B1">
      <selection activeCell="S1" sqref="S1:S1048576"/>
      <pageMargins left="0.511811024" right="0.511811024" top="0.78740157499999996" bottom="0.78740157499999996" header="0.31496062000000002" footer="0.31496062000000002"/>
    </customSheetView>
    <customSheetView guid="{552DFCCD-1786-4D75-8B10-27DD730384DD}">
      <pane xSplit="1" topLeftCell="H1" activePane="topRight" state="frozen"/>
      <selection pane="topRight" activeCell="M9" sqref="M9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B16" sqref="B16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 topLeftCell="A4">
      <pane xSplit="1" topLeftCell="W1" activePane="topRight" state="frozen"/>
      <selection pane="topRight" activeCell="AG17" sqref="AG17"/>
      <pageMargins left="0.511811024" right="0.511811024" top="0.78740157499999996" bottom="0.78740157499999996" header="0.31496062000000002" footer="0.31496062000000002"/>
      <pageSetup paperSize="9" orientation="portrait" r:id="rId1"/>
      <autoFilter ref="A1:A18" xr:uid="{7823B82B-7860-4F76-AECA-F71D18E57CFC}"/>
    </customSheetView>
    <customSheetView guid="{18A482E0-C8B6-4AA1-9E04-15FA7C9CD5E3}" scale="90">
      <pane xSplit="1" topLeftCell="B1" activePane="topRight" state="frozen"/>
      <selection pane="topRight" activeCell="AQ1" sqref="AQ1"/>
      <pageMargins left="0.511811024" right="0.511811024" top="0.78740157499999996" bottom="0.78740157499999996" header="0.31496062000000002" footer="0.31496062000000002"/>
    </customSheetView>
    <customSheetView guid="{20CB6D8F-C24D-4D4B-A424-AF380F620455}" showPageBreaks="1" topLeftCell="AQ17">
      <selection activeCell="AZ17" sqref="AZ17"/>
      <pageMargins left="0.511811024" right="0.511811024" top="0.78740157499999996" bottom="0.78740157499999996" header="0.31496062000000002" footer="0.31496062000000002"/>
      <pageSetup paperSize="9" orientation="portrait" r:id="rId2"/>
    </customSheetView>
    <customSheetView guid="{E3841903-5B68-44FD-8F09-58E03D1025C5}">
      <pane xSplit="1" topLeftCell="AT1" activePane="topRight" state="frozen"/>
      <selection pane="topRight" activeCell="A18" sqref="A18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D18"/>
  <sheetViews>
    <sheetView topLeftCell="A7" zoomScaleNormal="90" workbookViewId="0">
      <pane xSplit="1" topLeftCell="BG1" activePane="topRight" state="frozen"/>
      <selection activeCell="A7" sqref="A7"/>
      <selection pane="topRight" activeCell="BQ17" sqref="BQ17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3" width="23.85546875" style="1" customWidth="1"/>
    <col min="4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6" width="7.140625" style="1" bestFit="1" customWidth="1"/>
    <col min="17" max="17" width="14.5703125" style="1" customWidth="1"/>
    <col min="18" max="18" width="7.140625" style="1" bestFit="1" customWidth="1"/>
    <col min="19" max="19" width="7.5703125" style="1" customWidth="1"/>
    <col min="20" max="20" width="14.28515625" style="1" bestFit="1" customWidth="1"/>
    <col min="21" max="21" width="7.140625" style="1" bestFit="1" customWidth="1"/>
    <col min="22" max="22" width="14" style="1" customWidth="1"/>
    <col min="23" max="23" width="13" style="1" customWidth="1"/>
    <col min="24" max="24" width="16.140625" style="1" customWidth="1"/>
    <col min="25" max="25" width="16.85546875" style="1" customWidth="1"/>
    <col min="26" max="26" width="14.28515625" style="1" bestFit="1" customWidth="1"/>
    <col min="27" max="27" width="13.140625" style="1" customWidth="1"/>
    <col min="28" max="31" width="9.140625" style="1"/>
    <col min="32" max="32" width="15.28515625" style="1" customWidth="1"/>
    <col min="33" max="33" width="19.42578125" style="1" customWidth="1"/>
    <col min="34" max="35" width="9.140625" style="1"/>
    <col min="36" max="36" width="6.85546875" style="1" customWidth="1"/>
    <col min="37" max="37" width="16.5703125" style="1" customWidth="1"/>
    <col min="38" max="38" width="17.42578125" style="1" customWidth="1"/>
    <col min="39" max="40" width="11.42578125" style="1" customWidth="1"/>
    <col min="41" max="41" width="10.85546875" style="1" customWidth="1"/>
    <col min="42" max="42" width="13.42578125" style="1" customWidth="1"/>
    <col min="43" max="43" width="9.140625" style="1"/>
    <col min="44" max="44" width="15.42578125" style="1" customWidth="1"/>
    <col min="45" max="49" width="9.140625" style="1"/>
    <col min="50" max="50" width="15.42578125" style="1" customWidth="1"/>
    <col min="51" max="55" width="9.140625" style="1"/>
    <col min="56" max="56" width="16.140625" style="1" customWidth="1"/>
    <col min="57" max="16384" width="9.140625" style="1"/>
  </cols>
  <sheetData>
    <row r="1" spans="1:56" x14ac:dyDescent="0.25">
      <c r="A1" s="19" t="s">
        <v>9</v>
      </c>
      <c r="B1" s="31"/>
      <c r="C1" s="32">
        <v>45873</v>
      </c>
      <c r="D1" s="32">
        <v>45874</v>
      </c>
      <c r="E1" s="32">
        <v>45875</v>
      </c>
      <c r="F1" s="32">
        <v>45876</v>
      </c>
      <c r="G1" s="32">
        <v>45877</v>
      </c>
      <c r="H1" s="34" t="s">
        <v>15</v>
      </c>
      <c r="I1" s="33">
        <v>45880</v>
      </c>
      <c r="J1" s="33">
        <v>45881</v>
      </c>
      <c r="K1" s="33">
        <v>45882</v>
      </c>
      <c r="L1" s="33">
        <v>45883</v>
      </c>
      <c r="M1" s="33">
        <v>45884</v>
      </c>
      <c r="N1" s="35" t="s">
        <v>15</v>
      </c>
      <c r="O1" s="33">
        <v>45887</v>
      </c>
      <c r="P1" s="33">
        <v>45888</v>
      </c>
      <c r="Q1" s="33">
        <v>45889</v>
      </c>
      <c r="R1" s="33">
        <v>45890</v>
      </c>
      <c r="S1" s="33">
        <v>45891</v>
      </c>
      <c r="T1" s="35" t="s">
        <v>15</v>
      </c>
      <c r="U1" s="33">
        <v>45894</v>
      </c>
      <c r="V1" s="33">
        <v>45895</v>
      </c>
      <c r="W1" s="33">
        <v>45896</v>
      </c>
      <c r="X1" s="33">
        <v>45897</v>
      </c>
      <c r="Y1" s="33">
        <v>45898</v>
      </c>
      <c r="Z1" s="35" t="s">
        <v>15</v>
      </c>
      <c r="AA1" s="33">
        <v>45901</v>
      </c>
      <c r="AB1" s="33">
        <v>45902</v>
      </c>
      <c r="AC1" s="33">
        <v>45903</v>
      </c>
      <c r="AD1" s="33">
        <v>45904</v>
      </c>
      <c r="AE1" s="33">
        <v>45905</v>
      </c>
      <c r="AF1" s="35" t="s">
        <v>15</v>
      </c>
      <c r="AG1" s="33">
        <v>45908</v>
      </c>
      <c r="AH1" s="33">
        <v>45909</v>
      </c>
      <c r="AI1" s="33">
        <v>45910</v>
      </c>
      <c r="AJ1" s="33">
        <v>45911</v>
      </c>
      <c r="AK1" s="33">
        <v>45912</v>
      </c>
      <c r="AL1" s="35" t="s">
        <v>15</v>
      </c>
      <c r="AM1" s="33">
        <v>45915</v>
      </c>
      <c r="AN1" s="33">
        <v>45916</v>
      </c>
      <c r="AO1" s="33">
        <v>45917</v>
      </c>
      <c r="AP1" s="33">
        <v>45918</v>
      </c>
      <c r="AQ1" s="33">
        <v>45919</v>
      </c>
      <c r="AR1" s="36" t="s">
        <v>15</v>
      </c>
      <c r="AS1" s="33">
        <v>45922</v>
      </c>
      <c r="AT1" s="33">
        <v>45923</v>
      </c>
      <c r="AU1" s="33">
        <v>45924</v>
      </c>
      <c r="AV1" s="33">
        <v>45925</v>
      </c>
      <c r="AW1" s="33">
        <v>45926</v>
      </c>
      <c r="AX1" s="36" t="s">
        <v>15</v>
      </c>
      <c r="AY1" s="33">
        <v>45929</v>
      </c>
      <c r="AZ1" s="33">
        <v>45930</v>
      </c>
      <c r="BA1" s="33">
        <v>45931</v>
      </c>
      <c r="BB1" s="33">
        <v>45932</v>
      </c>
      <c r="BC1" s="33">
        <v>45933</v>
      </c>
      <c r="BD1" s="37" t="s">
        <v>15</v>
      </c>
    </row>
    <row r="2" spans="1:56" x14ac:dyDescent="0.25">
      <c r="A2" s="2" t="s">
        <v>18</v>
      </c>
      <c r="B2" s="23">
        <v>1</v>
      </c>
      <c r="C2" s="14"/>
      <c r="H2" s="25">
        <f>SUM(C2:G2)</f>
        <v>0</v>
      </c>
      <c r="N2" s="25">
        <f>SUM(I2:M2)</f>
        <v>0</v>
      </c>
      <c r="T2" s="25">
        <f t="shared" ref="T2:T16" si="0">SUM(O2:S2)</f>
        <v>0</v>
      </c>
      <c r="Z2" s="25">
        <f>SUM(U2:Y2)</f>
        <v>0</v>
      </c>
      <c r="AF2" s="25">
        <f>SUM(AA2:AE2)</f>
        <v>0</v>
      </c>
      <c r="AL2" s="25">
        <f>SUM(AG2:AK2)</f>
        <v>0</v>
      </c>
      <c r="AR2" s="29">
        <f>SUM(AM2:AQ2)</f>
        <v>0</v>
      </c>
      <c r="AX2" s="29">
        <f>SUM(AS2:AW2)</f>
        <v>0</v>
      </c>
      <c r="BD2" s="27">
        <f>SUM(AY2:BC2)</f>
        <v>0</v>
      </c>
    </row>
    <row r="3" spans="1:56" x14ac:dyDescent="0.25">
      <c r="A3" s="2" t="s">
        <v>0</v>
      </c>
      <c r="B3" s="23">
        <v>2</v>
      </c>
      <c r="C3" s="14"/>
      <c r="H3" s="25">
        <f t="shared" ref="H3:H16" si="1">SUM(C3:G3)</f>
        <v>0</v>
      </c>
      <c r="N3" s="25">
        <f t="shared" ref="N3:N16" si="2">SUM(I3:M3)</f>
        <v>0</v>
      </c>
      <c r="T3" s="25">
        <f t="shared" si="0"/>
        <v>0</v>
      </c>
      <c r="Z3" s="25">
        <f t="shared" ref="Z3:Z16" si="3">SUM(U3:Y3)</f>
        <v>0</v>
      </c>
      <c r="AF3" s="25">
        <f t="shared" ref="AF3:AF16" si="4">SUM(AA3:AE3)</f>
        <v>0</v>
      </c>
      <c r="AL3" s="25">
        <f t="shared" ref="AL3:AL16" si="5">SUM(AG3:AK3)</f>
        <v>0</v>
      </c>
      <c r="AR3" s="29">
        <f t="shared" ref="AR3:AR16" si="6">SUM(AM3:AQ3)</f>
        <v>0</v>
      </c>
      <c r="AX3" s="29">
        <f t="shared" ref="AX3:AX16" si="7">SUM(AS3:AW3)</f>
        <v>0</v>
      </c>
      <c r="BD3" s="27">
        <f t="shared" ref="BD3:BD16" si="8">SUM(AY3:BC3)</f>
        <v>0</v>
      </c>
    </row>
    <row r="4" spans="1:56" x14ac:dyDescent="0.25">
      <c r="A4" s="3" t="s">
        <v>17</v>
      </c>
      <c r="B4" s="24">
        <v>3</v>
      </c>
      <c r="C4" s="14"/>
      <c r="H4" s="25">
        <f t="shared" si="1"/>
        <v>0</v>
      </c>
      <c r="N4" s="25">
        <f t="shared" si="2"/>
        <v>0</v>
      </c>
      <c r="T4" s="25">
        <f t="shared" si="0"/>
        <v>0</v>
      </c>
      <c r="Z4" s="25">
        <f t="shared" si="3"/>
        <v>0</v>
      </c>
      <c r="AF4" s="25">
        <f t="shared" si="4"/>
        <v>0</v>
      </c>
      <c r="AL4" s="25">
        <f t="shared" si="5"/>
        <v>0</v>
      </c>
      <c r="AR4" s="29">
        <f t="shared" si="6"/>
        <v>0</v>
      </c>
      <c r="AX4" s="29">
        <f t="shared" si="7"/>
        <v>0</v>
      </c>
      <c r="BD4" s="27">
        <f t="shared" si="8"/>
        <v>0</v>
      </c>
    </row>
    <row r="5" spans="1:56" x14ac:dyDescent="0.25">
      <c r="A5" s="3" t="s">
        <v>16</v>
      </c>
      <c r="B5" s="23">
        <v>4</v>
      </c>
      <c r="C5" s="14"/>
      <c r="H5" s="25">
        <f t="shared" si="1"/>
        <v>0</v>
      </c>
      <c r="N5" s="25">
        <f t="shared" si="2"/>
        <v>0</v>
      </c>
      <c r="T5" s="25">
        <f t="shared" si="0"/>
        <v>0</v>
      </c>
      <c r="Z5" s="25">
        <f t="shared" si="3"/>
        <v>0</v>
      </c>
      <c r="AF5" s="25">
        <f t="shared" si="4"/>
        <v>0</v>
      </c>
      <c r="AL5" s="25">
        <f t="shared" si="5"/>
        <v>0</v>
      </c>
      <c r="AR5" s="29">
        <f t="shared" si="6"/>
        <v>0</v>
      </c>
      <c r="AX5" s="29">
        <f t="shared" si="7"/>
        <v>0</v>
      </c>
      <c r="BD5" s="27">
        <f t="shared" si="8"/>
        <v>0</v>
      </c>
    </row>
    <row r="6" spans="1:56" x14ac:dyDescent="0.25">
      <c r="A6" s="3" t="s">
        <v>1</v>
      </c>
      <c r="B6" s="23">
        <v>5</v>
      </c>
      <c r="C6" s="14"/>
      <c r="H6" s="25">
        <f t="shared" si="1"/>
        <v>0</v>
      </c>
      <c r="N6" s="25">
        <f t="shared" si="2"/>
        <v>0</v>
      </c>
      <c r="T6" s="25">
        <f t="shared" si="0"/>
        <v>0</v>
      </c>
      <c r="Z6" s="25">
        <f t="shared" si="3"/>
        <v>0</v>
      </c>
      <c r="AF6" s="25">
        <f t="shared" si="4"/>
        <v>0</v>
      </c>
      <c r="AL6" s="25">
        <f t="shared" si="5"/>
        <v>0</v>
      </c>
      <c r="AR6" s="29">
        <f t="shared" si="6"/>
        <v>0</v>
      </c>
      <c r="AX6" s="29">
        <f t="shared" si="7"/>
        <v>0</v>
      </c>
      <c r="BD6" s="27">
        <f t="shared" si="8"/>
        <v>0</v>
      </c>
    </row>
    <row r="7" spans="1:56" x14ac:dyDescent="0.25">
      <c r="A7" s="3" t="s">
        <v>2</v>
      </c>
      <c r="B7" s="24">
        <v>6</v>
      </c>
      <c r="C7" s="14"/>
      <c r="H7" s="25">
        <f t="shared" si="1"/>
        <v>0</v>
      </c>
      <c r="N7" s="25">
        <f t="shared" si="2"/>
        <v>0</v>
      </c>
      <c r="T7" s="25">
        <f t="shared" si="0"/>
        <v>0</v>
      </c>
      <c r="Z7" s="25">
        <f t="shared" si="3"/>
        <v>0</v>
      </c>
      <c r="AF7" s="25">
        <f t="shared" si="4"/>
        <v>0</v>
      </c>
      <c r="AL7" s="25">
        <f t="shared" si="5"/>
        <v>0</v>
      </c>
      <c r="AR7" s="29">
        <f t="shared" si="6"/>
        <v>0</v>
      </c>
      <c r="AX7" s="29">
        <f t="shared" si="7"/>
        <v>0</v>
      </c>
      <c r="BD7" s="27">
        <f t="shared" si="8"/>
        <v>0</v>
      </c>
    </row>
    <row r="8" spans="1:56" x14ac:dyDescent="0.25">
      <c r="A8" s="3" t="s">
        <v>3</v>
      </c>
      <c r="B8" s="23">
        <v>7</v>
      </c>
      <c r="C8" s="14"/>
      <c r="H8" s="25">
        <f t="shared" si="1"/>
        <v>0</v>
      </c>
      <c r="N8" s="25">
        <f t="shared" si="2"/>
        <v>0</v>
      </c>
      <c r="T8" s="25">
        <f t="shared" si="0"/>
        <v>0</v>
      </c>
      <c r="Z8" s="25">
        <f t="shared" si="3"/>
        <v>0</v>
      </c>
      <c r="AF8" s="25">
        <f t="shared" si="4"/>
        <v>0</v>
      </c>
      <c r="AL8" s="25">
        <f t="shared" si="5"/>
        <v>0</v>
      </c>
      <c r="AR8" s="29">
        <f t="shared" si="6"/>
        <v>0</v>
      </c>
      <c r="AX8" s="29">
        <f t="shared" si="7"/>
        <v>0</v>
      </c>
      <c r="BD8" s="27">
        <f t="shared" si="8"/>
        <v>0</v>
      </c>
    </row>
    <row r="9" spans="1:56" x14ac:dyDescent="0.25">
      <c r="A9" s="3" t="s">
        <v>13</v>
      </c>
      <c r="B9" s="23">
        <v>8</v>
      </c>
      <c r="C9" s="14"/>
      <c r="H9" s="25">
        <f t="shared" si="1"/>
        <v>0</v>
      </c>
      <c r="N9" s="25">
        <f t="shared" si="2"/>
        <v>0</v>
      </c>
      <c r="T9" s="25">
        <f t="shared" si="0"/>
        <v>0</v>
      </c>
      <c r="Z9" s="25">
        <f t="shared" si="3"/>
        <v>0</v>
      </c>
      <c r="AF9" s="25">
        <f t="shared" si="4"/>
        <v>0</v>
      </c>
      <c r="AL9" s="25">
        <f t="shared" si="5"/>
        <v>0</v>
      </c>
      <c r="AR9" s="29">
        <f t="shared" si="6"/>
        <v>0</v>
      </c>
      <c r="AX9" s="29">
        <f t="shared" si="7"/>
        <v>0</v>
      </c>
      <c r="BD9" s="27">
        <f t="shared" si="8"/>
        <v>0</v>
      </c>
    </row>
    <row r="10" spans="1:56" x14ac:dyDescent="0.25">
      <c r="A10" s="2" t="s">
        <v>12</v>
      </c>
      <c r="B10" s="24">
        <v>9</v>
      </c>
      <c r="C10" s="14"/>
      <c r="H10" s="25">
        <f t="shared" si="1"/>
        <v>0</v>
      </c>
      <c r="N10" s="25">
        <f t="shared" si="2"/>
        <v>0</v>
      </c>
      <c r="T10" s="25">
        <f t="shared" si="0"/>
        <v>0</v>
      </c>
      <c r="Z10" s="25">
        <f t="shared" si="3"/>
        <v>0</v>
      </c>
      <c r="AF10" s="25">
        <f t="shared" si="4"/>
        <v>0</v>
      </c>
      <c r="AL10" s="25">
        <f t="shared" si="5"/>
        <v>0</v>
      </c>
      <c r="AR10" s="29">
        <f t="shared" si="6"/>
        <v>0</v>
      </c>
      <c r="AX10" s="29">
        <f t="shared" si="7"/>
        <v>0</v>
      </c>
      <c r="BD10" s="27">
        <f t="shared" si="8"/>
        <v>0</v>
      </c>
    </row>
    <row r="11" spans="1:56" x14ac:dyDescent="0.25">
      <c r="A11" s="3" t="s">
        <v>4</v>
      </c>
      <c r="B11" s="23">
        <v>10</v>
      </c>
      <c r="C11" s="14"/>
      <c r="H11" s="25">
        <f t="shared" si="1"/>
        <v>0</v>
      </c>
      <c r="N11" s="25">
        <f t="shared" si="2"/>
        <v>0</v>
      </c>
      <c r="T11" s="25">
        <f t="shared" si="0"/>
        <v>0</v>
      </c>
      <c r="Z11" s="25">
        <f t="shared" si="3"/>
        <v>0</v>
      </c>
      <c r="AF11" s="25">
        <f t="shared" si="4"/>
        <v>0</v>
      </c>
      <c r="AL11" s="25">
        <f t="shared" si="5"/>
        <v>0</v>
      </c>
      <c r="AR11" s="29">
        <f t="shared" si="6"/>
        <v>0</v>
      </c>
      <c r="AX11" s="29">
        <f t="shared" si="7"/>
        <v>0</v>
      </c>
      <c r="BD11" s="27">
        <f t="shared" si="8"/>
        <v>0</v>
      </c>
    </row>
    <row r="12" spans="1:56" x14ac:dyDescent="0.25">
      <c r="A12" s="3" t="s">
        <v>5</v>
      </c>
      <c r="B12" s="23">
        <v>11</v>
      </c>
      <c r="C12" s="14"/>
      <c r="H12" s="25">
        <f t="shared" si="1"/>
        <v>0</v>
      </c>
      <c r="N12" s="25">
        <f t="shared" si="2"/>
        <v>0</v>
      </c>
      <c r="T12" s="25">
        <f t="shared" si="0"/>
        <v>0</v>
      </c>
      <c r="Z12" s="25">
        <f t="shared" si="3"/>
        <v>0</v>
      </c>
      <c r="AF12" s="25">
        <f t="shared" si="4"/>
        <v>0</v>
      </c>
      <c r="AL12" s="25">
        <f t="shared" si="5"/>
        <v>0</v>
      </c>
      <c r="AR12" s="29">
        <f t="shared" si="6"/>
        <v>0</v>
      </c>
      <c r="AX12" s="29">
        <f t="shared" si="7"/>
        <v>0</v>
      </c>
      <c r="BD12" s="27">
        <f t="shared" si="8"/>
        <v>0</v>
      </c>
    </row>
    <row r="13" spans="1:56" x14ac:dyDescent="0.25">
      <c r="A13" s="2" t="s">
        <v>8</v>
      </c>
      <c r="B13" s="24">
        <v>12</v>
      </c>
      <c r="C13" s="14"/>
      <c r="H13" s="25">
        <f t="shared" si="1"/>
        <v>0</v>
      </c>
      <c r="N13" s="25">
        <f t="shared" si="2"/>
        <v>0</v>
      </c>
      <c r="T13" s="25">
        <f t="shared" si="0"/>
        <v>0</v>
      </c>
      <c r="Z13" s="25">
        <f t="shared" si="3"/>
        <v>0</v>
      </c>
      <c r="AF13" s="25">
        <f t="shared" si="4"/>
        <v>0</v>
      </c>
      <c r="AL13" s="25">
        <f t="shared" si="5"/>
        <v>0</v>
      </c>
      <c r="AR13" s="29">
        <f t="shared" si="6"/>
        <v>0</v>
      </c>
      <c r="AX13" s="29">
        <f t="shared" si="7"/>
        <v>0</v>
      </c>
      <c r="BD13" s="27">
        <f t="shared" si="8"/>
        <v>0</v>
      </c>
    </row>
    <row r="14" spans="1:56" x14ac:dyDescent="0.25">
      <c r="A14" s="3" t="s">
        <v>6</v>
      </c>
      <c r="B14" s="23">
        <v>13</v>
      </c>
      <c r="C14" s="14"/>
      <c r="H14" s="25">
        <f t="shared" si="1"/>
        <v>0</v>
      </c>
      <c r="N14" s="25">
        <f t="shared" si="2"/>
        <v>0</v>
      </c>
      <c r="T14" s="25">
        <f t="shared" si="0"/>
        <v>0</v>
      </c>
      <c r="Z14" s="25">
        <f t="shared" si="3"/>
        <v>0</v>
      </c>
      <c r="AF14" s="25">
        <f t="shared" si="4"/>
        <v>0</v>
      </c>
      <c r="AL14" s="25">
        <f t="shared" si="5"/>
        <v>0</v>
      </c>
      <c r="AR14" s="29">
        <f t="shared" si="6"/>
        <v>0</v>
      </c>
      <c r="AX14" s="29">
        <f t="shared" si="7"/>
        <v>0</v>
      </c>
      <c r="BD14" s="27">
        <f t="shared" si="8"/>
        <v>0</v>
      </c>
    </row>
    <row r="15" spans="1:56" x14ac:dyDescent="0.25">
      <c r="A15" s="2" t="s">
        <v>7</v>
      </c>
      <c r="B15" s="23">
        <v>14</v>
      </c>
      <c r="C15" s="14"/>
      <c r="H15" s="25">
        <f t="shared" si="1"/>
        <v>0</v>
      </c>
      <c r="N15" s="25">
        <f t="shared" si="2"/>
        <v>0</v>
      </c>
      <c r="T15" s="25">
        <f t="shared" si="0"/>
        <v>0</v>
      </c>
      <c r="Z15" s="25">
        <f t="shared" si="3"/>
        <v>0</v>
      </c>
      <c r="AF15" s="25">
        <f t="shared" si="4"/>
        <v>0</v>
      </c>
      <c r="AL15" s="25">
        <f t="shared" si="5"/>
        <v>0</v>
      </c>
      <c r="AR15" s="29">
        <f t="shared" si="6"/>
        <v>0</v>
      </c>
      <c r="AX15" s="29">
        <f t="shared" si="7"/>
        <v>0</v>
      </c>
      <c r="BD15" s="27">
        <f t="shared" si="8"/>
        <v>0</v>
      </c>
    </row>
    <row r="16" spans="1:56" x14ac:dyDescent="0.25">
      <c r="A16" s="20" t="s">
        <v>14</v>
      </c>
      <c r="B16" s="21">
        <v>15</v>
      </c>
      <c r="C16" s="16"/>
      <c r="D16" s="17"/>
      <c r="E16" s="17"/>
      <c r="F16" s="44"/>
      <c r="G16" s="44"/>
      <c r="H16" s="18">
        <f t="shared" si="1"/>
        <v>0</v>
      </c>
      <c r="I16" s="44"/>
      <c r="J16" s="17"/>
      <c r="K16" s="17"/>
      <c r="L16" s="17"/>
      <c r="M16" s="17"/>
      <c r="N16" s="18">
        <f t="shared" si="2"/>
        <v>0</v>
      </c>
      <c r="O16" s="17"/>
      <c r="P16" s="17"/>
      <c r="Q16" s="17"/>
      <c r="R16" s="17"/>
      <c r="S16" s="17"/>
      <c r="T16" s="18">
        <f t="shared" si="0"/>
        <v>0</v>
      </c>
      <c r="U16" s="17"/>
      <c r="V16" s="17"/>
      <c r="W16" s="17"/>
      <c r="X16" s="17"/>
      <c r="Y16" s="17"/>
      <c r="Z16" s="18">
        <f t="shared" si="3"/>
        <v>0</v>
      </c>
      <c r="AA16" s="17"/>
      <c r="AB16" s="17"/>
      <c r="AC16" s="17"/>
      <c r="AD16" s="17"/>
      <c r="AE16" s="17"/>
      <c r="AF16" s="18">
        <f t="shared" si="4"/>
        <v>0</v>
      </c>
      <c r="AG16" s="17"/>
      <c r="AH16" s="17"/>
      <c r="AI16" s="17"/>
      <c r="AJ16" s="17"/>
      <c r="AK16" s="17"/>
      <c r="AL16" s="18">
        <f t="shared" si="5"/>
        <v>0</v>
      </c>
      <c r="AM16" s="17"/>
      <c r="AN16" s="17"/>
      <c r="AO16" s="17"/>
      <c r="AP16" s="17"/>
      <c r="AQ16" s="17"/>
      <c r="AR16" s="30">
        <f t="shared" si="6"/>
        <v>0</v>
      </c>
      <c r="AS16" s="17"/>
      <c r="AT16" s="17"/>
      <c r="AU16" s="17"/>
      <c r="AV16" s="17"/>
      <c r="AW16" s="17"/>
      <c r="AX16" s="30">
        <f t="shared" si="7"/>
        <v>0</v>
      </c>
      <c r="AY16" s="17"/>
      <c r="AZ16" s="17"/>
      <c r="BA16" s="17"/>
      <c r="BB16" s="17"/>
      <c r="BC16" s="17"/>
      <c r="BD16" s="28">
        <f t="shared" si="8"/>
        <v>0</v>
      </c>
    </row>
    <row r="17" spans="1:54" x14ac:dyDescent="0.25">
      <c r="A17" s="1" t="s">
        <v>11</v>
      </c>
      <c r="C17" s="4"/>
      <c r="D17" s="4"/>
      <c r="E17" s="4"/>
      <c r="F17" s="4"/>
      <c r="G17" s="4"/>
      <c r="H17" s="4"/>
      <c r="I17" s="4"/>
      <c r="J17" s="4"/>
      <c r="K17" s="4"/>
      <c r="M17" s="4"/>
      <c r="O17" s="4"/>
      <c r="Q17" s="4"/>
      <c r="R17" s="4"/>
      <c r="S17" s="4"/>
      <c r="U17" s="4"/>
      <c r="V17" s="4"/>
      <c r="W17" s="4"/>
      <c r="AA17" s="4"/>
      <c r="AD17" s="4"/>
      <c r="AG17" s="4"/>
      <c r="AK17" s="4"/>
      <c r="AM17" s="4"/>
      <c r="AS17" s="4"/>
      <c r="AT17" s="4"/>
      <c r="AV17" s="4"/>
      <c r="AW17" s="4"/>
      <c r="AZ17" s="4"/>
    </row>
    <row r="18" spans="1:54" x14ac:dyDescent="0.25">
      <c r="A18" s="1" t="s">
        <v>10</v>
      </c>
      <c r="C18" s="4"/>
      <c r="J18" s="4"/>
      <c r="Q18" s="4"/>
      <c r="U18" s="4"/>
      <c r="W18" s="4"/>
      <c r="X18" s="4"/>
      <c r="Y18" s="4"/>
      <c r="Z18" s="4"/>
      <c r="AA18" s="4"/>
      <c r="AB18" s="4"/>
      <c r="AC18" s="4"/>
      <c r="AD18" s="4"/>
      <c r="AE18" s="4"/>
      <c r="AG18" s="4"/>
      <c r="AH18" s="4"/>
      <c r="AJ18" s="4"/>
      <c r="AK18" s="4"/>
      <c r="AN18" s="4"/>
      <c r="AO18" s="4"/>
      <c r="AP18" s="4"/>
      <c r="AQ18" s="4"/>
      <c r="AT18" s="4"/>
      <c r="AU18" s="4"/>
      <c r="AW18" s="4"/>
      <c r="AY18" s="4"/>
      <c r="AZ18" s="4"/>
      <c r="BA18" s="4"/>
      <c r="BB18" s="4"/>
    </row>
  </sheetData>
  <customSheetViews>
    <customSheetView guid="{3D987F8E-A6EA-454D-9537-6BFC5053CB00}" topLeftCell="A7">
      <pane xSplit="1" topLeftCell="BG1" activePane="topRight" state="frozen"/>
      <selection pane="topRight" activeCell="BQ17" sqref="BQ17"/>
      <pageMargins left="0.511811024" right="0.511811024" top="0.78740157499999996" bottom="0.78740157499999996" header="0.31496062000000002" footer="0.31496062000000002"/>
    </customSheetView>
    <customSheetView guid="{B3CDE377-BA5D-4E06-91D9-3A48E1959BA5}">
      <pane xSplit="1" topLeftCell="AJ1" activePane="topRight" state="frozen"/>
      <selection pane="topRight" activeCell="A16" sqref="A16:XFD16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S1" sqref="S1:S1048576"/>
      <pageMargins left="0.511811024" right="0.511811024" top="0.78740157499999996" bottom="0.78740157499999996" header="0.31496062000000002" footer="0.31496062000000002"/>
    </customSheetView>
    <customSheetView guid="{552DFCCD-1786-4D75-8B10-27DD730384DD}">
      <selection activeCell="C8" sqref="C8"/>
      <pageMargins left="0.511811024" right="0.511811024" top="0.78740157499999996" bottom="0.78740157499999996" header="0.31496062000000002" footer="0.31496062000000002"/>
    </customSheetView>
    <customSheetView guid="{C69767F5-CD39-44C1-AD4B-CE19DC8285A6}">
      <pane xSplit="1" topLeftCell="U1" activePane="topRight" state="frozen"/>
      <selection pane="topRight" activeCell="AE10" sqref="AE10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pane xSplit="1" topLeftCell="H1" activePane="topRight" state="frozen"/>
      <selection pane="topRight" activeCell="A11" sqref="A11"/>
      <pageMargins left="0.511811024" right="0.511811024" top="0.78740157499999996" bottom="0.78740157499999996" header="0.31496062000000002" footer="0.31496062000000002"/>
      <autoFilter ref="A1:A18" xr:uid="{C2B87043-802D-4020-819A-5B1941A49D7C}"/>
    </customSheetView>
    <customSheetView guid="{18A482E0-C8B6-4AA1-9E04-15FA7C9CD5E3}" scale="90">
      <pane xSplit="1" topLeftCell="B1" activePane="topRight" state="frozen"/>
      <selection pane="topRight" activeCell="O1" sqref="O1"/>
      <pageMargins left="0.511811024" right="0.511811024" top="0.78740157499999996" bottom="0.78740157499999996" header="0.31496062000000002" footer="0.31496062000000002"/>
    </customSheetView>
    <customSheetView guid="{20CB6D8F-C24D-4D4B-A424-AF380F620455}" showPageBreaks="1" topLeftCell="B1">
      <selection activeCell="L10" sqref="L10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E3841903-5B68-44FD-8F09-58E03D1025C5}">
      <selection activeCell="A8" sqref="A8:XFD8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D18"/>
  <sheetViews>
    <sheetView zoomScaleNormal="100" workbookViewId="0">
      <pane xSplit="1" topLeftCell="AV1" activePane="topRight" state="frozen"/>
      <selection pane="topRight" activeCell="BD17" sqref="BD17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16.85546875" style="1" customWidth="1"/>
    <col min="8" max="8" width="14.28515625" style="1" bestFit="1" customWidth="1"/>
    <col min="9" max="13" width="16.85546875" style="1" customWidth="1"/>
    <col min="14" max="14" width="14.28515625" style="1" bestFit="1" customWidth="1"/>
    <col min="15" max="19" width="16.85546875" style="1" customWidth="1"/>
    <col min="20" max="20" width="14.28515625" style="1" bestFit="1" customWidth="1"/>
    <col min="21" max="21" width="12.85546875" style="1" customWidth="1"/>
    <col min="22" max="22" width="14" style="1" customWidth="1"/>
    <col min="23" max="23" width="13" style="1" customWidth="1"/>
    <col min="24" max="24" width="16.140625" style="1" customWidth="1"/>
    <col min="25" max="25" width="16.85546875" style="1" customWidth="1"/>
    <col min="26" max="26" width="14.28515625" style="1" bestFit="1" customWidth="1"/>
    <col min="27" max="27" width="9.140625" style="1" customWidth="1"/>
    <col min="28" max="31" width="9.140625" style="1"/>
    <col min="32" max="32" width="15.28515625" style="1" customWidth="1"/>
    <col min="33" max="33" width="11.42578125" style="1" customWidth="1"/>
    <col min="34" max="34" width="10.85546875" style="1" customWidth="1"/>
    <col min="35" max="35" width="9.85546875" style="1" customWidth="1"/>
    <col min="36" max="36" width="9.7109375" style="1" customWidth="1"/>
    <col min="37" max="37" width="11" style="1" customWidth="1"/>
    <col min="38" max="38" width="17.42578125" style="1" customWidth="1"/>
    <col min="39" max="40" width="11.42578125" style="1" customWidth="1"/>
    <col min="41" max="41" width="10.85546875" style="1" customWidth="1"/>
    <col min="42" max="42" width="10" style="1" customWidth="1"/>
    <col min="43" max="43" width="10.85546875" style="1" customWidth="1"/>
    <col min="44" max="44" width="15.42578125" style="1" customWidth="1"/>
    <col min="45" max="45" width="10.28515625" style="1" customWidth="1"/>
    <col min="46" max="46" width="14.140625" style="1" customWidth="1"/>
    <col min="47" max="47" width="14.42578125" style="1" bestFit="1" customWidth="1"/>
    <col min="48" max="48" width="16.28515625" style="1" customWidth="1"/>
    <col min="49" max="49" width="15" style="1" customWidth="1"/>
    <col min="50" max="50" width="15.42578125" style="1" customWidth="1"/>
    <col min="51" max="51" width="9.140625" style="1"/>
    <col min="52" max="52" width="16.5703125" style="1" customWidth="1"/>
    <col min="53" max="53" width="11.28515625" style="1" customWidth="1"/>
    <col min="54" max="54" width="12" style="1" customWidth="1"/>
    <col min="55" max="55" width="11.5703125" style="1" customWidth="1"/>
    <col min="56" max="56" width="16.140625" style="1" customWidth="1"/>
    <col min="57" max="16384" width="9.140625" style="1"/>
  </cols>
  <sheetData>
    <row r="1" spans="1:56" x14ac:dyDescent="0.25">
      <c r="A1" s="19" t="s">
        <v>9</v>
      </c>
      <c r="B1" s="31"/>
      <c r="C1" s="32">
        <v>45873</v>
      </c>
      <c r="D1" s="32">
        <v>45874</v>
      </c>
      <c r="E1" s="32">
        <v>45875</v>
      </c>
      <c r="F1" s="32">
        <v>45876</v>
      </c>
      <c r="G1" s="32">
        <v>45877</v>
      </c>
      <c r="H1" s="34" t="s">
        <v>15</v>
      </c>
      <c r="I1" s="33">
        <v>45880</v>
      </c>
      <c r="J1" s="33">
        <v>45881</v>
      </c>
      <c r="K1" s="33">
        <v>45882</v>
      </c>
      <c r="L1" s="33">
        <v>45883</v>
      </c>
      <c r="M1" s="33">
        <v>45884</v>
      </c>
      <c r="N1" s="35" t="s">
        <v>15</v>
      </c>
      <c r="O1" s="33">
        <v>45887</v>
      </c>
      <c r="P1" s="33">
        <v>45888</v>
      </c>
      <c r="Q1" s="33">
        <v>45889</v>
      </c>
      <c r="R1" s="33">
        <v>45890</v>
      </c>
      <c r="S1" s="33">
        <v>45891</v>
      </c>
      <c r="T1" s="35" t="s">
        <v>15</v>
      </c>
      <c r="U1" s="33">
        <v>45894</v>
      </c>
      <c r="V1" s="33">
        <v>45895</v>
      </c>
      <c r="W1" s="33">
        <v>45896</v>
      </c>
      <c r="X1" s="33">
        <v>45897</v>
      </c>
      <c r="Y1" s="33">
        <v>45898</v>
      </c>
      <c r="Z1" s="35" t="s">
        <v>15</v>
      </c>
      <c r="AA1" s="33">
        <v>45901</v>
      </c>
      <c r="AB1" s="33">
        <v>45902</v>
      </c>
      <c r="AC1" s="33">
        <v>45903</v>
      </c>
      <c r="AD1" s="33">
        <v>45904</v>
      </c>
      <c r="AE1" s="33">
        <v>45905</v>
      </c>
      <c r="AF1" s="35" t="s">
        <v>15</v>
      </c>
      <c r="AG1" s="33">
        <v>45908</v>
      </c>
      <c r="AH1" s="33">
        <v>45909</v>
      </c>
      <c r="AI1" s="33">
        <v>45910</v>
      </c>
      <c r="AJ1" s="33">
        <v>45911</v>
      </c>
      <c r="AK1" s="33">
        <v>45912</v>
      </c>
      <c r="AL1" s="35" t="s">
        <v>15</v>
      </c>
      <c r="AM1" s="33">
        <v>45915</v>
      </c>
      <c r="AN1" s="33">
        <v>45916</v>
      </c>
      <c r="AO1" s="33">
        <v>45917</v>
      </c>
      <c r="AP1" s="33">
        <v>45918</v>
      </c>
      <c r="AQ1" s="33">
        <v>45919</v>
      </c>
      <c r="AR1" s="36" t="s">
        <v>15</v>
      </c>
      <c r="AS1" s="33">
        <v>45922</v>
      </c>
      <c r="AT1" s="33">
        <v>45923</v>
      </c>
      <c r="AU1" s="33">
        <v>45924</v>
      </c>
      <c r="AV1" s="33">
        <v>45925</v>
      </c>
      <c r="AW1" s="33">
        <v>45926</v>
      </c>
      <c r="AX1" s="36" t="s">
        <v>15</v>
      </c>
      <c r="AY1" s="33">
        <v>45929</v>
      </c>
      <c r="AZ1" s="33">
        <v>45930</v>
      </c>
      <c r="BA1" s="33">
        <v>45931</v>
      </c>
      <c r="BB1" s="33">
        <v>45932</v>
      </c>
      <c r="BC1" s="33">
        <v>45933</v>
      </c>
      <c r="BD1" s="37" t="s">
        <v>15</v>
      </c>
    </row>
    <row r="2" spans="1:56" x14ac:dyDescent="0.25">
      <c r="A2" s="2" t="s">
        <v>18</v>
      </c>
      <c r="B2" s="23">
        <v>1</v>
      </c>
      <c r="C2" s="14"/>
      <c r="H2" s="25">
        <f>SUM(C2:G2)</f>
        <v>0</v>
      </c>
      <c r="N2" s="25">
        <f>SUM(I2:M2)</f>
        <v>0</v>
      </c>
      <c r="T2" s="25">
        <f t="shared" ref="T2:T16" si="0">SUM(O2:S2)</f>
        <v>0</v>
      </c>
      <c r="Z2" s="25">
        <f>SUM(U2:Y2)</f>
        <v>0</v>
      </c>
      <c r="AF2" s="25">
        <f>SUM(AA2:AE2)</f>
        <v>0</v>
      </c>
      <c r="AL2" s="25">
        <f>SUM(AG2:AK2)</f>
        <v>0</v>
      </c>
      <c r="AR2" s="29">
        <f>SUM(AM2:AQ2)</f>
        <v>0</v>
      </c>
      <c r="AX2" s="29">
        <f>SUM(AS2:AW2)</f>
        <v>0</v>
      </c>
      <c r="BD2" s="27">
        <f>SUM(AY2:BC2)</f>
        <v>0</v>
      </c>
    </row>
    <row r="3" spans="1:56" x14ac:dyDescent="0.25">
      <c r="A3" s="2" t="s">
        <v>0</v>
      </c>
      <c r="B3" s="23">
        <v>2</v>
      </c>
      <c r="C3" s="14"/>
      <c r="H3" s="25">
        <f t="shared" ref="H3:H16" si="1">SUM(C3:G3)</f>
        <v>0</v>
      </c>
      <c r="N3" s="25">
        <f t="shared" ref="N3:N16" si="2">SUM(I3:M3)</f>
        <v>0</v>
      </c>
      <c r="T3" s="25">
        <f t="shared" si="0"/>
        <v>0</v>
      </c>
      <c r="Z3" s="25">
        <f t="shared" ref="Z3:Z16" si="3">SUM(U3:Y3)</f>
        <v>0</v>
      </c>
      <c r="AF3" s="25">
        <f t="shared" ref="AF3:AF16" si="4">SUM(AA3:AE3)</f>
        <v>0</v>
      </c>
      <c r="AL3" s="25">
        <f t="shared" ref="AL3:AL16" si="5">SUM(AG3:AK3)</f>
        <v>0</v>
      </c>
      <c r="AR3" s="29">
        <f t="shared" ref="AR3:AR16" si="6">SUM(AM3:AQ3)</f>
        <v>0</v>
      </c>
      <c r="AX3" s="29">
        <f t="shared" ref="AX3:AX16" si="7">SUM(AS3:AW3)</f>
        <v>0</v>
      </c>
      <c r="BD3" s="27">
        <f t="shared" ref="BD3:BD16" si="8">SUM(AY3:BC3)</f>
        <v>0</v>
      </c>
    </row>
    <row r="4" spans="1:56" x14ac:dyDescent="0.25">
      <c r="A4" s="3" t="s">
        <v>17</v>
      </c>
      <c r="B4" s="24">
        <v>3</v>
      </c>
      <c r="C4" s="14"/>
      <c r="H4" s="25">
        <f t="shared" si="1"/>
        <v>0</v>
      </c>
      <c r="N4" s="25">
        <f t="shared" si="2"/>
        <v>0</v>
      </c>
      <c r="T4" s="25">
        <f t="shared" si="0"/>
        <v>0</v>
      </c>
      <c r="Z4" s="25">
        <f t="shared" si="3"/>
        <v>0</v>
      </c>
      <c r="AF4" s="25">
        <f t="shared" si="4"/>
        <v>0</v>
      </c>
      <c r="AL4" s="25">
        <f t="shared" si="5"/>
        <v>0</v>
      </c>
      <c r="AR4" s="29">
        <f>SUM(AM4:AQ4)</f>
        <v>0</v>
      </c>
      <c r="AX4" s="29">
        <f t="shared" si="7"/>
        <v>0</v>
      </c>
      <c r="BD4" s="27">
        <f t="shared" si="8"/>
        <v>0</v>
      </c>
    </row>
    <row r="5" spans="1:56" x14ac:dyDescent="0.25">
      <c r="A5" s="3" t="s">
        <v>16</v>
      </c>
      <c r="B5" s="23">
        <v>4</v>
      </c>
      <c r="C5" s="14"/>
      <c r="H5" s="25">
        <f t="shared" si="1"/>
        <v>0</v>
      </c>
      <c r="N5" s="25">
        <f t="shared" si="2"/>
        <v>0</v>
      </c>
      <c r="T5" s="25">
        <f t="shared" si="0"/>
        <v>0</v>
      </c>
      <c r="Z5" s="25">
        <f t="shared" si="3"/>
        <v>0</v>
      </c>
      <c r="AF5" s="25">
        <f t="shared" si="4"/>
        <v>0</v>
      </c>
      <c r="AL5" s="25">
        <f t="shared" si="5"/>
        <v>0</v>
      </c>
      <c r="AR5" s="29">
        <f t="shared" si="6"/>
        <v>0</v>
      </c>
      <c r="AX5" s="29">
        <f t="shared" si="7"/>
        <v>0</v>
      </c>
      <c r="BD5" s="27">
        <f t="shared" si="8"/>
        <v>0</v>
      </c>
    </row>
    <row r="6" spans="1:56" x14ac:dyDescent="0.25">
      <c r="A6" s="3" t="s">
        <v>1</v>
      </c>
      <c r="B6" s="23">
        <v>5</v>
      </c>
      <c r="C6" s="14"/>
      <c r="H6" s="25">
        <f t="shared" si="1"/>
        <v>0</v>
      </c>
      <c r="N6" s="25">
        <f t="shared" si="2"/>
        <v>0</v>
      </c>
      <c r="T6" s="25">
        <f t="shared" si="0"/>
        <v>0</v>
      </c>
      <c r="Z6" s="25">
        <f t="shared" si="3"/>
        <v>0</v>
      </c>
      <c r="AF6" s="25">
        <f t="shared" si="4"/>
        <v>0</v>
      </c>
      <c r="AL6" s="25">
        <f t="shared" si="5"/>
        <v>0</v>
      </c>
      <c r="AR6" s="29">
        <f t="shared" si="6"/>
        <v>0</v>
      </c>
      <c r="AX6" s="29">
        <f t="shared" si="7"/>
        <v>0</v>
      </c>
      <c r="BD6" s="27">
        <f t="shared" si="8"/>
        <v>0</v>
      </c>
    </row>
    <row r="7" spans="1:56" x14ac:dyDescent="0.25">
      <c r="A7" s="3" t="s">
        <v>2</v>
      </c>
      <c r="B7" s="24">
        <v>6</v>
      </c>
      <c r="C7" s="14"/>
      <c r="H7" s="25">
        <f t="shared" si="1"/>
        <v>0</v>
      </c>
      <c r="N7" s="25">
        <f t="shared" si="2"/>
        <v>0</v>
      </c>
      <c r="T7" s="25">
        <f t="shared" si="0"/>
        <v>0</v>
      </c>
      <c r="Z7" s="25">
        <f t="shared" si="3"/>
        <v>0</v>
      </c>
      <c r="AF7" s="25">
        <f t="shared" si="4"/>
        <v>0</v>
      </c>
      <c r="AL7" s="25">
        <f t="shared" si="5"/>
        <v>0</v>
      </c>
      <c r="AR7" s="29">
        <f t="shared" si="6"/>
        <v>0</v>
      </c>
      <c r="AX7" s="29">
        <f t="shared" si="7"/>
        <v>0</v>
      </c>
      <c r="BD7" s="27">
        <f t="shared" si="8"/>
        <v>0</v>
      </c>
    </row>
    <row r="8" spans="1:56" x14ac:dyDescent="0.25">
      <c r="A8" s="3" t="s">
        <v>3</v>
      </c>
      <c r="B8" s="23">
        <v>7</v>
      </c>
      <c r="C8" s="14"/>
      <c r="H8" s="25">
        <f t="shared" si="1"/>
        <v>0</v>
      </c>
      <c r="N8" s="25">
        <f t="shared" si="2"/>
        <v>0</v>
      </c>
      <c r="T8" s="25">
        <f t="shared" si="0"/>
        <v>0</v>
      </c>
      <c r="Z8" s="25">
        <f t="shared" si="3"/>
        <v>0</v>
      </c>
      <c r="AF8" s="25">
        <f t="shared" si="4"/>
        <v>0</v>
      </c>
      <c r="AL8" s="25">
        <f t="shared" si="5"/>
        <v>0</v>
      </c>
      <c r="AR8" s="29">
        <f t="shared" si="6"/>
        <v>0</v>
      </c>
      <c r="AX8" s="29">
        <f t="shared" si="7"/>
        <v>0</v>
      </c>
      <c r="BD8" s="27">
        <f t="shared" si="8"/>
        <v>0</v>
      </c>
    </row>
    <row r="9" spans="1:56" x14ac:dyDescent="0.25">
      <c r="A9" s="3" t="s">
        <v>13</v>
      </c>
      <c r="B9" s="23">
        <v>8</v>
      </c>
      <c r="C9" s="14"/>
      <c r="H9" s="25">
        <f t="shared" si="1"/>
        <v>0</v>
      </c>
      <c r="N9" s="25">
        <f t="shared" si="2"/>
        <v>0</v>
      </c>
      <c r="T9" s="25">
        <f t="shared" si="0"/>
        <v>0</v>
      </c>
      <c r="Z9" s="25">
        <f t="shared" si="3"/>
        <v>0</v>
      </c>
      <c r="AF9" s="25">
        <f t="shared" si="4"/>
        <v>0</v>
      </c>
      <c r="AL9" s="25">
        <f t="shared" si="5"/>
        <v>0</v>
      </c>
      <c r="AR9" s="29">
        <f t="shared" si="6"/>
        <v>0</v>
      </c>
      <c r="AX9" s="29">
        <f t="shared" si="7"/>
        <v>0</v>
      </c>
      <c r="BD9" s="27">
        <f t="shared" si="8"/>
        <v>0</v>
      </c>
    </row>
    <row r="10" spans="1:56" x14ac:dyDescent="0.25">
      <c r="A10" s="2" t="s">
        <v>12</v>
      </c>
      <c r="B10" s="24">
        <v>9</v>
      </c>
      <c r="C10" s="14"/>
      <c r="H10" s="25">
        <f t="shared" si="1"/>
        <v>0</v>
      </c>
      <c r="N10" s="25">
        <f t="shared" si="2"/>
        <v>0</v>
      </c>
      <c r="T10" s="25">
        <f t="shared" si="0"/>
        <v>0</v>
      </c>
      <c r="Z10" s="25">
        <f t="shared" si="3"/>
        <v>0</v>
      </c>
      <c r="AF10" s="25">
        <f t="shared" si="4"/>
        <v>0</v>
      </c>
      <c r="AL10" s="25">
        <f t="shared" si="5"/>
        <v>0</v>
      </c>
      <c r="AR10" s="29">
        <f t="shared" si="6"/>
        <v>0</v>
      </c>
      <c r="AX10" s="29">
        <f t="shared" si="7"/>
        <v>0</v>
      </c>
      <c r="BD10" s="27">
        <f t="shared" si="8"/>
        <v>0</v>
      </c>
    </row>
    <row r="11" spans="1:56" x14ac:dyDescent="0.25">
      <c r="A11" s="3" t="s">
        <v>4</v>
      </c>
      <c r="B11" s="23">
        <v>10</v>
      </c>
      <c r="C11" s="14"/>
      <c r="H11" s="25">
        <f t="shared" si="1"/>
        <v>0</v>
      </c>
      <c r="M11" s="1">
        <v>3</v>
      </c>
      <c r="N11" s="25">
        <f t="shared" si="2"/>
        <v>3</v>
      </c>
      <c r="O11" s="1">
        <v>2</v>
      </c>
      <c r="P11" s="1">
        <v>2</v>
      </c>
      <c r="Q11" s="1">
        <v>2</v>
      </c>
      <c r="R11" s="1">
        <v>3</v>
      </c>
      <c r="S11" s="1">
        <v>2</v>
      </c>
      <c r="T11" s="25">
        <f t="shared" si="0"/>
        <v>11</v>
      </c>
      <c r="U11" s="1">
        <v>2</v>
      </c>
      <c r="V11" s="1">
        <v>2</v>
      </c>
      <c r="W11" s="1">
        <v>2</v>
      </c>
      <c r="X11" s="1">
        <v>2</v>
      </c>
      <c r="Z11" s="25">
        <f t="shared" si="3"/>
        <v>8</v>
      </c>
      <c r="AA11" s="1">
        <v>2</v>
      </c>
      <c r="AB11" s="1">
        <v>2</v>
      </c>
      <c r="AC11" s="1">
        <v>3</v>
      </c>
      <c r="AD11" s="1">
        <v>2</v>
      </c>
      <c r="AE11" s="1">
        <v>2</v>
      </c>
      <c r="AF11" s="25">
        <f t="shared" si="4"/>
        <v>11</v>
      </c>
      <c r="AL11" s="25">
        <f t="shared" si="5"/>
        <v>0</v>
      </c>
      <c r="AM11" s="1">
        <v>2</v>
      </c>
      <c r="AN11" s="1">
        <v>2</v>
      </c>
      <c r="AO11" s="1">
        <v>2</v>
      </c>
      <c r="AP11" s="1">
        <v>2</v>
      </c>
      <c r="AQ11" s="1">
        <v>3</v>
      </c>
      <c r="AR11" s="29">
        <f t="shared" si="6"/>
        <v>11</v>
      </c>
      <c r="AX11" s="29">
        <f t="shared" si="7"/>
        <v>0</v>
      </c>
      <c r="BD11" s="27">
        <f t="shared" si="8"/>
        <v>0</v>
      </c>
    </row>
    <row r="12" spans="1:56" x14ac:dyDescent="0.25">
      <c r="A12" s="3" t="s">
        <v>5</v>
      </c>
      <c r="B12" s="23">
        <v>11</v>
      </c>
      <c r="C12" s="14"/>
      <c r="H12" s="25">
        <f t="shared" si="1"/>
        <v>0</v>
      </c>
      <c r="N12" s="25">
        <f t="shared" si="2"/>
        <v>0</v>
      </c>
      <c r="T12" s="25">
        <f t="shared" si="0"/>
        <v>0</v>
      </c>
      <c r="Z12" s="25">
        <f t="shared" si="3"/>
        <v>0</v>
      </c>
      <c r="AF12" s="25">
        <f t="shared" si="4"/>
        <v>0</v>
      </c>
      <c r="AL12" s="25">
        <f t="shared" si="5"/>
        <v>0</v>
      </c>
      <c r="AR12" s="29">
        <f t="shared" si="6"/>
        <v>0</v>
      </c>
      <c r="AX12" s="29">
        <f t="shared" si="7"/>
        <v>0</v>
      </c>
      <c r="BD12" s="27">
        <f t="shared" si="8"/>
        <v>0</v>
      </c>
    </row>
    <row r="13" spans="1:56" x14ac:dyDescent="0.25">
      <c r="A13" s="2" t="s">
        <v>8</v>
      </c>
      <c r="B13" s="24">
        <v>12</v>
      </c>
      <c r="C13" s="14"/>
      <c r="H13" s="25">
        <f t="shared" si="1"/>
        <v>0</v>
      </c>
      <c r="N13" s="25">
        <f t="shared" si="2"/>
        <v>0</v>
      </c>
      <c r="T13" s="25">
        <f t="shared" si="0"/>
        <v>0</v>
      </c>
      <c r="Z13" s="25">
        <f t="shared" si="3"/>
        <v>0</v>
      </c>
      <c r="AF13" s="25">
        <f t="shared" si="4"/>
        <v>0</v>
      </c>
      <c r="AL13" s="25">
        <v>0</v>
      </c>
      <c r="AR13" s="29">
        <f t="shared" si="6"/>
        <v>0</v>
      </c>
      <c r="AX13" s="29">
        <f t="shared" si="7"/>
        <v>0</v>
      </c>
      <c r="BD13" s="27">
        <f t="shared" si="8"/>
        <v>0</v>
      </c>
    </row>
    <row r="14" spans="1:56" x14ac:dyDescent="0.25">
      <c r="A14" s="3" t="s">
        <v>6</v>
      </c>
      <c r="B14" s="23">
        <v>13</v>
      </c>
      <c r="C14" s="14"/>
      <c r="H14" s="25">
        <f t="shared" si="1"/>
        <v>0</v>
      </c>
      <c r="N14" s="25">
        <f t="shared" si="2"/>
        <v>0</v>
      </c>
      <c r="T14" s="25">
        <f t="shared" si="0"/>
        <v>0</v>
      </c>
      <c r="Z14" s="25">
        <f t="shared" si="3"/>
        <v>0</v>
      </c>
      <c r="AF14" s="25">
        <f t="shared" si="4"/>
        <v>0</v>
      </c>
      <c r="AL14" s="25">
        <f t="shared" si="5"/>
        <v>0</v>
      </c>
      <c r="AR14" s="29">
        <f t="shared" si="6"/>
        <v>0</v>
      </c>
      <c r="AX14" s="29">
        <f t="shared" si="7"/>
        <v>0</v>
      </c>
      <c r="BD14" s="27">
        <f t="shared" si="8"/>
        <v>0</v>
      </c>
    </row>
    <row r="15" spans="1:56" x14ac:dyDescent="0.25">
      <c r="A15" s="2" t="s">
        <v>7</v>
      </c>
      <c r="B15" s="23">
        <v>14</v>
      </c>
      <c r="C15" s="14"/>
      <c r="H15" s="25">
        <f t="shared" si="1"/>
        <v>0</v>
      </c>
      <c r="N15" s="25">
        <f t="shared" si="2"/>
        <v>0</v>
      </c>
      <c r="T15" s="25">
        <f t="shared" si="0"/>
        <v>0</v>
      </c>
      <c r="Z15" s="25">
        <f t="shared" si="3"/>
        <v>0</v>
      </c>
      <c r="AF15" s="25">
        <f t="shared" si="4"/>
        <v>0</v>
      </c>
      <c r="AL15" s="25">
        <f t="shared" si="5"/>
        <v>0</v>
      </c>
      <c r="AR15" s="29">
        <f t="shared" si="6"/>
        <v>0</v>
      </c>
      <c r="AX15" s="29">
        <f t="shared" si="7"/>
        <v>0</v>
      </c>
      <c r="BD15" s="27">
        <f t="shared" si="8"/>
        <v>0</v>
      </c>
    </row>
    <row r="16" spans="1:56" x14ac:dyDescent="0.25">
      <c r="A16" s="20" t="s">
        <v>14</v>
      </c>
      <c r="B16" s="21">
        <v>15</v>
      </c>
      <c r="C16" s="16"/>
      <c r="D16" s="17"/>
      <c r="E16" s="17"/>
      <c r="F16" s="44"/>
      <c r="G16" s="44"/>
      <c r="H16" s="18">
        <f t="shared" si="1"/>
        <v>0</v>
      </c>
      <c r="I16" s="44"/>
      <c r="J16" s="17"/>
      <c r="K16" s="17"/>
      <c r="L16" s="17"/>
      <c r="M16" s="17"/>
      <c r="N16" s="18">
        <f t="shared" si="2"/>
        <v>0</v>
      </c>
      <c r="O16" s="17"/>
      <c r="P16" s="17"/>
      <c r="Q16" s="17"/>
      <c r="R16" s="17"/>
      <c r="S16" s="17"/>
      <c r="T16" s="18">
        <f t="shared" si="0"/>
        <v>0</v>
      </c>
      <c r="U16" s="17"/>
      <c r="V16" s="17"/>
      <c r="W16" s="17"/>
      <c r="X16" s="17"/>
      <c r="Y16" s="17">
        <v>7</v>
      </c>
      <c r="Z16" s="18">
        <f t="shared" si="3"/>
        <v>7</v>
      </c>
      <c r="AA16" s="17"/>
      <c r="AB16" s="17"/>
      <c r="AC16" s="17"/>
      <c r="AD16" s="17"/>
      <c r="AE16" s="17"/>
      <c r="AF16" s="18">
        <f t="shared" si="4"/>
        <v>0</v>
      </c>
      <c r="AG16" s="17"/>
      <c r="AH16" s="17"/>
      <c r="AI16" s="17"/>
      <c r="AJ16" s="17"/>
      <c r="AK16" s="17"/>
      <c r="AL16" s="18">
        <f t="shared" si="5"/>
        <v>0</v>
      </c>
      <c r="AM16" s="17"/>
      <c r="AN16" s="17"/>
      <c r="AO16" s="17"/>
      <c r="AP16" s="17"/>
      <c r="AQ16" s="17"/>
      <c r="AR16" s="30">
        <f t="shared" si="6"/>
        <v>0</v>
      </c>
      <c r="AS16" s="17"/>
      <c r="AT16" s="17"/>
      <c r="AU16" s="17"/>
      <c r="AV16" s="17"/>
      <c r="AW16" s="17"/>
      <c r="AX16" s="30">
        <f t="shared" si="7"/>
        <v>0</v>
      </c>
      <c r="AY16" s="17">
        <v>2</v>
      </c>
      <c r="AZ16" s="17">
        <v>1</v>
      </c>
      <c r="BA16" s="17">
        <v>2</v>
      </c>
      <c r="BB16" s="17">
        <v>2</v>
      </c>
      <c r="BC16" s="17">
        <v>3</v>
      </c>
      <c r="BD16" s="28">
        <f t="shared" si="8"/>
        <v>10</v>
      </c>
    </row>
    <row r="17" spans="1:56" ht="155.25" customHeight="1" x14ac:dyDescent="0.25">
      <c r="A17" s="1" t="s">
        <v>11</v>
      </c>
      <c r="C17" s="4" t="s">
        <v>57</v>
      </c>
      <c r="D17" s="4" t="s">
        <v>57</v>
      </c>
      <c r="E17" s="4" t="s">
        <v>57</v>
      </c>
      <c r="F17" s="71" t="s">
        <v>42</v>
      </c>
      <c r="G17" s="4" t="s">
        <v>57</v>
      </c>
      <c r="H17" s="4"/>
      <c r="I17" s="4" t="s">
        <v>57</v>
      </c>
      <c r="J17" s="4" t="s">
        <v>57</v>
      </c>
      <c r="K17" s="4" t="s">
        <v>57</v>
      </c>
      <c r="L17" s="4" t="s">
        <v>57</v>
      </c>
      <c r="M17" s="4" t="s">
        <v>56</v>
      </c>
      <c r="O17" s="4" t="s">
        <v>56</v>
      </c>
      <c r="P17" s="4" t="s">
        <v>56</v>
      </c>
      <c r="Q17" s="4" t="s">
        <v>56</v>
      </c>
      <c r="R17" s="4" t="s">
        <v>56</v>
      </c>
      <c r="S17" s="4" t="s">
        <v>56</v>
      </c>
      <c r="U17" s="4" t="s">
        <v>56</v>
      </c>
      <c r="V17" s="4" t="s">
        <v>56</v>
      </c>
      <c r="W17" s="4" t="s">
        <v>56</v>
      </c>
      <c r="X17" s="4" t="s">
        <v>56</v>
      </c>
      <c r="Y17" s="4" t="s">
        <v>82</v>
      </c>
      <c r="AA17" s="4" t="s">
        <v>56</v>
      </c>
      <c r="AB17" s="4" t="s">
        <v>56</v>
      </c>
      <c r="AC17" s="4" t="s">
        <v>56</v>
      </c>
      <c r="AD17" s="4" t="s">
        <v>56</v>
      </c>
      <c r="AE17" s="4" t="s">
        <v>56</v>
      </c>
      <c r="AG17" s="4" t="s">
        <v>92</v>
      </c>
      <c r="AH17" s="4" t="s">
        <v>92</v>
      </c>
      <c r="AI17" s="4" t="s">
        <v>92</v>
      </c>
      <c r="AJ17" s="4" t="s">
        <v>92</v>
      </c>
      <c r="AK17" s="4" t="s">
        <v>92</v>
      </c>
      <c r="AM17" s="4" t="s">
        <v>56</v>
      </c>
      <c r="AN17" s="4" t="s">
        <v>56</v>
      </c>
      <c r="AO17" s="4" t="s">
        <v>56</v>
      </c>
      <c r="AP17" s="4" t="s">
        <v>56</v>
      </c>
      <c r="AQ17" s="4" t="s">
        <v>56</v>
      </c>
      <c r="AS17" s="4" t="s">
        <v>109</v>
      </c>
      <c r="AT17" s="4" t="s">
        <v>57</v>
      </c>
      <c r="AU17" s="4" t="s">
        <v>57</v>
      </c>
      <c r="AV17" s="4" t="s">
        <v>57</v>
      </c>
      <c r="AW17" s="4" t="s">
        <v>123</v>
      </c>
      <c r="AY17" s="4" t="s">
        <v>120</v>
      </c>
      <c r="AZ17" s="4" t="s">
        <v>120</v>
      </c>
      <c r="BA17" s="4" t="s">
        <v>122</v>
      </c>
      <c r="BB17" s="4" t="s">
        <v>120</v>
      </c>
      <c r="BC17" s="4" t="s">
        <v>120</v>
      </c>
      <c r="BD17" s="4" t="s">
        <v>120</v>
      </c>
    </row>
    <row r="18" spans="1:56" x14ac:dyDescent="0.25">
      <c r="A18" s="1" t="s">
        <v>10</v>
      </c>
      <c r="C18" s="4"/>
      <c r="J18" s="4"/>
      <c r="Q18" s="4"/>
      <c r="U18" s="4"/>
      <c r="W18" s="4"/>
      <c r="X18" s="4"/>
      <c r="Y18" s="4"/>
      <c r="Z18" s="4"/>
      <c r="AA18" s="4"/>
      <c r="AB18" s="4"/>
      <c r="AC18" s="4"/>
      <c r="AD18" s="4"/>
      <c r="AE18" s="4"/>
      <c r="AG18" s="4"/>
      <c r="AH18" s="4"/>
      <c r="AJ18" s="4"/>
      <c r="AK18" s="4"/>
      <c r="AN18" s="4"/>
      <c r="AO18" s="4"/>
      <c r="AP18" s="4"/>
      <c r="AQ18" s="4"/>
      <c r="AT18" s="4"/>
      <c r="AU18" s="4"/>
      <c r="AW18" s="4"/>
      <c r="AY18" s="4"/>
      <c r="AZ18" s="4"/>
      <c r="BA18" s="4"/>
      <c r="BB18" s="4"/>
    </row>
  </sheetData>
  <customSheetViews>
    <customSheetView guid="{3D987F8E-A6EA-454D-9537-6BFC5053CB00}">
      <pane xSplit="1" topLeftCell="AV1" activePane="topRight" state="frozen"/>
      <selection pane="topRight" activeCell="BD17" sqref="BD17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B3CDE377-BA5D-4E06-91D9-3A48E1959BA5}">
      <selection sqref="A1:XFD1048576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B6" sqref="B6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pane xSplit="1" topLeftCell="P1" activePane="topRight" state="frozen"/>
      <selection pane="topRight" activeCell="H19" sqref="H19"/>
      <pageMargins left="0.511811024" right="0.511811024" top="0.78740157499999996" bottom="0.78740157499999996" header="0.31496062000000002" footer="0.31496062000000002"/>
      <pageSetup paperSize="9" orientation="portrait" r:id="rId2"/>
      <autoFilter ref="A1:A18" xr:uid="{1CED188A-2E5E-40E8-832B-FE378E93B831}"/>
    </customSheetView>
    <customSheetView guid="{18A482E0-C8B6-4AA1-9E04-15FA7C9CD5E3}">
      <pane xSplit="1" topLeftCell="AA1" activePane="topRight" state="frozen"/>
      <selection pane="topRight" activeCell="AI11" sqref="AI11"/>
      <pageMargins left="0.511811024" right="0.511811024" top="0.78740157499999996" bottom="0.78740157499999996" header="0.31496062000000002" footer="0.31496062000000002"/>
    </customSheetView>
    <customSheetView guid="{20CB6D8F-C24D-4D4B-A424-AF380F620455}" topLeftCell="R1">
      <selection activeCell="B6" sqref="B6"/>
      <pageMargins left="0.511811024" right="0.511811024" top="0.78740157499999996" bottom="0.78740157499999996" header="0.31496062000000002" footer="0.31496062000000002"/>
    </customSheetView>
    <customSheetView guid="{E3841903-5B68-44FD-8F09-58E03D1025C5}" scale="85" topLeftCell="D1">
      <selection activeCell="M17" sqref="M17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L1:L15"/>
  <sheetViews>
    <sheetView workbookViewId="0">
      <selection activeCell="L15" sqref="L15"/>
    </sheetView>
  </sheetViews>
  <sheetFormatPr defaultRowHeight="15" x14ac:dyDescent="0.25"/>
  <sheetData>
    <row r="1" spans="12:12" x14ac:dyDescent="0.25">
      <c r="L1" s="47"/>
    </row>
    <row r="2" spans="12:12" x14ac:dyDescent="0.25">
      <c r="L2" s="47"/>
    </row>
    <row r="3" spans="12:12" x14ac:dyDescent="0.25">
      <c r="L3" s="47"/>
    </row>
    <row r="4" spans="12:12" x14ac:dyDescent="0.25">
      <c r="L4" s="47"/>
    </row>
    <row r="5" spans="12:12" x14ac:dyDescent="0.25">
      <c r="L5" s="47"/>
    </row>
    <row r="6" spans="12:12" x14ac:dyDescent="0.25">
      <c r="L6" s="47"/>
    </row>
    <row r="7" spans="12:12" x14ac:dyDescent="0.25">
      <c r="L7" s="47"/>
    </row>
    <row r="8" spans="12:12" x14ac:dyDescent="0.25">
      <c r="L8" s="47"/>
    </row>
    <row r="9" spans="12:12" x14ac:dyDescent="0.25">
      <c r="L9" s="47"/>
    </row>
    <row r="10" spans="12:12" x14ac:dyDescent="0.25">
      <c r="L10" s="47"/>
    </row>
    <row r="11" spans="12:12" x14ac:dyDescent="0.25">
      <c r="L11" s="47"/>
    </row>
    <row r="12" spans="12:12" x14ac:dyDescent="0.25">
      <c r="L12" s="47"/>
    </row>
    <row r="13" spans="12:12" x14ac:dyDescent="0.25">
      <c r="L13" s="47"/>
    </row>
    <row r="14" spans="12:12" x14ac:dyDescent="0.25">
      <c r="L14" s="47"/>
    </row>
    <row r="15" spans="12:12" x14ac:dyDescent="0.25">
      <c r="L15" s="47"/>
    </row>
  </sheetData>
  <customSheetViews>
    <customSheetView guid="{3D987F8E-A6EA-454D-9537-6BFC5053CB00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activeCell="L15" sqref="L15"/>
      <pageMargins left="0.511811024" right="0.511811024" top="0.78740157499999996" bottom="0.78740157499999996" header="0.31496062000000002" footer="0.31496062000000002"/>
    </customSheetView>
    <customSheetView guid="{86039CF8-B158-4D70-9A6F-A10C29CBD68A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9B623083-AA7B-440B-95EA-C33E1AB3D963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18A482E0-C8B6-4AA1-9E04-15FA7C9CD5E3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20CB6D8F-C24D-4D4B-A424-AF380F620455}">
      <selection activeCell="L15" sqref="L15"/>
      <pageMargins left="0.511811024" right="0.511811024" top="0.78740157499999996" bottom="0.78740157499999996" header="0.31496062000000002" footer="0.31496062000000002"/>
    </customSheetView>
    <customSheetView guid="{E3841903-5B68-44FD-8F09-58E03D1025C5}" state="hidden">
      <selection activeCell="L15" sqref="L15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GLOSSÁRIO</vt:lpstr>
      <vt:lpstr>Patrícia</vt:lpstr>
      <vt:lpstr>Marcelo</vt:lpstr>
      <vt:lpstr>TOTAL</vt:lpstr>
      <vt:lpstr>Diego</vt:lpstr>
      <vt:lpstr>Aelton</vt:lpstr>
      <vt:lpstr>Leonam</vt:lpstr>
      <vt:lpstr>Danilo</vt:lpstr>
      <vt:lpstr>Marcos</vt:lpstr>
      <vt:lpstr>Carlos</vt:lpstr>
      <vt:lpstr>Alessandro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Lucio Saboia Fonseca</dc:creator>
  <cp:lastModifiedBy>Alessandro Borges de Araújo</cp:lastModifiedBy>
  <dcterms:created xsi:type="dcterms:W3CDTF">2025-02-20T15:04:38Z</dcterms:created>
  <dcterms:modified xsi:type="dcterms:W3CDTF">2025-10-30T15:32:08Z</dcterms:modified>
</cp:coreProperties>
</file>